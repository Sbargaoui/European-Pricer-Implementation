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bookViews>
    <workbookView xWindow="0" yWindow="0" windowWidth="20490" windowHeight="9045" firstSheet="1" activeTab="3"/>
  </bookViews>
  <sheets>
    <sheet name="Feuil1" sheetId="1" r:id="rId1"/>
    <sheet name="SPOTs" sheetId="7" r:id="rId2"/>
    <sheet name="Taux USD" sheetId="8" r:id="rId3"/>
    <sheet name="Taux EUR" sheetId="9" r:id="rId4"/>
    <sheet name="Taux TND" sheetId="10" r:id="rId5"/>
    <sheet name="Interpolation" sheetId="2" r:id="rId6"/>
    <sheet name="Garch(1,1) Euro" sheetId="3" r:id="rId7"/>
    <sheet name="Garch(1,1) Dollar" sheetId="4" r:id="rId8"/>
    <sheet name="Modèle de Garman-Kohlhagen-EUR" sheetId="12" r:id="rId9"/>
    <sheet name="Modèle de Garman-Kohlhagen-USD" sheetId="5" r:id="rId10"/>
    <sheet name="Arbre Trinomial" sheetId="11" r:id="rId11"/>
    <sheet name="Arbre Binomial" sheetId="6" r:id="rId12"/>
  </sheets>
  <functionGroups builtInGroupCount="17"/>
  <externalReferences>
    <externalReference r:id="rId13"/>
  </externalReferences>
  <definedNames>
    <definedName name="b" localSheetId="8">#REF!</definedName>
    <definedName name="b">#REF!</definedName>
    <definedName name="DividendYield">'Arbre Binomial'!$B$13</definedName>
    <definedName name="nSteps">'Arbre Binomial'!$B$12</definedName>
    <definedName name="PartialBarrier" localSheetId="8">[1]!PartialBarrier</definedName>
    <definedName name="PartialBarrier">[1]!PartialBarrier</definedName>
    <definedName name="RiskFreeRate">'Arbre Binomial'!$B$9</definedName>
    <definedName name="S" localSheetId="8">#REF!</definedName>
    <definedName name="S">#REF!</definedName>
    <definedName name="sigma">'Arbre Binomial'!$B$10</definedName>
    <definedName name="solver_adj" localSheetId="7" hidden="1">'Garch(1,1) Dollar'!$B$5:$B$7</definedName>
    <definedName name="solver_adj" localSheetId="6" hidden="1">'Garch(1,1) Euro'!$B$5:$B$7</definedName>
    <definedName name="solver_cvg" localSheetId="7" hidden="1">0.0001</definedName>
    <definedName name="solver_cvg" localSheetId="6" hidden="1">0.0001</definedName>
    <definedName name="solver_drv" localSheetId="7" hidden="1">2</definedName>
    <definedName name="solver_drv" localSheetId="6" hidden="1">2</definedName>
    <definedName name="solver_eng" localSheetId="7" hidden="1">1</definedName>
    <definedName name="solver_eng" localSheetId="6" hidden="1">1</definedName>
    <definedName name="solver_est" localSheetId="7" hidden="1">1</definedName>
    <definedName name="solver_est" localSheetId="6" hidden="1">1</definedName>
    <definedName name="solver_itr" localSheetId="7" hidden="1">2147483647</definedName>
    <definedName name="solver_itr" localSheetId="6" hidden="1">2147483647</definedName>
    <definedName name="solver_lin" localSheetId="7" hidden="1">0</definedName>
    <definedName name="solver_lin" localSheetId="6" hidden="1">0</definedName>
    <definedName name="solver_mip" localSheetId="7" hidden="1">2147483647</definedName>
    <definedName name="solver_mip" localSheetId="6" hidden="1">2147483647</definedName>
    <definedName name="solver_mni" localSheetId="7" hidden="1">30</definedName>
    <definedName name="solver_mni" localSheetId="6" hidden="1">30</definedName>
    <definedName name="solver_mrt" localSheetId="7" hidden="1">0.075</definedName>
    <definedName name="solver_mrt" localSheetId="6" hidden="1">0.075</definedName>
    <definedName name="solver_msl" localSheetId="7" hidden="1">2</definedName>
    <definedName name="solver_msl" localSheetId="6" hidden="1">2</definedName>
    <definedName name="solver_neg" localSheetId="7" hidden="1">1</definedName>
    <definedName name="solver_neg" localSheetId="6" hidden="1">1</definedName>
    <definedName name="solver_nod" localSheetId="7" hidden="1">2147483647</definedName>
    <definedName name="solver_nod" localSheetId="6" hidden="1">2147483647</definedName>
    <definedName name="solver_num" localSheetId="7" hidden="1">0</definedName>
    <definedName name="solver_num" localSheetId="6" hidden="1">0</definedName>
    <definedName name="solver_nwt" localSheetId="7" hidden="1">1</definedName>
    <definedName name="solver_nwt" localSheetId="6" hidden="1">1</definedName>
    <definedName name="solver_opt" localSheetId="7" hidden="1">'Garch(1,1) Dollar'!$K$1</definedName>
    <definedName name="solver_opt" localSheetId="6" hidden="1">'Garch(1,1) Euro'!$K$1</definedName>
    <definedName name="solver_pre" localSheetId="7" hidden="1">0.000001</definedName>
    <definedName name="solver_pre" localSheetId="6" hidden="1">0.000001</definedName>
    <definedName name="solver_rbv" localSheetId="7" hidden="1">2</definedName>
    <definedName name="solver_rbv" localSheetId="6" hidden="1">2</definedName>
    <definedName name="solver_rlx" localSheetId="7" hidden="1">2</definedName>
    <definedName name="solver_rlx" localSheetId="6" hidden="1">2</definedName>
    <definedName name="solver_rsd" localSheetId="7" hidden="1">0</definedName>
    <definedName name="solver_rsd" localSheetId="6" hidden="1">0</definedName>
    <definedName name="solver_scl" localSheetId="7" hidden="1">2</definedName>
    <definedName name="solver_scl" localSheetId="6" hidden="1">2</definedName>
    <definedName name="solver_sho" localSheetId="7" hidden="1">2</definedName>
    <definedName name="solver_sho" localSheetId="6" hidden="1">2</definedName>
    <definedName name="solver_ssz" localSheetId="7" hidden="1">100</definedName>
    <definedName name="solver_ssz" localSheetId="6" hidden="1">100</definedName>
    <definedName name="solver_tim" localSheetId="7" hidden="1">2147483647</definedName>
    <definedName name="solver_tim" localSheetId="6" hidden="1">2147483647</definedName>
    <definedName name="solver_tol" localSheetId="7" hidden="1">0.01</definedName>
    <definedName name="solver_tol" localSheetId="6" hidden="1">0.01</definedName>
    <definedName name="solver_typ" localSheetId="7" hidden="1">1</definedName>
    <definedName name="solver_typ" localSheetId="6" hidden="1">1</definedName>
    <definedName name="solver_val" localSheetId="7" hidden="1">0</definedName>
    <definedName name="solver_val" localSheetId="6" hidden="1">0</definedName>
    <definedName name="solver_ver" localSheetId="7" hidden="1">3</definedName>
    <definedName name="solver_ver" localSheetId="6" hidden="1">3</definedName>
    <definedName name="SpotPrice">'Arbre Binomial'!$B$7</definedName>
    <definedName name="StrikePrice">'Arbre Binomial'!$B$8</definedName>
    <definedName name="T" localSheetId="8">#REF!</definedName>
    <definedName name="T">#REF!</definedName>
    <definedName name="TimeToMaturity">'Arbre Binomial'!$B$11</definedName>
    <definedName name="v" localSheetId="8">#REF!</definedName>
    <definedName name="v">#REF!</definedName>
    <definedName name="X" localSheetId="8">#REF!</definedName>
    <definedName name="X">#REF!</definedName>
    <definedName name="y" localSheetId="8">#REF!</definedName>
    <definedName name="y">#REF!</definedName>
  </definedNames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8" i="5" l="1"/>
  <c r="B11" i="12" l="1"/>
  <c r="O4" i="10"/>
  <c r="L3" i="7"/>
  <c r="O4" i="8"/>
  <c r="B9" i="12" l="1"/>
  <c r="B16" i="6"/>
  <c r="B20" i="6" s="1"/>
  <c r="F8" i="11"/>
  <c r="E8" i="11"/>
  <c r="C15" i="11" a="1"/>
  <c r="B34" i="12" l="1"/>
  <c r="B28" i="12"/>
  <c r="B17" i="6"/>
  <c r="C18" i="11"/>
  <c r="C16" i="11"/>
  <c r="C17" i="11"/>
  <c r="C15" i="11"/>
  <c r="C22" i="11" s="1"/>
  <c r="B40" i="12" l="1"/>
  <c r="B38" i="12"/>
  <c r="B36" i="12"/>
  <c r="B35" i="12"/>
  <c r="D6" i="2"/>
  <c r="B24" i="12" l="1"/>
  <c r="N24" i="12" s="1"/>
  <c r="B19" i="12"/>
  <c r="D24" i="12"/>
  <c r="P24" i="12" s="1"/>
  <c r="B41" i="12"/>
  <c r="D23" i="12" s="1"/>
  <c r="P23" i="12" s="1"/>
  <c r="B39" i="12"/>
  <c r="B37" i="12"/>
  <c r="B23" i="12" s="1"/>
  <c r="N23" i="12" s="1"/>
  <c r="D26" i="12"/>
  <c r="P26" i="12" s="1"/>
  <c r="B26" i="12"/>
  <c r="N26" i="12" s="1"/>
  <c r="B20" i="12"/>
  <c r="B21" i="12"/>
  <c r="F4" i="10"/>
  <c r="H4" i="10" s="1"/>
  <c r="J4" i="10" s="1"/>
  <c r="L4" i="10" s="1"/>
  <c r="F5" i="10"/>
  <c r="H5" i="10" s="1"/>
  <c r="J5" i="10" s="1"/>
  <c r="L5" i="10" s="1"/>
  <c r="F6" i="10"/>
  <c r="H6" i="10" s="1"/>
  <c r="J6" i="10" s="1"/>
  <c r="L6" i="10" s="1"/>
  <c r="F7" i="10"/>
  <c r="H7" i="10" s="1"/>
  <c r="J7" i="10" s="1"/>
  <c r="L7" i="10" s="1"/>
  <c r="F8" i="10"/>
  <c r="H8" i="10" s="1"/>
  <c r="J8" i="10" s="1"/>
  <c r="L8" i="10" s="1"/>
  <c r="F9" i="10"/>
  <c r="H9" i="10" s="1"/>
  <c r="J9" i="10" s="1"/>
  <c r="L9" i="10" s="1"/>
  <c r="F10" i="10"/>
  <c r="H10" i="10" s="1"/>
  <c r="J10" i="10" s="1"/>
  <c r="L10" i="10" s="1"/>
  <c r="F11" i="10"/>
  <c r="H11" i="10" s="1"/>
  <c r="J11" i="10" s="1"/>
  <c r="L11" i="10" s="1"/>
  <c r="F12" i="10"/>
  <c r="H12" i="10" s="1"/>
  <c r="J12" i="10" s="1"/>
  <c r="L12" i="10" s="1"/>
  <c r="F13" i="10"/>
  <c r="H13" i="10" s="1"/>
  <c r="J13" i="10" s="1"/>
  <c r="L13" i="10" s="1"/>
  <c r="F14" i="10"/>
  <c r="H14" i="10" s="1"/>
  <c r="J14" i="10" s="1"/>
  <c r="L14" i="10" s="1"/>
  <c r="F15" i="10"/>
  <c r="H15" i="10" s="1"/>
  <c r="J15" i="10" s="1"/>
  <c r="L15" i="10" s="1"/>
  <c r="F16" i="10"/>
  <c r="H16" i="10" s="1"/>
  <c r="J16" i="10" s="1"/>
  <c r="L16" i="10" s="1"/>
  <c r="F17" i="10"/>
  <c r="H17" i="10" s="1"/>
  <c r="J17" i="10" s="1"/>
  <c r="L17" i="10" s="1"/>
  <c r="F18" i="10"/>
  <c r="H18" i="10" s="1"/>
  <c r="J18" i="10" s="1"/>
  <c r="L18" i="10" s="1"/>
  <c r="F19" i="10"/>
  <c r="H19" i="10" s="1"/>
  <c r="J19" i="10" s="1"/>
  <c r="L19" i="10" s="1"/>
  <c r="F20" i="10"/>
  <c r="H20" i="10" s="1"/>
  <c r="J20" i="10" s="1"/>
  <c r="L20" i="10" s="1"/>
  <c r="F21" i="10"/>
  <c r="H21" i="10" s="1"/>
  <c r="J21" i="10" s="1"/>
  <c r="L21" i="10" s="1"/>
  <c r="F22" i="10"/>
  <c r="H22" i="10" s="1"/>
  <c r="J22" i="10" s="1"/>
  <c r="L22" i="10" s="1"/>
  <c r="F23" i="10"/>
  <c r="H23" i="10" s="1"/>
  <c r="J23" i="10" s="1"/>
  <c r="L23" i="10" s="1"/>
  <c r="F24" i="10"/>
  <c r="H24" i="10" s="1"/>
  <c r="J24" i="10" s="1"/>
  <c r="L24" i="10" s="1"/>
  <c r="F25" i="10"/>
  <c r="H25" i="10" s="1"/>
  <c r="J25" i="10" s="1"/>
  <c r="L25" i="10" s="1"/>
  <c r="F26" i="10"/>
  <c r="H26" i="10" s="1"/>
  <c r="J26" i="10" s="1"/>
  <c r="L26" i="10" s="1"/>
  <c r="F27" i="10"/>
  <c r="H27" i="10" s="1"/>
  <c r="J27" i="10" s="1"/>
  <c r="L27" i="10" s="1"/>
  <c r="F28" i="10"/>
  <c r="H28" i="10" s="1"/>
  <c r="J28" i="10" s="1"/>
  <c r="L28" i="10" s="1"/>
  <c r="F29" i="10"/>
  <c r="H29" i="10" s="1"/>
  <c r="J29" i="10" s="1"/>
  <c r="L29" i="10" s="1"/>
  <c r="F30" i="10"/>
  <c r="H30" i="10" s="1"/>
  <c r="J30" i="10" s="1"/>
  <c r="L30" i="10" s="1"/>
  <c r="F31" i="10"/>
  <c r="H31" i="10" s="1"/>
  <c r="J31" i="10" s="1"/>
  <c r="L31" i="10" s="1"/>
  <c r="F32" i="10"/>
  <c r="H32" i="10" s="1"/>
  <c r="J32" i="10" s="1"/>
  <c r="L32" i="10" s="1"/>
  <c r="F33" i="10"/>
  <c r="H33" i="10" s="1"/>
  <c r="J33" i="10" s="1"/>
  <c r="L33" i="10" s="1"/>
  <c r="F34" i="10"/>
  <c r="H34" i="10" s="1"/>
  <c r="J34" i="10" s="1"/>
  <c r="L34" i="10" s="1"/>
  <c r="F35" i="10"/>
  <c r="H35" i="10" s="1"/>
  <c r="J35" i="10" s="1"/>
  <c r="L35" i="10" s="1"/>
  <c r="F36" i="10"/>
  <c r="H36" i="10" s="1"/>
  <c r="J36" i="10" s="1"/>
  <c r="L36" i="10" s="1"/>
  <c r="F37" i="10"/>
  <c r="H37" i="10" s="1"/>
  <c r="J37" i="10" s="1"/>
  <c r="L37" i="10" s="1"/>
  <c r="F38" i="10"/>
  <c r="H38" i="10" s="1"/>
  <c r="J38" i="10" s="1"/>
  <c r="L38" i="10" s="1"/>
  <c r="F39" i="10"/>
  <c r="H39" i="10" s="1"/>
  <c r="J39" i="10" s="1"/>
  <c r="L39" i="10" s="1"/>
  <c r="F40" i="10"/>
  <c r="H40" i="10" s="1"/>
  <c r="J40" i="10" s="1"/>
  <c r="L40" i="10" s="1"/>
  <c r="F41" i="10"/>
  <c r="H41" i="10" s="1"/>
  <c r="J41" i="10" s="1"/>
  <c r="L41" i="10" s="1"/>
  <c r="F42" i="10"/>
  <c r="H42" i="10" s="1"/>
  <c r="J42" i="10" s="1"/>
  <c r="L42" i="10" s="1"/>
  <c r="F43" i="10"/>
  <c r="H43" i="10" s="1"/>
  <c r="J43" i="10" s="1"/>
  <c r="L43" i="10" s="1"/>
  <c r="F44" i="10"/>
  <c r="H44" i="10" s="1"/>
  <c r="J44" i="10" s="1"/>
  <c r="L44" i="10" s="1"/>
  <c r="F45" i="10"/>
  <c r="H45" i="10" s="1"/>
  <c r="J45" i="10" s="1"/>
  <c r="L45" i="10" s="1"/>
  <c r="F46" i="10"/>
  <c r="H46" i="10" s="1"/>
  <c r="J46" i="10" s="1"/>
  <c r="L46" i="10" s="1"/>
  <c r="F47" i="10"/>
  <c r="H47" i="10" s="1"/>
  <c r="J47" i="10" s="1"/>
  <c r="L47" i="10" s="1"/>
  <c r="F48" i="10"/>
  <c r="H48" i="10" s="1"/>
  <c r="J48" i="10" s="1"/>
  <c r="L48" i="10" s="1"/>
  <c r="F49" i="10"/>
  <c r="H49" i="10" s="1"/>
  <c r="J49" i="10" s="1"/>
  <c r="L49" i="10" s="1"/>
  <c r="F50" i="10"/>
  <c r="H50" i="10" s="1"/>
  <c r="J50" i="10" s="1"/>
  <c r="L50" i="10" s="1"/>
  <c r="F51" i="10"/>
  <c r="H51" i="10" s="1"/>
  <c r="J51" i="10" s="1"/>
  <c r="L51" i="10" s="1"/>
  <c r="F52" i="10"/>
  <c r="H52" i="10" s="1"/>
  <c r="J52" i="10" s="1"/>
  <c r="L52" i="10" s="1"/>
  <c r="F53" i="10"/>
  <c r="H53" i="10" s="1"/>
  <c r="J53" i="10" s="1"/>
  <c r="L53" i="10" s="1"/>
  <c r="F54" i="10"/>
  <c r="H54" i="10" s="1"/>
  <c r="J54" i="10" s="1"/>
  <c r="L54" i="10" s="1"/>
  <c r="F55" i="10"/>
  <c r="H55" i="10" s="1"/>
  <c r="J55" i="10" s="1"/>
  <c r="L55" i="10" s="1"/>
  <c r="F56" i="10"/>
  <c r="H56" i="10" s="1"/>
  <c r="J56" i="10" s="1"/>
  <c r="L56" i="10" s="1"/>
  <c r="F57" i="10"/>
  <c r="H57" i="10" s="1"/>
  <c r="J57" i="10" s="1"/>
  <c r="L57" i="10" s="1"/>
  <c r="F58" i="10"/>
  <c r="H58" i="10" s="1"/>
  <c r="J58" i="10" s="1"/>
  <c r="L58" i="10" s="1"/>
  <c r="F59" i="10"/>
  <c r="H59" i="10" s="1"/>
  <c r="J59" i="10" s="1"/>
  <c r="L59" i="10" s="1"/>
  <c r="F60" i="10"/>
  <c r="H60" i="10" s="1"/>
  <c r="J60" i="10" s="1"/>
  <c r="L60" i="10" s="1"/>
  <c r="F61" i="10"/>
  <c r="H61" i="10" s="1"/>
  <c r="J61" i="10" s="1"/>
  <c r="L61" i="10" s="1"/>
  <c r="F62" i="10"/>
  <c r="H62" i="10" s="1"/>
  <c r="J62" i="10" s="1"/>
  <c r="L62" i="10" s="1"/>
  <c r="F3" i="10"/>
  <c r="H3" i="10" s="1"/>
  <c r="J3" i="10" s="1"/>
  <c r="L3" i="10" s="1"/>
  <c r="K4" i="10"/>
  <c r="K5" i="10"/>
  <c r="K6" i="10"/>
  <c r="K7" i="10"/>
  <c r="K8" i="10"/>
  <c r="K9" i="10"/>
  <c r="K10" i="10"/>
  <c r="K11" i="10"/>
  <c r="K12" i="10"/>
  <c r="K13" i="10"/>
  <c r="K14" i="10"/>
  <c r="K15" i="10"/>
  <c r="K16" i="10"/>
  <c r="K17" i="10"/>
  <c r="K18" i="10"/>
  <c r="K19" i="10"/>
  <c r="K20" i="10"/>
  <c r="K21" i="10"/>
  <c r="K22" i="10"/>
  <c r="K23" i="10"/>
  <c r="K24" i="10"/>
  <c r="K25" i="10"/>
  <c r="K26" i="10"/>
  <c r="K27" i="10"/>
  <c r="K28" i="10"/>
  <c r="K29" i="10"/>
  <c r="K30" i="10"/>
  <c r="K31" i="10"/>
  <c r="K32" i="10"/>
  <c r="K33" i="10"/>
  <c r="K34" i="10"/>
  <c r="K35" i="10"/>
  <c r="K36" i="10"/>
  <c r="K37" i="10"/>
  <c r="K38" i="10"/>
  <c r="K39" i="10"/>
  <c r="K40" i="10"/>
  <c r="K41" i="10"/>
  <c r="K42" i="10"/>
  <c r="K43" i="10"/>
  <c r="K44" i="10"/>
  <c r="K45" i="10"/>
  <c r="K46" i="10"/>
  <c r="K47" i="10"/>
  <c r="K48" i="10"/>
  <c r="K49" i="10"/>
  <c r="K50" i="10"/>
  <c r="K51" i="10"/>
  <c r="K52" i="10"/>
  <c r="K53" i="10"/>
  <c r="K54" i="10"/>
  <c r="K55" i="10"/>
  <c r="K56" i="10"/>
  <c r="K57" i="10"/>
  <c r="K58" i="10"/>
  <c r="K59" i="10"/>
  <c r="K60" i="10"/>
  <c r="K61" i="10"/>
  <c r="K62" i="10"/>
  <c r="I4" i="10"/>
  <c r="I5" i="10"/>
  <c r="I6" i="10"/>
  <c r="I7" i="10"/>
  <c r="I8" i="10"/>
  <c r="I9" i="10"/>
  <c r="I10" i="10"/>
  <c r="I11" i="10"/>
  <c r="I12" i="10"/>
  <c r="I13" i="10"/>
  <c r="I14" i="10"/>
  <c r="I15" i="10"/>
  <c r="I16" i="10"/>
  <c r="I17" i="10"/>
  <c r="I18" i="10"/>
  <c r="I19" i="10"/>
  <c r="I20" i="10"/>
  <c r="I21" i="10"/>
  <c r="I22" i="10"/>
  <c r="I23" i="10"/>
  <c r="I24" i="10"/>
  <c r="I25" i="10"/>
  <c r="I26" i="10"/>
  <c r="I27" i="10"/>
  <c r="I28" i="10"/>
  <c r="I29" i="10"/>
  <c r="I30" i="10"/>
  <c r="I31" i="10"/>
  <c r="I32" i="10"/>
  <c r="I33" i="10"/>
  <c r="I34" i="10"/>
  <c r="I35" i="10"/>
  <c r="I36" i="10"/>
  <c r="I37" i="10"/>
  <c r="I38" i="10"/>
  <c r="I39" i="10"/>
  <c r="I40" i="10"/>
  <c r="I41" i="10"/>
  <c r="I42" i="10"/>
  <c r="I43" i="10"/>
  <c r="I44" i="10"/>
  <c r="I45" i="10"/>
  <c r="I46" i="10"/>
  <c r="I47" i="10"/>
  <c r="I48" i="10"/>
  <c r="I49" i="10"/>
  <c r="I50" i="10"/>
  <c r="I51" i="10"/>
  <c r="I52" i="10"/>
  <c r="I53" i="10"/>
  <c r="I54" i="10"/>
  <c r="I55" i="10"/>
  <c r="I56" i="10"/>
  <c r="I57" i="10"/>
  <c r="I58" i="10"/>
  <c r="I59" i="10"/>
  <c r="I60" i="10"/>
  <c r="I61" i="10"/>
  <c r="I62" i="10"/>
  <c r="G4" i="10"/>
  <c r="G5" i="10"/>
  <c r="G6" i="10"/>
  <c r="G7" i="10"/>
  <c r="G8" i="10"/>
  <c r="G9" i="10"/>
  <c r="G10" i="10"/>
  <c r="G11" i="10"/>
  <c r="G12" i="10"/>
  <c r="G13" i="10"/>
  <c r="G14" i="10"/>
  <c r="G15" i="10"/>
  <c r="G16" i="10"/>
  <c r="G17" i="10"/>
  <c r="G18" i="10"/>
  <c r="G19" i="10"/>
  <c r="G20" i="10"/>
  <c r="G21" i="10"/>
  <c r="G22" i="10"/>
  <c r="G23" i="10"/>
  <c r="G24" i="10"/>
  <c r="G25" i="10"/>
  <c r="G26" i="10"/>
  <c r="G27" i="10"/>
  <c r="G28" i="10"/>
  <c r="G29" i="10"/>
  <c r="G30" i="10"/>
  <c r="G31" i="10"/>
  <c r="G32" i="10"/>
  <c r="G33" i="10"/>
  <c r="G34" i="10"/>
  <c r="G35" i="10"/>
  <c r="G36" i="10"/>
  <c r="G37" i="10"/>
  <c r="G38" i="10"/>
  <c r="G39" i="10"/>
  <c r="G40" i="10"/>
  <c r="G41" i="10"/>
  <c r="G42" i="10"/>
  <c r="G43" i="10"/>
  <c r="G44" i="10"/>
  <c r="G45" i="10"/>
  <c r="G46" i="10"/>
  <c r="G47" i="10"/>
  <c r="G48" i="10"/>
  <c r="G49" i="10"/>
  <c r="G50" i="10"/>
  <c r="G51" i="10"/>
  <c r="G52" i="10"/>
  <c r="G53" i="10"/>
  <c r="G54" i="10"/>
  <c r="G55" i="10"/>
  <c r="G56" i="10"/>
  <c r="G57" i="10"/>
  <c r="G58" i="10"/>
  <c r="G59" i="10"/>
  <c r="G60" i="10"/>
  <c r="G61" i="10"/>
  <c r="G62" i="10"/>
  <c r="K3" i="10"/>
  <c r="I3" i="10"/>
  <c r="G3" i="10"/>
  <c r="E4" i="10"/>
  <c r="E5" i="10"/>
  <c r="E6" i="10"/>
  <c r="E7" i="10"/>
  <c r="E8" i="10"/>
  <c r="E9" i="10"/>
  <c r="E10" i="10"/>
  <c r="E11" i="10"/>
  <c r="E12" i="10"/>
  <c r="E13" i="10"/>
  <c r="E14" i="10"/>
  <c r="E15" i="10"/>
  <c r="E16" i="10"/>
  <c r="E17" i="10"/>
  <c r="E18" i="10"/>
  <c r="E19" i="10"/>
  <c r="E20" i="10"/>
  <c r="E21" i="10"/>
  <c r="E22" i="10"/>
  <c r="E23" i="10"/>
  <c r="E24" i="10"/>
  <c r="E25" i="10"/>
  <c r="E26" i="10"/>
  <c r="E27" i="10"/>
  <c r="E28" i="10"/>
  <c r="E29" i="10"/>
  <c r="E30" i="10"/>
  <c r="E31" i="10"/>
  <c r="E32" i="10"/>
  <c r="E33" i="10"/>
  <c r="E34" i="10"/>
  <c r="E35" i="10"/>
  <c r="E36" i="10"/>
  <c r="E37" i="10"/>
  <c r="E38" i="10"/>
  <c r="E39" i="10"/>
  <c r="E40" i="10"/>
  <c r="E41" i="10"/>
  <c r="E42" i="10"/>
  <c r="E43" i="10"/>
  <c r="E44" i="10"/>
  <c r="E45" i="10"/>
  <c r="E46" i="10"/>
  <c r="E47" i="10"/>
  <c r="E48" i="10"/>
  <c r="E49" i="10"/>
  <c r="E50" i="10"/>
  <c r="E51" i="10"/>
  <c r="E52" i="10"/>
  <c r="E53" i="10"/>
  <c r="E54" i="10"/>
  <c r="E55" i="10"/>
  <c r="E56" i="10"/>
  <c r="E57" i="10"/>
  <c r="E58" i="10"/>
  <c r="E59" i="10"/>
  <c r="E60" i="10"/>
  <c r="E61" i="10"/>
  <c r="E62" i="10"/>
  <c r="E3" i="10"/>
  <c r="L8" i="6"/>
  <c r="M8" i="6" s="1"/>
  <c r="B25" i="6"/>
  <c r="D22" i="12" l="1"/>
  <c r="P22" i="12" s="1"/>
  <c r="B22" i="12"/>
  <c r="N22" i="12" s="1"/>
  <c r="B18" i="12"/>
  <c r="E5" i="12" s="1"/>
  <c r="D21" i="12"/>
  <c r="P21" i="12" s="1"/>
  <c r="N21" i="12"/>
  <c r="D20" i="12"/>
  <c r="P20" i="12" s="1"/>
  <c r="N20" i="12"/>
  <c r="D18" i="12"/>
  <c r="B25" i="12"/>
  <c r="N19" i="12"/>
  <c r="D19" i="12"/>
  <c r="N18" i="12"/>
  <c r="G23" i="6"/>
  <c r="C23" i="6"/>
  <c r="E23" i="6"/>
  <c r="O8" i="6"/>
  <c r="P8" i="6"/>
  <c r="N8" i="6"/>
  <c r="B18" i="6"/>
  <c r="C25" i="6"/>
  <c r="K8" i="6"/>
  <c r="F9" i="6" s="1"/>
  <c r="F23" i="6"/>
  <c r="D23" i="6"/>
  <c r="B23" i="6"/>
  <c r="P18" i="12" l="1"/>
  <c r="E7" i="12"/>
  <c r="D25" i="12"/>
  <c r="P25" i="12" s="1"/>
  <c r="P19" i="12"/>
  <c r="N25" i="12"/>
  <c r="C26" i="6"/>
  <c r="D27" i="6" s="1"/>
  <c r="E28" i="6" s="1"/>
  <c r="F29" i="6" s="1"/>
  <c r="G30" i="6" s="1"/>
  <c r="G37" i="6" s="1"/>
  <c r="B19" i="6"/>
  <c r="J9" i="6"/>
  <c r="K9" i="6"/>
  <c r="J8" i="6"/>
  <c r="F8" i="6" s="1"/>
  <c r="J10" i="6"/>
  <c r="K10" i="6" s="1"/>
  <c r="J12" i="6"/>
  <c r="J11" i="6"/>
  <c r="K11" i="6" s="1"/>
  <c r="K12" i="6"/>
  <c r="D25" i="6"/>
  <c r="D26" i="6"/>
  <c r="E27" i="6" s="1"/>
  <c r="F28" i="6" s="1"/>
  <c r="G29" i="6" s="1"/>
  <c r="G36" i="6" s="1"/>
  <c r="B34" i="5"/>
  <c r="E5" i="4"/>
  <c r="C14" i="4"/>
  <c r="D14" i="4" s="1"/>
  <c r="E15" i="4" s="1"/>
  <c r="C15" i="4"/>
  <c r="D15" i="4"/>
  <c r="C16" i="4"/>
  <c r="D16" i="4" s="1"/>
  <c r="E17" i="4" s="1"/>
  <c r="E16" i="4"/>
  <c r="C17" i="4"/>
  <c r="D17" i="4"/>
  <c r="C18" i="4"/>
  <c r="D18" i="4" s="1"/>
  <c r="E19" i="4" s="1"/>
  <c r="E18" i="4"/>
  <c r="C19" i="4"/>
  <c r="D19" i="4"/>
  <c r="C20" i="4"/>
  <c r="D20" i="4" s="1"/>
  <c r="E21" i="4" s="1"/>
  <c r="E20" i="4"/>
  <c r="C21" i="4"/>
  <c r="D21" i="4"/>
  <c r="C22" i="4"/>
  <c r="D22" i="4" s="1"/>
  <c r="E23" i="4" s="1"/>
  <c r="E22" i="4"/>
  <c r="C23" i="4"/>
  <c r="D23" i="4"/>
  <c r="C24" i="4"/>
  <c r="D24" i="4" s="1"/>
  <c r="E25" i="4" s="1"/>
  <c r="E24" i="4"/>
  <c r="C25" i="4"/>
  <c r="D25" i="4"/>
  <c r="C26" i="4"/>
  <c r="D26" i="4" s="1"/>
  <c r="E27" i="4" s="1"/>
  <c r="E26" i="4"/>
  <c r="C27" i="4"/>
  <c r="D27" i="4"/>
  <c r="C28" i="4"/>
  <c r="D28" i="4" s="1"/>
  <c r="E29" i="4" s="1"/>
  <c r="E28" i="4"/>
  <c r="C29" i="4"/>
  <c r="D29" i="4"/>
  <c r="C30" i="4"/>
  <c r="D30" i="4" s="1"/>
  <c r="E31" i="4" s="1"/>
  <c r="E30" i="4"/>
  <c r="C31" i="4"/>
  <c r="D31" i="4"/>
  <c r="C32" i="4"/>
  <c r="D32" i="4" s="1"/>
  <c r="E33" i="4" s="1"/>
  <c r="E32" i="4"/>
  <c r="C33" i="4"/>
  <c r="D33" i="4"/>
  <c r="C34" i="4"/>
  <c r="D34" i="4" s="1"/>
  <c r="E35" i="4" s="1"/>
  <c r="E34" i="4"/>
  <c r="C35" i="4"/>
  <c r="D35" i="4"/>
  <c r="C36" i="4"/>
  <c r="D36" i="4" s="1"/>
  <c r="E37" i="4" s="1"/>
  <c r="E36" i="4"/>
  <c r="C37" i="4"/>
  <c r="D37" i="4"/>
  <c r="C38" i="4"/>
  <c r="D38" i="4" s="1"/>
  <c r="E39" i="4" s="1"/>
  <c r="E38" i="4"/>
  <c r="C39" i="4"/>
  <c r="D39" i="4"/>
  <c r="C40" i="4"/>
  <c r="D40" i="4" s="1"/>
  <c r="E41" i="4" s="1"/>
  <c r="E40" i="4"/>
  <c r="C41" i="4"/>
  <c r="D41" i="4"/>
  <c r="C42" i="4"/>
  <c r="D42" i="4" s="1"/>
  <c r="E42" i="4"/>
  <c r="C43" i="4"/>
  <c r="D43" i="4" s="1"/>
  <c r="E44" i="4" s="1"/>
  <c r="E43" i="4"/>
  <c r="C44" i="4"/>
  <c r="D44" i="4"/>
  <c r="C45" i="4"/>
  <c r="D45" i="4" s="1"/>
  <c r="E46" i="4" s="1"/>
  <c r="E45" i="4"/>
  <c r="C46" i="4"/>
  <c r="D46" i="4"/>
  <c r="C47" i="4"/>
  <c r="D47" i="4" s="1"/>
  <c r="E48" i="4" s="1"/>
  <c r="E47" i="4"/>
  <c r="C48" i="4"/>
  <c r="D48" i="4"/>
  <c r="C49" i="4"/>
  <c r="D49" i="4" s="1"/>
  <c r="E50" i="4" s="1"/>
  <c r="E49" i="4"/>
  <c r="C50" i="4"/>
  <c r="D50" i="4"/>
  <c r="C51" i="4"/>
  <c r="D51" i="4" s="1"/>
  <c r="E52" i="4" s="1"/>
  <c r="E51" i="4"/>
  <c r="C52" i="4"/>
  <c r="D52" i="4"/>
  <c r="C53" i="4"/>
  <c r="D53" i="4" s="1"/>
  <c r="E54" i="4" s="1"/>
  <c r="E53" i="4"/>
  <c r="C54" i="4"/>
  <c r="D54" i="4"/>
  <c r="C55" i="4"/>
  <c r="D55" i="4" s="1"/>
  <c r="E56" i="4" s="1"/>
  <c r="E55" i="4"/>
  <c r="C56" i="4"/>
  <c r="D56" i="4"/>
  <c r="C57" i="4"/>
  <c r="D57" i="4" s="1"/>
  <c r="E58" i="4" s="1"/>
  <c r="E57" i="4"/>
  <c r="C58" i="4"/>
  <c r="D58" i="4"/>
  <c r="C59" i="4"/>
  <c r="D59" i="4" s="1"/>
  <c r="E60" i="4" s="1"/>
  <c r="E59" i="4"/>
  <c r="C60" i="4"/>
  <c r="D60" i="4"/>
  <c r="C61" i="4"/>
  <c r="D61" i="4" s="1"/>
  <c r="E62" i="4" s="1"/>
  <c r="E61" i="4"/>
  <c r="C62" i="4"/>
  <c r="D62" i="4"/>
  <c r="C63" i="4"/>
  <c r="D63" i="4" s="1"/>
  <c r="E64" i="4" s="1"/>
  <c r="E63" i="4"/>
  <c r="C64" i="4"/>
  <c r="D64" i="4"/>
  <c r="C65" i="4"/>
  <c r="D65" i="4" s="1"/>
  <c r="E66" i="4" s="1"/>
  <c r="E65" i="4"/>
  <c r="C66" i="4"/>
  <c r="D66" i="4"/>
  <c r="C67" i="4"/>
  <c r="D67" i="4" s="1"/>
  <c r="E68" i="4" s="1"/>
  <c r="E67" i="4"/>
  <c r="C68" i="4"/>
  <c r="D68" i="4"/>
  <c r="C69" i="4"/>
  <c r="D69" i="4" s="1"/>
  <c r="E70" i="4" s="1"/>
  <c r="E69" i="4"/>
  <c r="C70" i="4"/>
  <c r="D70" i="4"/>
  <c r="C71" i="4"/>
  <c r="D71" i="4" s="1"/>
  <c r="E72" i="4" s="1"/>
  <c r="E71" i="4"/>
  <c r="C72" i="4"/>
  <c r="D72" i="4"/>
  <c r="C73" i="4"/>
  <c r="D73" i="4" s="1"/>
  <c r="E74" i="4" s="1"/>
  <c r="E73" i="4"/>
  <c r="C74" i="4"/>
  <c r="D74" i="4"/>
  <c r="C75" i="4"/>
  <c r="D75" i="4" s="1"/>
  <c r="E76" i="4" s="1"/>
  <c r="E75" i="4"/>
  <c r="C76" i="4"/>
  <c r="D76" i="4"/>
  <c r="C77" i="4"/>
  <c r="D77" i="4" s="1"/>
  <c r="E78" i="4" s="1"/>
  <c r="E77" i="4"/>
  <c r="C78" i="4"/>
  <c r="D78" i="4"/>
  <c r="C79" i="4"/>
  <c r="D79" i="4" s="1"/>
  <c r="E80" i="4" s="1"/>
  <c r="E79" i="4"/>
  <c r="C80" i="4"/>
  <c r="D80" i="4"/>
  <c r="C81" i="4"/>
  <c r="D81" i="4" s="1"/>
  <c r="E82" i="4" s="1"/>
  <c r="E81" i="4"/>
  <c r="C82" i="4"/>
  <c r="D82" i="4"/>
  <c r="C83" i="4"/>
  <c r="D83" i="4" s="1"/>
  <c r="E84" i="4" s="1"/>
  <c r="E83" i="4"/>
  <c r="C84" i="4"/>
  <c r="D84" i="4"/>
  <c r="C85" i="4"/>
  <c r="D85" i="4" s="1"/>
  <c r="E86" i="4" s="1"/>
  <c r="E85" i="4"/>
  <c r="C86" i="4"/>
  <c r="D86" i="4"/>
  <c r="C87" i="4"/>
  <c r="D87" i="4" s="1"/>
  <c r="E88" i="4" s="1"/>
  <c r="E87" i="4"/>
  <c r="C88" i="4"/>
  <c r="D88" i="4"/>
  <c r="C89" i="4"/>
  <c r="D89" i="4" s="1"/>
  <c r="E90" i="4" s="1"/>
  <c r="E89" i="4"/>
  <c r="C90" i="4"/>
  <c r="D90" i="4"/>
  <c r="C91" i="4"/>
  <c r="D91" i="4" s="1"/>
  <c r="E92" i="4" s="1"/>
  <c r="E91" i="4"/>
  <c r="C92" i="4"/>
  <c r="D92" i="4"/>
  <c r="C93" i="4"/>
  <c r="D93" i="4" s="1"/>
  <c r="E94" i="4" s="1"/>
  <c r="E93" i="4"/>
  <c r="C94" i="4"/>
  <c r="D94" i="4"/>
  <c r="C95" i="4"/>
  <c r="D95" i="4" s="1"/>
  <c r="E96" i="4" s="1"/>
  <c r="E95" i="4"/>
  <c r="C96" i="4"/>
  <c r="D96" i="4"/>
  <c r="C97" i="4"/>
  <c r="D97" i="4" s="1"/>
  <c r="E98" i="4" s="1"/>
  <c r="E97" i="4"/>
  <c r="C98" i="4"/>
  <c r="D98" i="4"/>
  <c r="C99" i="4"/>
  <c r="D99" i="4" s="1"/>
  <c r="E100" i="4" s="1"/>
  <c r="E99" i="4"/>
  <c r="C100" i="4"/>
  <c r="D100" i="4"/>
  <c r="C101" i="4"/>
  <c r="D101" i="4" s="1"/>
  <c r="E102" i="4" s="1"/>
  <c r="E101" i="4"/>
  <c r="C102" i="4"/>
  <c r="D102" i="4"/>
  <c r="C103" i="4"/>
  <c r="D103" i="4" s="1"/>
  <c r="E104" i="4" s="1"/>
  <c r="E103" i="4"/>
  <c r="C104" i="4"/>
  <c r="D104" i="4"/>
  <c r="C105" i="4"/>
  <c r="D105" i="4" s="1"/>
  <c r="E106" i="4" s="1"/>
  <c r="E105" i="4"/>
  <c r="C106" i="4"/>
  <c r="D106" i="4"/>
  <c r="C107" i="4"/>
  <c r="D107" i="4" s="1"/>
  <c r="E108" i="4" s="1"/>
  <c r="E107" i="4"/>
  <c r="C108" i="4"/>
  <c r="D108" i="4"/>
  <c r="C109" i="4"/>
  <c r="D109" i="4" s="1"/>
  <c r="E110" i="4" s="1"/>
  <c r="E109" i="4"/>
  <c r="C110" i="4"/>
  <c r="D110" i="4"/>
  <c r="C111" i="4"/>
  <c r="D111" i="4" s="1"/>
  <c r="E112" i="4" s="1"/>
  <c r="E111" i="4"/>
  <c r="C112" i="4"/>
  <c r="D112" i="4"/>
  <c r="C113" i="4"/>
  <c r="D113" i="4" s="1"/>
  <c r="E114" i="4" s="1"/>
  <c r="E113" i="4"/>
  <c r="C114" i="4"/>
  <c r="D114" i="4"/>
  <c r="C115" i="4"/>
  <c r="D115" i="4" s="1"/>
  <c r="E116" i="4" s="1"/>
  <c r="E115" i="4"/>
  <c r="C116" i="4"/>
  <c r="D116" i="4"/>
  <c r="C117" i="4"/>
  <c r="D117" i="4" s="1"/>
  <c r="E118" i="4" s="1"/>
  <c r="E117" i="4"/>
  <c r="C118" i="4"/>
  <c r="D118" i="4"/>
  <c r="C119" i="4"/>
  <c r="D119" i="4" s="1"/>
  <c r="E120" i="4" s="1"/>
  <c r="E119" i="4"/>
  <c r="C120" i="4"/>
  <c r="D120" i="4"/>
  <c r="C121" i="4"/>
  <c r="D121" i="4" s="1"/>
  <c r="E122" i="4" s="1"/>
  <c r="E121" i="4"/>
  <c r="C122" i="4"/>
  <c r="D122" i="4"/>
  <c r="C123" i="4"/>
  <c r="D123" i="4" s="1"/>
  <c r="E124" i="4" s="1"/>
  <c r="E123" i="4"/>
  <c r="C124" i="4"/>
  <c r="D124" i="4"/>
  <c r="C125" i="4"/>
  <c r="D125" i="4" s="1"/>
  <c r="E126" i="4" s="1"/>
  <c r="E125" i="4"/>
  <c r="C126" i="4"/>
  <c r="D126" i="4"/>
  <c r="C127" i="4"/>
  <c r="D127" i="4" s="1"/>
  <c r="E128" i="4" s="1"/>
  <c r="E127" i="4"/>
  <c r="C128" i="4"/>
  <c r="D128" i="4"/>
  <c r="C129" i="4"/>
  <c r="D129" i="4" s="1"/>
  <c r="E130" i="4" s="1"/>
  <c r="E129" i="4"/>
  <c r="C130" i="4"/>
  <c r="D130" i="4"/>
  <c r="C131" i="4"/>
  <c r="D131" i="4" s="1"/>
  <c r="E132" i="4" s="1"/>
  <c r="E131" i="4"/>
  <c r="C132" i="4"/>
  <c r="D132" i="4"/>
  <c r="C133" i="4"/>
  <c r="D133" i="4" s="1"/>
  <c r="E134" i="4" s="1"/>
  <c r="E133" i="4"/>
  <c r="C134" i="4"/>
  <c r="D134" i="4"/>
  <c r="C135" i="4"/>
  <c r="D135" i="4" s="1"/>
  <c r="E136" i="4" s="1"/>
  <c r="E135" i="4"/>
  <c r="C136" i="4"/>
  <c r="D136" i="4"/>
  <c r="C137" i="4"/>
  <c r="D137" i="4" s="1"/>
  <c r="E138" i="4" s="1"/>
  <c r="E137" i="4"/>
  <c r="C138" i="4"/>
  <c r="D138" i="4"/>
  <c r="C139" i="4"/>
  <c r="D139" i="4" s="1"/>
  <c r="E140" i="4" s="1"/>
  <c r="E139" i="4"/>
  <c r="C140" i="4"/>
  <c r="D140" i="4"/>
  <c r="C141" i="4"/>
  <c r="D141" i="4" s="1"/>
  <c r="E142" i="4" s="1"/>
  <c r="E141" i="4"/>
  <c r="C142" i="4"/>
  <c r="D142" i="4"/>
  <c r="C143" i="4"/>
  <c r="D143" i="4" s="1"/>
  <c r="E144" i="4" s="1"/>
  <c r="E143" i="4"/>
  <c r="C144" i="4"/>
  <c r="D144" i="4"/>
  <c r="C145" i="4"/>
  <c r="D145" i="4" s="1"/>
  <c r="E146" i="4" s="1"/>
  <c r="E145" i="4"/>
  <c r="C146" i="4"/>
  <c r="D146" i="4"/>
  <c r="C147" i="4"/>
  <c r="D147" i="4" s="1"/>
  <c r="E148" i="4" s="1"/>
  <c r="E147" i="4"/>
  <c r="C148" i="4"/>
  <c r="D148" i="4"/>
  <c r="C149" i="4"/>
  <c r="D149" i="4" s="1"/>
  <c r="E150" i="4" s="1"/>
  <c r="E149" i="4"/>
  <c r="C150" i="4"/>
  <c r="D150" i="4"/>
  <c r="C151" i="4"/>
  <c r="D151" i="4" s="1"/>
  <c r="E152" i="4" s="1"/>
  <c r="E151" i="4"/>
  <c r="C152" i="4"/>
  <c r="D152" i="4"/>
  <c r="C153" i="4"/>
  <c r="D153" i="4" s="1"/>
  <c r="E154" i="4" s="1"/>
  <c r="E153" i="4"/>
  <c r="C154" i="4"/>
  <c r="D154" i="4"/>
  <c r="C155" i="4"/>
  <c r="D155" i="4" s="1"/>
  <c r="E156" i="4" s="1"/>
  <c r="E155" i="4"/>
  <c r="C156" i="4"/>
  <c r="D156" i="4"/>
  <c r="C157" i="4"/>
  <c r="D157" i="4" s="1"/>
  <c r="E158" i="4" s="1"/>
  <c r="E157" i="4"/>
  <c r="C158" i="4"/>
  <c r="D158" i="4"/>
  <c r="C159" i="4"/>
  <c r="D159" i="4" s="1"/>
  <c r="E160" i="4" s="1"/>
  <c r="E159" i="4"/>
  <c r="C160" i="4"/>
  <c r="D160" i="4"/>
  <c r="C161" i="4"/>
  <c r="D161" i="4" s="1"/>
  <c r="E162" i="4" s="1"/>
  <c r="E161" i="4"/>
  <c r="C162" i="4"/>
  <c r="D162" i="4"/>
  <c r="C163" i="4"/>
  <c r="D163" i="4" s="1"/>
  <c r="E164" i="4" s="1"/>
  <c r="E163" i="4"/>
  <c r="C164" i="4"/>
  <c r="D164" i="4"/>
  <c r="C165" i="4"/>
  <c r="D165" i="4" s="1"/>
  <c r="E166" i="4" s="1"/>
  <c r="E165" i="4"/>
  <c r="C166" i="4"/>
  <c r="D166" i="4"/>
  <c r="C167" i="4"/>
  <c r="D167" i="4" s="1"/>
  <c r="E168" i="4" s="1"/>
  <c r="E167" i="4"/>
  <c r="C168" i="4"/>
  <c r="D168" i="4"/>
  <c r="C169" i="4"/>
  <c r="D169" i="4" s="1"/>
  <c r="E170" i="4" s="1"/>
  <c r="E169" i="4"/>
  <c r="C170" i="4"/>
  <c r="D170" i="4"/>
  <c r="C171" i="4"/>
  <c r="D171" i="4" s="1"/>
  <c r="E172" i="4" s="1"/>
  <c r="E171" i="4"/>
  <c r="C172" i="4"/>
  <c r="D172" i="4"/>
  <c r="C173" i="4"/>
  <c r="D173" i="4" s="1"/>
  <c r="E174" i="4" s="1"/>
  <c r="E173" i="4"/>
  <c r="C174" i="4"/>
  <c r="D174" i="4"/>
  <c r="E175" i="4" s="1"/>
  <c r="C175" i="4"/>
  <c r="D175" i="4"/>
  <c r="C176" i="4"/>
  <c r="D176" i="4" s="1"/>
  <c r="E177" i="4" s="1"/>
  <c r="E176" i="4"/>
  <c r="C177" i="4"/>
  <c r="D177" i="4"/>
  <c r="C178" i="4"/>
  <c r="D178" i="4" s="1"/>
  <c r="E179" i="4" s="1"/>
  <c r="E178" i="4"/>
  <c r="C179" i="4"/>
  <c r="D179" i="4"/>
  <c r="C180" i="4"/>
  <c r="D180" i="4" s="1"/>
  <c r="E181" i="4" s="1"/>
  <c r="E180" i="4"/>
  <c r="C181" i="4"/>
  <c r="D181" i="4"/>
  <c r="C182" i="4"/>
  <c r="D182" i="4" s="1"/>
  <c r="E183" i="4" s="1"/>
  <c r="E182" i="4"/>
  <c r="C183" i="4"/>
  <c r="D183" i="4"/>
  <c r="C184" i="4"/>
  <c r="D184" i="4" s="1"/>
  <c r="E185" i="4" s="1"/>
  <c r="E184" i="4"/>
  <c r="C185" i="4"/>
  <c r="D185" i="4"/>
  <c r="C186" i="4"/>
  <c r="D186" i="4" s="1"/>
  <c r="E187" i="4" s="1"/>
  <c r="E186" i="4"/>
  <c r="C187" i="4"/>
  <c r="D187" i="4"/>
  <c r="C188" i="4"/>
  <c r="D188" i="4" s="1"/>
  <c r="E189" i="4" s="1"/>
  <c r="E188" i="4"/>
  <c r="C189" i="4"/>
  <c r="D189" i="4"/>
  <c r="C190" i="4"/>
  <c r="D190" i="4" s="1"/>
  <c r="E191" i="4" s="1"/>
  <c r="E190" i="4"/>
  <c r="C191" i="4"/>
  <c r="D191" i="4"/>
  <c r="C192" i="4"/>
  <c r="D192" i="4" s="1"/>
  <c r="E193" i="4" s="1"/>
  <c r="E192" i="4"/>
  <c r="C193" i="4"/>
  <c r="D193" i="4"/>
  <c r="C194" i="4"/>
  <c r="D194" i="4" s="1"/>
  <c r="E195" i="4" s="1"/>
  <c r="E194" i="4"/>
  <c r="C195" i="4"/>
  <c r="D195" i="4"/>
  <c r="C196" i="4"/>
  <c r="D196" i="4" s="1"/>
  <c r="E197" i="4" s="1"/>
  <c r="E196" i="4"/>
  <c r="C197" i="4"/>
  <c r="D197" i="4"/>
  <c r="C198" i="4"/>
  <c r="D198" i="4" s="1"/>
  <c r="E199" i="4" s="1"/>
  <c r="E198" i="4"/>
  <c r="C199" i="4"/>
  <c r="D199" i="4"/>
  <c r="C200" i="4"/>
  <c r="D200" i="4" s="1"/>
  <c r="E201" i="4" s="1"/>
  <c r="E200" i="4"/>
  <c r="C201" i="4"/>
  <c r="D201" i="4"/>
  <c r="C202" i="4"/>
  <c r="D202" i="4" s="1"/>
  <c r="E203" i="4" s="1"/>
  <c r="E202" i="4"/>
  <c r="C203" i="4"/>
  <c r="D203" i="4"/>
  <c r="C204" i="4"/>
  <c r="D204" i="4" s="1"/>
  <c r="E205" i="4" s="1"/>
  <c r="E204" i="4"/>
  <c r="C205" i="4"/>
  <c r="D205" i="4"/>
  <c r="C206" i="4"/>
  <c r="D206" i="4" s="1"/>
  <c r="E207" i="4" s="1"/>
  <c r="E206" i="4"/>
  <c r="C207" i="4"/>
  <c r="D207" i="4"/>
  <c r="C208" i="4"/>
  <c r="D208" i="4" s="1"/>
  <c r="E209" i="4" s="1"/>
  <c r="E208" i="4"/>
  <c r="C209" i="4"/>
  <c r="D209" i="4"/>
  <c r="C210" i="4"/>
  <c r="D210" i="4" s="1"/>
  <c r="E211" i="4" s="1"/>
  <c r="E210" i="4"/>
  <c r="C211" i="4"/>
  <c r="D211" i="4"/>
  <c r="C212" i="4"/>
  <c r="D212" i="4" s="1"/>
  <c r="E213" i="4" s="1"/>
  <c r="E212" i="4"/>
  <c r="C213" i="4"/>
  <c r="D213" i="4"/>
  <c r="C214" i="4"/>
  <c r="D214" i="4" s="1"/>
  <c r="E215" i="4" s="1"/>
  <c r="E214" i="4"/>
  <c r="C215" i="4"/>
  <c r="D215" i="4"/>
  <c r="C216" i="4"/>
  <c r="D216" i="4" s="1"/>
  <c r="E217" i="4" s="1"/>
  <c r="E216" i="4"/>
  <c r="C217" i="4"/>
  <c r="D217" i="4"/>
  <c r="C218" i="4"/>
  <c r="D218" i="4" s="1"/>
  <c r="E219" i="4" s="1"/>
  <c r="E218" i="4"/>
  <c r="C219" i="4"/>
  <c r="D219" i="4"/>
  <c r="C220" i="4"/>
  <c r="D220" i="4"/>
  <c r="E220" i="4"/>
  <c r="C221" i="4"/>
  <c r="D221" i="4" s="1"/>
  <c r="E222" i="4" s="1"/>
  <c r="E221" i="4"/>
  <c r="C222" i="4"/>
  <c r="D222" i="4"/>
  <c r="C223" i="4"/>
  <c r="D223" i="4"/>
  <c r="E223" i="4"/>
  <c r="C224" i="4"/>
  <c r="D224" i="4" s="1"/>
  <c r="E225" i="4" s="1"/>
  <c r="E224" i="4"/>
  <c r="C225" i="4"/>
  <c r="D225" i="4"/>
  <c r="C226" i="4"/>
  <c r="D226" i="4" s="1"/>
  <c r="E227" i="4" s="1"/>
  <c r="E226" i="4"/>
  <c r="C227" i="4"/>
  <c r="D227" i="4"/>
  <c r="C228" i="4"/>
  <c r="D228" i="4" s="1"/>
  <c r="E229" i="4" s="1"/>
  <c r="E228" i="4"/>
  <c r="C229" i="4"/>
  <c r="D229" i="4" s="1"/>
  <c r="E230" i="4" s="1"/>
  <c r="C230" i="4"/>
  <c r="D230" i="4" s="1"/>
  <c r="E231" i="4" s="1"/>
  <c r="C231" i="4"/>
  <c r="D231" i="4"/>
  <c r="C232" i="4"/>
  <c r="D232" i="4" s="1"/>
  <c r="E233" i="4" s="1"/>
  <c r="E232" i="4"/>
  <c r="C233" i="4"/>
  <c r="D233" i="4"/>
  <c r="C234" i="4"/>
  <c r="D234" i="4" s="1"/>
  <c r="E235" i="4" s="1"/>
  <c r="E234" i="4"/>
  <c r="C235" i="4"/>
  <c r="D235" i="4"/>
  <c r="C236" i="4"/>
  <c r="D236" i="4" s="1"/>
  <c r="E237" i="4" s="1"/>
  <c r="E236" i="4"/>
  <c r="C237" i="4"/>
  <c r="D237" i="4"/>
  <c r="C238" i="4"/>
  <c r="D238" i="4" s="1"/>
  <c r="E239" i="4" s="1"/>
  <c r="E238" i="4"/>
  <c r="C239" i="4"/>
  <c r="D239" i="4"/>
  <c r="C240" i="4"/>
  <c r="D240" i="4" s="1"/>
  <c r="E241" i="4" s="1"/>
  <c r="E240" i="4"/>
  <c r="C241" i="4"/>
  <c r="D241" i="4"/>
  <c r="C242" i="4"/>
  <c r="D242" i="4" s="1"/>
  <c r="E243" i="4" s="1"/>
  <c r="E242" i="4"/>
  <c r="C243" i="4"/>
  <c r="D243" i="4"/>
  <c r="C244" i="4"/>
  <c r="D244" i="4" s="1"/>
  <c r="E245" i="4" s="1"/>
  <c r="E244" i="4"/>
  <c r="C245" i="4"/>
  <c r="D245" i="4"/>
  <c r="C246" i="4"/>
  <c r="D246" i="4" s="1"/>
  <c r="E247" i="4" s="1"/>
  <c r="E246" i="4"/>
  <c r="C247" i="4"/>
  <c r="D247" i="4"/>
  <c r="C248" i="4"/>
  <c r="D248" i="4" s="1"/>
  <c r="E249" i="4" s="1"/>
  <c r="E248" i="4"/>
  <c r="C249" i="4"/>
  <c r="D249" i="4"/>
  <c r="C250" i="4"/>
  <c r="D250" i="4" s="1"/>
  <c r="E251" i="4" s="1"/>
  <c r="E250" i="4"/>
  <c r="C251" i="4"/>
  <c r="D251" i="4"/>
  <c r="C252" i="4"/>
  <c r="D252" i="4" s="1"/>
  <c r="E253" i="4" s="1"/>
  <c r="E252" i="4"/>
  <c r="C253" i="4"/>
  <c r="D253" i="4"/>
  <c r="C254" i="4"/>
  <c r="D254" i="4" s="1"/>
  <c r="E255" i="4" s="1"/>
  <c r="E254" i="4"/>
  <c r="C255" i="4"/>
  <c r="D255" i="4"/>
  <c r="C256" i="4"/>
  <c r="D256" i="4" s="1"/>
  <c r="E257" i="4" s="1"/>
  <c r="E256" i="4"/>
  <c r="C257" i="4"/>
  <c r="D257" i="4"/>
  <c r="C258" i="4"/>
  <c r="D258" i="4" s="1"/>
  <c r="E259" i="4" s="1"/>
  <c r="E258" i="4"/>
  <c r="C259" i="4"/>
  <c r="D259" i="4"/>
  <c r="C260" i="4"/>
  <c r="D260" i="4" s="1"/>
  <c r="E261" i="4" s="1"/>
  <c r="E260" i="4"/>
  <c r="C261" i="4"/>
  <c r="D261" i="4"/>
  <c r="C262" i="4"/>
  <c r="D262" i="4" s="1"/>
  <c r="E263" i="4" s="1"/>
  <c r="E262" i="4"/>
  <c r="C263" i="4"/>
  <c r="D263" i="4"/>
  <c r="C264" i="4"/>
  <c r="D264" i="4" s="1"/>
  <c r="E265" i="4" s="1"/>
  <c r="E264" i="4"/>
  <c r="C265" i="4"/>
  <c r="D265" i="4"/>
  <c r="C266" i="4"/>
  <c r="D266" i="4" s="1"/>
  <c r="E267" i="4" s="1"/>
  <c r="E266" i="4"/>
  <c r="C267" i="4"/>
  <c r="D267" i="4"/>
  <c r="C268" i="4"/>
  <c r="D268" i="4" s="1"/>
  <c r="E269" i="4" s="1"/>
  <c r="E268" i="4"/>
  <c r="C269" i="4"/>
  <c r="D269" i="4"/>
  <c r="C270" i="4"/>
  <c r="D270" i="4" s="1"/>
  <c r="E271" i="4" s="1"/>
  <c r="E270" i="4"/>
  <c r="C271" i="4"/>
  <c r="D271" i="4"/>
  <c r="C272" i="4"/>
  <c r="D272" i="4" s="1"/>
  <c r="E273" i="4" s="1"/>
  <c r="E272" i="4"/>
  <c r="C273" i="4"/>
  <c r="D273" i="4"/>
  <c r="C274" i="4"/>
  <c r="D274" i="4" s="1"/>
  <c r="E275" i="4" s="1"/>
  <c r="E274" i="4"/>
  <c r="C275" i="4"/>
  <c r="D275" i="4"/>
  <c r="C276" i="4"/>
  <c r="D276" i="4" s="1"/>
  <c r="E277" i="4" s="1"/>
  <c r="E276" i="4"/>
  <c r="C277" i="4"/>
  <c r="D277" i="4"/>
  <c r="C278" i="4"/>
  <c r="D278" i="4" s="1"/>
  <c r="E279" i="4" s="1"/>
  <c r="E278" i="4"/>
  <c r="C279" i="4"/>
  <c r="D279" i="4"/>
  <c r="C280" i="4"/>
  <c r="D280" i="4" s="1"/>
  <c r="E281" i="4" s="1"/>
  <c r="E280" i="4"/>
  <c r="C281" i="4"/>
  <c r="D281" i="4"/>
  <c r="C282" i="4"/>
  <c r="D282" i="4" s="1"/>
  <c r="E283" i="4" s="1"/>
  <c r="E282" i="4"/>
  <c r="C283" i="4"/>
  <c r="D283" i="4"/>
  <c r="C284" i="4"/>
  <c r="D284" i="4" s="1"/>
  <c r="E285" i="4" s="1"/>
  <c r="E284" i="4"/>
  <c r="C285" i="4"/>
  <c r="D285" i="4"/>
  <c r="C286" i="4"/>
  <c r="D286" i="4" s="1"/>
  <c r="E287" i="4" s="1"/>
  <c r="E286" i="4"/>
  <c r="C287" i="4"/>
  <c r="D287" i="4"/>
  <c r="C288" i="4"/>
  <c r="D288" i="4" s="1"/>
  <c r="E289" i="4" s="1"/>
  <c r="E288" i="4"/>
  <c r="C289" i="4"/>
  <c r="D289" i="4"/>
  <c r="C290" i="4"/>
  <c r="D290" i="4" s="1"/>
  <c r="E291" i="4" s="1"/>
  <c r="E290" i="4"/>
  <c r="C291" i="4"/>
  <c r="D291" i="4"/>
  <c r="C292" i="4"/>
  <c r="D292" i="4" s="1"/>
  <c r="E293" i="4" s="1"/>
  <c r="E292" i="4"/>
  <c r="C293" i="4"/>
  <c r="D293" i="4"/>
  <c r="C294" i="4"/>
  <c r="D294" i="4" s="1"/>
  <c r="E295" i="4" s="1"/>
  <c r="E294" i="4"/>
  <c r="C295" i="4"/>
  <c r="D295" i="4"/>
  <c r="C296" i="4"/>
  <c r="D296" i="4" s="1"/>
  <c r="E297" i="4" s="1"/>
  <c r="E296" i="4"/>
  <c r="C297" i="4"/>
  <c r="D297" i="4"/>
  <c r="C298" i="4"/>
  <c r="D298" i="4" s="1"/>
  <c r="E299" i="4" s="1"/>
  <c r="E298" i="4"/>
  <c r="C299" i="4"/>
  <c r="D299" i="4"/>
  <c r="C300" i="4"/>
  <c r="D300" i="4" s="1"/>
  <c r="E301" i="4" s="1"/>
  <c r="E300" i="4"/>
  <c r="C301" i="4"/>
  <c r="D301" i="4"/>
  <c r="C302" i="4"/>
  <c r="D302" i="4" s="1"/>
  <c r="E303" i="4" s="1"/>
  <c r="E302" i="4"/>
  <c r="C303" i="4"/>
  <c r="D303" i="4"/>
  <c r="C304" i="4"/>
  <c r="D304" i="4" s="1"/>
  <c r="E305" i="4" s="1"/>
  <c r="E304" i="4"/>
  <c r="C305" i="4"/>
  <c r="D305" i="4"/>
  <c r="C306" i="4"/>
  <c r="D306" i="4" s="1"/>
  <c r="E307" i="4" s="1"/>
  <c r="E306" i="4"/>
  <c r="C307" i="4"/>
  <c r="D307" i="4"/>
  <c r="C308" i="4"/>
  <c r="D308" i="4" s="1"/>
  <c r="E309" i="4" s="1"/>
  <c r="E308" i="4"/>
  <c r="C309" i="4"/>
  <c r="D309" i="4"/>
  <c r="C310" i="4"/>
  <c r="D310" i="4" s="1"/>
  <c r="E311" i="4" s="1"/>
  <c r="E310" i="4"/>
  <c r="C311" i="4"/>
  <c r="D311" i="4"/>
  <c r="C312" i="4"/>
  <c r="D312" i="4" s="1"/>
  <c r="E313" i="4" s="1"/>
  <c r="E312" i="4"/>
  <c r="C313" i="4"/>
  <c r="D313" i="4"/>
  <c r="C314" i="4"/>
  <c r="D314" i="4" s="1"/>
  <c r="E315" i="4" s="1"/>
  <c r="E314" i="4"/>
  <c r="C315" i="4"/>
  <c r="D315" i="4"/>
  <c r="C316" i="4"/>
  <c r="D316" i="4" s="1"/>
  <c r="E317" i="4" s="1"/>
  <c r="E316" i="4"/>
  <c r="C317" i="4"/>
  <c r="D317" i="4"/>
  <c r="C318" i="4"/>
  <c r="D318" i="4" s="1"/>
  <c r="E319" i="4" s="1"/>
  <c r="E318" i="4"/>
  <c r="C319" i="4"/>
  <c r="D319" i="4"/>
  <c r="C320" i="4"/>
  <c r="D320" i="4" s="1"/>
  <c r="E321" i="4" s="1"/>
  <c r="E320" i="4"/>
  <c r="C321" i="4"/>
  <c r="D321" i="4"/>
  <c r="C322" i="4"/>
  <c r="D322" i="4" s="1"/>
  <c r="E323" i="4" s="1"/>
  <c r="E322" i="4"/>
  <c r="C323" i="4"/>
  <c r="D323" i="4"/>
  <c r="C324" i="4"/>
  <c r="D324" i="4" s="1"/>
  <c r="E325" i="4" s="1"/>
  <c r="E324" i="4"/>
  <c r="C325" i="4"/>
  <c r="D325" i="4"/>
  <c r="C326" i="4"/>
  <c r="D326" i="4" s="1"/>
  <c r="E327" i="4" s="1"/>
  <c r="E326" i="4"/>
  <c r="C327" i="4"/>
  <c r="D327" i="4"/>
  <c r="C328" i="4"/>
  <c r="D328" i="4" s="1"/>
  <c r="E329" i="4" s="1"/>
  <c r="E328" i="4"/>
  <c r="C329" i="4"/>
  <c r="D329" i="4"/>
  <c r="C330" i="4"/>
  <c r="D330" i="4" s="1"/>
  <c r="E331" i="4" s="1"/>
  <c r="E330" i="4"/>
  <c r="C331" i="4"/>
  <c r="D331" i="4"/>
  <c r="C332" i="4"/>
  <c r="D332" i="4" s="1"/>
  <c r="E333" i="4" s="1"/>
  <c r="E332" i="4"/>
  <c r="C333" i="4"/>
  <c r="D333" i="4"/>
  <c r="C334" i="4"/>
  <c r="D334" i="4" s="1"/>
  <c r="E335" i="4" s="1"/>
  <c r="E334" i="4"/>
  <c r="C335" i="4"/>
  <c r="D335" i="4"/>
  <c r="C336" i="4"/>
  <c r="D336" i="4" s="1"/>
  <c r="E337" i="4" s="1"/>
  <c r="E336" i="4"/>
  <c r="C337" i="4"/>
  <c r="D337" i="4"/>
  <c r="C338" i="4"/>
  <c r="D338" i="4" s="1"/>
  <c r="E339" i="4" s="1"/>
  <c r="E338" i="4"/>
  <c r="C339" i="4"/>
  <c r="D339" i="4"/>
  <c r="C340" i="4"/>
  <c r="D340" i="4" s="1"/>
  <c r="E341" i="4" s="1"/>
  <c r="E340" i="4"/>
  <c r="C341" i="4"/>
  <c r="D341" i="4"/>
  <c r="C342" i="4"/>
  <c r="D342" i="4" s="1"/>
  <c r="E343" i="4" s="1"/>
  <c r="E342" i="4"/>
  <c r="C343" i="4"/>
  <c r="D343" i="4"/>
  <c r="C344" i="4"/>
  <c r="D344" i="4" s="1"/>
  <c r="E345" i="4" s="1"/>
  <c r="E344" i="4"/>
  <c r="C345" i="4"/>
  <c r="D345" i="4"/>
  <c r="C346" i="4"/>
  <c r="D346" i="4" s="1"/>
  <c r="E347" i="4" s="1"/>
  <c r="E346" i="4"/>
  <c r="C347" i="4"/>
  <c r="D347" i="4"/>
  <c r="C348" i="4"/>
  <c r="D348" i="4" s="1"/>
  <c r="E349" i="4" s="1"/>
  <c r="E348" i="4"/>
  <c r="C349" i="4"/>
  <c r="D349" i="4"/>
  <c r="C350" i="4"/>
  <c r="D350" i="4" s="1"/>
  <c r="E351" i="4" s="1"/>
  <c r="E350" i="4"/>
  <c r="C351" i="4"/>
  <c r="D351" i="4"/>
  <c r="C352" i="4"/>
  <c r="D352" i="4" s="1"/>
  <c r="E353" i="4" s="1"/>
  <c r="E352" i="4"/>
  <c r="C353" i="4"/>
  <c r="D353" i="4"/>
  <c r="C354" i="4"/>
  <c r="D354" i="4" s="1"/>
  <c r="E355" i="4" s="1"/>
  <c r="E354" i="4"/>
  <c r="C355" i="4"/>
  <c r="D355" i="4"/>
  <c r="C356" i="4"/>
  <c r="D356" i="4" s="1"/>
  <c r="E357" i="4" s="1"/>
  <c r="E356" i="4"/>
  <c r="C357" i="4"/>
  <c r="D357" i="4"/>
  <c r="C358" i="4"/>
  <c r="D358" i="4" s="1"/>
  <c r="E359" i="4" s="1"/>
  <c r="E358" i="4"/>
  <c r="C359" i="4"/>
  <c r="D359" i="4"/>
  <c r="C360" i="4"/>
  <c r="D360" i="4" s="1"/>
  <c r="E361" i="4" s="1"/>
  <c r="E360" i="4"/>
  <c r="C361" i="4"/>
  <c r="D361" i="4"/>
  <c r="C362" i="4"/>
  <c r="D362" i="4" s="1"/>
  <c r="E363" i="4" s="1"/>
  <c r="E362" i="4"/>
  <c r="C363" i="4"/>
  <c r="D363" i="4"/>
  <c r="C364" i="4"/>
  <c r="D364" i="4" s="1"/>
  <c r="E365" i="4" s="1"/>
  <c r="E364" i="4"/>
  <c r="C365" i="4"/>
  <c r="D365" i="4"/>
  <c r="C366" i="4"/>
  <c r="D366" i="4" s="1"/>
  <c r="E367" i="4" s="1"/>
  <c r="E366" i="4"/>
  <c r="C367" i="4"/>
  <c r="D367" i="4"/>
  <c r="C368" i="4"/>
  <c r="D368" i="4" s="1"/>
  <c r="E369" i="4" s="1"/>
  <c r="E368" i="4"/>
  <c r="C369" i="4"/>
  <c r="D369" i="4"/>
  <c r="C370" i="4"/>
  <c r="D370" i="4" s="1"/>
  <c r="E371" i="4" s="1"/>
  <c r="E370" i="4"/>
  <c r="C371" i="4"/>
  <c r="D371" i="4"/>
  <c r="C372" i="4"/>
  <c r="D372" i="4" s="1"/>
  <c r="E373" i="4" s="1"/>
  <c r="E372" i="4"/>
  <c r="C373" i="4"/>
  <c r="D373" i="4"/>
  <c r="C374" i="4"/>
  <c r="D374" i="4" s="1"/>
  <c r="E375" i="4" s="1"/>
  <c r="E374" i="4"/>
  <c r="C375" i="4"/>
  <c r="D375" i="4"/>
  <c r="C376" i="4"/>
  <c r="D376" i="4" s="1"/>
  <c r="E377" i="4" s="1"/>
  <c r="E376" i="4"/>
  <c r="C377" i="4"/>
  <c r="D377" i="4"/>
  <c r="C378" i="4"/>
  <c r="D378" i="4" s="1"/>
  <c r="E379" i="4" s="1"/>
  <c r="E378" i="4"/>
  <c r="C379" i="4"/>
  <c r="D379" i="4"/>
  <c r="C380" i="4"/>
  <c r="D380" i="4" s="1"/>
  <c r="E381" i="4" s="1"/>
  <c r="E380" i="4"/>
  <c r="C381" i="4"/>
  <c r="D381" i="4"/>
  <c r="C382" i="4"/>
  <c r="D382" i="4" s="1"/>
  <c r="E383" i="4" s="1"/>
  <c r="E382" i="4"/>
  <c r="C383" i="4"/>
  <c r="D383" i="4"/>
  <c r="C384" i="4"/>
  <c r="D384" i="4" s="1"/>
  <c r="E385" i="4" s="1"/>
  <c r="E384" i="4"/>
  <c r="C385" i="4"/>
  <c r="D385" i="4"/>
  <c r="C386" i="4"/>
  <c r="D386" i="4" s="1"/>
  <c r="E387" i="4" s="1"/>
  <c r="E386" i="4"/>
  <c r="C387" i="4"/>
  <c r="D387" i="4"/>
  <c r="C388" i="4"/>
  <c r="D388" i="4" s="1"/>
  <c r="E389" i="4" s="1"/>
  <c r="E388" i="4"/>
  <c r="C389" i="4"/>
  <c r="D389" i="4"/>
  <c r="C390" i="4"/>
  <c r="D390" i="4" s="1"/>
  <c r="E391" i="4" s="1"/>
  <c r="E390" i="4"/>
  <c r="C391" i="4"/>
  <c r="D391" i="4"/>
  <c r="C392" i="4"/>
  <c r="D392" i="4" s="1"/>
  <c r="E393" i="4" s="1"/>
  <c r="E392" i="4"/>
  <c r="C393" i="4"/>
  <c r="D393" i="4"/>
  <c r="C394" i="4"/>
  <c r="D394" i="4" s="1"/>
  <c r="E395" i="4" s="1"/>
  <c r="E394" i="4"/>
  <c r="C395" i="4"/>
  <c r="D395" i="4"/>
  <c r="C396" i="4"/>
  <c r="D396" i="4" s="1"/>
  <c r="E397" i="4" s="1"/>
  <c r="E396" i="4"/>
  <c r="C397" i="4"/>
  <c r="D397" i="4"/>
  <c r="C398" i="4"/>
  <c r="D398" i="4" s="1"/>
  <c r="E399" i="4" s="1"/>
  <c r="E398" i="4"/>
  <c r="C399" i="4"/>
  <c r="D399" i="4"/>
  <c r="C400" i="4"/>
  <c r="D400" i="4" s="1"/>
  <c r="E401" i="4" s="1"/>
  <c r="E400" i="4"/>
  <c r="C401" i="4"/>
  <c r="D401" i="4"/>
  <c r="C402" i="4"/>
  <c r="D402" i="4" s="1"/>
  <c r="E403" i="4" s="1"/>
  <c r="E402" i="4"/>
  <c r="C403" i="4"/>
  <c r="D403" i="4"/>
  <c r="C404" i="4"/>
  <c r="D404" i="4" s="1"/>
  <c r="E405" i="4" s="1"/>
  <c r="E404" i="4"/>
  <c r="C405" i="4"/>
  <c r="D405" i="4"/>
  <c r="C406" i="4"/>
  <c r="D406" i="4" s="1"/>
  <c r="E407" i="4" s="1"/>
  <c r="E406" i="4"/>
  <c r="C407" i="4"/>
  <c r="D407" i="4"/>
  <c r="C408" i="4"/>
  <c r="D408" i="4" s="1"/>
  <c r="E409" i="4" s="1"/>
  <c r="E408" i="4"/>
  <c r="C409" i="4"/>
  <c r="D409" i="4"/>
  <c r="C410" i="4"/>
  <c r="D410" i="4" s="1"/>
  <c r="E411" i="4" s="1"/>
  <c r="E410" i="4"/>
  <c r="C411" i="4"/>
  <c r="D411" i="4"/>
  <c r="C412" i="4"/>
  <c r="D412" i="4" s="1"/>
  <c r="E413" i="4" s="1"/>
  <c r="E412" i="4"/>
  <c r="C413" i="4"/>
  <c r="D413" i="4"/>
  <c r="C414" i="4"/>
  <c r="D414" i="4" s="1"/>
  <c r="E415" i="4" s="1"/>
  <c r="E414" i="4"/>
  <c r="C415" i="4"/>
  <c r="D415" i="4"/>
  <c r="C416" i="4"/>
  <c r="D416" i="4" s="1"/>
  <c r="E417" i="4" s="1"/>
  <c r="E416" i="4"/>
  <c r="C417" i="4"/>
  <c r="D417" i="4"/>
  <c r="C418" i="4"/>
  <c r="D418" i="4" s="1"/>
  <c r="E419" i="4" s="1"/>
  <c r="E418" i="4"/>
  <c r="C419" i="4"/>
  <c r="D419" i="4"/>
  <c r="C420" i="4"/>
  <c r="D420" i="4" s="1"/>
  <c r="E421" i="4" s="1"/>
  <c r="E420" i="4"/>
  <c r="C421" i="4"/>
  <c r="D421" i="4"/>
  <c r="C422" i="4"/>
  <c r="D422" i="4" s="1"/>
  <c r="E423" i="4" s="1"/>
  <c r="E422" i="4"/>
  <c r="C423" i="4"/>
  <c r="D423" i="4"/>
  <c r="C424" i="4"/>
  <c r="D424" i="4" s="1"/>
  <c r="E425" i="4" s="1"/>
  <c r="E424" i="4"/>
  <c r="C425" i="4"/>
  <c r="D425" i="4"/>
  <c r="C426" i="4"/>
  <c r="D426" i="4" s="1"/>
  <c r="E427" i="4" s="1"/>
  <c r="E426" i="4"/>
  <c r="C427" i="4"/>
  <c r="D427" i="4"/>
  <c r="C428" i="4"/>
  <c r="D428" i="4" s="1"/>
  <c r="E429" i="4" s="1"/>
  <c r="E428" i="4"/>
  <c r="C429" i="4"/>
  <c r="D429" i="4"/>
  <c r="C430" i="4"/>
  <c r="D430" i="4" s="1"/>
  <c r="E431" i="4" s="1"/>
  <c r="E430" i="4"/>
  <c r="C431" i="4"/>
  <c r="D431" i="4"/>
  <c r="C432" i="4"/>
  <c r="D432" i="4" s="1"/>
  <c r="E433" i="4" s="1"/>
  <c r="E432" i="4"/>
  <c r="C433" i="4"/>
  <c r="D433" i="4"/>
  <c r="C434" i="4"/>
  <c r="D434" i="4" s="1"/>
  <c r="E435" i="4" s="1"/>
  <c r="E434" i="4"/>
  <c r="C435" i="4"/>
  <c r="D435" i="4"/>
  <c r="C436" i="4"/>
  <c r="D436" i="4" s="1"/>
  <c r="E437" i="4" s="1"/>
  <c r="E436" i="4"/>
  <c r="C437" i="4"/>
  <c r="D437" i="4"/>
  <c r="C438" i="4"/>
  <c r="D438" i="4" s="1"/>
  <c r="E439" i="4" s="1"/>
  <c r="E438" i="4"/>
  <c r="C439" i="4"/>
  <c r="D439" i="4"/>
  <c r="C440" i="4"/>
  <c r="D440" i="4" s="1"/>
  <c r="E441" i="4" s="1"/>
  <c r="E440" i="4"/>
  <c r="C441" i="4"/>
  <c r="D441" i="4"/>
  <c r="C442" i="4"/>
  <c r="D442" i="4" s="1"/>
  <c r="E443" i="4" s="1"/>
  <c r="E442" i="4"/>
  <c r="C443" i="4"/>
  <c r="D443" i="4"/>
  <c r="C444" i="4"/>
  <c r="D444" i="4" s="1"/>
  <c r="E445" i="4" s="1"/>
  <c r="E444" i="4"/>
  <c r="C445" i="4"/>
  <c r="D445" i="4"/>
  <c r="C446" i="4"/>
  <c r="D446" i="4" s="1"/>
  <c r="E447" i="4" s="1"/>
  <c r="E446" i="4"/>
  <c r="C447" i="4"/>
  <c r="D447" i="4"/>
  <c r="C448" i="4"/>
  <c r="D448" i="4" s="1"/>
  <c r="E449" i="4" s="1"/>
  <c r="E448" i="4"/>
  <c r="C449" i="4"/>
  <c r="D449" i="4"/>
  <c r="C450" i="4"/>
  <c r="D450" i="4" s="1"/>
  <c r="E451" i="4" s="1"/>
  <c r="E450" i="4"/>
  <c r="C451" i="4"/>
  <c r="D451" i="4"/>
  <c r="C452" i="4"/>
  <c r="D452" i="4" s="1"/>
  <c r="E453" i="4" s="1"/>
  <c r="E452" i="4"/>
  <c r="C453" i="4"/>
  <c r="D453" i="4"/>
  <c r="C454" i="4"/>
  <c r="D454" i="4" s="1"/>
  <c r="E455" i="4" s="1"/>
  <c r="E454" i="4"/>
  <c r="C455" i="4"/>
  <c r="D455" i="4"/>
  <c r="C456" i="4"/>
  <c r="D456" i="4" s="1"/>
  <c r="E457" i="4" s="1"/>
  <c r="E456" i="4"/>
  <c r="C457" i="4"/>
  <c r="D457" i="4"/>
  <c r="C458" i="4"/>
  <c r="D458" i="4" s="1"/>
  <c r="E459" i="4" s="1"/>
  <c r="E458" i="4"/>
  <c r="C459" i="4"/>
  <c r="D459" i="4"/>
  <c r="C460" i="4"/>
  <c r="D460" i="4" s="1"/>
  <c r="E461" i="4" s="1"/>
  <c r="E460" i="4"/>
  <c r="C461" i="4"/>
  <c r="D461" i="4"/>
  <c r="C462" i="4"/>
  <c r="D462" i="4" s="1"/>
  <c r="E463" i="4" s="1"/>
  <c r="E462" i="4"/>
  <c r="C463" i="4"/>
  <c r="D463" i="4"/>
  <c r="C464" i="4"/>
  <c r="D464" i="4" s="1"/>
  <c r="E465" i="4" s="1"/>
  <c r="E464" i="4"/>
  <c r="C465" i="4"/>
  <c r="D465" i="4"/>
  <c r="C466" i="4"/>
  <c r="D466" i="4" s="1"/>
  <c r="E467" i="4" s="1"/>
  <c r="E466" i="4"/>
  <c r="C467" i="4"/>
  <c r="D467" i="4"/>
  <c r="C468" i="4"/>
  <c r="D468" i="4" s="1"/>
  <c r="E469" i="4" s="1"/>
  <c r="E468" i="4"/>
  <c r="C469" i="4"/>
  <c r="D469" i="4"/>
  <c r="C470" i="4"/>
  <c r="D470" i="4" s="1"/>
  <c r="E471" i="4" s="1"/>
  <c r="E470" i="4"/>
  <c r="C471" i="4"/>
  <c r="D471" i="4"/>
  <c r="C472" i="4"/>
  <c r="D472" i="4" s="1"/>
  <c r="E473" i="4" s="1"/>
  <c r="E472" i="4"/>
  <c r="C473" i="4"/>
  <c r="D473" i="4"/>
  <c r="C474" i="4"/>
  <c r="D474" i="4" s="1"/>
  <c r="E475" i="4" s="1"/>
  <c r="E474" i="4"/>
  <c r="C475" i="4"/>
  <c r="D475" i="4"/>
  <c r="C476" i="4"/>
  <c r="D476" i="4" s="1"/>
  <c r="E477" i="4" s="1"/>
  <c r="E476" i="4"/>
  <c r="C477" i="4"/>
  <c r="D477" i="4"/>
  <c r="C478" i="4"/>
  <c r="D478" i="4" s="1"/>
  <c r="E479" i="4" s="1"/>
  <c r="E478" i="4"/>
  <c r="C479" i="4"/>
  <c r="D479" i="4"/>
  <c r="C480" i="4"/>
  <c r="D480" i="4" s="1"/>
  <c r="E481" i="4" s="1"/>
  <c r="E480" i="4"/>
  <c r="C481" i="4"/>
  <c r="D481" i="4"/>
  <c r="C482" i="4"/>
  <c r="D482" i="4" s="1"/>
  <c r="E483" i="4" s="1"/>
  <c r="E482" i="4"/>
  <c r="C483" i="4"/>
  <c r="D483" i="4"/>
  <c r="C484" i="4"/>
  <c r="D484" i="4" s="1"/>
  <c r="E485" i="4" s="1"/>
  <c r="E484" i="4"/>
  <c r="C485" i="4"/>
  <c r="D485" i="4"/>
  <c r="C486" i="4"/>
  <c r="D486" i="4" s="1"/>
  <c r="E487" i="4" s="1"/>
  <c r="E486" i="4"/>
  <c r="C487" i="4"/>
  <c r="D487" i="4"/>
  <c r="C488" i="4"/>
  <c r="D488" i="4" s="1"/>
  <c r="E489" i="4" s="1"/>
  <c r="E488" i="4"/>
  <c r="C489" i="4"/>
  <c r="D489" i="4"/>
  <c r="C490" i="4"/>
  <c r="D490" i="4" s="1"/>
  <c r="E491" i="4" s="1"/>
  <c r="E490" i="4"/>
  <c r="C491" i="4"/>
  <c r="D491" i="4"/>
  <c r="C492" i="4"/>
  <c r="D492" i="4" s="1"/>
  <c r="E493" i="4" s="1"/>
  <c r="E492" i="4"/>
  <c r="C493" i="4"/>
  <c r="D493" i="4"/>
  <c r="C494" i="4"/>
  <c r="D494" i="4" s="1"/>
  <c r="E495" i="4" s="1"/>
  <c r="E494" i="4"/>
  <c r="C495" i="4"/>
  <c r="D495" i="4"/>
  <c r="C496" i="4"/>
  <c r="D496" i="4" s="1"/>
  <c r="E497" i="4" s="1"/>
  <c r="E496" i="4"/>
  <c r="C497" i="4"/>
  <c r="D497" i="4"/>
  <c r="C498" i="4"/>
  <c r="D498" i="4" s="1"/>
  <c r="E499" i="4" s="1"/>
  <c r="E498" i="4"/>
  <c r="C499" i="4"/>
  <c r="D499" i="4"/>
  <c r="C500" i="4"/>
  <c r="D500" i="4" s="1"/>
  <c r="E501" i="4" s="1"/>
  <c r="E500" i="4"/>
  <c r="C501" i="4"/>
  <c r="D501" i="4"/>
  <c r="C502" i="4"/>
  <c r="D502" i="4" s="1"/>
  <c r="E503" i="4" s="1"/>
  <c r="E502" i="4"/>
  <c r="C503" i="4"/>
  <c r="D503" i="4"/>
  <c r="C504" i="4"/>
  <c r="D504" i="4" s="1"/>
  <c r="E505" i="4" s="1"/>
  <c r="E504" i="4"/>
  <c r="C505" i="4"/>
  <c r="D505" i="4"/>
  <c r="C506" i="4"/>
  <c r="D506" i="4" s="1"/>
  <c r="E507" i="4" s="1"/>
  <c r="E506" i="4"/>
  <c r="C507" i="4"/>
  <c r="D507" i="4"/>
  <c r="C508" i="4"/>
  <c r="D508" i="4" s="1"/>
  <c r="E509" i="4" s="1"/>
  <c r="E508" i="4"/>
  <c r="C509" i="4"/>
  <c r="D509" i="4"/>
  <c r="C510" i="4"/>
  <c r="D510" i="4" s="1"/>
  <c r="E511" i="4" s="1"/>
  <c r="E510" i="4"/>
  <c r="C511" i="4"/>
  <c r="D511" i="4"/>
  <c r="C512" i="4"/>
  <c r="D512" i="4" s="1"/>
  <c r="E513" i="4" s="1"/>
  <c r="E512" i="4"/>
  <c r="C513" i="4"/>
  <c r="D513" i="4"/>
  <c r="C514" i="4"/>
  <c r="D514" i="4" s="1"/>
  <c r="E515" i="4" s="1"/>
  <c r="E514" i="4"/>
  <c r="C515" i="4"/>
  <c r="D515" i="4"/>
  <c r="C516" i="4"/>
  <c r="D516" i="4" s="1"/>
  <c r="E517" i="4" s="1"/>
  <c r="E516" i="4"/>
  <c r="C517" i="4"/>
  <c r="D517" i="4"/>
  <c r="C518" i="4"/>
  <c r="D518" i="4" s="1"/>
  <c r="E519" i="4" s="1"/>
  <c r="E518" i="4"/>
  <c r="C519" i="4"/>
  <c r="D519" i="4"/>
  <c r="C520" i="4"/>
  <c r="D520" i="4" s="1"/>
  <c r="E521" i="4" s="1"/>
  <c r="E520" i="4"/>
  <c r="C521" i="4"/>
  <c r="D521" i="4"/>
  <c r="C522" i="4"/>
  <c r="D522" i="4" s="1"/>
  <c r="E523" i="4" s="1"/>
  <c r="E522" i="4"/>
  <c r="C523" i="4"/>
  <c r="D523" i="4"/>
  <c r="C524" i="4"/>
  <c r="D524" i="4" s="1"/>
  <c r="E525" i="4" s="1"/>
  <c r="E524" i="4"/>
  <c r="C525" i="4"/>
  <c r="D525" i="4"/>
  <c r="C526" i="4"/>
  <c r="D526" i="4" s="1"/>
  <c r="E527" i="4" s="1"/>
  <c r="E526" i="4"/>
  <c r="C527" i="4"/>
  <c r="D527" i="4"/>
  <c r="C528" i="4"/>
  <c r="D528" i="4" s="1"/>
  <c r="E529" i="4" s="1"/>
  <c r="E528" i="4"/>
  <c r="C529" i="4"/>
  <c r="D529" i="4"/>
  <c r="C530" i="4"/>
  <c r="D530" i="4" s="1"/>
  <c r="E531" i="4" s="1"/>
  <c r="E530" i="4"/>
  <c r="C531" i="4"/>
  <c r="D531" i="4"/>
  <c r="C532" i="4"/>
  <c r="D532" i="4" s="1"/>
  <c r="E533" i="4" s="1"/>
  <c r="E532" i="4"/>
  <c r="C533" i="4"/>
  <c r="D533" i="4"/>
  <c r="C534" i="4"/>
  <c r="D534" i="4" s="1"/>
  <c r="E535" i="4" s="1"/>
  <c r="E534" i="4"/>
  <c r="C535" i="4"/>
  <c r="D535" i="4"/>
  <c r="C536" i="4"/>
  <c r="D536" i="4" s="1"/>
  <c r="E537" i="4" s="1"/>
  <c r="E536" i="4"/>
  <c r="C537" i="4"/>
  <c r="D537" i="4"/>
  <c r="C538" i="4"/>
  <c r="D538" i="4" s="1"/>
  <c r="E539" i="4" s="1"/>
  <c r="E538" i="4"/>
  <c r="C539" i="4"/>
  <c r="D539" i="4"/>
  <c r="C540" i="4"/>
  <c r="D540" i="4" s="1"/>
  <c r="E541" i="4" s="1"/>
  <c r="E540" i="4"/>
  <c r="C541" i="4"/>
  <c r="D541" i="4"/>
  <c r="C542" i="4"/>
  <c r="D542" i="4" s="1"/>
  <c r="E543" i="4" s="1"/>
  <c r="E542" i="4"/>
  <c r="C543" i="4"/>
  <c r="D543" i="4"/>
  <c r="C544" i="4"/>
  <c r="D544" i="4" s="1"/>
  <c r="E545" i="4" s="1"/>
  <c r="E544" i="4"/>
  <c r="C545" i="4"/>
  <c r="D545" i="4"/>
  <c r="C546" i="4"/>
  <c r="D546" i="4" s="1"/>
  <c r="E547" i="4" s="1"/>
  <c r="E546" i="4"/>
  <c r="C547" i="4"/>
  <c r="D547" i="4"/>
  <c r="C548" i="4"/>
  <c r="D548" i="4" s="1"/>
  <c r="E549" i="4" s="1"/>
  <c r="E548" i="4"/>
  <c r="C549" i="4"/>
  <c r="D549" i="4"/>
  <c r="C550" i="4"/>
  <c r="D550" i="4" s="1"/>
  <c r="E551" i="4" s="1"/>
  <c r="E550" i="4"/>
  <c r="C551" i="4"/>
  <c r="D551" i="4"/>
  <c r="C552" i="4"/>
  <c r="D552" i="4" s="1"/>
  <c r="E553" i="4" s="1"/>
  <c r="E552" i="4"/>
  <c r="C553" i="4"/>
  <c r="D553" i="4"/>
  <c r="C554" i="4"/>
  <c r="D554" i="4" s="1"/>
  <c r="E555" i="4" s="1"/>
  <c r="E554" i="4"/>
  <c r="C555" i="4"/>
  <c r="D555" i="4"/>
  <c r="C556" i="4"/>
  <c r="D556" i="4" s="1"/>
  <c r="E557" i="4" s="1"/>
  <c r="E556" i="4"/>
  <c r="C557" i="4"/>
  <c r="D557" i="4"/>
  <c r="C558" i="4"/>
  <c r="D558" i="4" s="1"/>
  <c r="E559" i="4" s="1"/>
  <c r="E558" i="4"/>
  <c r="C559" i="4"/>
  <c r="D559" i="4"/>
  <c r="C560" i="4"/>
  <c r="D560" i="4" s="1"/>
  <c r="E561" i="4" s="1"/>
  <c r="E560" i="4"/>
  <c r="C561" i="4"/>
  <c r="D561" i="4"/>
  <c r="C562" i="4"/>
  <c r="D562" i="4" s="1"/>
  <c r="E563" i="4" s="1"/>
  <c r="E562" i="4"/>
  <c r="C563" i="4"/>
  <c r="D563" i="4"/>
  <c r="C564" i="4"/>
  <c r="D564" i="4" s="1"/>
  <c r="E565" i="4" s="1"/>
  <c r="E564" i="4"/>
  <c r="C565" i="4"/>
  <c r="D565" i="4"/>
  <c r="C566" i="4"/>
  <c r="D566" i="4" s="1"/>
  <c r="E567" i="4" s="1"/>
  <c r="E566" i="4"/>
  <c r="C567" i="4"/>
  <c r="D567" i="4"/>
  <c r="C568" i="4"/>
  <c r="D568" i="4" s="1"/>
  <c r="E569" i="4" s="1"/>
  <c r="E568" i="4"/>
  <c r="C569" i="4"/>
  <c r="D569" i="4"/>
  <c r="C570" i="4"/>
  <c r="D570" i="4" s="1"/>
  <c r="E571" i="4" s="1"/>
  <c r="E570" i="4"/>
  <c r="C571" i="4"/>
  <c r="D571" i="4"/>
  <c r="C572" i="4"/>
  <c r="D572" i="4" s="1"/>
  <c r="E573" i="4" s="1"/>
  <c r="E572" i="4"/>
  <c r="C573" i="4"/>
  <c r="D573" i="4"/>
  <c r="C574" i="4"/>
  <c r="D574" i="4" s="1"/>
  <c r="E575" i="4" s="1"/>
  <c r="E574" i="4"/>
  <c r="C575" i="4"/>
  <c r="D575" i="4"/>
  <c r="C576" i="4"/>
  <c r="D576" i="4" s="1"/>
  <c r="E577" i="4" s="1"/>
  <c r="E576" i="4"/>
  <c r="C577" i="4"/>
  <c r="D577" i="4"/>
  <c r="C578" i="4"/>
  <c r="D578" i="4" s="1"/>
  <c r="E579" i="4" s="1"/>
  <c r="E578" i="4"/>
  <c r="C579" i="4"/>
  <c r="D579" i="4"/>
  <c r="C580" i="4"/>
  <c r="D580" i="4" s="1"/>
  <c r="E581" i="4" s="1"/>
  <c r="E580" i="4"/>
  <c r="C581" i="4"/>
  <c r="D581" i="4"/>
  <c r="C582" i="4"/>
  <c r="D582" i="4" s="1"/>
  <c r="E583" i="4" s="1"/>
  <c r="E582" i="4"/>
  <c r="C583" i="4"/>
  <c r="D583" i="4"/>
  <c r="C584" i="4"/>
  <c r="D584" i="4" s="1"/>
  <c r="E585" i="4" s="1"/>
  <c r="E584" i="4"/>
  <c r="C585" i="4"/>
  <c r="D585" i="4"/>
  <c r="C586" i="4"/>
  <c r="D586" i="4" s="1"/>
  <c r="E587" i="4" s="1"/>
  <c r="E586" i="4"/>
  <c r="C587" i="4"/>
  <c r="D587" i="4"/>
  <c r="C588" i="4"/>
  <c r="D588" i="4" s="1"/>
  <c r="E589" i="4" s="1"/>
  <c r="E588" i="4"/>
  <c r="C589" i="4"/>
  <c r="D589" i="4"/>
  <c r="C590" i="4"/>
  <c r="D590" i="4" s="1"/>
  <c r="E591" i="4" s="1"/>
  <c r="E590" i="4"/>
  <c r="C591" i="4"/>
  <c r="D591" i="4"/>
  <c r="C592" i="4"/>
  <c r="D592" i="4" s="1"/>
  <c r="E593" i="4" s="1"/>
  <c r="E592" i="4"/>
  <c r="C593" i="4"/>
  <c r="D593" i="4"/>
  <c r="C594" i="4"/>
  <c r="D594" i="4" s="1"/>
  <c r="E595" i="4" s="1"/>
  <c r="E594" i="4"/>
  <c r="C595" i="4"/>
  <c r="D595" i="4"/>
  <c r="C596" i="4"/>
  <c r="D596" i="4" s="1"/>
  <c r="E597" i="4" s="1"/>
  <c r="E596" i="4"/>
  <c r="C597" i="4"/>
  <c r="D597" i="4"/>
  <c r="C598" i="4"/>
  <c r="D598" i="4" s="1"/>
  <c r="E599" i="4" s="1"/>
  <c r="E598" i="4"/>
  <c r="C599" i="4"/>
  <c r="D599" i="4"/>
  <c r="C600" i="4"/>
  <c r="D600" i="4" s="1"/>
  <c r="E601" i="4" s="1"/>
  <c r="E600" i="4"/>
  <c r="C601" i="4"/>
  <c r="D601" i="4"/>
  <c r="C602" i="4"/>
  <c r="D602" i="4" s="1"/>
  <c r="E603" i="4" s="1"/>
  <c r="E602" i="4"/>
  <c r="C603" i="4"/>
  <c r="D603" i="4"/>
  <c r="C604" i="4"/>
  <c r="D604" i="4" s="1"/>
  <c r="E605" i="4" s="1"/>
  <c r="E604" i="4"/>
  <c r="C605" i="4"/>
  <c r="D605" i="4"/>
  <c r="C606" i="4"/>
  <c r="D606" i="4" s="1"/>
  <c r="E607" i="4" s="1"/>
  <c r="E606" i="4"/>
  <c r="C607" i="4"/>
  <c r="D607" i="4"/>
  <c r="C608" i="4"/>
  <c r="D608" i="4" s="1"/>
  <c r="E609" i="4" s="1"/>
  <c r="E608" i="4"/>
  <c r="C609" i="4"/>
  <c r="D609" i="4"/>
  <c r="C610" i="4"/>
  <c r="D610" i="4" s="1"/>
  <c r="E611" i="4" s="1"/>
  <c r="E610" i="4"/>
  <c r="C611" i="4"/>
  <c r="D611" i="4"/>
  <c r="C612" i="4"/>
  <c r="D612" i="4" s="1"/>
  <c r="E613" i="4" s="1"/>
  <c r="E612" i="4"/>
  <c r="C613" i="4"/>
  <c r="D613" i="4"/>
  <c r="C614" i="4"/>
  <c r="D614" i="4" s="1"/>
  <c r="E615" i="4" s="1"/>
  <c r="E614" i="4"/>
  <c r="C615" i="4"/>
  <c r="D615" i="4"/>
  <c r="C616" i="4"/>
  <c r="D616" i="4" s="1"/>
  <c r="E617" i="4" s="1"/>
  <c r="E616" i="4"/>
  <c r="C617" i="4"/>
  <c r="D617" i="4"/>
  <c r="C618" i="4"/>
  <c r="D618" i="4" s="1"/>
  <c r="E619" i="4" s="1"/>
  <c r="E618" i="4"/>
  <c r="C619" i="4"/>
  <c r="D619" i="4"/>
  <c r="C620" i="4"/>
  <c r="D620" i="4" s="1"/>
  <c r="E621" i="4" s="1"/>
  <c r="E620" i="4"/>
  <c r="C621" i="4"/>
  <c r="D621" i="4"/>
  <c r="C622" i="4"/>
  <c r="D622" i="4" s="1"/>
  <c r="E623" i="4" s="1"/>
  <c r="E622" i="4"/>
  <c r="C623" i="4"/>
  <c r="D623" i="4"/>
  <c r="C624" i="4"/>
  <c r="D624" i="4" s="1"/>
  <c r="E625" i="4" s="1"/>
  <c r="E624" i="4"/>
  <c r="C625" i="4"/>
  <c r="D625" i="4"/>
  <c r="C626" i="4"/>
  <c r="D626" i="4" s="1"/>
  <c r="E627" i="4" s="1"/>
  <c r="E626" i="4"/>
  <c r="C627" i="4"/>
  <c r="D627" i="4"/>
  <c r="C628" i="4"/>
  <c r="D628" i="4" s="1"/>
  <c r="E629" i="4" s="1"/>
  <c r="E628" i="4"/>
  <c r="C629" i="4"/>
  <c r="D629" i="4"/>
  <c r="C630" i="4"/>
  <c r="D630" i="4" s="1"/>
  <c r="E631" i="4" s="1"/>
  <c r="E630" i="4"/>
  <c r="C631" i="4"/>
  <c r="D631" i="4"/>
  <c r="C632" i="4"/>
  <c r="D632" i="4" s="1"/>
  <c r="E633" i="4" s="1"/>
  <c r="E632" i="4"/>
  <c r="C633" i="4"/>
  <c r="D633" i="4"/>
  <c r="C634" i="4"/>
  <c r="D634" i="4" s="1"/>
  <c r="E635" i="4" s="1"/>
  <c r="E634" i="4"/>
  <c r="C635" i="4"/>
  <c r="D635" i="4"/>
  <c r="C636" i="4"/>
  <c r="D636" i="4" s="1"/>
  <c r="E637" i="4" s="1"/>
  <c r="E636" i="4"/>
  <c r="C637" i="4"/>
  <c r="D637" i="4"/>
  <c r="C638" i="4"/>
  <c r="D638" i="4" s="1"/>
  <c r="E639" i="4" s="1"/>
  <c r="E638" i="4"/>
  <c r="C639" i="4"/>
  <c r="D639" i="4"/>
  <c r="C640" i="4"/>
  <c r="D640" i="4" s="1"/>
  <c r="E641" i="4" s="1"/>
  <c r="E640" i="4"/>
  <c r="C641" i="4"/>
  <c r="D641" i="4"/>
  <c r="C642" i="4"/>
  <c r="D642" i="4" s="1"/>
  <c r="E643" i="4" s="1"/>
  <c r="E642" i="4"/>
  <c r="C643" i="4"/>
  <c r="D643" i="4"/>
  <c r="C644" i="4"/>
  <c r="D644" i="4" s="1"/>
  <c r="E645" i="4" s="1"/>
  <c r="E644" i="4"/>
  <c r="C645" i="4"/>
  <c r="D645" i="4"/>
  <c r="C646" i="4"/>
  <c r="D646" i="4" s="1"/>
  <c r="E647" i="4" s="1"/>
  <c r="E646" i="4"/>
  <c r="C647" i="4"/>
  <c r="D647" i="4"/>
  <c r="C648" i="4"/>
  <c r="D648" i="4" s="1"/>
  <c r="E649" i="4" s="1"/>
  <c r="E648" i="4"/>
  <c r="C649" i="4"/>
  <c r="D649" i="4"/>
  <c r="C650" i="4"/>
  <c r="D650" i="4" s="1"/>
  <c r="E651" i="4" s="1"/>
  <c r="E650" i="4"/>
  <c r="C651" i="4"/>
  <c r="D651" i="4"/>
  <c r="C652" i="4"/>
  <c r="D652" i="4" s="1"/>
  <c r="E653" i="4" s="1"/>
  <c r="E652" i="4"/>
  <c r="C653" i="4"/>
  <c r="D653" i="4"/>
  <c r="C654" i="4"/>
  <c r="D654" i="4" s="1"/>
  <c r="E655" i="4" s="1"/>
  <c r="E654" i="4"/>
  <c r="C655" i="4"/>
  <c r="D655" i="4"/>
  <c r="C656" i="4"/>
  <c r="D656" i="4" s="1"/>
  <c r="E657" i="4" s="1"/>
  <c r="E656" i="4"/>
  <c r="C657" i="4"/>
  <c r="D657" i="4"/>
  <c r="C658" i="4"/>
  <c r="D658" i="4" s="1"/>
  <c r="E659" i="4" s="1"/>
  <c r="E658" i="4"/>
  <c r="C659" i="4"/>
  <c r="D659" i="4"/>
  <c r="C660" i="4"/>
  <c r="D660" i="4" s="1"/>
  <c r="E661" i="4" s="1"/>
  <c r="E660" i="4"/>
  <c r="C661" i="4"/>
  <c r="D661" i="4"/>
  <c r="C662" i="4"/>
  <c r="D662" i="4" s="1"/>
  <c r="E663" i="4" s="1"/>
  <c r="E662" i="4"/>
  <c r="C663" i="4"/>
  <c r="D663" i="4"/>
  <c r="C664" i="4"/>
  <c r="D664" i="4" s="1"/>
  <c r="E665" i="4" s="1"/>
  <c r="E664" i="4"/>
  <c r="C665" i="4"/>
  <c r="D665" i="4"/>
  <c r="C666" i="4"/>
  <c r="D666" i="4" s="1"/>
  <c r="E667" i="4" s="1"/>
  <c r="E666" i="4"/>
  <c r="C667" i="4"/>
  <c r="D667" i="4"/>
  <c r="C668" i="4"/>
  <c r="D668" i="4" s="1"/>
  <c r="E669" i="4" s="1"/>
  <c r="E668" i="4"/>
  <c r="C669" i="4"/>
  <c r="D669" i="4"/>
  <c r="C670" i="4"/>
  <c r="D670" i="4" s="1"/>
  <c r="E671" i="4" s="1"/>
  <c r="E670" i="4"/>
  <c r="C671" i="4"/>
  <c r="D671" i="4"/>
  <c r="C672" i="4"/>
  <c r="D672" i="4" s="1"/>
  <c r="E673" i="4" s="1"/>
  <c r="E672" i="4"/>
  <c r="C673" i="4"/>
  <c r="D673" i="4"/>
  <c r="C674" i="4"/>
  <c r="D674" i="4" s="1"/>
  <c r="E675" i="4" s="1"/>
  <c r="E674" i="4"/>
  <c r="C675" i="4"/>
  <c r="D675" i="4"/>
  <c r="C676" i="4"/>
  <c r="D676" i="4" s="1"/>
  <c r="E677" i="4" s="1"/>
  <c r="E676" i="4"/>
  <c r="C677" i="4"/>
  <c r="D677" i="4"/>
  <c r="C678" i="4"/>
  <c r="D678" i="4" s="1"/>
  <c r="E679" i="4" s="1"/>
  <c r="E678" i="4"/>
  <c r="C679" i="4"/>
  <c r="D679" i="4"/>
  <c r="C680" i="4"/>
  <c r="D680" i="4" s="1"/>
  <c r="E681" i="4" s="1"/>
  <c r="E680" i="4"/>
  <c r="C681" i="4"/>
  <c r="D681" i="4"/>
  <c r="C682" i="4"/>
  <c r="D682" i="4" s="1"/>
  <c r="E683" i="4" s="1"/>
  <c r="E682" i="4"/>
  <c r="C683" i="4"/>
  <c r="D683" i="4"/>
  <c r="C684" i="4"/>
  <c r="D684" i="4" s="1"/>
  <c r="E685" i="4" s="1"/>
  <c r="E684" i="4"/>
  <c r="C685" i="4"/>
  <c r="D685" i="4"/>
  <c r="C686" i="4"/>
  <c r="D686" i="4" s="1"/>
  <c r="E687" i="4" s="1"/>
  <c r="E686" i="4"/>
  <c r="C687" i="4"/>
  <c r="D687" i="4"/>
  <c r="C688" i="4"/>
  <c r="D688" i="4" s="1"/>
  <c r="E689" i="4" s="1"/>
  <c r="E688" i="4"/>
  <c r="C689" i="4"/>
  <c r="D689" i="4"/>
  <c r="C690" i="4"/>
  <c r="D690" i="4" s="1"/>
  <c r="E691" i="4" s="1"/>
  <c r="E690" i="4"/>
  <c r="C691" i="4"/>
  <c r="D691" i="4"/>
  <c r="C692" i="4"/>
  <c r="D692" i="4" s="1"/>
  <c r="E693" i="4" s="1"/>
  <c r="E692" i="4"/>
  <c r="C693" i="4"/>
  <c r="D693" i="4"/>
  <c r="C694" i="4"/>
  <c r="D694" i="4" s="1"/>
  <c r="E695" i="4" s="1"/>
  <c r="E694" i="4"/>
  <c r="C695" i="4"/>
  <c r="D695" i="4"/>
  <c r="C696" i="4"/>
  <c r="D696" i="4" s="1"/>
  <c r="E697" i="4" s="1"/>
  <c r="E696" i="4"/>
  <c r="C697" i="4"/>
  <c r="D697" i="4"/>
  <c r="C698" i="4"/>
  <c r="D698" i="4" s="1"/>
  <c r="E699" i="4" s="1"/>
  <c r="E698" i="4"/>
  <c r="C699" i="4"/>
  <c r="D699" i="4"/>
  <c r="C700" i="4"/>
  <c r="D700" i="4" s="1"/>
  <c r="E701" i="4" s="1"/>
  <c r="E700" i="4"/>
  <c r="C701" i="4"/>
  <c r="D701" i="4"/>
  <c r="C702" i="4"/>
  <c r="D702" i="4" s="1"/>
  <c r="E703" i="4" s="1"/>
  <c r="E702" i="4"/>
  <c r="C703" i="4"/>
  <c r="D703" i="4"/>
  <c r="C704" i="4"/>
  <c r="D704" i="4" s="1"/>
  <c r="E705" i="4" s="1"/>
  <c r="E704" i="4"/>
  <c r="C705" i="4"/>
  <c r="D705" i="4"/>
  <c r="C706" i="4"/>
  <c r="D706" i="4" s="1"/>
  <c r="E707" i="4" s="1"/>
  <c r="E706" i="4"/>
  <c r="C707" i="4"/>
  <c r="D707" i="4"/>
  <c r="C708" i="4"/>
  <c r="D708" i="4" s="1"/>
  <c r="E709" i="4" s="1"/>
  <c r="E708" i="4"/>
  <c r="C709" i="4"/>
  <c r="D709" i="4"/>
  <c r="C710" i="4"/>
  <c r="D710" i="4" s="1"/>
  <c r="E711" i="4" s="1"/>
  <c r="E710" i="4"/>
  <c r="C711" i="4"/>
  <c r="D711" i="4"/>
  <c r="C712" i="4"/>
  <c r="D712" i="4" s="1"/>
  <c r="E713" i="4" s="1"/>
  <c r="E712" i="4"/>
  <c r="C713" i="4"/>
  <c r="D713" i="4"/>
  <c r="C714" i="4"/>
  <c r="D714" i="4" s="1"/>
  <c r="E715" i="4" s="1"/>
  <c r="E714" i="4"/>
  <c r="C715" i="4"/>
  <c r="D715" i="4"/>
  <c r="C716" i="4"/>
  <c r="D716" i="4" s="1"/>
  <c r="E717" i="4" s="1"/>
  <c r="E716" i="4"/>
  <c r="C717" i="4"/>
  <c r="D717" i="4"/>
  <c r="C718" i="4"/>
  <c r="D718" i="4" s="1"/>
  <c r="E719" i="4" s="1"/>
  <c r="E718" i="4"/>
  <c r="C719" i="4"/>
  <c r="D719" i="4"/>
  <c r="C720" i="4"/>
  <c r="D720" i="4" s="1"/>
  <c r="E721" i="4" s="1"/>
  <c r="E720" i="4"/>
  <c r="C721" i="4"/>
  <c r="D721" i="4"/>
  <c r="C722" i="4"/>
  <c r="D722" i="4" s="1"/>
  <c r="E723" i="4" s="1"/>
  <c r="E722" i="4"/>
  <c r="C723" i="4"/>
  <c r="D723" i="4"/>
  <c r="C724" i="4"/>
  <c r="D724" i="4" s="1"/>
  <c r="E725" i="4" s="1"/>
  <c r="E724" i="4"/>
  <c r="C725" i="4"/>
  <c r="D725" i="4"/>
  <c r="C726" i="4"/>
  <c r="D726" i="4" s="1"/>
  <c r="E727" i="4" s="1"/>
  <c r="E726" i="4"/>
  <c r="C727" i="4"/>
  <c r="D727" i="4"/>
  <c r="C728" i="4"/>
  <c r="D728" i="4" s="1"/>
  <c r="E729" i="4" s="1"/>
  <c r="E728" i="4"/>
  <c r="C729" i="4"/>
  <c r="D729" i="4"/>
  <c r="C730" i="4"/>
  <c r="D730" i="4" s="1"/>
  <c r="E731" i="4" s="1"/>
  <c r="E730" i="4"/>
  <c r="C731" i="4"/>
  <c r="D731" i="4"/>
  <c r="C732" i="4"/>
  <c r="D732" i="4" s="1"/>
  <c r="E733" i="4" s="1"/>
  <c r="E732" i="4"/>
  <c r="C733" i="4"/>
  <c r="D733" i="4"/>
  <c r="C734" i="4"/>
  <c r="D734" i="4" s="1"/>
  <c r="E735" i="4" s="1"/>
  <c r="E734" i="4"/>
  <c r="C735" i="4"/>
  <c r="D735" i="4"/>
  <c r="C736" i="4"/>
  <c r="D736" i="4" s="1"/>
  <c r="E737" i="4" s="1"/>
  <c r="E736" i="4"/>
  <c r="C737" i="4"/>
  <c r="D737" i="4"/>
  <c r="C738" i="4"/>
  <c r="D738" i="4" s="1"/>
  <c r="E739" i="4" s="1"/>
  <c r="E738" i="4"/>
  <c r="C739" i="4"/>
  <c r="D739" i="4"/>
  <c r="C740" i="4"/>
  <c r="D740" i="4" s="1"/>
  <c r="E741" i="4" s="1"/>
  <c r="E740" i="4"/>
  <c r="C741" i="4"/>
  <c r="D741" i="4"/>
  <c r="C742" i="4"/>
  <c r="D742" i="4" s="1"/>
  <c r="E743" i="4" s="1"/>
  <c r="E742" i="4"/>
  <c r="C743" i="4"/>
  <c r="D743" i="4"/>
  <c r="C744" i="4"/>
  <c r="D744" i="4" s="1"/>
  <c r="E745" i="4" s="1"/>
  <c r="E744" i="4"/>
  <c r="C745" i="4"/>
  <c r="D745" i="4"/>
  <c r="C746" i="4"/>
  <c r="D746" i="4" s="1"/>
  <c r="E747" i="4" s="1"/>
  <c r="E746" i="4"/>
  <c r="C747" i="4"/>
  <c r="D747" i="4"/>
  <c r="C748" i="4"/>
  <c r="D748" i="4" s="1"/>
  <c r="E749" i="4" s="1"/>
  <c r="E748" i="4"/>
  <c r="C749" i="4"/>
  <c r="D749" i="4"/>
  <c r="C750" i="4"/>
  <c r="D750" i="4" s="1"/>
  <c r="E751" i="4" s="1"/>
  <c r="E750" i="4"/>
  <c r="C751" i="4"/>
  <c r="D751" i="4"/>
  <c r="C752" i="4"/>
  <c r="D752" i="4" s="1"/>
  <c r="E753" i="4" s="1"/>
  <c r="E752" i="4"/>
  <c r="C753" i="4"/>
  <c r="D753" i="4"/>
  <c r="C754" i="4"/>
  <c r="D754" i="4" s="1"/>
  <c r="E755" i="4" s="1"/>
  <c r="E754" i="4"/>
  <c r="C755" i="4"/>
  <c r="D755" i="4"/>
  <c r="C756" i="4"/>
  <c r="D756" i="4" s="1"/>
  <c r="E757" i="4" s="1"/>
  <c r="E756" i="4"/>
  <c r="C757" i="4"/>
  <c r="D757" i="4"/>
  <c r="C758" i="4"/>
  <c r="D758" i="4" s="1"/>
  <c r="E759" i="4" s="1"/>
  <c r="E758" i="4"/>
  <c r="C759" i="4"/>
  <c r="D759" i="4"/>
  <c r="C760" i="4"/>
  <c r="D760" i="4" s="1"/>
  <c r="E761" i="4" s="1"/>
  <c r="E760" i="4"/>
  <c r="C761" i="4"/>
  <c r="D761" i="4"/>
  <c r="C762" i="4"/>
  <c r="D762" i="4" s="1"/>
  <c r="E763" i="4" s="1"/>
  <c r="E762" i="4"/>
  <c r="C763" i="4"/>
  <c r="D763" i="4"/>
  <c r="C764" i="4"/>
  <c r="D764" i="4" s="1"/>
  <c r="E765" i="4" s="1"/>
  <c r="E764" i="4"/>
  <c r="C765" i="4"/>
  <c r="D765" i="4"/>
  <c r="C766" i="4"/>
  <c r="D766" i="4" s="1"/>
  <c r="E767" i="4" s="1"/>
  <c r="E766" i="4"/>
  <c r="C767" i="4"/>
  <c r="D767" i="4"/>
  <c r="C768" i="4"/>
  <c r="D768" i="4" s="1"/>
  <c r="E769" i="4" s="1"/>
  <c r="E768" i="4"/>
  <c r="C769" i="4"/>
  <c r="D769" i="4"/>
  <c r="C770" i="4"/>
  <c r="D770" i="4" s="1"/>
  <c r="E771" i="4" s="1"/>
  <c r="E770" i="4"/>
  <c r="C771" i="4"/>
  <c r="D771" i="4"/>
  <c r="C772" i="4"/>
  <c r="D772" i="4" s="1"/>
  <c r="E773" i="4" s="1"/>
  <c r="E772" i="4"/>
  <c r="C773" i="4"/>
  <c r="D773" i="4"/>
  <c r="C774" i="4"/>
  <c r="D774" i="4" s="1"/>
  <c r="E775" i="4" s="1"/>
  <c r="E774" i="4"/>
  <c r="C775" i="4"/>
  <c r="D775" i="4"/>
  <c r="C776" i="4"/>
  <c r="D776" i="4" s="1"/>
  <c r="E777" i="4" s="1"/>
  <c r="E776" i="4"/>
  <c r="C777" i="4"/>
  <c r="D777" i="4"/>
  <c r="C778" i="4"/>
  <c r="D778" i="4" s="1"/>
  <c r="E779" i="4" s="1"/>
  <c r="E778" i="4"/>
  <c r="C779" i="4"/>
  <c r="D779" i="4"/>
  <c r="C780" i="4"/>
  <c r="D780" i="4" s="1"/>
  <c r="E781" i="4" s="1"/>
  <c r="E780" i="4"/>
  <c r="C781" i="4"/>
  <c r="D781" i="4"/>
  <c r="C782" i="4"/>
  <c r="D782" i="4" s="1"/>
  <c r="E783" i="4" s="1"/>
  <c r="E782" i="4"/>
  <c r="C783" i="4"/>
  <c r="D783" i="4"/>
  <c r="C784" i="4"/>
  <c r="D784" i="4" s="1"/>
  <c r="E785" i="4" s="1"/>
  <c r="E784" i="4"/>
  <c r="C785" i="4"/>
  <c r="D785" i="4"/>
  <c r="C786" i="4"/>
  <c r="D786" i="4" s="1"/>
  <c r="E787" i="4" s="1"/>
  <c r="E786" i="4"/>
  <c r="C787" i="4"/>
  <c r="D787" i="4"/>
  <c r="C788" i="4"/>
  <c r="D788" i="4" s="1"/>
  <c r="E789" i="4" s="1"/>
  <c r="E788" i="4"/>
  <c r="C789" i="4"/>
  <c r="D789" i="4"/>
  <c r="C790" i="4"/>
  <c r="D790" i="4" s="1"/>
  <c r="E791" i="4" s="1"/>
  <c r="E790" i="4"/>
  <c r="C791" i="4"/>
  <c r="D791" i="4"/>
  <c r="C792" i="4"/>
  <c r="D792" i="4" s="1"/>
  <c r="E793" i="4" s="1"/>
  <c r="E792" i="4"/>
  <c r="C793" i="4"/>
  <c r="D793" i="4"/>
  <c r="C794" i="4"/>
  <c r="D794" i="4" s="1"/>
  <c r="E795" i="4" s="1"/>
  <c r="E794" i="4"/>
  <c r="C795" i="4"/>
  <c r="D795" i="4"/>
  <c r="C796" i="4"/>
  <c r="D796" i="4" s="1"/>
  <c r="E797" i="4" s="1"/>
  <c r="E796" i="4"/>
  <c r="C797" i="4"/>
  <c r="D797" i="4"/>
  <c r="C798" i="4"/>
  <c r="D798" i="4" s="1"/>
  <c r="E799" i="4" s="1"/>
  <c r="E798" i="4"/>
  <c r="C799" i="4"/>
  <c r="D799" i="4"/>
  <c r="C800" i="4"/>
  <c r="D800" i="4" s="1"/>
  <c r="E801" i="4" s="1"/>
  <c r="E800" i="4"/>
  <c r="C801" i="4"/>
  <c r="D801" i="4"/>
  <c r="C802" i="4"/>
  <c r="D802" i="4" s="1"/>
  <c r="E803" i="4" s="1"/>
  <c r="E802" i="4"/>
  <c r="C803" i="4"/>
  <c r="D803" i="4"/>
  <c r="C804" i="4"/>
  <c r="D804" i="4" s="1"/>
  <c r="E805" i="4" s="1"/>
  <c r="E804" i="4"/>
  <c r="C805" i="4"/>
  <c r="D805" i="4"/>
  <c r="C806" i="4"/>
  <c r="D806" i="4" s="1"/>
  <c r="E807" i="4" s="1"/>
  <c r="E806" i="4"/>
  <c r="C807" i="4"/>
  <c r="D807" i="4"/>
  <c r="C808" i="4"/>
  <c r="D808" i="4" s="1"/>
  <c r="E809" i="4" s="1"/>
  <c r="E808" i="4"/>
  <c r="C809" i="4"/>
  <c r="D809" i="4"/>
  <c r="C810" i="4"/>
  <c r="D810" i="4" s="1"/>
  <c r="E811" i="4" s="1"/>
  <c r="E810" i="4"/>
  <c r="C811" i="4"/>
  <c r="D811" i="4"/>
  <c r="C812" i="4"/>
  <c r="D812" i="4" s="1"/>
  <c r="E813" i="4" s="1"/>
  <c r="E812" i="4"/>
  <c r="C813" i="4"/>
  <c r="D813" i="4"/>
  <c r="C814" i="4"/>
  <c r="D814" i="4" s="1"/>
  <c r="E815" i="4" s="1"/>
  <c r="E814" i="4"/>
  <c r="C815" i="4"/>
  <c r="D815" i="4"/>
  <c r="C816" i="4"/>
  <c r="D816" i="4" s="1"/>
  <c r="E817" i="4" s="1"/>
  <c r="E816" i="4"/>
  <c r="C817" i="4"/>
  <c r="D817" i="4"/>
  <c r="C818" i="4"/>
  <c r="D818" i="4" s="1"/>
  <c r="E819" i="4" s="1"/>
  <c r="E818" i="4"/>
  <c r="C819" i="4"/>
  <c r="D819" i="4"/>
  <c r="C820" i="4"/>
  <c r="D820" i="4" s="1"/>
  <c r="E821" i="4" s="1"/>
  <c r="E820" i="4"/>
  <c r="C821" i="4"/>
  <c r="D821" i="4"/>
  <c r="C822" i="4"/>
  <c r="D822" i="4" s="1"/>
  <c r="E823" i="4" s="1"/>
  <c r="E822" i="4"/>
  <c r="C823" i="4"/>
  <c r="D823" i="4"/>
  <c r="C824" i="4"/>
  <c r="D824" i="4" s="1"/>
  <c r="E825" i="4" s="1"/>
  <c r="E824" i="4"/>
  <c r="C825" i="4"/>
  <c r="D825" i="4"/>
  <c r="C826" i="4"/>
  <c r="D826" i="4" s="1"/>
  <c r="E827" i="4" s="1"/>
  <c r="E826" i="4"/>
  <c r="C827" i="4"/>
  <c r="D827" i="4"/>
  <c r="C828" i="4"/>
  <c r="D828" i="4" s="1"/>
  <c r="E829" i="4" s="1"/>
  <c r="E828" i="4"/>
  <c r="C829" i="4"/>
  <c r="D829" i="4"/>
  <c r="C830" i="4"/>
  <c r="D830" i="4" s="1"/>
  <c r="E831" i="4" s="1"/>
  <c r="E830" i="4"/>
  <c r="C831" i="4"/>
  <c r="D831" i="4"/>
  <c r="C832" i="4"/>
  <c r="D832" i="4" s="1"/>
  <c r="E833" i="4" s="1"/>
  <c r="E832" i="4"/>
  <c r="C833" i="4"/>
  <c r="D833" i="4"/>
  <c r="C834" i="4"/>
  <c r="D834" i="4" s="1"/>
  <c r="E835" i="4" s="1"/>
  <c r="E834" i="4"/>
  <c r="C835" i="4"/>
  <c r="D835" i="4"/>
  <c r="C836" i="4"/>
  <c r="D836" i="4" s="1"/>
  <c r="E837" i="4" s="1"/>
  <c r="E836" i="4"/>
  <c r="C837" i="4"/>
  <c r="D837" i="4"/>
  <c r="C838" i="4"/>
  <c r="D838" i="4" s="1"/>
  <c r="E839" i="4" s="1"/>
  <c r="E838" i="4"/>
  <c r="C839" i="4"/>
  <c r="D839" i="4"/>
  <c r="C840" i="4"/>
  <c r="D840" i="4" s="1"/>
  <c r="E841" i="4" s="1"/>
  <c r="E840" i="4"/>
  <c r="C841" i="4"/>
  <c r="D841" i="4"/>
  <c r="C842" i="4"/>
  <c r="D842" i="4" s="1"/>
  <c r="E843" i="4" s="1"/>
  <c r="E842" i="4"/>
  <c r="C843" i="4"/>
  <c r="D843" i="4"/>
  <c r="C844" i="4"/>
  <c r="D844" i="4" s="1"/>
  <c r="E845" i="4" s="1"/>
  <c r="E844" i="4"/>
  <c r="C845" i="4"/>
  <c r="D845" i="4"/>
  <c r="C846" i="4"/>
  <c r="D846" i="4" s="1"/>
  <c r="E847" i="4" s="1"/>
  <c r="E846" i="4"/>
  <c r="C847" i="4"/>
  <c r="D847" i="4"/>
  <c r="C848" i="4"/>
  <c r="D848" i="4" s="1"/>
  <c r="E849" i="4" s="1"/>
  <c r="E848" i="4"/>
  <c r="C849" i="4"/>
  <c r="D849" i="4"/>
  <c r="C850" i="4"/>
  <c r="D850" i="4" s="1"/>
  <c r="E851" i="4" s="1"/>
  <c r="E850" i="4"/>
  <c r="C851" i="4"/>
  <c r="D851" i="4"/>
  <c r="C852" i="4"/>
  <c r="D852" i="4" s="1"/>
  <c r="E853" i="4" s="1"/>
  <c r="E852" i="4"/>
  <c r="C853" i="4"/>
  <c r="D853" i="4"/>
  <c r="C854" i="4"/>
  <c r="D854" i="4" s="1"/>
  <c r="E855" i="4" s="1"/>
  <c r="E854" i="4"/>
  <c r="C855" i="4"/>
  <c r="D855" i="4"/>
  <c r="C856" i="4"/>
  <c r="D856" i="4" s="1"/>
  <c r="E857" i="4" s="1"/>
  <c r="E856" i="4"/>
  <c r="C857" i="4"/>
  <c r="D857" i="4"/>
  <c r="C858" i="4"/>
  <c r="D858" i="4" s="1"/>
  <c r="E859" i="4" s="1"/>
  <c r="E858" i="4"/>
  <c r="C859" i="4"/>
  <c r="D859" i="4"/>
  <c r="C860" i="4"/>
  <c r="D860" i="4" s="1"/>
  <c r="E861" i="4" s="1"/>
  <c r="E860" i="4"/>
  <c r="C861" i="4"/>
  <c r="D861" i="4"/>
  <c r="C862" i="4"/>
  <c r="D862" i="4" s="1"/>
  <c r="E863" i="4" s="1"/>
  <c r="E862" i="4"/>
  <c r="C863" i="4"/>
  <c r="D863" i="4"/>
  <c r="C864" i="4"/>
  <c r="D864" i="4" s="1"/>
  <c r="E865" i="4" s="1"/>
  <c r="E864" i="4"/>
  <c r="C865" i="4"/>
  <c r="D865" i="4"/>
  <c r="C866" i="4"/>
  <c r="D866" i="4" s="1"/>
  <c r="E867" i="4" s="1"/>
  <c r="E866" i="4"/>
  <c r="C867" i="4"/>
  <c r="D867" i="4"/>
  <c r="C868" i="4"/>
  <c r="D868" i="4" s="1"/>
  <c r="E869" i="4" s="1"/>
  <c r="E868" i="4"/>
  <c r="C869" i="4"/>
  <c r="D869" i="4"/>
  <c r="C870" i="4"/>
  <c r="D870" i="4" s="1"/>
  <c r="E871" i="4" s="1"/>
  <c r="E870" i="4"/>
  <c r="C871" i="4"/>
  <c r="D871" i="4"/>
  <c r="C872" i="4"/>
  <c r="D872" i="4" s="1"/>
  <c r="E873" i="4" s="1"/>
  <c r="E872" i="4"/>
  <c r="C873" i="4"/>
  <c r="D873" i="4"/>
  <c r="C874" i="4"/>
  <c r="D874" i="4" s="1"/>
  <c r="E875" i="4" s="1"/>
  <c r="E874" i="4"/>
  <c r="C875" i="4"/>
  <c r="D875" i="4"/>
  <c r="C876" i="4"/>
  <c r="D876" i="4" s="1"/>
  <c r="E877" i="4" s="1"/>
  <c r="E876" i="4"/>
  <c r="C877" i="4"/>
  <c r="D877" i="4"/>
  <c r="C878" i="4"/>
  <c r="D878" i="4" s="1"/>
  <c r="E879" i="4" s="1"/>
  <c r="E878" i="4"/>
  <c r="C879" i="4"/>
  <c r="D879" i="4"/>
  <c r="C880" i="4"/>
  <c r="D880" i="4" s="1"/>
  <c r="E881" i="4" s="1"/>
  <c r="E880" i="4"/>
  <c r="C881" i="4"/>
  <c r="D881" i="4"/>
  <c r="C882" i="4"/>
  <c r="D882" i="4" s="1"/>
  <c r="E883" i="4" s="1"/>
  <c r="E882" i="4"/>
  <c r="C883" i="4"/>
  <c r="D883" i="4"/>
  <c r="C884" i="4"/>
  <c r="D884" i="4" s="1"/>
  <c r="E885" i="4" s="1"/>
  <c r="E884" i="4"/>
  <c r="C885" i="4"/>
  <c r="D885" i="4"/>
  <c r="C886" i="4"/>
  <c r="D886" i="4" s="1"/>
  <c r="E887" i="4" s="1"/>
  <c r="E886" i="4"/>
  <c r="C887" i="4"/>
  <c r="D887" i="4"/>
  <c r="C888" i="4"/>
  <c r="D888" i="4" s="1"/>
  <c r="E889" i="4" s="1"/>
  <c r="E888" i="4"/>
  <c r="C889" i="4"/>
  <c r="D889" i="4"/>
  <c r="C890" i="4"/>
  <c r="D890" i="4" s="1"/>
  <c r="E891" i="4" s="1"/>
  <c r="E890" i="4"/>
  <c r="C891" i="4"/>
  <c r="D891" i="4"/>
  <c r="C892" i="4"/>
  <c r="D892" i="4" s="1"/>
  <c r="E893" i="4" s="1"/>
  <c r="E892" i="4"/>
  <c r="C893" i="4"/>
  <c r="D893" i="4"/>
  <c r="C894" i="4"/>
  <c r="D894" i="4" s="1"/>
  <c r="E895" i="4" s="1"/>
  <c r="E894" i="4"/>
  <c r="C895" i="4"/>
  <c r="D895" i="4"/>
  <c r="C896" i="4"/>
  <c r="D896" i="4" s="1"/>
  <c r="E897" i="4" s="1"/>
  <c r="E896" i="4"/>
  <c r="C897" i="4"/>
  <c r="D897" i="4"/>
  <c r="C898" i="4"/>
  <c r="D898" i="4" s="1"/>
  <c r="E899" i="4" s="1"/>
  <c r="E898" i="4"/>
  <c r="C899" i="4"/>
  <c r="D899" i="4"/>
  <c r="C900" i="4"/>
  <c r="D900" i="4" s="1"/>
  <c r="E901" i="4" s="1"/>
  <c r="E900" i="4"/>
  <c r="C901" i="4"/>
  <c r="D901" i="4"/>
  <c r="C902" i="4"/>
  <c r="D902" i="4" s="1"/>
  <c r="E903" i="4" s="1"/>
  <c r="E902" i="4"/>
  <c r="C903" i="4"/>
  <c r="D903" i="4"/>
  <c r="C904" i="4"/>
  <c r="D904" i="4" s="1"/>
  <c r="E905" i="4" s="1"/>
  <c r="E904" i="4"/>
  <c r="C905" i="4"/>
  <c r="D905" i="4"/>
  <c r="C906" i="4"/>
  <c r="D906" i="4" s="1"/>
  <c r="E907" i="4" s="1"/>
  <c r="E906" i="4"/>
  <c r="C907" i="4"/>
  <c r="D907" i="4"/>
  <c r="C908" i="4"/>
  <c r="D908" i="4" s="1"/>
  <c r="E909" i="4" s="1"/>
  <c r="E908" i="4"/>
  <c r="C909" i="4"/>
  <c r="D909" i="4"/>
  <c r="C910" i="4"/>
  <c r="D910" i="4" s="1"/>
  <c r="E911" i="4" s="1"/>
  <c r="E910" i="4"/>
  <c r="C911" i="4"/>
  <c r="D911" i="4"/>
  <c r="C912" i="4"/>
  <c r="D912" i="4" s="1"/>
  <c r="E913" i="4" s="1"/>
  <c r="E912" i="4"/>
  <c r="C913" i="4"/>
  <c r="D913" i="4"/>
  <c r="E914" i="4" s="1"/>
  <c r="C914" i="4"/>
  <c r="D914" i="4"/>
  <c r="C915" i="4"/>
  <c r="D915" i="4" s="1"/>
  <c r="E916" i="4" s="1"/>
  <c r="E915" i="4"/>
  <c r="C916" i="4"/>
  <c r="D916" i="4"/>
  <c r="C917" i="4"/>
  <c r="D917" i="4" s="1"/>
  <c r="E918" i="4" s="1"/>
  <c r="E917" i="4"/>
  <c r="C918" i="4"/>
  <c r="D918" i="4"/>
  <c r="C919" i="4"/>
  <c r="D919" i="4" s="1"/>
  <c r="E920" i="4" s="1"/>
  <c r="E919" i="4"/>
  <c r="C920" i="4"/>
  <c r="D920" i="4"/>
  <c r="C921" i="4"/>
  <c r="D921" i="4" s="1"/>
  <c r="E922" i="4" s="1"/>
  <c r="E921" i="4"/>
  <c r="C922" i="4"/>
  <c r="D922" i="4"/>
  <c r="C923" i="4"/>
  <c r="D923" i="4" s="1"/>
  <c r="E924" i="4" s="1"/>
  <c r="E923" i="4"/>
  <c r="C924" i="4"/>
  <c r="D924" i="4"/>
  <c r="C925" i="4"/>
  <c r="D925" i="4" s="1"/>
  <c r="E926" i="4" s="1"/>
  <c r="E925" i="4"/>
  <c r="C926" i="4"/>
  <c r="D926" i="4"/>
  <c r="C927" i="4"/>
  <c r="D927" i="4" s="1"/>
  <c r="E928" i="4" s="1"/>
  <c r="E927" i="4"/>
  <c r="C928" i="4"/>
  <c r="D928" i="4"/>
  <c r="C929" i="4"/>
  <c r="D929" i="4" s="1"/>
  <c r="E930" i="4" s="1"/>
  <c r="E929" i="4"/>
  <c r="C930" i="4"/>
  <c r="D930" i="4"/>
  <c r="C931" i="4"/>
  <c r="D931" i="4" s="1"/>
  <c r="E932" i="4" s="1"/>
  <c r="E931" i="4"/>
  <c r="C932" i="4"/>
  <c r="D932" i="4"/>
  <c r="C933" i="4"/>
  <c r="D933" i="4" s="1"/>
  <c r="E934" i="4" s="1"/>
  <c r="E933" i="4"/>
  <c r="C934" i="4"/>
  <c r="D934" i="4"/>
  <c r="C935" i="4"/>
  <c r="D935" i="4" s="1"/>
  <c r="E936" i="4" s="1"/>
  <c r="E935" i="4"/>
  <c r="C936" i="4"/>
  <c r="D936" i="4"/>
  <c r="C937" i="4"/>
  <c r="D937" i="4" s="1"/>
  <c r="E938" i="4" s="1"/>
  <c r="E937" i="4"/>
  <c r="C938" i="4"/>
  <c r="D938" i="4"/>
  <c r="C939" i="4"/>
  <c r="D939" i="4" s="1"/>
  <c r="E940" i="4" s="1"/>
  <c r="E939" i="4"/>
  <c r="C940" i="4"/>
  <c r="D940" i="4"/>
  <c r="C941" i="4"/>
  <c r="D941" i="4" s="1"/>
  <c r="E942" i="4" s="1"/>
  <c r="E941" i="4"/>
  <c r="C942" i="4"/>
  <c r="D942" i="4"/>
  <c r="C943" i="4"/>
  <c r="D943" i="4" s="1"/>
  <c r="E944" i="4" s="1"/>
  <c r="E943" i="4"/>
  <c r="C944" i="4"/>
  <c r="D944" i="4"/>
  <c r="C945" i="4"/>
  <c r="D945" i="4" s="1"/>
  <c r="E946" i="4" s="1"/>
  <c r="E945" i="4"/>
  <c r="C946" i="4"/>
  <c r="D946" i="4"/>
  <c r="C947" i="4"/>
  <c r="D947" i="4" s="1"/>
  <c r="E948" i="4" s="1"/>
  <c r="E947" i="4"/>
  <c r="C948" i="4"/>
  <c r="D948" i="4"/>
  <c r="C949" i="4"/>
  <c r="D949" i="4" s="1"/>
  <c r="E950" i="4" s="1"/>
  <c r="E949" i="4"/>
  <c r="C950" i="4"/>
  <c r="D950" i="4"/>
  <c r="C951" i="4"/>
  <c r="D951" i="4" s="1"/>
  <c r="E952" i="4" s="1"/>
  <c r="E951" i="4"/>
  <c r="C952" i="4"/>
  <c r="D952" i="4"/>
  <c r="C953" i="4"/>
  <c r="D953" i="4" s="1"/>
  <c r="E954" i="4" s="1"/>
  <c r="E953" i="4"/>
  <c r="C954" i="4"/>
  <c r="D954" i="4"/>
  <c r="C955" i="4"/>
  <c r="D955" i="4" s="1"/>
  <c r="E956" i="4" s="1"/>
  <c r="E955" i="4"/>
  <c r="C956" i="4"/>
  <c r="D956" i="4"/>
  <c r="C957" i="4"/>
  <c r="D957" i="4" s="1"/>
  <c r="E958" i="4" s="1"/>
  <c r="E957" i="4"/>
  <c r="C958" i="4"/>
  <c r="D958" i="4"/>
  <c r="C959" i="4"/>
  <c r="D959" i="4" s="1"/>
  <c r="E960" i="4" s="1"/>
  <c r="E959" i="4"/>
  <c r="C960" i="4"/>
  <c r="D960" i="4"/>
  <c r="C961" i="4"/>
  <c r="D961" i="4" s="1"/>
  <c r="E962" i="4" s="1"/>
  <c r="E961" i="4"/>
  <c r="C962" i="4"/>
  <c r="D962" i="4"/>
  <c r="C963" i="4"/>
  <c r="D963" i="4" s="1"/>
  <c r="E964" i="4" s="1"/>
  <c r="E963" i="4"/>
  <c r="C964" i="4"/>
  <c r="D964" i="4"/>
  <c r="C965" i="4"/>
  <c r="D965" i="4" s="1"/>
  <c r="E966" i="4" s="1"/>
  <c r="E965" i="4"/>
  <c r="C966" i="4"/>
  <c r="D966" i="4"/>
  <c r="C967" i="4"/>
  <c r="D967" i="4" s="1"/>
  <c r="E968" i="4" s="1"/>
  <c r="E967" i="4"/>
  <c r="C968" i="4"/>
  <c r="D968" i="4"/>
  <c r="C969" i="4"/>
  <c r="D969" i="4" s="1"/>
  <c r="E970" i="4" s="1"/>
  <c r="E969" i="4"/>
  <c r="C970" i="4"/>
  <c r="D970" i="4"/>
  <c r="C971" i="4"/>
  <c r="D971" i="4" s="1"/>
  <c r="E972" i="4" s="1"/>
  <c r="E971" i="4"/>
  <c r="C972" i="4"/>
  <c r="D972" i="4"/>
  <c r="C973" i="4"/>
  <c r="D973" i="4" s="1"/>
  <c r="E974" i="4" s="1"/>
  <c r="E973" i="4"/>
  <c r="C974" i="4"/>
  <c r="D974" i="4"/>
  <c r="C975" i="4"/>
  <c r="D975" i="4" s="1"/>
  <c r="E976" i="4" s="1"/>
  <c r="E975" i="4"/>
  <c r="C976" i="4"/>
  <c r="D976" i="4"/>
  <c r="C977" i="4"/>
  <c r="D977" i="4" s="1"/>
  <c r="E978" i="4" s="1"/>
  <c r="E977" i="4"/>
  <c r="C978" i="4"/>
  <c r="D978" i="4"/>
  <c r="C979" i="4"/>
  <c r="D979" i="4" s="1"/>
  <c r="E980" i="4" s="1"/>
  <c r="E979" i="4"/>
  <c r="C980" i="4"/>
  <c r="D980" i="4"/>
  <c r="C981" i="4"/>
  <c r="D981" i="4" s="1"/>
  <c r="E982" i="4" s="1"/>
  <c r="E981" i="4"/>
  <c r="C982" i="4"/>
  <c r="D982" i="4"/>
  <c r="C983" i="4"/>
  <c r="D983" i="4" s="1"/>
  <c r="E984" i="4" s="1"/>
  <c r="E983" i="4"/>
  <c r="C984" i="4"/>
  <c r="D984" i="4"/>
  <c r="C985" i="4"/>
  <c r="D985" i="4" s="1"/>
  <c r="E986" i="4" s="1"/>
  <c r="E985" i="4"/>
  <c r="C986" i="4"/>
  <c r="D986" i="4"/>
  <c r="C987" i="4"/>
  <c r="D987" i="4" s="1"/>
  <c r="E988" i="4" s="1"/>
  <c r="E987" i="4"/>
  <c r="C988" i="4"/>
  <c r="D988" i="4"/>
  <c r="C989" i="4"/>
  <c r="D989" i="4" s="1"/>
  <c r="E990" i="4" s="1"/>
  <c r="E989" i="4"/>
  <c r="C990" i="4"/>
  <c r="D990" i="4"/>
  <c r="C991" i="4"/>
  <c r="D991" i="4" s="1"/>
  <c r="E992" i="4" s="1"/>
  <c r="E991" i="4"/>
  <c r="C992" i="4"/>
  <c r="D992" i="4"/>
  <c r="C993" i="4"/>
  <c r="D993" i="4" s="1"/>
  <c r="E994" i="4" s="1"/>
  <c r="E993" i="4"/>
  <c r="C994" i="4"/>
  <c r="D994" i="4"/>
  <c r="C995" i="4"/>
  <c r="D995" i="4" s="1"/>
  <c r="E996" i="4" s="1"/>
  <c r="E995" i="4"/>
  <c r="C996" i="4"/>
  <c r="D996" i="4"/>
  <c r="C997" i="4"/>
  <c r="D997" i="4" s="1"/>
  <c r="E998" i="4" s="1"/>
  <c r="E997" i="4"/>
  <c r="C998" i="4"/>
  <c r="D998" i="4"/>
  <c r="C999" i="4"/>
  <c r="D999" i="4" s="1"/>
  <c r="E1000" i="4" s="1"/>
  <c r="E999" i="4"/>
  <c r="C1000" i="4"/>
  <c r="D1000" i="4"/>
  <c r="C1001" i="4"/>
  <c r="D1001" i="4" s="1"/>
  <c r="E1002" i="4" s="1"/>
  <c r="E1001" i="4"/>
  <c r="C1002" i="4"/>
  <c r="D1002" i="4"/>
  <c r="C1003" i="4"/>
  <c r="D1003" i="4" s="1"/>
  <c r="E1004" i="4" s="1"/>
  <c r="E1003" i="4"/>
  <c r="C1004" i="4"/>
  <c r="D1004" i="4"/>
  <c r="C1005" i="4"/>
  <c r="D1005" i="4" s="1"/>
  <c r="E1006" i="4" s="1"/>
  <c r="E1005" i="4"/>
  <c r="C1006" i="4"/>
  <c r="D1006" i="4"/>
  <c r="C1007" i="4"/>
  <c r="D1007" i="4" s="1"/>
  <c r="E1008" i="4" s="1"/>
  <c r="E1007" i="4"/>
  <c r="C1008" i="4"/>
  <c r="D1008" i="4"/>
  <c r="C1009" i="4"/>
  <c r="D1009" i="4" s="1"/>
  <c r="E1010" i="4" s="1"/>
  <c r="E1009" i="4"/>
  <c r="C1010" i="4"/>
  <c r="D1010" i="4"/>
  <c r="C1011" i="4"/>
  <c r="D1011" i="4" s="1"/>
  <c r="E1012" i="4" s="1"/>
  <c r="E1011" i="4"/>
  <c r="C1012" i="4"/>
  <c r="D1012" i="4"/>
  <c r="C1013" i="4"/>
  <c r="D1013" i="4" s="1"/>
  <c r="E1014" i="4" s="1"/>
  <c r="E1013" i="4"/>
  <c r="C1014" i="4"/>
  <c r="D1014" i="4"/>
  <c r="C1015" i="4"/>
  <c r="D1015" i="4" s="1"/>
  <c r="E1016" i="4" s="1"/>
  <c r="E1015" i="4"/>
  <c r="C1016" i="4"/>
  <c r="D1016" i="4"/>
  <c r="C1017" i="4"/>
  <c r="D1017" i="4" s="1"/>
  <c r="E1018" i="4" s="1"/>
  <c r="E1017" i="4"/>
  <c r="C1018" i="4"/>
  <c r="D1018" i="4"/>
  <c r="C1019" i="4"/>
  <c r="D1019" i="4" s="1"/>
  <c r="E1020" i="4" s="1"/>
  <c r="E1019" i="4"/>
  <c r="C1020" i="4"/>
  <c r="D1020" i="4"/>
  <c r="C1021" i="4"/>
  <c r="D1021" i="4" s="1"/>
  <c r="E1022" i="4" s="1"/>
  <c r="E1021" i="4"/>
  <c r="C1022" i="4"/>
  <c r="D1022" i="4"/>
  <c r="C1023" i="4"/>
  <c r="D1023" i="4" s="1"/>
  <c r="E1024" i="4" s="1"/>
  <c r="E1023" i="4"/>
  <c r="C1024" i="4"/>
  <c r="D1024" i="4"/>
  <c r="C1025" i="4"/>
  <c r="D1025" i="4" s="1"/>
  <c r="E1026" i="4" s="1"/>
  <c r="E1025" i="4"/>
  <c r="C1026" i="4"/>
  <c r="D1026" i="4"/>
  <c r="C1027" i="4"/>
  <c r="D1027" i="4" s="1"/>
  <c r="E1028" i="4" s="1"/>
  <c r="E1027" i="4"/>
  <c r="C1028" i="4"/>
  <c r="D1028" i="4"/>
  <c r="C1029" i="4"/>
  <c r="D1029" i="4" s="1"/>
  <c r="E1030" i="4" s="1"/>
  <c r="E1029" i="4"/>
  <c r="C1030" i="4"/>
  <c r="D1030" i="4"/>
  <c r="C1031" i="4"/>
  <c r="D1031" i="4" s="1"/>
  <c r="E1032" i="4" s="1"/>
  <c r="E1031" i="4"/>
  <c r="C1032" i="4"/>
  <c r="D1032" i="4"/>
  <c r="C1033" i="4"/>
  <c r="D1033" i="4" s="1"/>
  <c r="E1034" i="4" s="1"/>
  <c r="E1033" i="4"/>
  <c r="C1034" i="4"/>
  <c r="D1034" i="4"/>
  <c r="C1035" i="4"/>
  <c r="D1035" i="4" s="1"/>
  <c r="E1036" i="4" s="1"/>
  <c r="E1035" i="4"/>
  <c r="C1036" i="4"/>
  <c r="D1036" i="4"/>
  <c r="C1037" i="4"/>
  <c r="D1037" i="4" s="1"/>
  <c r="E1038" i="4" s="1"/>
  <c r="E1037" i="4"/>
  <c r="C1038" i="4"/>
  <c r="D1038" i="4"/>
  <c r="C1039" i="4"/>
  <c r="D1039" i="4" s="1"/>
  <c r="E1040" i="4" s="1"/>
  <c r="E1039" i="4"/>
  <c r="C1040" i="4"/>
  <c r="D1040" i="4"/>
  <c r="C1041" i="4"/>
  <c r="D1041" i="4" s="1"/>
  <c r="E1042" i="4" s="1"/>
  <c r="E1041" i="4"/>
  <c r="C1042" i="4"/>
  <c r="D1042" i="4"/>
  <c r="C1043" i="4"/>
  <c r="D1043" i="4" s="1"/>
  <c r="E1044" i="4" s="1"/>
  <c r="E1043" i="4"/>
  <c r="C1044" i="4"/>
  <c r="D1044" i="4"/>
  <c r="C1045" i="4"/>
  <c r="D1045" i="4" s="1"/>
  <c r="E1046" i="4" s="1"/>
  <c r="E1045" i="4"/>
  <c r="C1046" i="4"/>
  <c r="D1046" i="4"/>
  <c r="C1047" i="4"/>
  <c r="D1047" i="4" s="1"/>
  <c r="E1048" i="4" s="1"/>
  <c r="E1047" i="4"/>
  <c r="C1048" i="4"/>
  <c r="D1048" i="4"/>
  <c r="C1049" i="4"/>
  <c r="D1049" i="4" s="1"/>
  <c r="E1050" i="4" s="1"/>
  <c r="E1049" i="4"/>
  <c r="C1050" i="4"/>
  <c r="D1050" i="4"/>
  <c r="C1051" i="4"/>
  <c r="D1051" i="4" s="1"/>
  <c r="E1052" i="4" s="1"/>
  <c r="E1051" i="4"/>
  <c r="C1052" i="4"/>
  <c r="D1052" i="4"/>
  <c r="C1053" i="4"/>
  <c r="D1053" i="4" s="1"/>
  <c r="E1054" i="4" s="1"/>
  <c r="E1053" i="4"/>
  <c r="C1054" i="4"/>
  <c r="D1054" i="4"/>
  <c r="C1055" i="4"/>
  <c r="D1055" i="4" s="1"/>
  <c r="E1056" i="4" s="1"/>
  <c r="E1055" i="4"/>
  <c r="C1056" i="4"/>
  <c r="D1056" i="4"/>
  <c r="C1057" i="4"/>
  <c r="D1057" i="4" s="1"/>
  <c r="E1058" i="4" s="1"/>
  <c r="E1057" i="4"/>
  <c r="C1058" i="4"/>
  <c r="D1058" i="4"/>
  <c r="C1059" i="4"/>
  <c r="D1059" i="4" s="1"/>
  <c r="E1060" i="4" s="1"/>
  <c r="E1059" i="4"/>
  <c r="C1060" i="4"/>
  <c r="D1060" i="4"/>
  <c r="C1061" i="4"/>
  <c r="D1061" i="4" s="1"/>
  <c r="E1062" i="4" s="1"/>
  <c r="E1061" i="4"/>
  <c r="C1062" i="4"/>
  <c r="D1062" i="4"/>
  <c r="C1063" i="4"/>
  <c r="D1063" i="4" s="1"/>
  <c r="E1064" i="4" s="1"/>
  <c r="E1063" i="4"/>
  <c r="C1064" i="4"/>
  <c r="D1064" i="4"/>
  <c r="C1065" i="4"/>
  <c r="D1065" i="4" s="1"/>
  <c r="E1066" i="4" s="1"/>
  <c r="E1065" i="4"/>
  <c r="C1066" i="4"/>
  <c r="D1066" i="4"/>
  <c r="C1067" i="4"/>
  <c r="D1067" i="4" s="1"/>
  <c r="E1068" i="4" s="1"/>
  <c r="E1067" i="4"/>
  <c r="C1068" i="4"/>
  <c r="D1068" i="4"/>
  <c r="C1069" i="4"/>
  <c r="D1069" i="4" s="1"/>
  <c r="E1070" i="4" s="1"/>
  <c r="E1069" i="4"/>
  <c r="C1070" i="4"/>
  <c r="D1070" i="4"/>
  <c r="C1071" i="4"/>
  <c r="D1071" i="4" s="1"/>
  <c r="E1072" i="4" s="1"/>
  <c r="E1071" i="4"/>
  <c r="C1072" i="4"/>
  <c r="D1072" i="4"/>
  <c r="C1073" i="4"/>
  <c r="D1073" i="4" s="1"/>
  <c r="E1074" i="4" s="1"/>
  <c r="E1073" i="4"/>
  <c r="C1074" i="4"/>
  <c r="D1074" i="4"/>
  <c r="C1075" i="4"/>
  <c r="D1075" i="4" s="1"/>
  <c r="E1076" i="4" s="1"/>
  <c r="E1075" i="4"/>
  <c r="C1076" i="4"/>
  <c r="D1076" i="4"/>
  <c r="C1077" i="4"/>
  <c r="D1077" i="4" s="1"/>
  <c r="E1078" i="4" s="1"/>
  <c r="E1077" i="4"/>
  <c r="C1078" i="4"/>
  <c r="D1078" i="4"/>
  <c r="C1079" i="4"/>
  <c r="D1079" i="4" s="1"/>
  <c r="E1080" i="4" s="1"/>
  <c r="E1079" i="4"/>
  <c r="C1080" i="4"/>
  <c r="D1080" i="4"/>
  <c r="C1081" i="4"/>
  <c r="D1081" i="4" s="1"/>
  <c r="E1082" i="4" s="1"/>
  <c r="E1081" i="4"/>
  <c r="C1082" i="4"/>
  <c r="D1082" i="4"/>
  <c r="C1083" i="4"/>
  <c r="D1083" i="4" s="1"/>
  <c r="E1084" i="4" s="1"/>
  <c r="E1083" i="4"/>
  <c r="C1084" i="4"/>
  <c r="D1084" i="4"/>
  <c r="C1085" i="4"/>
  <c r="D1085" i="4" s="1"/>
  <c r="E1086" i="4" s="1"/>
  <c r="E1085" i="4"/>
  <c r="C1086" i="4"/>
  <c r="D1086" i="4"/>
  <c r="C1087" i="4"/>
  <c r="D1087" i="4" s="1"/>
  <c r="E1088" i="4" s="1"/>
  <c r="E1087" i="4"/>
  <c r="C1088" i="4"/>
  <c r="D1088" i="4"/>
  <c r="C1089" i="4"/>
  <c r="D1089" i="4" s="1"/>
  <c r="E1090" i="4" s="1"/>
  <c r="E1089" i="4"/>
  <c r="C1090" i="4"/>
  <c r="D1090" i="4"/>
  <c r="C1091" i="4"/>
  <c r="D1091" i="4" s="1"/>
  <c r="E1092" i="4" s="1"/>
  <c r="E1091" i="4"/>
  <c r="C1092" i="4"/>
  <c r="D1092" i="4"/>
  <c r="C1093" i="4"/>
  <c r="D1093" i="4" s="1"/>
  <c r="E1094" i="4" s="1"/>
  <c r="E1093" i="4"/>
  <c r="C1094" i="4"/>
  <c r="D1094" i="4"/>
  <c r="C1095" i="4"/>
  <c r="D1095" i="4" s="1"/>
  <c r="E1096" i="4" s="1"/>
  <c r="E1095" i="4"/>
  <c r="C1096" i="4"/>
  <c r="D1096" i="4"/>
  <c r="C1097" i="4"/>
  <c r="D1097" i="4" s="1"/>
  <c r="E1098" i="4" s="1"/>
  <c r="E1097" i="4"/>
  <c r="C1098" i="4"/>
  <c r="D1098" i="4"/>
  <c r="C1099" i="4"/>
  <c r="D1099" i="4" s="1"/>
  <c r="E1100" i="4" s="1"/>
  <c r="E1099" i="4"/>
  <c r="C1100" i="4"/>
  <c r="D1100" i="4"/>
  <c r="C1101" i="4"/>
  <c r="D1101" i="4" s="1"/>
  <c r="E1102" i="4" s="1"/>
  <c r="E1101" i="4"/>
  <c r="C1102" i="4"/>
  <c r="D1102" i="4"/>
  <c r="C1103" i="4"/>
  <c r="D1103" i="4" s="1"/>
  <c r="E1104" i="4" s="1"/>
  <c r="E1103" i="4"/>
  <c r="C1104" i="4"/>
  <c r="D1104" i="4"/>
  <c r="C1105" i="4"/>
  <c r="D1105" i="4" s="1"/>
  <c r="E1106" i="4" s="1"/>
  <c r="E1105" i="4"/>
  <c r="C1106" i="4"/>
  <c r="D1106" i="4"/>
  <c r="C1107" i="4"/>
  <c r="D1107" i="4" s="1"/>
  <c r="E1108" i="4" s="1"/>
  <c r="E1107" i="4"/>
  <c r="C1108" i="4"/>
  <c r="D1108" i="4"/>
  <c r="C1109" i="4"/>
  <c r="D1109" i="4" s="1"/>
  <c r="E1110" i="4" s="1"/>
  <c r="E1109" i="4"/>
  <c r="C1110" i="4"/>
  <c r="D1110" i="4"/>
  <c r="C1111" i="4"/>
  <c r="D1111" i="4" s="1"/>
  <c r="E1112" i="4" s="1"/>
  <c r="E1111" i="4"/>
  <c r="C1112" i="4"/>
  <c r="D1112" i="4"/>
  <c r="C1113" i="4"/>
  <c r="D1113" i="4" s="1"/>
  <c r="E1114" i="4" s="1"/>
  <c r="E1113" i="4"/>
  <c r="C1114" i="4"/>
  <c r="D1114" i="4"/>
  <c r="C1115" i="4"/>
  <c r="D1115" i="4" s="1"/>
  <c r="E1116" i="4" s="1"/>
  <c r="E1115" i="4"/>
  <c r="C1116" i="4"/>
  <c r="D1116" i="4"/>
  <c r="C1117" i="4"/>
  <c r="D1117" i="4" s="1"/>
  <c r="E1118" i="4" s="1"/>
  <c r="E1117" i="4"/>
  <c r="C1118" i="4"/>
  <c r="D1118" i="4"/>
  <c r="C1119" i="4"/>
  <c r="D1119" i="4" s="1"/>
  <c r="E1120" i="4" s="1"/>
  <c r="E1119" i="4"/>
  <c r="C1120" i="4"/>
  <c r="D1120" i="4"/>
  <c r="C1121" i="4"/>
  <c r="D1121" i="4" s="1"/>
  <c r="E1122" i="4" s="1"/>
  <c r="E1121" i="4"/>
  <c r="C1122" i="4"/>
  <c r="D1122" i="4"/>
  <c r="C1123" i="4"/>
  <c r="D1123" i="4" s="1"/>
  <c r="E1124" i="4" s="1"/>
  <c r="E1123" i="4"/>
  <c r="C1124" i="4"/>
  <c r="D1124" i="4"/>
  <c r="C1125" i="4"/>
  <c r="D1125" i="4" s="1"/>
  <c r="E1126" i="4" s="1"/>
  <c r="E1125" i="4"/>
  <c r="C1126" i="4"/>
  <c r="D1126" i="4"/>
  <c r="C1127" i="4"/>
  <c r="D1127" i="4" s="1"/>
  <c r="E1128" i="4" s="1"/>
  <c r="E1127" i="4"/>
  <c r="C1128" i="4"/>
  <c r="D1128" i="4"/>
  <c r="C1129" i="4"/>
  <c r="D1129" i="4" s="1"/>
  <c r="E1130" i="4" s="1"/>
  <c r="E1129" i="4"/>
  <c r="C1130" i="4"/>
  <c r="D1130" i="4"/>
  <c r="C1131" i="4"/>
  <c r="D1131" i="4" s="1"/>
  <c r="E1132" i="4" s="1"/>
  <c r="E1131" i="4"/>
  <c r="C1132" i="4"/>
  <c r="D1132" i="4"/>
  <c r="C1133" i="4"/>
  <c r="D1133" i="4" s="1"/>
  <c r="E1134" i="4" s="1"/>
  <c r="E1133" i="4"/>
  <c r="C1134" i="4"/>
  <c r="D1134" i="4"/>
  <c r="C1135" i="4"/>
  <c r="D1135" i="4" s="1"/>
  <c r="E1136" i="4" s="1"/>
  <c r="E1135" i="4"/>
  <c r="C1136" i="4"/>
  <c r="D1136" i="4"/>
  <c r="C1137" i="4"/>
  <c r="D1137" i="4" s="1"/>
  <c r="E1138" i="4" s="1"/>
  <c r="E1137" i="4"/>
  <c r="C1138" i="4"/>
  <c r="D1138" i="4"/>
  <c r="C1139" i="4"/>
  <c r="D1139" i="4" s="1"/>
  <c r="E1140" i="4" s="1"/>
  <c r="E1139" i="4"/>
  <c r="C1140" i="4"/>
  <c r="D1140" i="4"/>
  <c r="C1141" i="4"/>
  <c r="D1141" i="4" s="1"/>
  <c r="E1142" i="4" s="1"/>
  <c r="E1141" i="4"/>
  <c r="C1142" i="4"/>
  <c r="D1142" i="4"/>
  <c r="C1143" i="4"/>
  <c r="D1143" i="4" s="1"/>
  <c r="E1144" i="4" s="1"/>
  <c r="E1143" i="4"/>
  <c r="C1144" i="4"/>
  <c r="D1144" i="4"/>
  <c r="C1145" i="4"/>
  <c r="D1145" i="4" s="1"/>
  <c r="E1146" i="4" s="1"/>
  <c r="E1145" i="4"/>
  <c r="C1146" i="4"/>
  <c r="D1146" i="4"/>
  <c r="C1147" i="4"/>
  <c r="D1147" i="4" s="1"/>
  <c r="E1148" i="4" s="1"/>
  <c r="E1147" i="4"/>
  <c r="C1148" i="4"/>
  <c r="D1148" i="4"/>
  <c r="C1149" i="4"/>
  <c r="D1149" i="4" s="1"/>
  <c r="E1150" i="4" s="1"/>
  <c r="E1149" i="4"/>
  <c r="C1150" i="4"/>
  <c r="D1150" i="4"/>
  <c r="C1151" i="4"/>
  <c r="D1151" i="4" s="1"/>
  <c r="E1152" i="4" s="1"/>
  <c r="E1151" i="4"/>
  <c r="C1152" i="4"/>
  <c r="D1152" i="4"/>
  <c r="C1153" i="4"/>
  <c r="D1153" i="4" s="1"/>
  <c r="E1154" i="4" s="1"/>
  <c r="E1153" i="4"/>
  <c r="C1154" i="4"/>
  <c r="D1154" i="4"/>
  <c r="C1155" i="4"/>
  <c r="D1155" i="4" s="1"/>
  <c r="E1156" i="4" s="1"/>
  <c r="E1155" i="4"/>
  <c r="C1156" i="4"/>
  <c r="D1156" i="4"/>
  <c r="C1157" i="4"/>
  <c r="D1157" i="4" s="1"/>
  <c r="E1158" i="4" s="1"/>
  <c r="E1157" i="4"/>
  <c r="C1158" i="4"/>
  <c r="D1158" i="4"/>
  <c r="C1159" i="4"/>
  <c r="D1159" i="4" s="1"/>
  <c r="E1160" i="4" s="1"/>
  <c r="E1159" i="4"/>
  <c r="C1160" i="4"/>
  <c r="D1160" i="4"/>
  <c r="C1161" i="4"/>
  <c r="D1161" i="4" s="1"/>
  <c r="E1162" i="4" s="1"/>
  <c r="E1161" i="4"/>
  <c r="C1162" i="4"/>
  <c r="D1162" i="4"/>
  <c r="C1163" i="4"/>
  <c r="D1163" i="4" s="1"/>
  <c r="E1164" i="4" s="1"/>
  <c r="E1163" i="4"/>
  <c r="C1164" i="4"/>
  <c r="D1164" i="4"/>
  <c r="C1165" i="4"/>
  <c r="D1165" i="4" s="1"/>
  <c r="E1166" i="4" s="1"/>
  <c r="E1165" i="4"/>
  <c r="C1166" i="4"/>
  <c r="D1166" i="4"/>
  <c r="C1167" i="4"/>
  <c r="D1167" i="4" s="1"/>
  <c r="E1168" i="4" s="1"/>
  <c r="E1167" i="4"/>
  <c r="C1168" i="4"/>
  <c r="D1168" i="4"/>
  <c r="C1169" i="4"/>
  <c r="D1169" i="4" s="1"/>
  <c r="E1170" i="4" s="1"/>
  <c r="E1169" i="4"/>
  <c r="C1170" i="4"/>
  <c r="D1170" i="4"/>
  <c r="C1171" i="4"/>
  <c r="D1171" i="4" s="1"/>
  <c r="E1172" i="4" s="1"/>
  <c r="E1171" i="4"/>
  <c r="C1172" i="4"/>
  <c r="D1172" i="4"/>
  <c r="C1173" i="4"/>
  <c r="D1173" i="4" s="1"/>
  <c r="E1174" i="4" s="1"/>
  <c r="E1173" i="4"/>
  <c r="C1174" i="4"/>
  <c r="D1174" i="4"/>
  <c r="C1175" i="4"/>
  <c r="D1175" i="4" s="1"/>
  <c r="E1176" i="4" s="1"/>
  <c r="E1175" i="4"/>
  <c r="C1176" i="4"/>
  <c r="D1176" i="4"/>
  <c r="C1177" i="4"/>
  <c r="D1177" i="4" s="1"/>
  <c r="E1178" i="4" s="1"/>
  <c r="E1177" i="4"/>
  <c r="C1178" i="4"/>
  <c r="D1178" i="4"/>
  <c r="C1179" i="4"/>
  <c r="D1179" i="4" s="1"/>
  <c r="E1180" i="4" s="1"/>
  <c r="E1179" i="4"/>
  <c r="C1180" i="4"/>
  <c r="D1180" i="4"/>
  <c r="C1181" i="4"/>
  <c r="D1181" i="4" s="1"/>
  <c r="E1182" i="4" s="1"/>
  <c r="E1181" i="4"/>
  <c r="C1182" i="4"/>
  <c r="D1182" i="4"/>
  <c r="C1183" i="4"/>
  <c r="D1183" i="4" s="1"/>
  <c r="E1184" i="4" s="1"/>
  <c r="E1183" i="4"/>
  <c r="C1184" i="4"/>
  <c r="D1184" i="4"/>
  <c r="C1185" i="4"/>
  <c r="D1185" i="4" s="1"/>
  <c r="E1186" i="4" s="1"/>
  <c r="E1185" i="4"/>
  <c r="C1186" i="4"/>
  <c r="D1186" i="4"/>
  <c r="C1187" i="4"/>
  <c r="D1187" i="4" s="1"/>
  <c r="E1188" i="4" s="1"/>
  <c r="E1187" i="4"/>
  <c r="C1188" i="4"/>
  <c r="D1188" i="4"/>
  <c r="C1189" i="4"/>
  <c r="D1189" i="4" s="1"/>
  <c r="E1190" i="4" s="1"/>
  <c r="E1189" i="4"/>
  <c r="C1190" i="4"/>
  <c r="D1190" i="4"/>
  <c r="C1191" i="4"/>
  <c r="D1191" i="4" s="1"/>
  <c r="E1192" i="4" s="1"/>
  <c r="E1191" i="4"/>
  <c r="C1192" i="4"/>
  <c r="D1192" i="4"/>
  <c r="C1193" i="4"/>
  <c r="D1193" i="4" s="1"/>
  <c r="E1194" i="4" s="1"/>
  <c r="E1193" i="4"/>
  <c r="C1194" i="4"/>
  <c r="D1194" i="4"/>
  <c r="C1195" i="4"/>
  <c r="D1195" i="4" s="1"/>
  <c r="E1196" i="4" s="1"/>
  <c r="E1195" i="4"/>
  <c r="C1196" i="4"/>
  <c r="D1196" i="4"/>
  <c r="C1197" i="4"/>
  <c r="D1197" i="4" s="1"/>
  <c r="E1198" i="4" s="1"/>
  <c r="E1197" i="4"/>
  <c r="C1198" i="4"/>
  <c r="D1198" i="4"/>
  <c r="C1199" i="4"/>
  <c r="D1199" i="4" s="1"/>
  <c r="E1200" i="4" s="1"/>
  <c r="E1199" i="4"/>
  <c r="C1200" i="4"/>
  <c r="D1200" i="4"/>
  <c r="C1201" i="4"/>
  <c r="D1201" i="4" s="1"/>
  <c r="E1202" i="4" s="1"/>
  <c r="E1201" i="4"/>
  <c r="C1202" i="4"/>
  <c r="D1202" i="4"/>
  <c r="C1203" i="4"/>
  <c r="D1203" i="4" s="1"/>
  <c r="E1204" i="4" s="1"/>
  <c r="E1203" i="4"/>
  <c r="C1204" i="4"/>
  <c r="D1204" i="4"/>
  <c r="C1205" i="4"/>
  <c r="D1205" i="4" s="1"/>
  <c r="E1206" i="4" s="1"/>
  <c r="E1205" i="4"/>
  <c r="C1206" i="4"/>
  <c r="D1206" i="4"/>
  <c r="C1207" i="4"/>
  <c r="D1207" i="4" s="1"/>
  <c r="E1208" i="4" s="1"/>
  <c r="E1207" i="4"/>
  <c r="C1208" i="4"/>
  <c r="D1208" i="4"/>
  <c r="C1209" i="4"/>
  <c r="D1209" i="4" s="1"/>
  <c r="E1210" i="4" s="1"/>
  <c r="E1209" i="4"/>
  <c r="C1210" i="4"/>
  <c r="D1210" i="4"/>
  <c r="C1211" i="4"/>
  <c r="D1211" i="4" s="1"/>
  <c r="E1212" i="4" s="1"/>
  <c r="E1211" i="4"/>
  <c r="C1212" i="4"/>
  <c r="D1212" i="4"/>
  <c r="C1213" i="4"/>
  <c r="D1213" i="4" s="1"/>
  <c r="E1214" i="4" s="1"/>
  <c r="E1213" i="4"/>
  <c r="C1214" i="4"/>
  <c r="D1214" i="4"/>
  <c r="C1215" i="4"/>
  <c r="D1215" i="4" s="1"/>
  <c r="E1216" i="4" s="1"/>
  <c r="E1215" i="4"/>
  <c r="C1216" i="4"/>
  <c r="D1216" i="4"/>
  <c r="C1217" i="4"/>
  <c r="D1217" i="4" s="1"/>
  <c r="E1218" i="4" s="1"/>
  <c r="E1217" i="4"/>
  <c r="C1218" i="4"/>
  <c r="D1218" i="4"/>
  <c r="C1219" i="4"/>
  <c r="D1219" i="4" s="1"/>
  <c r="E1220" i="4" s="1"/>
  <c r="E1219" i="4"/>
  <c r="C1220" i="4"/>
  <c r="D1220" i="4"/>
  <c r="C1221" i="4"/>
  <c r="D1221" i="4" s="1"/>
  <c r="E1222" i="4" s="1"/>
  <c r="E1221" i="4"/>
  <c r="C1222" i="4"/>
  <c r="D1222" i="4"/>
  <c r="C1223" i="4"/>
  <c r="D1223" i="4" s="1"/>
  <c r="E1224" i="4" s="1"/>
  <c r="E1223" i="4"/>
  <c r="C1224" i="4"/>
  <c r="D1224" i="4"/>
  <c r="C1225" i="4"/>
  <c r="D1225" i="4" s="1"/>
  <c r="E1226" i="4" s="1"/>
  <c r="E1225" i="4"/>
  <c r="C1226" i="4"/>
  <c r="D1226" i="4"/>
  <c r="C1227" i="4"/>
  <c r="D1227" i="4" s="1"/>
  <c r="E1228" i="4" s="1"/>
  <c r="E1227" i="4"/>
  <c r="C1228" i="4"/>
  <c r="D1228" i="4"/>
  <c r="C1229" i="4"/>
  <c r="D1229" i="4" s="1"/>
  <c r="E1230" i="4" s="1"/>
  <c r="E1229" i="4"/>
  <c r="C1230" i="4"/>
  <c r="D1230" i="4"/>
  <c r="C1231" i="4"/>
  <c r="D1231" i="4" s="1"/>
  <c r="E1232" i="4" s="1"/>
  <c r="E1231" i="4"/>
  <c r="C1232" i="4"/>
  <c r="D1232" i="4"/>
  <c r="C1233" i="4"/>
  <c r="D1233" i="4" s="1"/>
  <c r="E1234" i="4" s="1"/>
  <c r="E1233" i="4"/>
  <c r="C1234" i="4"/>
  <c r="D1234" i="4"/>
  <c r="C1235" i="4"/>
  <c r="D1235" i="4" s="1"/>
  <c r="E1236" i="4" s="1"/>
  <c r="E1235" i="4"/>
  <c r="C1236" i="4"/>
  <c r="D1236" i="4"/>
  <c r="C1237" i="4"/>
  <c r="D1237" i="4" s="1"/>
  <c r="E1238" i="4" s="1"/>
  <c r="E1237" i="4"/>
  <c r="C1238" i="4"/>
  <c r="D1238" i="4"/>
  <c r="C1239" i="4"/>
  <c r="D1239" i="4" s="1"/>
  <c r="E1240" i="4" s="1"/>
  <c r="E1239" i="4"/>
  <c r="C1240" i="4"/>
  <c r="D1240" i="4"/>
  <c r="C1241" i="4"/>
  <c r="D1241" i="4" s="1"/>
  <c r="E1242" i="4" s="1"/>
  <c r="E1241" i="4"/>
  <c r="C1242" i="4"/>
  <c r="D1242" i="4"/>
  <c r="C1243" i="4"/>
  <c r="D1243" i="4" s="1"/>
  <c r="E1244" i="4" s="1"/>
  <c r="E1243" i="4"/>
  <c r="C1244" i="4"/>
  <c r="D1244" i="4"/>
  <c r="C1245" i="4"/>
  <c r="D1245" i="4" s="1"/>
  <c r="E1246" i="4" s="1"/>
  <c r="E1245" i="4"/>
  <c r="C1246" i="4"/>
  <c r="D1246" i="4"/>
  <c r="C1247" i="4"/>
  <c r="D1247" i="4" s="1"/>
  <c r="E1248" i="4" s="1"/>
  <c r="E1247" i="4"/>
  <c r="C1248" i="4"/>
  <c r="D1248" i="4"/>
  <c r="C1249" i="4"/>
  <c r="D1249" i="4" s="1"/>
  <c r="E1250" i="4" s="1"/>
  <c r="E1249" i="4"/>
  <c r="C1250" i="4"/>
  <c r="D1250" i="4"/>
  <c r="C1251" i="4"/>
  <c r="D1251" i="4" s="1"/>
  <c r="E1252" i="4" s="1"/>
  <c r="E1251" i="4"/>
  <c r="C1252" i="4"/>
  <c r="D1252" i="4"/>
  <c r="C1253" i="4"/>
  <c r="D1253" i="4" s="1"/>
  <c r="E1254" i="4" s="1"/>
  <c r="E1253" i="4"/>
  <c r="C1254" i="4"/>
  <c r="D1254" i="4"/>
  <c r="C1255" i="4"/>
  <c r="D1255" i="4" s="1"/>
  <c r="E1256" i="4" s="1"/>
  <c r="E1255" i="4"/>
  <c r="C1256" i="4"/>
  <c r="D1256" i="4"/>
  <c r="C1257" i="4"/>
  <c r="D1257" i="4" s="1"/>
  <c r="E1258" i="4" s="1"/>
  <c r="E1257" i="4"/>
  <c r="C1258" i="4"/>
  <c r="D1258" i="4"/>
  <c r="C1259" i="4"/>
  <c r="D1259" i="4" s="1"/>
  <c r="E1260" i="4" s="1"/>
  <c r="E1259" i="4"/>
  <c r="C1260" i="4"/>
  <c r="D1260" i="4"/>
  <c r="C1261" i="4"/>
  <c r="D1261" i="4" s="1"/>
  <c r="E1262" i="4" s="1"/>
  <c r="E1261" i="4"/>
  <c r="C1262" i="4"/>
  <c r="D1262" i="4"/>
  <c r="C1263" i="4"/>
  <c r="D1263" i="4" s="1"/>
  <c r="E1264" i="4" s="1"/>
  <c r="E1263" i="4"/>
  <c r="C1264" i="4"/>
  <c r="D1264" i="4"/>
  <c r="C1265" i="4"/>
  <c r="D1265" i="4" s="1"/>
  <c r="E1266" i="4" s="1"/>
  <c r="E1265" i="4"/>
  <c r="C1266" i="4"/>
  <c r="D1266" i="4"/>
  <c r="C1267" i="4"/>
  <c r="D1267" i="4" s="1"/>
  <c r="E1268" i="4" s="1"/>
  <c r="E1267" i="4"/>
  <c r="C1268" i="4"/>
  <c r="D1268" i="4"/>
  <c r="C1269" i="4"/>
  <c r="D1269" i="4" s="1"/>
  <c r="E1270" i="4" s="1"/>
  <c r="E1269" i="4"/>
  <c r="C1270" i="4"/>
  <c r="D1270" i="4"/>
  <c r="C1271" i="4"/>
  <c r="D1271" i="4" s="1"/>
  <c r="E1272" i="4" s="1"/>
  <c r="E1271" i="4"/>
  <c r="C1272" i="4"/>
  <c r="D1272" i="4"/>
  <c r="C1273" i="4"/>
  <c r="D1273" i="4" s="1"/>
  <c r="E1274" i="4" s="1"/>
  <c r="E1273" i="4"/>
  <c r="C1274" i="4"/>
  <c r="D1274" i="4"/>
  <c r="C1275" i="4"/>
  <c r="D1275" i="4" s="1"/>
  <c r="E1276" i="4" s="1"/>
  <c r="E1275" i="4"/>
  <c r="C1276" i="4"/>
  <c r="D1276" i="4"/>
  <c r="C1277" i="4"/>
  <c r="D1277" i="4" s="1"/>
  <c r="E1278" i="4" s="1"/>
  <c r="E1277" i="4"/>
  <c r="C1278" i="4"/>
  <c r="D1278" i="4"/>
  <c r="C1279" i="4"/>
  <c r="D1279" i="4" s="1"/>
  <c r="E1280" i="4" s="1"/>
  <c r="E1279" i="4"/>
  <c r="C1280" i="4"/>
  <c r="D1280" i="4"/>
  <c r="C1281" i="4"/>
  <c r="D1281" i="4" s="1"/>
  <c r="E1282" i="4" s="1"/>
  <c r="E1281" i="4"/>
  <c r="C1282" i="4"/>
  <c r="D1282" i="4"/>
  <c r="C1283" i="4"/>
  <c r="D1283" i="4" s="1"/>
  <c r="E1284" i="4" s="1"/>
  <c r="E1283" i="4"/>
  <c r="C1284" i="4"/>
  <c r="D1284" i="4"/>
  <c r="C1285" i="4"/>
  <c r="D1285" i="4" s="1"/>
  <c r="E1286" i="4" s="1"/>
  <c r="E1285" i="4"/>
  <c r="C1286" i="4"/>
  <c r="D1286" i="4"/>
  <c r="C1287" i="4"/>
  <c r="D1287" i="4" s="1"/>
  <c r="E1288" i="4" s="1"/>
  <c r="E1287" i="4"/>
  <c r="C1288" i="4"/>
  <c r="D1288" i="4"/>
  <c r="C1289" i="4"/>
  <c r="D1289" i="4" s="1"/>
  <c r="E1290" i="4" s="1"/>
  <c r="E1289" i="4"/>
  <c r="C1290" i="4"/>
  <c r="D1290" i="4"/>
  <c r="C1291" i="4"/>
  <c r="D1291" i="4" s="1"/>
  <c r="E1292" i="4" s="1"/>
  <c r="E1291" i="4"/>
  <c r="C1292" i="4"/>
  <c r="D1292" i="4"/>
  <c r="C1293" i="4"/>
  <c r="D1293" i="4" s="1"/>
  <c r="E1294" i="4" s="1"/>
  <c r="E1293" i="4"/>
  <c r="C1294" i="4"/>
  <c r="D1294" i="4"/>
  <c r="C1295" i="4"/>
  <c r="D1295" i="4" s="1"/>
  <c r="E1296" i="4" s="1"/>
  <c r="E1295" i="4"/>
  <c r="C1296" i="4"/>
  <c r="D1296" i="4"/>
  <c r="C1297" i="4"/>
  <c r="D1297" i="4" s="1"/>
  <c r="E1298" i="4" s="1"/>
  <c r="E1297" i="4"/>
  <c r="C1298" i="4"/>
  <c r="D1298" i="4"/>
  <c r="C1299" i="4"/>
  <c r="D1299" i="4" s="1"/>
  <c r="E1300" i="4" s="1"/>
  <c r="E1299" i="4"/>
  <c r="C1300" i="4"/>
  <c r="D1300" i="4"/>
  <c r="C1301" i="4"/>
  <c r="D1301" i="4" s="1"/>
  <c r="E1302" i="4" s="1"/>
  <c r="E1301" i="4"/>
  <c r="C1302" i="4"/>
  <c r="D1302" i="4"/>
  <c r="C1303" i="4"/>
  <c r="D1303" i="4" s="1"/>
  <c r="E1304" i="4" s="1"/>
  <c r="E1303" i="4"/>
  <c r="C1304" i="4"/>
  <c r="D1304" i="4"/>
  <c r="C1305" i="4"/>
  <c r="D1305" i="4" s="1"/>
  <c r="E1306" i="4" s="1"/>
  <c r="E1305" i="4"/>
  <c r="C1306" i="4"/>
  <c r="D1306" i="4"/>
  <c r="C1307" i="4"/>
  <c r="D1307" i="4" s="1"/>
  <c r="E1308" i="4" s="1"/>
  <c r="E1307" i="4"/>
  <c r="C1308" i="4"/>
  <c r="D1308" i="4"/>
  <c r="C1309" i="4"/>
  <c r="D1309" i="4" s="1"/>
  <c r="E1310" i="4" s="1"/>
  <c r="E1309" i="4"/>
  <c r="C1310" i="4"/>
  <c r="D1310" i="4"/>
  <c r="C1311" i="4"/>
  <c r="D1311" i="4" s="1"/>
  <c r="E1312" i="4" s="1"/>
  <c r="E1311" i="4"/>
  <c r="C1312" i="4"/>
  <c r="D1312" i="4"/>
  <c r="C1313" i="4"/>
  <c r="D1313" i="4" s="1"/>
  <c r="E1314" i="4" s="1"/>
  <c r="E1313" i="4"/>
  <c r="C1314" i="4"/>
  <c r="D1314" i="4"/>
  <c r="C1315" i="4"/>
  <c r="D1315" i="4" s="1"/>
  <c r="E1316" i="4" s="1"/>
  <c r="E1315" i="4"/>
  <c r="C1316" i="4"/>
  <c r="D1316" i="4"/>
  <c r="E5" i="3"/>
  <c r="C14" i="3"/>
  <c r="D14" i="3"/>
  <c r="C15" i="3"/>
  <c r="D15" i="3" s="1"/>
  <c r="E16" i="3" s="1"/>
  <c r="E15" i="3"/>
  <c r="C16" i="3"/>
  <c r="D16" i="3"/>
  <c r="E17" i="3" s="1"/>
  <c r="C17" i="3"/>
  <c r="D17" i="3" s="1"/>
  <c r="E18" i="3" s="1"/>
  <c r="C18" i="3"/>
  <c r="D18" i="3"/>
  <c r="E19" i="3" s="1"/>
  <c r="C19" i="3"/>
  <c r="D19" i="3" s="1"/>
  <c r="E20" i="3" s="1"/>
  <c r="C20" i="3"/>
  <c r="D20" i="3"/>
  <c r="E21" i="3" s="1"/>
  <c r="C21" i="3"/>
  <c r="D21" i="3" s="1"/>
  <c r="E22" i="3" s="1"/>
  <c r="C22" i="3"/>
  <c r="D22" i="3"/>
  <c r="E23" i="3" s="1"/>
  <c r="C23" i="3"/>
  <c r="D23" i="3" s="1"/>
  <c r="E24" i="3" s="1"/>
  <c r="C24" i="3"/>
  <c r="D24" i="3"/>
  <c r="E25" i="3" s="1"/>
  <c r="C25" i="3"/>
  <c r="D25" i="3" s="1"/>
  <c r="E26" i="3" s="1"/>
  <c r="C26" i="3"/>
  <c r="D26" i="3"/>
  <c r="E27" i="3" s="1"/>
  <c r="C27" i="3"/>
  <c r="D27" i="3" s="1"/>
  <c r="E28" i="3" s="1"/>
  <c r="C28" i="3"/>
  <c r="D28" i="3"/>
  <c r="E29" i="3" s="1"/>
  <c r="C29" i="3"/>
  <c r="D29" i="3" s="1"/>
  <c r="E30" i="3" s="1"/>
  <c r="C30" i="3"/>
  <c r="D30" i="3"/>
  <c r="E31" i="3" s="1"/>
  <c r="C31" i="3"/>
  <c r="D31" i="3" s="1"/>
  <c r="E32" i="3" s="1"/>
  <c r="C32" i="3"/>
  <c r="D32" i="3"/>
  <c r="E33" i="3" s="1"/>
  <c r="C33" i="3"/>
  <c r="D33" i="3" s="1"/>
  <c r="E34" i="3" s="1"/>
  <c r="C34" i="3"/>
  <c r="D34" i="3"/>
  <c r="E35" i="3" s="1"/>
  <c r="C35" i="3"/>
  <c r="D35" i="3" s="1"/>
  <c r="E36" i="3" s="1"/>
  <c r="C36" i="3"/>
  <c r="D36" i="3"/>
  <c r="E37" i="3" s="1"/>
  <c r="C37" i="3"/>
  <c r="D37" i="3" s="1"/>
  <c r="E38" i="3" s="1"/>
  <c r="C38" i="3"/>
  <c r="D38" i="3"/>
  <c r="E39" i="3" s="1"/>
  <c r="C39" i="3"/>
  <c r="D39" i="3" s="1"/>
  <c r="E40" i="3" s="1"/>
  <c r="C40" i="3"/>
  <c r="D40" i="3"/>
  <c r="E41" i="3" s="1"/>
  <c r="C41" i="3"/>
  <c r="D41" i="3" s="1"/>
  <c r="E42" i="3" s="1"/>
  <c r="C42" i="3"/>
  <c r="D42" i="3"/>
  <c r="E43" i="3" s="1"/>
  <c r="C43" i="3"/>
  <c r="D43" i="3" s="1"/>
  <c r="E44" i="3" s="1"/>
  <c r="C44" i="3"/>
  <c r="D44" i="3"/>
  <c r="C45" i="3"/>
  <c r="D45" i="3" s="1"/>
  <c r="E46" i="3" s="1"/>
  <c r="E45" i="3"/>
  <c r="C46" i="3"/>
  <c r="D46" i="3"/>
  <c r="C47" i="3"/>
  <c r="D47" i="3" s="1"/>
  <c r="E48" i="3" s="1"/>
  <c r="E47" i="3"/>
  <c r="C48" i="3"/>
  <c r="D48" i="3"/>
  <c r="C49" i="3"/>
  <c r="D49" i="3" s="1"/>
  <c r="E50" i="3" s="1"/>
  <c r="E49" i="3"/>
  <c r="C50" i="3"/>
  <c r="D50" i="3"/>
  <c r="C51" i="3"/>
  <c r="D51" i="3" s="1"/>
  <c r="E52" i="3" s="1"/>
  <c r="E51" i="3"/>
  <c r="C52" i="3"/>
  <c r="D52" i="3"/>
  <c r="C53" i="3"/>
  <c r="D53" i="3" s="1"/>
  <c r="E54" i="3" s="1"/>
  <c r="E53" i="3"/>
  <c r="C54" i="3"/>
  <c r="D54" i="3"/>
  <c r="C55" i="3"/>
  <c r="D55" i="3" s="1"/>
  <c r="E56" i="3" s="1"/>
  <c r="E55" i="3"/>
  <c r="C56" i="3"/>
  <c r="D56" i="3"/>
  <c r="C57" i="3"/>
  <c r="D57" i="3" s="1"/>
  <c r="E58" i="3" s="1"/>
  <c r="E57" i="3"/>
  <c r="C58" i="3"/>
  <c r="D58" i="3"/>
  <c r="C59" i="3"/>
  <c r="D59" i="3" s="1"/>
  <c r="E60" i="3" s="1"/>
  <c r="E59" i="3"/>
  <c r="C60" i="3"/>
  <c r="D60" i="3"/>
  <c r="C61" i="3"/>
  <c r="D61" i="3" s="1"/>
  <c r="E62" i="3" s="1"/>
  <c r="E61" i="3"/>
  <c r="C62" i="3"/>
  <c r="D62" i="3"/>
  <c r="C63" i="3"/>
  <c r="D63" i="3" s="1"/>
  <c r="E64" i="3" s="1"/>
  <c r="E63" i="3"/>
  <c r="C64" i="3"/>
  <c r="D64" i="3"/>
  <c r="C65" i="3"/>
  <c r="D65" i="3" s="1"/>
  <c r="E66" i="3" s="1"/>
  <c r="E65" i="3"/>
  <c r="C66" i="3"/>
  <c r="D66" i="3"/>
  <c r="C67" i="3"/>
  <c r="D67" i="3" s="1"/>
  <c r="E68" i="3" s="1"/>
  <c r="E67" i="3"/>
  <c r="C68" i="3"/>
  <c r="D68" i="3"/>
  <c r="C69" i="3"/>
  <c r="D69" i="3" s="1"/>
  <c r="E70" i="3" s="1"/>
  <c r="E69" i="3"/>
  <c r="C70" i="3"/>
  <c r="D70" i="3"/>
  <c r="C71" i="3"/>
  <c r="D71" i="3" s="1"/>
  <c r="E72" i="3" s="1"/>
  <c r="E71" i="3"/>
  <c r="C72" i="3"/>
  <c r="D72" i="3"/>
  <c r="C73" i="3"/>
  <c r="D73" i="3" s="1"/>
  <c r="E74" i="3" s="1"/>
  <c r="E73" i="3"/>
  <c r="C74" i="3"/>
  <c r="D74" i="3"/>
  <c r="C75" i="3"/>
  <c r="D75" i="3" s="1"/>
  <c r="E76" i="3" s="1"/>
  <c r="E75" i="3"/>
  <c r="C76" i="3"/>
  <c r="D76" i="3"/>
  <c r="C77" i="3"/>
  <c r="D77" i="3" s="1"/>
  <c r="E78" i="3" s="1"/>
  <c r="E77" i="3"/>
  <c r="C78" i="3"/>
  <c r="D78" i="3"/>
  <c r="C79" i="3"/>
  <c r="D79" i="3" s="1"/>
  <c r="E80" i="3" s="1"/>
  <c r="E79" i="3"/>
  <c r="C80" i="3"/>
  <c r="D80" i="3"/>
  <c r="C81" i="3"/>
  <c r="D81" i="3" s="1"/>
  <c r="E82" i="3" s="1"/>
  <c r="E81" i="3"/>
  <c r="C82" i="3"/>
  <c r="D82" i="3"/>
  <c r="C83" i="3"/>
  <c r="D83" i="3" s="1"/>
  <c r="E84" i="3" s="1"/>
  <c r="E83" i="3"/>
  <c r="C84" i="3"/>
  <c r="D84" i="3"/>
  <c r="C85" i="3"/>
  <c r="D85" i="3" s="1"/>
  <c r="E86" i="3" s="1"/>
  <c r="E85" i="3"/>
  <c r="C86" i="3"/>
  <c r="D86" i="3"/>
  <c r="C87" i="3"/>
  <c r="D87" i="3" s="1"/>
  <c r="E88" i="3" s="1"/>
  <c r="E87" i="3"/>
  <c r="C88" i="3"/>
  <c r="D88" i="3"/>
  <c r="C89" i="3"/>
  <c r="D89" i="3" s="1"/>
  <c r="E90" i="3" s="1"/>
  <c r="E89" i="3"/>
  <c r="C90" i="3"/>
  <c r="D90" i="3"/>
  <c r="C91" i="3"/>
  <c r="D91" i="3" s="1"/>
  <c r="E92" i="3" s="1"/>
  <c r="E91" i="3"/>
  <c r="C92" i="3"/>
  <c r="D92" i="3"/>
  <c r="C93" i="3"/>
  <c r="D93" i="3" s="1"/>
  <c r="E94" i="3" s="1"/>
  <c r="E93" i="3"/>
  <c r="C94" i="3"/>
  <c r="D94" i="3"/>
  <c r="C95" i="3"/>
  <c r="D95" i="3" s="1"/>
  <c r="E96" i="3" s="1"/>
  <c r="E95" i="3"/>
  <c r="C96" i="3"/>
  <c r="D96" i="3"/>
  <c r="C97" i="3"/>
  <c r="D97" i="3" s="1"/>
  <c r="E98" i="3" s="1"/>
  <c r="E97" i="3"/>
  <c r="C98" i="3"/>
  <c r="D98" i="3"/>
  <c r="C99" i="3"/>
  <c r="D99" i="3" s="1"/>
  <c r="E99" i="3"/>
  <c r="C100" i="3"/>
  <c r="D100" i="3" s="1"/>
  <c r="E101" i="3" s="1"/>
  <c r="E100" i="3"/>
  <c r="C101" i="3"/>
  <c r="D101" i="3"/>
  <c r="C102" i="3"/>
  <c r="D102" i="3" s="1"/>
  <c r="E103" i="3" s="1"/>
  <c r="E102" i="3"/>
  <c r="C103" i="3"/>
  <c r="D103" i="3"/>
  <c r="C104" i="3"/>
  <c r="D104" i="3" s="1"/>
  <c r="E105" i="3" s="1"/>
  <c r="E104" i="3"/>
  <c r="C105" i="3"/>
  <c r="D105" i="3"/>
  <c r="C106" i="3"/>
  <c r="D106" i="3" s="1"/>
  <c r="E107" i="3" s="1"/>
  <c r="E106" i="3"/>
  <c r="C107" i="3"/>
  <c r="D107" i="3"/>
  <c r="C108" i="3"/>
  <c r="D108" i="3" s="1"/>
  <c r="E109" i="3" s="1"/>
  <c r="E108" i="3"/>
  <c r="C109" i="3"/>
  <c r="D109" i="3"/>
  <c r="C110" i="3"/>
  <c r="D110" i="3" s="1"/>
  <c r="E111" i="3" s="1"/>
  <c r="E110" i="3"/>
  <c r="C111" i="3"/>
  <c r="D111" i="3"/>
  <c r="C112" i="3"/>
  <c r="D112" i="3" s="1"/>
  <c r="E113" i="3" s="1"/>
  <c r="E112" i="3"/>
  <c r="C113" i="3"/>
  <c r="D113" i="3"/>
  <c r="C114" i="3"/>
  <c r="D114" i="3" s="1"/>
  <c r="E115" i="3" s="1"/>
  <c r="E114" i="3"/>
  <c r="C115" i="3"/>
  <c r="D115" i="3"/>
  <c r="C116" i="3"/>
  <c r="D116" i="3" s="1"/>
  <c r="E117" i="3" s="1"/>
  <c r="E116" i="3"/>
  <c r="C117" i="3"/>
  <c r="D117" i="3"/>
  <c r="C118" i="3"/>
  <c r="D118" i="3" s="1"/>
  <c r="E119" i="3" s="1"/>
  <c r="E118" i="3"/>
  <c r="C119" i="3"/>
  <c r="D119" i="3"/>
  <c r="C120" i="3"/>
  <c r="D120" i="3" s="1"/>
  <c r="E121" i="3" s="1"/>
  <c r="E120" i="3"/>
  <c r="C121" i="3"/>
  <c r="D121" i="3"/>
  <c r="C122" i="3"/>
  <c r="D122" i="3" s="1"/>
  <c r="E123" i="3" s="1"/>
  <c r="E122" i="3"/>
  <c r="C123" i="3"/>
  <c r="D123" i="3"/>
  <c r="C124" i="3"/>
  <c r="D124" i="3" s="1"/>
  <c r="E125" i="3" s="1"/>
  <c r="E124" i="3"/>
  <c r="C125" i="3"/>
  <c r="D125" i="3"/>
  <c r="C126" i="3"/>
  <c r="D126" i="3" s="1"/>
  <c r="E127" i="3" s="1"/>
  <c r="E126" i="3"/>
  <c r="C127" i="3"/>
  <c r="D127" i="3"/>
  <c r="C128" i="3"/>
  <c r="D128" i="3" s="1"/>
  <c r="E129" i="3" s="1"/>
  <c r="E128" i="3"/>
  <c r="C129" i="3"/>
  <c r="D129" i="3"/>
  <c r="C130" i="3"/>
  <c r="D130" i="3" s="1"/>
  <c r="E131" i="3" s="1"/>
  <c r="E130" i="3"/>
  <c r="C131" i="3"/>
  <c r="D131" i="3"/>
  <c r="C132" i="3"/>
  <c r="D132" i="3" s="1"/>
  <c r="E133" i="3" s="1"/>
  <c r="E132" i="3"/>
  <c r="C133" i="3"/>
  <c r="D133" i="3"/>
  <c r="C134" i="3"/>
  <c r="D134" i="3" s="1"/>
  <c r="E135" i="3" s="1"/>
  <c r="E134" i="3"/>
  <c r="C135" i="3"/>
  <c r="D135" i="3"/>
  <c r="C136" i="3"/>
  <c r="D136" i="3" s="1"/>
  <c r="E137" i="3" s="1"/>
  <c r="E136" i="3"/>
  <c r="C137" i="3"/>
  <c r="D137" i="3"/>
  <c r="C138" i="3"/>
  <c r="D138" i="3" s="1"/>
  <c r="E139" i="3" s="1"/>
  <c r="E138" i="3"/>
  <c r="C139" i="3"/>
  <c r="D139" i="3"/>
  <c r="C140" i="3"/>
  <c r="D140" i="3" s="1"/>
  <c r="E141" i="3" s="1"/>
  <c r="E140" i="3"/>
  <c r="C141" i="3"/>
  <c r="D141" i="3"/>
  <c r="C142" i="3"/>
  <c r="D142" i="3" s="1"/>
  <c r="E143" i="3" s="1"/>
  <c r="E142" i="3"/>
  <c r="C143" i="3"/>
  <c r="D143" i="3"/>
  <c r="C144" i="3"/>
  <c r="D144" i="3" s="1"/>
  <c r="E145" i="3" s="1"/>
  <c r="E144" i="3"/>
  <c r="C145" i="3"/>
  <c r="D145" i="3"/>
  <c r="C146" i="3"/>
  <c r="D146" i="3" s="1"/>
  <c r="E147" i="3" s="1"/>
  <c r="E146" i="3"/>
  <c r="C147" i="3"/>
  <c r="D147" i="3"/>
  <c r="C148" i="3"/>
  <c r="D148" i="3" s="1"/>
  <c r="E149" i="3" s="1"/>
  <c r="E148" i="3"/>
  <c r="C149" i="3"/>
  <c r="D149" i="3"/>
  <c r="C150" i="3"/>
  <c r="D150" i="3" s="1"/>
  <c r="E151" i="3" s="1"/>
  <c r="E150" i="3"/>
  <c r="C151" i="3"/>
  <c r="D151" i="3"/>
  <c r="C152" i="3"/>
  <c r="D152" i="3" s="1"/>
  <c r="E153" i="3" s="1"/>
  <c r="E152" i="3"/>
  <c r="C153" i="3"/>
  <c r="D153" i="3"/>
  <c r="C154" i="3"/>
  <c r="D154" i="3" s="1"/>
  <c r="E155" i="3" s="1"/>
  <c r="E154" i="3"/>
  <c r="C155" i="3"/>
  <c r="D155" i="3"/>
  <c r="C156" i="3"/>
  <c r="D156" i="3" s="1"/>
  <c r="E157" i="3" s="1"/>
  <c r="E156" i="3"/>
  <c r="C157" i="3"/>
  <c r="D157" i="3"/>
  <c r="C158" i="3"/>
  <c r="D158" i="3" s="1"/>
  <c r="E159" i="3" s="1"/>
  <c r="E158" i="3"/>
  <c r="C159" i="3"/>
  <c r="D159" i="3"/>
  <c r="C160" i="3"/>
  <c r="D160" i="3" s="1"/>
  <c r="E161" i="3" s="1"/>
  <c r="E160" i="3"/>
  <c r="C161" i="3"/>
  <c r="D161" i="3"/>
  <c r="C162" i="3"/>
  <c r="D162" i="3" s="1"/>
  <c r="E163" i="3" s="1"/>
  <c r="E162" i="3"/>
  <c r="C163" i="3"/>
  <c r="D163" i="3"/>
  <c r="C164" i="3"/>
  <c r="D164" i="3" s="1"/>
  <c r="E165" i="3" s="1"/>
  <c r="E164" i="3"/>
  <c r="C165" i="3"/>
  <c r="D165" i="3"/>
  <c r="C166" i="3"/>
  <c r="D166" i="3" s="1"/>
  <c r="E167" i="3" s="1"/>
  <c r="E166" i="3"/>
  <c r="C167" i="3"/>
  <c r="D167" i="3"/>
  <c r="C168" i="3"/>
  <c r="D168" i="3" s="1"/>
  <c r="E169" i="3" s="1"/>
  <c r="E168" i="3"/>
  <c r="C169" i="3"/>
  <c r="D169" i="3"/>
  <c r="C170" i="3"/>
  <c r="D170" i="3" s="1"/>
  <c r="E171" i="3" s="1"/>
  <c r="E170" i="3"/>
  <c r="C171" i="3"/>
  <c r="D171" i="3"/>
  <c r="C172" i="3"/>
  <c r="D172" i="3" s="1"/>
  <c r="E173" i="3" s="1"/>
  <c r="E172" i="3"/>
  <c r="C173" i="3"/>
  <c r="D173" i="3"/>
  <c r="C174" i="3"/>
  <c r="D174" i="3" s="1"/>
  <c r="E175" i="3" s="1"/>
  <c r="E174" i="3"/>
  <c r="C175" i="3"/>
  <c r="D175" i="3"/>
  <c r="E176" i="3" s="1"/>
  <c r="C176" i="3"/>
  <c r="D176" i="3" s="1"/>
  <c r="E177" i="3" s="1"/>
  <c r="C177" i="3"/>
  <c r="D177" i="3"/>
  <c r="E178" i="3" s="1"/>
  <c r="C178" i="3"/>
  <c r="D178" i="3" s="1"/>
  <c r="E179" i="3" s="1"/>
  <c r="C179" i="3"/>
  <c r="D179" i="3"/>
  <c r="E180" i="3" s="1"/>
  <c r="C180" i="3"/>
  <c r="D180" i="3" s="1"/>
  <c r="E181" i="3" s="1"/>
  <c r="C181" i="3"/>
  <c r="D181" i="3"/>
  <c r="E182" i="3" s="1"/>
  <c r="C182" i="3"/>
  <c r="D182" i="3" s="1"/>
  <c r="E183" i="3" s="1"/>
  <c r="C183" i="3"/>
  <c r="D183" i="3"/>
  <c r="E184" i="3" s="1"/>
  <c r="C184" i="3"/>
  <c r="D184" i="3" s="1"/>
  <c r="E185" i="3" s="1"/>
  <c r="C185" i="3"/>
  <c r="D185" i="3"/>
  <c r="E186" i="3" s="1"/>
  <c r="C186" i="3"/>
  <c r="D186" i="3" s="1"/>
  <c r="E187" i="3" s="1"/>
  <c r="C187" i="3"/>
  <c r="D187" i="3"/>
  <c r="E188" i="3" s="1"/>
  <c r="C188" i="3"/>
  <c r="D188" i="3" s="1"/>
  <c r="E189" i="3" s="1"/>
  <c r="C189" i="3"/>
  <c r="D189" i="3"/>
  <c r="E190" i="3" s="1"/>
  <c r="C190" i="3"/>
  <c r="D190" i="3" s="1"/>
  <c r="C191" i="3"/>
  <c r="D191" i="3"/>
  <c r="E192" i="3" s="1"/>
  <c r="E191" i="3"/>
  <c r="C192" i="3"/>
  <c r="D192" i="3" s="1"/>
  <c r="E193" i="3" s="1"/>
  <c r="C193" i="3"/>
  <c r="D193" i="3"/>
  <c r="C194" i="3"/>
  <c r="D194" i="3" s="1"/>
  <c r="E195" i="3" s="1"/>
  <c r="E194" i="3"/>
  <c r="C195" i="3"/>
  <c r="D195" i="3"/>
  <c r="C196" i="3"/>
  <c r="D196" i="3" s="1"/>
  <c r="E197" i="3" s="1"/>
  <c r="E196" i="3"/>
  <c r="C197" i="3"/>
  <c r="D197" i="3"/>
  <c r="C198" i="3"/>
  <c r="D198" i="3" s="1"/>
  <c r="E199" i="3" s="1"/>
  <c r="E198" i="3"/>
  <c r="C199" i="3"/>
  <c r="D199" i="3"/>
  <c r="C200" i="3"/>
  <c r="D200" i="3" s="1"/>
  <c r="E201" i="3" s="1"/>
  <c r="E200" i="3"/>
  <c r="C201" i="3"/>
  <c r="D201" i="3"/>
  <c r="C202" i="3"/>
  <c r="D202" i="3" s="1"/>
  <c r="E203" i="3" s="1"/>
  <c r="E202" i="3"/>
  <c r="C203" i="3"/>
  <c r="D203" i="3"/>
  <c r="C204" i="3"/>
  <c r="D204" i="3" s="1"/>
  <c r="E205" i="3" s="1"/>
  <c r="E204" i="3"/>
  <c r="C205" i="3"/>
  <c r="D205" i="3"/>
  <c r="C206" i="3"/>
  <c r="D206" i="3" s="1"/>
  <c r="E207" i="3" s="1"/>
  <c r="E206" i="3"/>
  <c r="C207" i="3"/>
  <c r="D207" i="3"/>
  <c r="C208" i="3"/>
  <c r="D208" i="3" s="1"/>
  <c r="E209" i="3" s="1"/>
  <c r="E208" i="3"/>
  <c r="C209" i="3"/>
  <c r="D209" i="3"/>
  <c r="C210" i="3"/>
  <c r="D210" i="3" s="1"/>
  <c r="E211" i="3" s="1"/>
  <c r="E210" i="3"/>
  <c r="C211" i="3"/>
  <c r="D211" i="3"/>
  <c r="C212" i="3"/>
  <c r="D212" i="3" s="1"/>
  <c r="E213" i="3" s="1"/>
  <c r="E212" i="3"/>
  <c r="C213" i="3"/>
  <c r="D213" i="3"/>
  <c r="C214" i="3"/>
  <c r="D214" i="3" s="1"/>
  <c r="E215" i="3" s="1"/>
  <c r="E214" i="3"/>
  <c r="C215" i="3"/>
  <c r="D215" i="3"/>
  <c r="C216" i="3"/>
  <c r="D216" i="3" s="1"/>
  <c r="E217" i="3" s="1"/>
  <c r="E216" i="3"/>
  <c r="C217" i="3"/>
  <c r="D217" i="3"/>
  <c r="C218" i="3"/>
  <c r="D218" i="3" s="1"/>
  <c r="E219" i="3" s="1"/>
  <c r="E218" i="3"/>
  <c r="C219" i="3"/>
  <c r="D219" i="3"/>
  <c r="C220" i="3"/>
  <c r="D220" i="3" s="1"/>
  <c r="E221" i="3" s="1"/>
  <c r="E220" i="3"/>
  <c r="C221" i="3"/>
  <c r="D221" i="3"/>
  <c r="C222" i="3"/>
  <c r="D222" i="3" s="1"/>
  <c r="E223" i="3" s="1"/>
  <c r="E222" i="3"/>
  <c r="C223" i="3"/>
  <c r="D223" i="3"/>
  <c r="C224" i="3"/>
  <c r="D224" i="3" s="1"/>
  <c r="E225" i="3" s="1"/>
  <c r="E224" i="3"/>
  <c r="C225" i="3"/>
  <c r="D225" i="3"/>
  <c r="C226" i="3"/>
  <c r="D226" i="3" s="1"/>
  <c r="E227" i="3" s="1"/>
  <c r="E226" i="3"/>
  <c r="C227" i="3"/>
  <c r="D227" i="3"/>
  <c r="C228" i="3"/>
  <c r="D228" i="3" s="1"/>
  <c r="E229" i="3" s="1"/>
  <c r="E228" i="3"/>
  <c r="C229" i="3"/>
  <c r="D229" i="3"/>
  <c r="C230" i="3"/>
  <c r="D230" i="3" s="1"/>
  <c r="E231" i="3" s="1"/>
  <c r="E230" i="3"/>
  <c r="C231" i="3"/>
  <c r="D231" i="3"/>
  <c r="C232" i="3"/>
  <c r="D232" i="3" s="1"/>
  <c r="E233" i="3" s="1"/>
  <c r="E232" i="3"/>
  <c r="C233" i="3"/>
  <c r="D233" i="3"/>
  <c r="C234" i="3"/>
  <c r="D234" i="3" s="1"/>
  <c r="E235" i="3" s="1"/>
  <c r="E234" i="3"/>
  <c r="C235" i="3"/>
  <c r="D235" i="3"/>
  <c r="C236" i="3"/>
  <c r="D236" i="3" s="1"/>
  <c r="E237" i="3" s="1"/>
  <c r="E236" i="3"/>
  <c r="C237" i="3"/>
  <c r="D237" i="3"/>
  <c r="C238" i="3"/>
  <c r="D238" i="3" s="1"/>
  <c r="E239" i="3" s="1"/>
  <c r="E238" i="3"/>
  <c r="C239" i="3"/>
  <c r="D239" i="3"/>
  <c r="C240" i="3"/>
  <c r="D240" i="3" s="1"/>
  <c r="E241" i="3" s="1"/>
  <c r="E240" i="3"/>
  <c r="C241" i="3"/>
  <c r="D241" i="3"/>
  <c r="C242" i="3"/>
  <c r="D242" i="3" s="1"/>
  <c r="E243" i="3" s="1"/>
  <c r="E242" i="3"/>
  <c r="C243" i="3"/>
  <c r="D243" i="3"/>
  <c r="C244" i="3"/>
  <c r="D244" i="3" s="1"/>
  <c r="E245" i="3" s="1"/>
  <c r="E244" i="3"/>
  <c r="C245" i="3"/>
  <c r="D245" i="3"/>
  <c r="C246" i="3"/>
  <c r="D246" i="3" s="1"/>
  <c r="E247" i="3" s="1"/>
  <c r="E246" i="3"/>
  <c r="C247" i="3"/>
  <c r="D247" i="3"/>
  <c r="C248" i="3"/>
  <c r="D248" i="3" s="1"/>
  <c r="E249" i="3" s="1"/>
  <c r="E248" i="3"/>
  <c r="C249" i="3"/>
  <c r="D249" i="3"/>
  <c r="C250" i="3"/>
  <c r="D250" i="3" s="1"/>
  <c r="E251" i="3" s="1"/>
  <c r="E250" i="3"/>
  <c r="C251" i="3"/>
  <c r="D251" i="3"/>
  <c r="C252" i="3"/>
  <c r="D252" i="3" s="1"/>
  <c r="E253" i="3" s="1"/>
  <c r="E252" i="3"/>
  <c r="C253" i="3"/>
  <c r="D253" i="3"/>
  <c r="C254" i="3"/>
  <c r="D254" i="3" s="1"/>
  <c r="E255" i="3" s="1"/>
  <c r="E254" i="3"/>
  <c r="C255" i="3"/>
  <c r="D255" i="3"/>
  <c r="C256" i="3"/>
  <c r="D256" i="3" s="1"/>
  <c r="E257" i="3" s="1"/>
  <c r="E256" i="3"/>
  <c r="C257" i="3"/>
  <c r="D257" i="3"/>
  <c r="C258" i="3"/>
  <c r="D258" i="3" s="1"/>
  <c r="E259" i="3" s="1"/>
  <c r="E258" i="3"/>
  <c r="C259" i="3"/>
  <c r="D259" i="3"/>
  <c r="C260" i="3"/>
  <c r="D260" i="3" s="1"/>
  <c r="E261" i="3" s="1"/>
  <c r="E260" i="3"/>
  <c r="C261" i="3"/>
  <c r="D261" i="3"/>
  <c r="C262" i="3"/>
  <c r="D262" i="3" s="1"/>
  <c r="E263" i="3" s="1"/>
  <c r="E262" i="3"/>
  <c r="C263" i="3"/>
  <c r="D263" i="3"/>
  <c r="C264" i="3"/>
  <c r="D264" i="3" s="1"/>
  <c r="E265" i="3" s="1"/>
  <c r="E264" i="3"/>
  <c r="C265" i="3"/>
  <c r="D265" i="3"/>
  <c r="C266" i="3"/>
  <c r="D266" i="3" s="1"/>
  <c r="E267" i="3" s="1"/>
  <c r="E266" i="3"/>
  <c r="C267" i="3"/>
  <c r="D267" i="3"/>
  <c r="C268" i="3"/>
  <c r="D268" i="3" s="1"/>
  <c r="E269" i="3" s="1"/>
  <c r="E268" i="3"/>
  <c r="C269" i="3"/>
  <c r="D269" i="3"/>
  <c r="C270" i="3"/>
  <c r="D270" i="3" s="1"/>
  <c r="E271" i="3" s="1"/>
  <c r="E270" i="3"/>
  <c r="C271" i="3"/>
  <c r="D271" i="3"/>
  <c r="C272" i="3"/>
  <c r="D272" i="3" s="1"/>
  <c r="E273" i="3" s="1"/>
  <c r="E272" i="3"/>
  <c r="C273" i="3"/>
  <c r="D273" i="3"/>
  <c r="C274" i="3"/>
  <c r="D274" i="3" s="1"/>
  <c r="E275" i="3" s="1"/>
  <c r="E274" i="3"/>
  <c r="C275" i="3"/>
  <c r="D275" i="3"/>
  <c r="C276" i="3"/>
  <c r="D276" i="3" s="1"/>
  <c r="E277" i="3" s="1"/>
  <c r="E276" i="3"/>
  <c r="C277" i="3"/>
  <c r="D277" i="3"/>
  <c r="C278" i="3"/>
  <c r="D278" i="3" s="1"/>
  <c r="E279" i="3" s="1"/>
  <c r="E278" i="3"/>
  <c r="C279" i="3"/>
  <c r="D279" i="3"/>
  <c r="C280" i="3"/>
  <c r="D280" i="3" s="1"/>
  <c r="E281" i="3" s="1"/>
  <c r="E280" i="3"/>
  <c r="C281" i="3"/>
  <c r="D281" i="3"/>
  <c r="C282" i="3"/>
  <c r="D282" i="3" s="1"/>
  <c r="E283" i="3" s="1"/>
  <c r="E282" i="3"/>
  <c r="C283" i="3"/>
  <c r="D283" i="3"/>
  <c r="C284" i="3"/>
  <c r="D284" i="3" s="1"/>
  <c r="E285" i="3" s="1"/>
  <c r="E284" i="3"/>
  <c r="C285" i="3"/>
  <c r="D285" i="3"/>
  <c r="C286" i="3"/>
  <c r="D286" i="3" s="1"/>
  <c r="E287" i="3" s="1"/>
  <c r="E286" i="3"/>
  <c r="C287" i="3"/>
  <c r="D287" i="3"/>
  <c r="C288" i="3"/>
  <c r="D288" i="3" s="1"/>
  <c r="E289" i="3" s="1"/>
  <c r="E288" i="3"/>
  <c r="C289" i="3"/>
  <c r="D289" i="3"/>
  <c r="C290" i="3"/>
  <c r="D290" i="3" s="1"/>
  <c r="E291" i="3" s="1"/>
  <c r="E290" i="3"/>
  <c r="C291" i="3"/>
  <c r="D291" i="3"/>
  <c r="C292" i="3"/>
  <c r="D292" i="3" s="1"/>
  <c r="E293" i="3" s="1"/>
  <c r="E292" i="3"/>
  <c r="C293" i="3"/>
  <c r="D293" i="3"/>
  <c r="C294" i="3"/>
  <c r="D294" i="3" s="1"/>
  <c r="E295" i="3" s="1"/>
  <c r="E294" i="3"/>
  <c r="C295" i="3"/>
  <c r="D295" i="3"/>
  <c r="C296" i="3"/>
  <c r="D296" i="3" s="1"/>
  <c r="E297" i="3" s="1"/>
  <c r="E296" i="3"/>
  <c r="C297" i="3"/>
  <c r="D297" i="3"/>
  <c r="C298" i="3"/>
  <c r="D298" i="3" s="1"/>
  <c r="E299" i="3" s="1"/>
  <c r="E298" i="3"/>
  <c r="C299" i="3"/>
  <c r="D299" i="3"/>
  <c r="C300" i="3"/>
  <c r="D300" i="3" s="1"/>
  <c r="E301" i="3" s="1"/>
  <c r="E300" i="3"/>
  <c r="C301" i="3"/>
  <c r="D301" i="3"/>
  <c r="C302" i="3"/>
  <c r="D302" i="3" s="1"/>
  <c r="E303" i="3" s="1"/>
  <c r="E302" i="3"/>
  <c r="C303" i="3"/>
  <c r="D303" i="3"/>
  <c r="C304" i="3"/>
  <c r="D304" i="3" s="1"/>
  <c r="E305" i="3" s="1"/>
  <c r="E304" i="3"/>
  <c r="C305" i="3"/>
  <c r="D305" i="3"/>
  <c r="C306" i="3"/>
  <c r="D306" i="3" s="1"/>
  <c r="E307" i="3" s="1"/>
  <c r="E306" i="3"/>
  <c r="C307" i="3"/>
  <c r="D307" i="3"/>
  <c r="C308" i="3"/>
  <c r="D308" i="3" s="1"/>
  <c r="E309" i="3" s="1"/>
  <c r="E308" i="3"/>
  <c r="C309" i="3"/>
  <c r="D309" i="3"/>
  <c r="C310" i="3"/>
  <c r="D310" i="3" s="1"/>
  <c r="E311" i="3" s="1"/>
  <c r="E310" i="3"/>
  <c r="C311" i="3"/>
  <c r="D311" i="3"/>
  <c r="C312" i="3"/>
  <c r="D312" i="3" s="1"/>
  <c r="E313" i="3" s="1"/>
  <c r="E312" i="3"/>
  <c r="C313" i="3"/>
  <c r="D313" i="3"/>
  <c r="C314" i="3"/>
  <c r="D314" i="3" s="1"/>
  <c r="E315" i="3" s="1"/>
  <c r="E314" i="3"/>
  <c r="C315" i="3"/>
  <c r="D315" i="3"/>
  <c r="C316" i="3"/>
  <c r="D316" i="3" s="1"/>
  <c r="E317" i="3" s="1"/>
  <c r="E316" i="3"/>
  <c r="C317" i="3"/>
  <c r="D317" i="3"/>
  <c r="C318" i="3"/>
  <c r="D318" i="3" s="1"/>
  <c r="E319" i="3" s="1"/>
  <c r="E318" i="3"/>
  <c r="C319" i="3"/>
  <c r="D319" i="3"/>
  <c r="C320" i="3"/>
  <c r="D320" i="3" s="1"/>
  <c r="E321" i="3" s="1"/>
  <c r="E320" i="3"/>
  <c r="C321" i="3"/>
  <c r="D321" i="3"/>
  <c r="C322" i="3"/>
  <c r="D322" i="3" s="1"/>
  <c r="E323" i="3" s="1"/>
  <c r="E322" i="3"/>
  <c r="C323" i="3"/>
  <c r="D323" i="3"/>
  <c r="C324" i="3"/>
  <c r="D324" i="3" s="1"/>
  <c r="E325" i="3" s="1"/>
  <c r="E324" i="3"/>
  <c r="C325" i="3"/>
  <c r="D325" i="3"/>
  <c r="C326" i="3"/>
  <c r="D326" i="3" s="1"/>
  <c r="E326" i="3"/>
  <c r="C327" i="3"/>
  <c r="D327" i="3"/>
  <c r="E327" i="3"/>
  <c r="C328" i="3"/>
  <c r="D328" i="3"/>
  <c r="E328" i="3"/>
  <c r="C329" i="3"/>
  <c r="D329" i="3" s="1"/>
  <c r="E330" i="3" s="1"/>
  <c r="E329" i="3"/>
  <c r="C330" i="3"/>
  <c r="D330" i="3"/>
  <c r="C331" i="3"/>
  <c r="D331" i="3" s="1"/>
  <c r="E332" i="3" s="1"/>
  <c r="E331" i="3"/>
  <c r="C332" i="3"/>
  <c r="D332" i="3"/>
  <c r="C333" i="3"/>
  <c r="D333" i="3" s="1"/>
  <c r="E334" i="3" s="1"/>
  <c r="E333" i="3"/>
  <c r="C334" i="3"/>
  <c r="D334" i="3"/>
  <c r="C335" i="3"/>
  <c r="D335" i="3" s="1"/>
  <c r="E336" i="3" s="1"/>
  <c r="E335" i="3"/>
  <c r="C336" i="3"/>
  <c r="D336" i="3"/>
  <c r="C337" i="3"/>
  <c r="D337" i="3" s="1"/>
  <c r="E338" i="3" s="1"/>
  <c r="E337" i="3"/>
  <c r="C338" i="3"/>
  <c r="D338" i="3"/>
  <c r="C339" i="3"/>
  <c r="D339" i="3" s="1"/>
  <c r="E340" i="3" s="1"/>
  <c r="E339" i="3"/>
  <c r="C340" i="3"/>
  <c r="D340" i="3"/>
  <c r="C341" i="3"/>
  <c r="D341" i="3" s="1"/>
  <c r="E342" i="3" s="1"/>
  <c r="E341" i="3"/>
  <c r="C342" i="3"/>
  <c r="D342" i="3"/>
  <c r="C343" i="3"/>
  <c r="D343" i="3" s="1"/>
  <c r="E344" i="3" s="1"/>
  <c r="E343" i="3"/>
  <c r="C344" i="3"/>
  <c r="D344" i="3"/>
  <c r="C345" i="3"/>
  <c r="D345" i="3" s="1"/>
  <c r="E346" i="3" s="1"/>
  <c r="E345" i="3"/>
  <c r="C346" i="3"/>
  <c r="D346" i="3"/>
  <c r="C347" i="3"/>
  <c r="D347" i="3" s="1"/>
  <c r="E348" i="3" s="1"/>
  <c r="E347" i="3"/>
  <c r="C348" i="3"/>
  <c r="D348" i="3"/>
  <c r="C349" i="3"/>
  <c r="D349" i="3" s="1"/>
  <c r="E350" i="3" s="1"/>
  <c r="E349" i="3"/>
  <c r="C350" i="3"/>
  <c r="D350" i="3"/>
  <c r="C351" i="3"/>
  <c r="D351" i="3" s="1"/>
  <c r="E352" i="3" s="1"/>
  <c r="E351" i="3"/>
  <c r="C352" i="3"/>
  <c r="D352" i="3"/>
  <c r="C353" i="3"/>
  <c r="D353" i="3" s="1"/>
  <c r="E354" i="3" s="1"/>
  <c r="E353" i="3"/>
  <c r="C354" i="3"/>
  <c r="D354" i="3"/>
  <c r="C355" i="3"/>
  <c r="D355" i="3" s="1"/>
  <c r="E356" i="3" s="1"/>
  <c r="E355" i="3"/>
  <c r="C356" i="3"/>
  <c r="D356" i="3"/>
  <c r="C357" i="3"/>
  <c r="D357" i="3" s="1"/>
  <c r="E358" i="3" s="1"/>
  <c r="E357" i="3"/>
  <c r="C358" i="3"/>
  <c r="D358" i="3"/>
  <c r="C359" i="3"/>
  <c r="D359" i="3" s="1"/>
  <c r="E360" i="3" s="1"/>
  <c r="E359" i="3"/>
  <c r="C360" i="3"/>
  <c r="D360" i="3"/>
  <c r="C361" i="3"/>
  <c r="D361" i="3" s="1"/>
  <c r="E362" i="3" s="1"/>
  <c r="E361" i="3"/>
  <c r="C362" i="3"/>
  <c r="D362" i="3"/>
  <c r="C363" i="3"/>
  <c r="D363" i="3" s="1"/>
  <c r="E364" i="3" s="1"/>
  <c r="E363" i="3"/>
  <c r="C364" i="3"/>
  <c r="D364" i="3"/>
  <c r="C365" i="3"/>
  <c r="D365" i="3" s="1"/>
  <c r="E366" i="3" s="1"/>
  <c r="E365" i="3"/>
  <c r="C366" i="3"/>
  <c r="D366" i="3"/>
  <c r="C367" i="3"/>
  <c r="D367" i="3" s="1"/>
  <c r="E367" i="3"/>
  <c r="C368" i="3"/>
  <c r="D368" i="3"/>
  <c r="E368" i="3"/>
  <c r="C369" i="3"/>
  <c r="D369" i="3" s="1"/>
  <c r="E370" i="3" s="1"/>
  <c r="E369" i="3"/>
  <c r="C370" i="3"/>
  <c r="D370" i="3"/>
  <c r="C371" i="3"/>
  <c r="D371" i="3" s="1"/>
  <c r="E372" i="3" s="1"/>
  <c r="E371" i="3"/>
  <c r="C372" i="3"/>
  <c r="D372" i="3"/>
  <c r="C373" i="3"/>
  <c r="D373" i="3" s="1"/>
  <c r="E374" i="3" s="1"/>
  <c r="E373" i="3"/>
  <c r="C374" i="3"/>
  <c r="D374" i="3"/>
  <c r="C375" i="3"/>
  <c r="D375" i="3" s="1"/>
  <c r="E376" i="3" s="1"/>
  <c r="E375" i="3"/>
  <c r="C376" i="3"/>
  <c r="D376" i="3"/>
  <c r="C377" i="3"/>
  <c r="D377" i="3" s="1"/>
  <c r="E378" i="3" s="1"/>
  <c r="E377" i="3"/>
  <c r="C378" i="3"/>
  <c r="D378" i="3"/>
  <c r="C379" i="3"/>
  <c r="D379" i="3" s="1"/>
  <c r="E380" i="3" s="1"/>
  <c r="E379" i="3"/>
  <c r="C380" i="3"/>
  <c r="D380" i="3"/>
  <c r="C381" i="3"/>
  <c r="D381" i="3" s="1"/>
  <c r="E382" i="3" s="1"/>
  <c r="E381" i="3"/>
  <c r="C382" i="3"/>
  <c r="D382" i="3"/>
  <c r="C383" i="3"/>
  <c r="D383" i="3" s="1"/>
  <c r="E384" i="3" s="1"/>
  <c r="E383" i="3"/>
  <c r="C384" i="3"/>
  <c r="D384" i="3"/>
  <c r="C385" i="3"/>
  <c r="D385" i="3" s="1"/>
  <c r="E386" i="3" s="1"/>
  <c r="E385" i="3"/>
  <c r="C386" i="3"/>
  <c r="D386" i="3"/>
  <c r="C387" i="3"/>
  <c r="D387" i="3" s="1"/>
  <c r="E388" i="3" s="1"/>
  <c r="E387" i="3"/>
  <c r="C388" i="3"/>
  <c r="D388" i="3"/>
  <c r="C389" i="3"/>
  <c r="D389" i="3" s="1"/>
  <c r="E390" i="3" s="1"/>
  <c r="E389" i="3"/>
  <c r="C390" i="3"/>
  <c r="D390" i="3"/>
  <c r="C391" i="3"/>
  <c r="D391" i="3" s="1"/>
  <c r="E392" i="3" s="1"/>
  <c r="E391" i="3"/>
  <c r="C392" i="3"/>
  <c r="D392" i="3"/>
  <c r="C393" i="3"/>
  <c r="D393" i="3" s="1"/>
  <c r="E394" i="3" s="1"/>
  <c r="E393" i="3"/>
  <c r="C394" i="3"/>
  <c r="D394" i="3"/>
  <c r="C395" i="3"/>
  <c r="D395" i="3" s="1"/>
  <c r="E396" i="3" s="1"/>
  <c r="E395" i="3"/>
  <c r="C396" i="3"/>
  <c r="D396" i="3"/>
  <c r="C397" i="3"/>
  <c r="D397" i="3" s="1"/>
  <c r="E398" i="3" s="1"/>
  <c r="E397" i="3"/>
  <c r="C398" i="3"/>
  <c r="D398" i="3"/>
  <c r="C399" i="3"/>
  <c r="D399" i="3" s="1"/>
  <c r="E400" i="3" s="1"/>
  <c r="E399" i="3"/>
  <c r="C400" i="3"/>
  <c r="D400" i="3"/>
  <c r="C401" i="3"/>
  <c r="D401" i="3" s="1"/>
  <c r="E402" i="3" s="1"/>
  <c r="E401" i="3"/>
  <c r="C402" i="3"/>
  <c r="D402" i="3"/>
  <c r="C403" i="3"/>
  <c r="D403" i="3" s="1"/>
  <c r="E404" i="3" s="1"/>
  <c r="E403" i="3"/>
  <c r="C404" i="3"/>
  <c r="D404" i="3"/>
  <c r="C405" i="3"/>
  <c r="D405" i="3" s="1"/>
  <c r="E406" i="3" s="1"/>
  <c r="E405" i="3"/>
  <c r="C406" i="3"/>
  <c r="D406" i="3"/>
  <c r="C407" i="3"/>
  <c r="D407" i="3" s="1"/>
  <c r="E408" i="3" s="1"/>
  <c r="E407" i="3"/>
  <c r="C408" i="3"/>
  <c r="D408" i="3"/>
  <c r="C409" i="3"/>
  <c r="D409" i="3" s="1"/>
  <c r="E410" i="3" s="1"/>
  <c r="E409" i="3"/>
  <c r="C410" i="3"/>
  <c r="D410" i="3"/>
  <c r="C411" i="3"/>
  <c r="D411" i="3" s="1"/>
  <c r="E412" i="3" s="1"/>
  <c r="E411" i="3"/>
  <c r="C412" i="3"/>
  <c r="D412" i="3"/>
  <c r="C413" i="3"/>
  <c r="D413" i="3" s="1"/>
  <c r="E414" i="3" s="1"/>
  <c r="E413" i="3"/>
  <c r="C414" i="3"/>
  <c r="D414" i="3"/>
  <c r="C415" i="3"/>
  <c r="D415" i="3" s="1"/>
  <c r="E416" i="3" s="1"/>
  <c r="E415" i="3"/>
  <c r="C416" i="3"/>
  <c r="D416" i="3"/>
  <c r="C417" i="3"/>
  <c r="D417" i="3" s="1"/>
  <c r="E418" i="3" s="1"/>
  <c r="E417" i="3"/>
  <c r="C418" i="3"/>
  <c r="D418" i="3"/>
  <c r="C419" i="3"/>
  <c r="D419" i="3" s="1"/>
  <c r="E420" i="3" s="1"/>
  <c r="E419" i="3"/>
  <c r="C420" i="3"/>
  <c r="D420" i="3"/>
  <c r="C421" i="3"/>
  <c r="D421" i="3" s="1"/>
  <c r="E422" i="3" s="1"/>
  <c r="E421" i="3"/>
  <c r="C422" i="3"/>
  <c r="D422" i="3"/>
  <c r="C423" i="3"/>
  <c r="D423" i="3" s="1"/>
  <c r="E424" i="3" s="1"/>
  <c r="E423" i="3"/>
  <c r="C424" i="3"/>
  <c r="D424" i="3"/>
  <c r="C425" i="3"/>
  <c r="D425" i="3" s="1"/>
  <c r="E426" i="3" s="1"/>
  <c r="E425" i="3"/>
  <c r="C426" i="3"/>
  <c r="D426" i="3"/>
  <c r="C427" i="3"/>
  <c r="D427" i="3" s="1"/>
  <c r="E428" i="3" s="1"/>
  <c r="E427" i="3"/>
  <c r="C428" i="3"/>
  <c r="D428" i="3"/>
  <c r="C429" i="3"/>
  <c r="D429" i="3" s="1"/>
  <c r="E430" i="3" s="1"/>
  <c r="E429" i="3"/>
  <c r="C430" i="3"/>
  <c r="D430" i="3"/>
  <c r="C431" i="3"/>
  <c r="D431" i="3" s="1"/>
  <c r="E432" i="3" s="1"/>
  <c r="E431" i="3"/>
  <c r="C432" i="3"/>
  <c r="D432" i="3"/>
  <c r="C433" i="3"/>
  <c r="D433" i="3" s="1"/>
  <c r="E434" i="3" s="1"/>
  <c r="E433" i="3"/>
  <c r="C434" i="3"/>
  <c r="D434" i="3"/>
  <c r="C435" i="3"/>
  <c r="D435" i="3" s="1"/>
  <c r="E436" i="3" s="1"/>
  <c r="E435" i="3"/>
  <c r="C436" i="3"/>
  <c r="D436" i="3"/>
  <c r="C437" i="3"/>
  <c r="D437" i="3" s="1"/>
  <c r="E438" i="3" s="1"/>
  <c r="E437" i="3"/>
  <c r="C438" i="3"/>
  <c r="D438" i="3"/>
  <c r="C439" i="3"/>
  <c r="D439" i="3" s="1"/>
  <c r="E440" i="3" s="1"/>
  <c r="E439" i="3"/>
  <c r="C440" i="3"/>
  <c r="D440" i="3"/>
  <c r="C441" i="3"/>
  <c r="D441" i="3" s="1"/>
  <c r="E442" i="3" s="1"/>
  <c r="E441" i="3"/>
  <c r="C442" i="3"/>
  <c r="D442" i="3"/>
  <c r="C443" i="3"/>
  <c r="D443" i="3" s="1"/>
  <c r="E444" i="3" s="1"/>
  <c r="E443" i="3"/>
  <c r="C444" i="3"/>
  <c r="D444" i="3"/>
  <c r="C445" i="3"/>
  <c r="D445" i="3" s="1"/>
  <c r="E446" i="3" s="1"/>
  <c r="E445" i="3"/>
  <c r="C446" i="3"/>
  <c r="D446" i="3"/>
  <c r="C447" i="3"/>
  <c r="D447" i="3" s="1"/>
  <c r="E448" i="3" s="1"/>
  <c r="E447" i="3"/>
  <c r="C448" i="3"/>
  <c r="D448" i="3"/>
  <c r="C449" i="3"/>
  <c r="D449" i="3" s="1"/>
  <c r="E450" i="3" s="1"/>
  <c r="E449" i="3"/>
  <c r="C450" i="3"/>
  <c r="D450" i="3"/>
  <c r="C451" i="3"/>
  <c r="D451" i="3" s="1"/>
  <c r="E452" i="3" s="1"/>
  <c r="E451" i="3"/>
  <c r="C452" i="3"/>
  <c r="D452" i="3"/>
  <c r="C453" i="3"/>
  <c r="D453" i="3" s="1"/>
  <c r="E454" i="3" s="1"/>
  <c r="E453" i="3"/>
  <c r="C454" i="3"/>
  <c r="D454" i="3"/>
  <c r="C455" i="3"/>
  <c r="D455" i="3" s="1"/>
  <c r="E456" i="3" s="1"/>
  <c r="E455" i="3"/>
  <c r="C456" i="3"/>
  <c r="D456" i="3"/>
  <c r="C457" i="3"/>
  <c r="D457" i="3" s="1"/>
  <c r="E458" i="3" s="1"/>
  <c r="E457" i="3"/>
  <c r="C458" i="3"/>
  <c r="D458" i="3"/>
  <c r="C459" i="3"/>
  <c r="D459" i="3" s="1"/>
  <c r="E460" i="3" s="1"/>
  <c r="E459" i="3"/>
  <c r="C460" i="3"/>
  <c r="D460" i="3"/>
  <c r="C461" i="3"/>
  <c r="D461" i="3" s="1"/>
  <c r="E462" i="3" s="1"/>
  <c r="E461" i="3"/>
  <c r="C462" i="3"/>
  <c r="D462" i="3"/>
  <c r="C463" i="3"/>
  <c r="D463" i="3" s="1"/>
  <c r="E464" i="3" s="1"/>
  <c r="E463" i="3"/>
  <c r="C464" i="3"/>
  <c r="D464" i="3"/>
  <c r="C465" i="3"/>
  <c r="D465" i="3" s="1"/>
  <c r="E466" i="3" s="1"/>
  <c r="E465" i="3"/>
  <c r="C466" i="3"/>
  <c r="D466" i="3"/>
  <c r="C467" i="3"/>
  <c r="D467" i="3" s="1"/>
  <c r="E468" i="3" s="1"/>
  <c r="E467" i="3"/>
  <c r="C468" i="3"/>
  <c r="D468" i="3"/>
  <c r="C469" i="3"/>
  <c r="D469" i="3" s="1"/>
  <c r="E470" i="3" s="1"/>
  <c r="E469" i="3"/>
  <c r="C470" i="3"/>
  <c r="D470" i="3"/>
  <c r="C471" i="3"/>
  <c r="D471" i="3" s="1"/>
  <c r="E472" i="3" s="1"/>
  <c r="E471" i="3"/>
  <c r="C472" i="3"/>
  <c r="D472" i="3"/>
  <c r="C473" i="3"/>
  <c r="D473" i="3" s="1"/>
  <c r="E474" i="3" s="1"/>
  <c r="E473" i="3"/>
  <c r="C474" i="3"/>
  <c r="D474" i="3"/>
  <c r="C475" i="3"/>
  <c r="D475" i="3" s="1"/>
  <c r="E476" i="3" s="1"/>
  <c r="E475" i="3"/>
  <c r="C476" i="3"/>
  <c r="D476" i="3"/>
  <c r="C477" i="3"/>
  <c r="D477" i="3" s="1"/>
  <c r="E478" i="3" s="1"/>
  <c r="E477" i="3"/>
  <c r="C478" i="3"/>
  <c r="D478" i="3"/>
  <c r="C479" i="3"/>
  <c r="D479" i="3" s="1"/>
  <c r="E480" i="3" s="1"/>
  <c r="E479" i="3"/>
  <c r="C480" i="3"/>
  <c r="D480" i="3"/>
  <c r="C481" i="3"/>
  <c r="D481" i="3" s="1"/>
  <c r="E482" i="3" s="1"/>
  <c r="E481" i="3"/>
  <c r="C482" i="3"/>
  <c r="D482" i="3"/>
  <c r="C483" i="3"/>
  <c r="D483" i="3" s="1"/>
  <c r="E484" i="3" s="1"/>
  <c r="E483" i="3"/>
  <c r="C484" i="3"/>
  <c r="D484" i="3"/>
  <c r="C485" i="3"/>
  <c r="D485" i="3" s="1"/>
  <c r="E486" i="3" s="1"/>
  <c r="E485" i="3"/>
  <c r="C486" i="3"/>
  <c r="D486" i="3"/>
  <c r="C487" i="3"/>
  <c r="D487" i="3" s="1"/>
  <c r="E488" i="3" s="1"/>
  <c r="E487" i="3"/>
  <c r="C488" i="3"/>
  <c r="D488" i="3"/>
  <c r="C489" i="3"/>
  <c r="D489" i="3" s="1"/>
  <c r="E490" i="3" s="1"/>
  <c r="E489" i="3"/>
  <c r="C490" i="3"/>
  <c r="D490" i="3"/>
  <c r="C491" i="3"/>
  <c r="D491" i="3" s="1"/>
  <c r="E492" i="3" s="1"/>
  <c r="E491" i="3"/>
  <c r="C492" i="3"/>
  <c r="D492" i="3"/>
  <c r="C493" i="3"/>
  <c r="D493" i="3" s="1"/>
  <c r="E494" i="3" s="1"/>
  <c r="E493" i="3"/>
  <c r="C494" i="3"/>
  <c r="D494" i="3"/>
  <c r="C495" i="3"/>
  <c r="D495" i="3" s="1"/>
  <c r="E496" i="3" s="1"/>
  <c r="E495" i="3"/>
  <c r="C496" i="3"/>
  <c r="D496" i="3"/>
  <c r="C497" i="3"/>
  <c r="D497" i="3" s="1"/>
  <c r="E498" i="3" s="1"/>
  <c r="E497" i="3"/>
  <c r="C498" i="3"/>
  <c r="D498" i="3"/>
  <c r="C499" i="3"/>
  <c r="D499" i="3" s="1"/>
  <c r="E500" i="3" s="1"/>
  <c r="E499" i="3"/>
  <c r="C500" i="3"/>
  <c r="D500" i="3"/>
  <c r="C501" i="3"/>
  <c r="D501" i="3" s="1"/>
  <c r="E502" i="3" s="1"/>
  <c r="E501" i="3"/>
  <c r="C502" i="3"/>
  <c r="D502" i="3"/>
  <c r="C503" i="3"/>
  <c r="D503" i="3" s="1"/>
  <c r="E504" i="3" s="1"/>
  <c r="E503" i="3"/>
  <c r="C504" i="3"/>
  <c r="D504" i="3"/>
  <c r="C505" i="3"/>
  <c r="D505" i="3" s="1"/>
  <c r="E506" i="3" s="1"/>
  <c r="E505" i="3"/>
  <c r="C506" i="3"/>
  <c r="D506" i="3"/>
  <c r="C507" i="3"/>
  <c r="D507" i="3" s="1"/>
  <c r="E508" i="3" s="1"/>
  <c r="E507" i="3"/>
  <c r="C508" i="3"/>
  <c r="D508" i="3"/>
  <c r="C509" i="3"/>
  <c r="D509" i="3" s="1"/>
  <c r="E510" i="3" s="1"/>
  <c r="E509" i="3"/>
  <c r="C510" i="3"/>
  <c r="D510" i="3"/>
  <c r="C511" i="3"/>
  <c r="D511" i="3" s="1"/>
  <c r="E512" i="3" s="1"/>
  <c r="E511" i="3"/>
  <c r="C512" i="3"/>
  <c r="D512" i="3"/>
  <c r="C513" i="3"/>
  <c r="D513" i="3" s="1"/>
  <c r="E514" i="3" s="1"/>
  <c r="E513" i="3"/>
  <c r="C514" i="3"/>
  <c r="D514" i="3"/>
  <c r="C515" i="3"/>
  <c r="D515" i="3" s="1"/>
  <c r="E516" i="3" s="1"/>
  <c r="E515" i="3"/>
  <c r="C516" i="3"/>
  <c r="D516" i="3"/>
  <c r="C517" i="3"/>
  <c r="D517" i="3" s="1"/>
  <c r="E518" i="3" s="1"/>
  <c r="E517" i="3"/>
  <c r="C518" i="3"/>
  <c r="D518" i="3"/>
  <c r="C519" i="3"/>
  <c r="D519" i="3" s="1"/>
  <c r="E520" i="3" s="1"/>
  <c r="E519" i="3"/>
  <c r="C520" i="3"/>
  <c r="D520" i="3"/>
  <c r="C521" i="3"/>
  <c r="D521" i="3" s="1"/>
  <c r="E522" i="3" s="1"/>
  <c r="E521" i="3"/>
  <c r="C522" i="3"/>
  <c r="D522" i="3"/>
  <c r="C523" i="3"/>
  <c r="D523" i="3" s="1"/>
  <c r="E524" i="3" s="1"/>
  <c r="E523" i="3"/>
  <c r="C524" i="3"/>
  <c r="D524" i="3"/>
  <c r="C525" i="3"/>
  <c r="D525" i="3" s="1"/>
  <c r="E526" i="3" s="1"/>
  <c r="E525" i="3"/>
  <c r="C526" i="3"/>
  <c r="D526" i="3"/>
  <c r="C527" i="3"/>
  <c r="D527" i="3" s="1"/>
  <c r="E528" i="3" s="1"/>
  <c r="E527" i="3"/>
  <c r="C528" i="3"/>
  <c r="D528" i="3"/>
  <c r="C529" i="3"/>
  <c r="D529" i="3" s="1"/>
  <c r="E530" i="3" s="1"/>
  <c r="E529" i="3"/>
  <c r="C530" i="3"/>
  <c r="D530" i="3"/>
  <c r="C531" i="3"/>
  <c r="D531" i="3" s="1"/>
  <c r="E532" i="3" s="1"/>
  <c r="E531" i="3"/>
  <c r="C532" i="3"/>
  <c r="D532" i="3"/>
  <c r="C533" i="3"/>
  <c r="D533" i="3" s="1"/>
  <c r="E534" i="3" s="1"/>
  <c r="E533" i="3"/>
  <c r="C534" i="3"/>
  <c r="D534" i="3"/>
  <c r="C535" i="3"/>
  <c r="D535" i="3" s="1"/>
  <c r="E536" i="3" s="1"/>
  <c r="E535" i="3"/>
  <c r="C536" i="3"/>
  <c r="D536" i="3"/>
  <c r="C537" i="3"/>
  <c r="D537" i="3" s="1"/>
  <c r="E538" i="3" s="1"/>
  <c r="E537" i="3"/>
  <c r="C538" i="3"/>
  <c r="D538" i="3"/>
  <c r="C539" i="3"/>
  <c r="D539" i="3" s="1"/>
  <c r="E540" i="3" s="1"/>
  <c r="E539" i="3"/>
  <c r="C540" i="3"/>
  <c r="D540" i="3"/>
  <c r="C541" i="3"/>
  <c r="D541" i="3" s="1"/>
  <c r="E542" i="3" s="1"/>
  <c r="E541" i="3"/>
  <c r="C542" i="3"/>
  <c r="D542" i="3"/>
  <c r="C543" i="3"/>
  <c r="D543" i="3" s="1"/>
  <c r="E544" i="3" s="1"/>
  <c r="E543" i="3"/>
  <c r="C544" i="3"/>
  <c r="D544" i="3"/>
  <c r="C545" i="3"/>
  <c r="D545" i="3" s="1"/>
  <c r="E546" i="3" s="1"/>
  <c r="E545" i="3"/>
  <c r="C546" i="3"/>
  <c r="D546" i="3"/>
  <c r="C547" i="3"/>
  <c r="D547" i="3" s="1"/>
  <c r="E548" i="3" s="1"/>
  <c r="E547" i="3"/>
  <c r="C548" i="3"/>
  <c r="D548" i="3"/>
  <c r="C549" i="3"/>
  <c r="D549" i="3" s="1"/>
  <c r="E550" i="3" s="1"/>
  <c r="E549" i="3"/>
  <c r="C550" i="3"/>
  <c r="D550" i="3"/>
  <c r="C551" i="3"/>
  <c r="D551" i="3" s="1"/>
  <c r="E552" i="3" s="1"/>
  <c r="E551" i="3"/>
  <c r="C552" i="3"/>
  <c r="D552" i="3"/>
  <c r="C553" i="3"/>
  <c r="D553" i="3" s="1"/>
  <c r="E554" i="3" s="1"/>
  <c r="E553" i="3"/>
  <c r="C554" i="3"/>
  <c r="D554" i="3"/>
  <c r="C555" i="3"/>
  <c r="D555" i="3" s="1"/>
  <c r="E556" i="3" s="1"/>
  <c r="E555" i="3"/>
  <c r="C556" i="3"/>
  <c r="D556" i="3"/>
  <c r="C557" i="3"/>
  <c r="D557" i="3" s="1"/>
  <c r="E558" i="3" s="1"/>
  <c r="E557" i="3"/>
  <c r="C558" i="3"/>
  <c r="D558" i="3"/>
  <c r="C559" i="3"/>
  <c r="D559" i="3" s="1"/>
  <c r="E560" i="3" s="1"/>
  <c r="E559" i="3"/>
  <c r="C560" i="3"/>
  <c r="D560" i="3"/>
  <c r="C561" i="3"/>
  <c r="D561" i="3" s="1"/>
  <c r="E562" i="3" s="1"/>
  <c r="E561" i="3"/>
  <c r="C562" i="3"/>
  <c r="D562" i="3"/>
  <c r="C563" i="3"/>
  <c r="D563" i="3" s="1"/>
  <c r="E564" i="3" s="1"/>
  <c r="E563" i="3"/>
  <c r="C564" i="3"/>
  <c r="D564" i="3"/>
  <c r="C565" i="3"/>
  <c r="D565" i="3" s="1"/>
  <c r="E566" i="3" s="1"/>
  <c r="E565" i="3"/>
  <c r="C566" i="3"/>
  <c r="D566" i="3"/>
  <c r="C567" i="3"/>
  <c r="D567" i="3" s="1"/>
  <c r="E568" i="3" s="1"/>
  <c r="E567" i="3"/>
  <c r="C568" i="3"/>
  <c r="D568" i="3"/>
  <c r="C569" i="3"/>
  <c r="D569" i="3" s="1"/>
  <c r="E570" i="3" s="1"/>
  <c r="E569" i="3"/>
  <c r="C570" i="3"/>
  <c r="D570" i="3"/>
  <c r="C571" i="3"/>
  <c r="D571" i="3" s="1"/>
  <c r="E572" i="3" s="1"/>
  <c r="E571" i="3"/>
  <c r="C572" i="3"/>
  <c r="D572" i="3"/>
  <c r="C573" i="3"/>
  <c r="D573" i="3" s="1"/>
  <c r="E574" i="3" s="1"/>
  <c r="E573" i="3"/>
  <c r="C574" i="3"/>
  <c r="D574" i="3"/>
  <c r="C575" i="3"/>
  <c r="D575" i="3" s="1"/>
  <c r="E576" i="3" s="1"/>
  <c r="E575" i="3"/>
  <c r="C576" i="3"/>
  <c r="D576" i="3"/>
  <c r="C577" i="3"/>
  <c r="D577" i="3" s="1"/>
  <c r="E578" i="3" s="1"/>
  <c r="E577" i="3"/>
  <c r="C578" i="3"/>
  <c r="D578" i="3"/>
  <c r="C579" i="3"/>
  <c r="D579" i="3" s="1"/>
  <c r="E580" i="3" s="1"/>
  <c r="E579" i="3"/>
  <c r="C580" i="3"/>
  <c r="D580" i="3"/>
  <c r="C581" i="3"/>
  <c r="D581" i="3" s="1"/>
  <c r="E582" i="3" s="1"/>
  <c r="E581" i="3"/>
  <c r="C582" i="3"/>
  <c r="D582" i="3"/>
  <c r="C583" i="3"/>
  <c r="D583" i="3"/>
  <c r="E583" i="3"/>
  <c r="C584" i="3"/>
  <c r="D584" i="3" s="1"/>
  <c r="E585" i="3" s="1"/>
  <c r="E584" i="3"/>
  <c r="C585" i="3"/>
  <c r="D585" i="3"/>
  <c r="C586" i="3"/>
  <c r="D586" i="3" s="1"/>
  <c r="E587" i="3" s="1"/>
  <c r="E586" i="3"/>
  <c r="C587" i="3"/>
  <c r="D587" i="3"/>
  <c r="C588" i="3"/>
  <c r="D588" i="3" s="1"/>
  <c r="E589" i="3" s="1"/>
  <c r="E588" i="3"/>
  <c r="C589" i="3"/>
  <c r="D589" i="3"/>
  <c r="C590" i="3"/>
  <c r="D590" i="3" s="1"/>
  <c r="E591" i="3" s="1"/>
  <c r="E590" i="3"/>
  <c r="C591" i="3"/>
  <c r="D591" i="3"/>
  <c r="C592" i="3"/>
  <c r="D592" i="3" s="1"/>
  <c r="E593" i="3" s="1"/>
  <c r="E592" i="3"/>
  <c r="C593" i="3"/>
  <c r="D593" i="3"/>
  <c r="C594" i="3"/>
  <c r="D594" i="3" s="1"/>
  <c r="E595" i="3" s="1"/>
  <c r="E594" i="3"/>
  <c r="C595" i="3"/>
  <c r="D595" i="3"/>
  <c r="C596" i="3"/>
  <c r="D596" i="3" s="1"/>
  <c r="E597" i="3" s="1"/>
  <c r="E596" i="3"/>
  <c r="C597" i="3"/>
  <c r="D597" i="3"/>
  <c r="C598" i="3"/>
  <c r="D598" i="3" s="1"/>
  <c r="E599" i="3" s="1"/>
  <c r="E598" i="3"/>
  <c r="C599" i="3"/>
  <c r="D599" i="3"/>
  <c r="C600" i="3"/>
  <c r="D600" i="3" s="1"/>
  <c r="E601" i="3" s="1"/>
  <c r="E600" i="3"/>
  <c r="C601" i="3"/>
  <c r="D601" i="3"/>
  <c r="C602" i="3"/>
  <c r="D602" i="3" s="1"/>
  <c r="E603" i="3" s="1"/>
  <c r="E602" i="3"/>
  <c r="C603" i="3"/>
  <c r="D603" i="3"/>
  <c r="C604" i="3"/>
  <c r="D604" i="3" s="1"/>
  <c r="E605" i="3" s="1"/>
  <c r="E604" i="3"/>
  <c r="C605" i="3"/>
  <c r="D605" i="3"/>
  <c r="C606" i="3"/>
  <c r="D606" i="3" s="1"/>
  <c r="E607" i="3" s="1"/>
  <c r="E606" i="3"/>
  <c r="C607" i="3"/>
  <c r="D607" i="3"/>
  <c r="C608" i="3"/>
  <c r="D608" i="3" s="1"/>
  <c r="E609" i="3" s="1"/>
  <c r="E608" i="3"/>
  <c r="C609" i="3"/>
  <c r="D609" i="3"/>
  <c r="C610" i="3"/>
  <c r="D610" i="3" s="1"/>
  <c r="E611" i="3" s="1"/>
  <c r="E610" i="3"/>
  <c r="C611" i="3"/>
  <c r="D611" i="3"/>
  <c r="C612" i="3"/>
  <c r="D612" i="3" s="1"/>
  <c r="E613" i="3" s="1"/>
  <c r="E612" i="3"/>
  <c r="C613" i="3"/>
  <c r="D613" i="3"/>
  <c r="C614" i="3"/>
  <c r="D614" i="3" s="1"/>
  <c r="E615" i="3" s="1"/>
  <c r="E614" i="3"/>
  <c r="C615" i="3"/>
  <c r="D615" i="3"/>
  <c r="C616" i="3"/>
  <c r="D616" i="3" s="1"/>
  <c r="E617" i="3" s="1"/>
  <c r="E616" i="3"/>
  <c r="C617" i="3"/>
  <c r="D617" i="3"/>
  <c r="C618" i="3"/>
  <c r="D618" i="3" s="1"/>
  <c r="E619" i="3" s="1"/>
  <c r="E618" i="3"/>
  <c r="C619" i="3"/>
  <c r="D619" i="3"/>
  <c r="C620" i="3"/>
  <c r="D620" i="3" s="1"/>
  <c r="E621" i="3" s="1"/>
  <c r="E620" i="3"/>
  <c r="C621" i="3"/>
  <c r="D621" i="3"/>
  <c r="C622" i="3"/>
  <c r="D622" i="3" s="1"/>
  <c r="E623" i="3" s="1"/>
  <c r="E622" i="3"/>
  <c r="C623" i="3"/>
  <c r="D623" i="3"/>
  <c r="C624" i="3"/>
  <c r="D624" i="3" s="1"/>
  <c r="E625" i="3" s="1"/>
  <c r="E624" i="3"/>
  <c r="C625" i="3"/>
  <c r="D625" i="3"/>
  <c r="C626" i="3"/>
  <c r="D626" i="3" s="1"/>
  <c r="E627" i="3" s="1"/>
  <c r="E626" i="3"/>
  <c r="C627" i="3"/>
  <c r="D627" i="3"/>
  <c r="C628" i="3"/>
  <c r="D628" i="3" s="1"/>
  <c r="E629" i="3" s="1"/>
  <c r="E628" i="3"/>
  <c r="C629" i="3"/>
  <c r="D629" i="3"/>
  <c r="C630" i="3"/>
  <c r="D630" i="3" s="1"/>
  <c r="E631" i="3" s="1"/>
  <c r="E630" i="3"/>
  <c r="C631" i="3"/>
  <c r="D631" i="3"/>
  <c r="C632" i="3"/>
  <c r="D632" i="3" s="1"/>
  <c r="E633" i="3" s="1"/>
  <c r="E632" i="3"/>
  <c r="C633" i="3"/>
  <c r="D633" i="3"/>
  <c r="C634" i="3"/>
  <c r="D634" i="3" s="1"/>
  <c r="E635" i="3" s="1"/>
  <c r="E634" i="3"/>
  <c r="C635" i="3"/>
  <c r="D635" i="3"/>
  <c r="C636" i="3"/>
  <c r="D636" i="3" s="1"/>
  <c r="E637" i="3" s="1"/>
  <c r="E636" i="3"/>
  <c r="C637" i="3"/>
  <c r="D637" i="3"/>
  <c r="C638" i="3"/>
  <c r="D638" i="3" s="1"/>
  <c r="E639" i="3" s="1"/>
  <c r="E638" i="3"/>
  <c r="C639" i="3"/>
  <c r="D639" i="3"/>
  <c r="C640" i="3"/>
  <c r="D640" i="3" s="1"/>
  <c r="E641" i="3" s="1"/>
  <c r="E640" i="3"/>
  <c r="C641" i="3"/>
  <c r="D641" i="3"/>
  <c r="C642" i="3"/>
  <c r="D642" i="3" s="1"/>
  <c r="E643" i="3" s="1"/>
  <c r="E642" i="3"/>
  <c r="C643" i="3"/>
  <c r="D643" i="3"/>
  <c r="C644" i="3"/>
  <c r="D644" i="3" s="1"/>
  <c r="E645" i="3" s="1"/>
  <c r="E644" i="3"/>
  <c r="C645" i="3"/>
  <c r="D645" i="3"/>
  <c r="C646" i="3"/>
  <c r="D646" i="3" s="1"/>
  <c r="E647" i="3" s="1"/>
  <c r="E646" i="3"/>
  <c r="C647" i="3"/>
  <c r="D647" i="3"/>
  <c r="C648" i="3"/>
  <c r="D648" i="3" s="1"/>
  <c r="E649" i="3" s="1"/>
  <c r="E648" i="3"/>
  <c r="C649" i="3"/>
  <c r="D649" i="3"/>
  <c r="C650" i="3"/>
  <c r="D650" i="3" s="1"/>
  <c r="E651" i="3" s="1"/>
  <c r="E650" i="3"/>
  <c r="C651" i="3"/>
  <c r="D651" i="3"/>
  <c r="C652" i="3"/>
  <c r="D652" i="3" s="1"/>
  <c r="E653" i="3" s="1"/>
  <c r="E652" i="3"/>
  <c r="C653" i="3"/>
  <c r="D653" i="3"/>
  <c r="C654" i="3"/>
  <c r="D654" i="3" s="1"/>
  <c r="E655" i="3" s="1"/>
  <c r="E654" i="3"/>
  <c r="C655" i="3"/>
  <c r="D655" i="3"/>
  <c r="C656" i="3"/>
  <c r="D656" i="3" s="1"/>
  <c r="E657" i="3" s="1"/>
  <c r="E656" i="3"/>
  <c r="C657" i="3"/>
  <c r="D657" i="3"/>
  <c r="C658" i="3"/>
  <c r="D658" i="3" s="1"/>
  <c r="E659" i="3" s="1"/>
  <c r="E658" i="3"/>
  <c r="C659" i="3"/>
  <c r="D659" i="3"/>
  <c r="C660" i="3"/>
  <c r="D660" i="3" s="1"/>
  <c r="E661" i="3" s="1"/>
  <c r="E660" i="3"/>
  <c r="C661" i="3"/>
  <c r="D661" i="3"/>
  <c r="C662" i="3"/>
  <c r="D662" i="3" s="1"/>
  <c r="E663" i="3" s="1"/>
  <c r="E662" i="3"/>
  <c r="C663" i="3"/>
  <c r="D663" i="3"/>
  <c r="C664" i="3"/>
  <c r="D664" i="3" s="1"/>
  <c r="E665" i="3" s="1"/>
  <c r="E664" i="3"/>
  <c r="C665" i="3"/>
  <c r="D665" i="3"/>
  <c r="C666" i="3"/>
  <c r="D666" i="3" s="1"/>
  <c r="E667" i="3" s="1"/>
  <c r="E666" i="3"/>
  <c r="C667" i="3"/>
  <c r="D667" i="3"/>
  <c r="C668" i="3"/>
  <c r="D668" i="3" s="1"/>
  <c r="E669" i="3" s="1"/>
  <c r="E668" i="3"/>
  <c r="C669" i="3"/>
  <c r="D669" i="3"/>
  <c r="C670" i="3"/>
  <c r="D670" i="3" s="1"/>
  <c r="E671" i="3" s="1"/>
  <c r="E670" i="3"/>
  <c r="C671" i="3"/>
  <c r="D671" i="3"/>
  <c r="C672" i="3"/>
  <c r="D672" i="3" s="1"/>
  <c r="E673" i="3" s="1"/>
  <c r="E672" i="3"/>
  <c r="C673" i="3"/>
  <c r="D673" i="3"/>
  <c r="C674" i="3"/>
  <c r="D674" i="3" s="1"/>
  <c r="E675" i="3" s="1"/>
  <c r="E674" i="3"/>
  <c r="C675" i="3"/>
  <c r="D675" i="3"/>
  <c r="C676" i="3"/>
  <c r="D676" i="3" s="1"/>
  <c r="E677" i="3" s="1"/>
  <c r="E676" i="3"/>
  <c r="C677" i="3"/>
  <c r="D677" i="3"/>
  <c r="C678" i="3"/>
  <c r="D678" i="3" s="1"/>
  <c r="E679" i="3" s="1"/>
  <c r="E678" i="3"/>
  <c r="C679" i="3"/>
  <c r="D679" i="3"/>
  <c r="C680" i="3"/>
  <c r="D680" i="3" s="1"/>
  <c r="E681" i="3" s="1"/>
  <c r="E680" i="3"/>
  <c r="C681" i="3"/>
  <c r="D681" i="3"/>
  <c r="C682" i="3"/>
  <c r="D682" i="3" s="1"/>
  <c r="E683" i="3" s="1"/>
  <c r="E682" i="3"/>
  <c r="C683" i="3"/>
  <c r="D683" i="3"/>
  <c r="C684" i="3"/>
  <c r="D684" i="3" s="1"/>
  <c r="E685" i="3" s="1"/>
  <c r="E684" i="3"/>
  <c r="C685" i="3"/>
  <c r="D685" i="3"/>
  <c r="C686" i="3"/>
  <c r="D686" i="3" s="1"/>
  <c r="E687" i="3" s="1"/>
  <c r="E686" i="3"/>
  <c r="C687" i="3"/>
  <c r="D687" i="3"/>
  <c r="C688" i="3"/>
  <c r="D688" i="3" s="1"/>
  <c r="E689" i="3" s="1"/>
  <c r="E688" i="3"/>
  <c r="C689" i="3"/>
  <c r="D689" i="3"/>
  <c r="C690" i="3"/>
  <c r="D690" i="3" s="1"/>
  <c r="E691" i="3" s="1"/>
  <c r="E690" i="3"/>
  <c r="C691" i="3"/>
  <c r="D691" i="3"/>
  <c r="C692" i="3"/>
  <c r="D692" i="3" s="1"/>
  <c r="E693" i="3" s="1"/>
  <c r="E692" i="3"/>
  <c r="C693" i="3"/>
  <c r="D693" i="3"/>
  <c r="C694" i="3"/>
  <c r="D694" i="3" s="1"/>
  <c r="E695" i="3" s="1"/>
  <c r="E694" i="3"/>
  <c r="C695" i="3"/>
  <c r="D695" i="3"/>
  <c r="C696" i="3"/>
  <c r="D696" i="3" s="1"/>
  <c r="E697" i="3" s="1"/>
  <c r="E696" i="3"/>
  <c r="C697" i="3"/>
  <c r="D697" i="3"/>
  <c r="C698" i="3"/>
  <c r="D698" i="3" s="1"/>
  <c r="E699" i="3" s="1"/>
  <c r="E698" i="3"/>
  <c r="C699" i="3"/>
  <c r="D699" i="3"/>
  <c r="C700" i="3"/>
  <c r="D700" i="3" s="1"/>
  <c r="E701" i="3" s="1"/>
  <c r="E700" i="3"/>
  <c r="C701" i="3"/>
  <c r="D701" i="3"/>
  <c r="C702" i="3"/>
  <c r="D702" i="3" s="1"/>
  <c r="E703" i="3" s="1"/>
  <c r="E702" i="3"/>
  <c r="C703" i="3"/>
  <c r="D703" i="3"/>
  <c r="C704" i="3"/>
  <c r="D704" i="3" s="1"/>
  <c r="E705" i="3" s="1"/>
  <c r="E704" i="3"/>
  <c r="C705" i="3"/>
  <c r="D705" i="3"/>
  <c r="C706" i="3"/>
  <c r="D706" i="3" s="1"/>
  <c r="E707" i="3" s="1"/>
  <c r="E706" i="3"/>
  <c r="C707" i="3"/>
  <c r="D707" i="3"/>
  <c r="C708" i="3"/>
  <c r="D708" i="3" s="1"/>
  <c r="E709" i="3" s="1"/>
  <c r="E708" i="3"/>
  <c r="C709" i="3"/>
  <c r="D709" i="3"/>
  <c r="C710" i="3"/>
  <c r="D710" i="3" s="1"/>
  <c r="E711" i="3" s="1"/>
  <c r="E710" i="3"/>
  <c r="C711" i="3"/>
  <c r="D711" i="3"/>
  <c r="C712" i="3"/>
  <c r="D712" i="3" s="1"/>
  <c r="E713" i="3" s="1"/>
  <c r="E712" i="3"/>
  <c r="C713" i="3"/>
  <c r="D713" i="3"/>
  <c r="C714" i="3"/>
  <c r="D714" i="3" s="1"/>
  <c r="E715" i="3" s="1"/>
  <c r="E714" i="3"/>
  <c r="C715" i="3"/>
  <c r="D715" i="3"/>
  <c r="C716" i="3"/>
  <c r="D716" i="3" s="1"/>
  <c r="E717" i="3" s="1"/>
  <c r="E716" i="3"/>
  <c r="C717" i="3"/>
  <c r="D717" i="3"/>
  <c r="C718" i="3"/>
  <c r="D718" i="3" s="1"/>
  <c r="E719" i="3" s="1"/>
  <c r="E718" i="3"/>
  <c r="C719" i="3"/>
  <c r="D719" i="3"/>
  <c r="C720" i="3"/>
  <c r="D720" i="3" s="1"/>
  <c r="E721" i="3" s="1"/>
  <c r="E720" i="3"/>
  <c r="C721" i="3"/>
  <c r="D721" i="3"/>
  <c r="C722" i="3"/>
  <c r="D722" i="3" s="1"/>
  <c r="E723" i="3" s="1"/>
  <c r="E722" i="3"/>
  <c r="C723" i="3"/>
  <c r="D723" i="3"/>
  <c r="C724" i="3"/>
  <c r="D724" i="3" s="1"/>
  <c r="E725" i="3" s="1"/>
  <c r="E724" i="3"/>
  <c r="C725" i="3"/>
  <c r="D725" i="3"/>
  <c r="C726" i="3"/>
  <c r="D726" i="3" s="1"/>
  <c r="E727" i="3" s="1"/>
  <c r="E726" i="3"/>
  <c r="C727" i="3"/>
  <c r="D727" i="3"/>
  <c r="C728" i="3"/>
  <c r="D728" i="3" s="1"/>
  <c r="E729" i="3" s="1"/>
  <c r="E728" i="3"/>
  <c r="C729" i="3"/>
  <c r="D729" i="3"/>
  <c r="C730" i="3"/>
  <c r="D730" i="3" s="1"/>
  <c r="E731" i="3" s="1"/>
  <c r="E730" i="3"/>
  <c r="C731" i="3"/>
  <c r="D731" i="3"/>
  <c r="C732" i="3"/>
  <c r="D732" i="3" s="1"/>
  <c r="E733" i="3" s="1"/>
  <c r="E732" i="3"/>
  <c r="C733" i="3"/>
  <c r="D733" i="3"/>
  <c r="C734" i="3"/>
  <c r="D734" i="3" s="1"/>
  <c r="E735" i="3" s="1"/>
  <c r="E734" i="3"/>
  <c r="C735" i="3"/>
  <c r="D735" i="3"/>
  <c r="C736" i="3"/>
  <c r="D736" i="3" s="1"/>
  <c r="E737" i="3" s="1"/>
  <c r="E736" i="3"/>
  <c r="C737" i="3"/>
  <c r="D737" i="3"/>
  <c r="C738" i="3"/>
  <c r="D738" i="3" s="1"/>
  <c r="E739" i="3" s="1"/>
  <c r="E738" i="3"/>
  <c r="C739" i="3"/>
  <c r="D739" i="3"/>
  <c r="C740" i="3"/>
  <c r="D740" i="3" s="1"/>
  <c r="E741" i="3" s="1"/>
  <c r="E740" i="3"/>
  <c r="C741" i="3"/>
  <c r="D741" i="3"/>
  <c r="C742" i="3"/>
  <c r="D742" i="3" s="1"/>
  <c r="E743" i="3" s="1"/>
  <c r="E742" i="3"/>
  <c r="C743" i="3"/>
  <c r="D743" i="3"/>
  <c r="C744" i="3"/>
  <c r="D744" i="3" s="1"/>
  <c r="E745" i="3" s="1"/>
  <c r="E744" i="3"/>
  <c r="C745" i="3"/>
  <c r="D745" i="3"/>
  <c r="C746" i="3"/>
  <c r="D746" i="3" s="1"/>
  <c r="E747" i="3" s="1"/>
  <c r="E746" i="3"/>
  <c r="C747" i="3"/>
  <c r="D747" i="3"/>
  <c r="C748" i="3"/>
  <c r="D748" i="3" s="1"/>
  <c r="E749" i="3" s="1"/>
  <c r="E748" i="3"/>
  <c r="C749" i="3"/>
  <c r="D749" i="3"/>
  <c r="C750" i="3"/>
  <c r="D750" i="3" s="1"/>
  <c r="E751" i="3" s="1"/>
  <c r="E750" i="3"/>
  <c r="C751" i="3"/>
  <c r="D751" i="3"/>
  <c r="C752" i="3"/>
  <c r="D752" i="3" s="1"/>
  <c r="E753" i="3" s="1"/>
  <c r="E752" i="3"/>
  <c r="C753" i="3"/>
  <c r="D753" i="3"/>
  <c r="C754" i="3"/>
  <c r="D754" i="3" s="1"/>
  <c r="E755" i="3" s="1"/>
  <c r="E754" i="3"/>
  <c r="C755" i="3"/>
  <c r="D755" i="3"/>
  <c r="C756" i="3"/>
  <c r="D756" i="3" s="1"/>
  <c r="E757" i="3" s="1"/>
  <c r="E756" i="3"/>
  <c r="C757" i="3"/>
  <c r="D757" i="3"/>
  <c r="C758" i="3"/>
  <c r="D758" i="3" s="1"/>
  <c r="E759" i="3" s="1"/>
  <c r="E758" i="3"/>
  <c r="C759" i="3"/>
  <c r="D759" i="3"/>
  <c r="C760" i="3"/>
  <c r="D760" i="3" s="1"/>
  <c r="E761" i="3" s="1"/>
  <c r="E760" i="3"/>
  <c r="C761" i="3"/>
  <c r="D761" i="3"/>
  <c r="C762" i="3"/>
  <c r="D762" i="3" s="1"/>
  <c r="E763" i="3" s="1"/>
  <c r="E762" i="3"/>
  <c r="C763" i="3"/>
  <c r="D763" i="3"/>
  <c r="C764" i="3"/>
  <c r="D764" i="3" s="1"/>
  <c r="E765" i="3" s="1"/>
  <c r="E764" i="3"/>
  <c r="C765" i="3"/>
  <c r="D765" i="3"/>
  <c r="C766" i="3"/>
  <c r="D766" i="3" s="1"/>
  <c r="E767" i="3" s="1"/>
  <c r="E766" i="3"/>
  <c r="C767" i="3"/>
  <c r="D767" i="3"/>
  <c r="C768" i="3"/>
  <c r="D768" i="3" s="1"/>
  <c r="E769" i="3" s="1"/>
  <c r="E768" i="3"/>
  <c r="C769" i="3"/>
  <c r="D769" i="3"/>
  <c r="C770" i="3"/>
  <c r="D770" i="3" s="1"/>
  <c r="E771" i="3" s="1"/>
  <c r="E770" i="3"/>
  <c r="C771" i="3"/>
  <c r="D771" i="3"/>
  <c r="C772" i="3"/>
  <c r="D772" i="3" s="1"/>
  <c r="E773" i="3" s="1"/>
  <c r="E772" i="3"/>
  <c r="C773" i="3"/>
  <c r="D773" i="3"/>
  <c r="C774" i="3"/>
  <c r="D774" i="3" s="1"/>
  <c r="E775" i="3" s="1"/>
  <c r="E774" i="3"/>
  <c r="C775" i="3"/>
  <c r="D775" i="3"/>
  <c r="C776" i="3"/>
  <c r="D776" i="3" s="1"/>
  <c r="E777" i="3" s="1"/>
  <c r="E776" i="3"/>
  <c r="C777" i="3"/>
  <c r="D777" i="3"/>
  <c r="C778" i="3"/>
  <c r="D778" i="3" s="1"/>
  <c r="E779" i="3" s="1"/>
  <c r="E778" i="3"/>
  <c r="C779" i="3"/>
  <c r="D779" i="3"/>
  <c r="C780" i="3"/>
  <c r="D780" i="3" s="1"/>
  <c r="E781" i="3" s="1"/>
  <c r="E780" i="3"/>
  <c r="C781" i="3"/>
  <c r="D781" i="3"/>
  <c r="C782" i="3"/>
  <c r="D782" i="3" s="1"/>
  <c r="E783" i="3" s="1"/>
  <c r="E782" i="3"/>
  <c r="C783" i="3"/>
  <c r="D783" i="3"/>
  <c r="C784" i="3"/>
  <c r="D784" i="3" s="1"/>
  <c r="E785" i="3" s="1"/>
  <c r="E784" i="3"/>
  <c r="C785" i="3"/>
  <c r="D785" i="3"/>
  <c r="C786" i="3"/>
  <c r="D786" i="3" s="1"/>
  <c r="E787" i="3" s="1"/>
  <c r="E786" i="3"/>
  <c r="C787" i="3"/>
  <c r="D787" i="3"/>
  <c r="C788" i="3"/>
  <c r="D788" i="3" s="1"/>
  <c r="E789" i="3" s="1"/>
  <c r="E788" i="3"/>
  <c r="C789" i="3"/>
  <c r="D789" i="3"/>
  <c r="C790" i="3"/>
  <c r="D790" i="3" s="1"/>
  <c r="E791" i="3" s="1"/>
  <c r="E790" i="3"/>
  <c r="C791" i="3"/>
  <c r="D791" i="3"/>
  <c r="C792" i="3"/>
  <c r="D792" i="3" s="1"/>
  <c r="E793" i="3" s="1"/>
  <c r="E792" i="3"/>
  <c r="C793" i="3"/>
  <c r="D793" i="3"/>
  <c r="C794" i="3"/>
  <c r="D794" i="3" s="1"/>
  <c r="E795" i="3" s="1"/>
  <c r="E794" i="3"/>
  <c r="C795" i="3"/>
  <c r="D795" i="3"/>
  <c r="C796" i="3"/>
  <c r="D796" i="3" s="1"/>
  <c r="E797" i="3" s="1"/>
  <c r="E796" i="3"/>
  <c r="C797" i="3"/>
  <c r="D797" i="3"/>
  <c r="C798" i="3"/>
  <c r="D798" i="3" s="1"/>
  <c r="E799" i="3" s="1"/>
  <c r="E798" i="3"/>
  <c r="C799" i="3"/>
  <c r="D799" i="3"/>
  <c r="C800" i="3"/>
  <c r="D800" i="3" s="1"/>
  <c r="E801" i="3" s="1"/>
  <c r="E800" i="3"/>
  <c r="C801" i="3"/>
  <c r="D801" i="3"/>
  <c r="C802" i="3"/>
  <c r="D802" i="3" s="1"/>
  <c r="E803" i="3" s="1"/>
  <c r="E802" i="3"/>
  <c r="C803" i="3"/>
  <c r="D803" i="3"/>
  <c r="C804" i="3"/>
  <c r="D804" i="3" s="1"/>
  <c r="E805" i="3" s="1"/>
  <c r="E804" i="3"/>
  <c r="C805" i="3"/>
  <c r="D805" i="3"/>
  <c r="C806" i="3"/>
  <c r="D806" i="3" s="1"/>
  <c r="E807" i="3" s="1"/>
  <c r="E806" i="3"/>
  <c r="C807" i="3"/>
  <c r="D807" i="3"/>
  <c r="C808" i="3"/>
  <c r="D808" i="3" s="1"/>
  <c r="E809" i="3" s="1"/>
  <c r="E808" i="3"/>
  <c r="C809" i="3"/>
  <c r="D809" i="3"/>
  <c r="C810" i="3"/>
  <c r="D810" i="3" s="1"/>
  <c r="E811" i="3" s="1"/>
  <c r="E810" i="3"/>
  <c r="C811" i="3"/>
  <c r="D811" i="3"/>
  <c r="C812" i="3"/>
  <c r="D812" i="3" s="1"/>
  <c r="E813" i="3" s="1"/>
  <c r="E812" i="3"/>
  <c r="C813" i="3"/>
  <c r="D813" i="3"/>
  <c r="C814" i="3"/>
  <c r="D814" i="3" s="1"/>
  <c r="E815" i="3" s="1"/>
  <c r="E814" i="3"/>
  <c r="C815" i="3"/>
  <c r="D815" i="3"/>
  <c r="C816" i="3"/>
  <c r="D816" i="3" s="1"/>
  <c r="E817" i="3" s="1"/>
  <c r="E816" i="3"/>
  <c r="C817" i="3"/>
  <c r="D817" i="3"/>
  <c r="C818" i="3"/>
  <c r="D818" i="3" s="1"/>
  <c r="E819" i="3" s="1"/>
  <c r="E818" i="3"/>
  <c r="C819" i="3"/>
  <c r="D819" i="3"/>
  <c r="C820" i="3"/>
  <c r="D820" i="3" s="1"/>
  <c r="E821" i="3" s="1"/>
  <c r="E820" i="3"/>
  <c r="C821" i="3"/>
  <c r="D821" i="3"/>
  <c r="C822" i="3"/>
  <c r="D822" i="3" s="1"/>
  <c r="E823" i="3" s="1"/>
  <c r="E822" i="3"/>
  <c r="C823" i="3"/>
  <c r="D823" i="3"/>
  <c r="C824" i="3"/>
  <c r="D824" i="3" s="1"/>
  <c r="E825" i="3" s="1"/>
  <c r="E824" i="3"/>
  <c r="C825" i="3"/>
  <c r="D825" i="3"/>
  <c r="C826" i="3"/>
  <c r="D826" i="3" s="1"/>
  <c r="E827" i="3" s="1"/>
  <c r="E826" i="3"/>
  <c r="C827" i="3"/>
  <c r="D827" i="3"/>
  <c r="C828" i="3"/>
  <c r="D828" i="3" s="1"/>
  <c r="E829" i="3" s="1"/>
  <c r="E828" i="3"/>
  <c r="C829" i="3"/>
  <c r="D829" i="3"/>
  <c r="C830" i="3"/>
  <c r="D830" i="3" s="1"/>
  <c r="E831" i="3" s="1"/>
  <c r="E830" i="3"/>
  <c r="C831" i="3"/>
  <c r="D831" i="3"/>
  <c r="C832" i="3"/>
  <c r="D832" i="3" s="1"/>
  <c r="E833" i="3" s="1"/>
  <c r="E832" i="3"/>
  <c r="C833" i="3"/>
  <c r="D833" i="3"/>
  <c r="C834" i="3"/>
  <c r="D834" i="3" s="1"/>
  <c r="E835" i="3" s="1"/>
  <c r="E834" i="3"/>
  <c r="C835" i="3"/>
  <c r="D835" i="3"/>
  <c r="C836" i="3"/>
  <c r="D836" i="3" s="1"/>
  <c r="E837" i="3" s="1"/>
  <c r="E836" i="3"/>
  <c r="C837" i="3"/>
  <c r="D837" i="3"/>
  <c r="C838" i="3"/>
  <c r="D838" i="3" s="1"/>
  <c r="E839" i="3" s="1"/>
  <c r="E838" i="3"/>
  <c r="C839" i="3"/>
  <c r="D839" i="3"/>
  <c r="C840" i="3"/>
  <c r="D840" i="3" s="1"/>
  <c r="E841" i="3" s="1"/>
  <c r="E840" i="3"/>
  <c r="C841" i="3"/>
  <c r="D841" i="3"/>
  <c r="C842" i="3"/>
  <c r="D842" i="3" s="1"/>
  <c r="E843" i="3" s="1"/>
  <c r="E842" i="3"/>
  <c r="C843" i="3"/>
  <c r="D843" i="3"/>
  <c r="C844" i="3"/>
  <c r="D844" i="3" s="1"/>
  <c r="E845" i="3" s="1"/>
  <c r="E844" i="3"/>
  <c r="C845" i="3"/>
  <c r="D845" i="3"/>
  <c r="C846" i="3"/>
  <c r="D846" i="3" s="1"/>
  <c r="E847" i="3" s="1"/>
  <c r="E846" i="3"/>
  <c r="C847" i="3"/>
  <c r="D847" i="3"/>
  <c r="C848" i="3"/>
  <c r="D848" i="3" s="1"/>
  <c r="E849" i="3" s="1"/>
  <c r="E848" i="3"/>
  <c r="C849" i="3"/>
  <c r="D849" i="3"/>
  <c r="C850" i="3"/>
  <c r="D850" i="3" s="1"/>
  <c r="E851" i="3" s="1"/>
  <c r="E850" i="3"/>
  <c r="C851" i="3"/>
  <c r="D851" i="3"/>
  <c r="C852" i="3"/>
  <c r="D852" i="3" s="1"/>
  <c r="E853" i="3" s="1"/>
  <c r="E852" i="3"/>
  <c r="C853" i="3"/>
  <c r="D853" i="3"/>
  <c r="C854" i="3"/>
  <c r="D854" i="3" s="1"/>
  <c r="E855" i="3" s="1"/>
  <c r="E854" i="3"/>
  <c r="C855" i="3"/>
  <c r="D855" i="3"/>
  <c r="C856" i="3"/>
  <c r="D856" i="3" s="1"/>
  <c r="E857" i="3" s="1"/>
  <c r="E856" i="3"/>
  <c r="C857" i="3"/>
  <c r="D857" i="3"/>
  <c r="C858" i="3"/>
  <c r="D858" i="3" s="1"/>
  <c r="E859" i="3" s="1"/>
  <c r="E858" i="3"/>
  <c r="C859" i="3"/>
  <c r="D859" i="3"/>
  <c r="C860" i="3"/>
  <c r="D860" i="3" s="1"/>
  <c r="E861" i="3" s="1"/>
  <c r="E860" i="3"/>
  <c r="C861" i="3"/>
  <c r="D861" i="3"/>
  <c r="C862" i="3"/>
  <c r="D862" i="3" s="1"/>
  <c r="E863" i="3" s="1"/>
  <c r="E862" i="3"/>
  <c r="C863" i="3"/>
  <c r="D863" i="3"/>
  <c r="C864" i="3"/>
  <c r="D864" i="3" s="1"/>
  <c r="E865" i="3" s="1"/>
  <c r="E864" i="3"/>
  <c r="C865" i="3"/>
  <c r="D865" i="3"/>
  <c r="C866" i="3"/>
  <c r="D866" i="3" s="1"/>
  <c r="E867" i="3" s="1"/>
  <c r="E866" i="3"/>
  <c r="C867" i="3"/>
  <c r="D867" i="3"/>
  <c r="C868" i="3"/>
  <c r="D868" i="3" s="1"/>
  <c r="E869" i="3" s="1"/>
  <c r="E868" i="3"/>
  <c r="C869" i="3"/>
  <c r="D869" i="3"/>
  <c r="C870" i="3"/>
  <c r="D870" i="3" s="1"/>
  <c r="E871" i="3" s="1"/>
  <c r="E870" i="3"/>
  <c r="C871" i="3"/>
  <c r="D871" i="3"/>
  <c r="C872" i="3"/>
  <c r="D872" i="3" s="1"/>
  <c r="E873" i="3" s="1"/>
  <c r="E872" i="3"/>
  <c r="C873" i="3"/>
  <c r="D873" i="3"/>
  <c r="C874" i="3"/>
  <c r="D874" i="3" s="1"/>
  <c r="E875" i="3" s="1"/>
  <c r="E874" i="3"/>
  <c r="C875" i="3"/>
  <c r="D875" i="3"/>
  <c r="C876" i="3"/>
  <c r="D876" i="3" s="1"/>
  <c r="E877" i="3" s="1"/>
  <c r="E876" i="3"/>
  <c r="C877" i="3"/>
  <c r="D877" i="3"/>
  <c r="C878" i="3"/>
  <c r="D878" i="3" s="1"/>
  <c r="E879" i="3" s="1"/>
  <c r="E878" i="3"/>
  <c r="C879" i="3"/>
  <c r="D879" i="3"/>
  <c r="C880" i="3"/>
  <c r="D880" i="3" s="1"/>
  <c r="E881" i="3" s="1"/>
  <c r="E880" i="3"/>
  <c r="C881" i="3"/>
  <c r="D881" i="3"/>
  <c r="C882" i="3"/>
  <c r="D882" i="3" s="1"/>
  <c r="E883" i="3" s="1"/>
  <c r="E882" i="3"/>
  <c r="C883" i="3"/>
  <c r="D883" i="3"/>
  <c r="C884" i="3"/>
  <c r="D884" i="3" s="1"/>
  <c r="E885" i="3" s="1"/>
  <c r="E884" i="3"/>
  <c r="C885" i="3"/>
  <c r="D885" i="3"/>
  <c r="C886" i="3"/>
  <c r="D886" i="3" s="1"/>
  <c r="E887" i="3" s="1"/>
  <c r="E886" i="3"/>
  <c r="C887" i="3"/>
  <c r="D887" i="3"/>
  <c r="C888" i="3"/>
  <c r="D888" i="3" s="1"/>
  <c r="E889" i="3" s="1"/>
  <c r="E888" i="3"/>
  <c r="C889" i="3"/>
  <c r="D889" i="3"/>
  <c r="C890" i="3"/>
  <c r="D890" i="3" s="1"/>
  <c r="E891" i="3" s="1"/>
  <c r="E890" i="3"/>
  <c r="C891" i="3"/>
  <c r="D891" i="3"/>
  <c r="C892" i="3"/>
  <c r="D892" i="3" s="1"/>
  <c r="E893" i="3" s="1"/>
  <c r="E892" i="3"/>
  <c r="C893" i="3"/>
  <c r="D893" i="3"/>
  <c r="C894" i="3"/>
  <c r="D894" i="3" s="1"/>
  <c r="E895" i="3" s="1"/>
  <c r="E894" i="3"/>
  <c r="C895" i="3"/>
  <c r="D895" i="3"/>
  <c r="C896" i="3"/>
  <c r="D896" i="3" s="1"/>
  <c r="E897" i="3" s="1"/>
  <c r="E896" i="3"/>
  <c r="C897" i="3"/>
  <c r="D897" i="3"/>
  <c r="C898" i="3"/>
  <c r="D898" i="3" s="1"/>
  <c r="E899" i="3" s="1"/>
  <c r="E898" i="3"/>
  <c r="C899" i="3"/>
  <c r="D899" i="3"/>
  <c r="C900" i="3"/>
  <c r="D900" i="3" s="1"/>
  <c r="E901" i="3" s="1"/>
  <c r="E900" i="3"/>
  <c r="C901" i="3"/>
  <c r="D901" i="3"/>
  <c r="C902" i="3"/>
  <c r="D902" i="3" s="1"/>
  <c r="E903" i="3" s="1"/>
  <c r="E902" i="3"/>
  <c r="C903" i="3"/>
  <c r="D903" i="3"/>
  <c r="C904" i="3"/>
  <c r="D904" i="3" s="1"/>
  <c r="E905" i="3" s="1"/>
  <c r="E904" i="3"/>
  <c r="C905" i="3"/>
  <c r="D905" i="3"/>
  <c r="C906" i="3"/>
  <c r="D906" i="3" s="1"/>
  <c r="E907" i="3" s="1"/>
  <c r="E906" i="3"/>
  <c r="C907" i="3"/>
  <c r="D907" i="3"/>
  <c r="C908" i="3"/>
  <c r="D908" i="3" s="1"/>
  <c r="E909" i="3" s="1"/>
  <c r="E908" i="3"/>
  <c r="C909" i="3"/>
  <c r="D909" i="3"/>
  <c r="C910" i="3"/>
  <c r="D910" i="3" s="1"/>
  <c r="E911" i="3" s="1"/>
  <c r="E910" i="3"/>
  <c r="C911" i="3"/>
  <c r="D911" i="3"/>
  <c r="C912" i="3"/>
  <c r="D912" i="3" s="1"/>
  <c r="E913" i="3" s="1"/>
  <c r="E912" i="3"/>
  <c r="C913" i="3"/>
  <c r="D913" i="3"/>
  <c r="C914" i="3"/>
  <c r="D914" i="3" s="1"/>
  <c r="E915" i="3" s="1"/>
  <c r="E914" i="3"/>
  <c r="C915" i="3"/>
  <c r="D915" i="3"/>
  <c r="C916" i="3"/>
  <c r="D916" i="3" s="1"/>
  <c r="E917" i="3" s="1"/>
  <c r="E916" i="3"/>
  <c r="C917" i="3"/>
  <c r="D917" i="3"/>
  <c r="C918" i="3"/>
  <c r="D918" i="3" s="1"/>
  <c r="E919" i="3" s="1"/>
  <c r="E918" i="3"/>
  <c r="C919" i="3"/>
  <c r="D919" i="3"/>
  <c r="C920" i="3"/>
  <c r="D920" i="3" s="1"/>
  <c r="E921" i="3" s="1"/>
  <c r="E920" i="3"/>
  <c r="C921" i="3"/>
  <c r="D921" i="3"/>
  <c r="C922" i="3"/>
  <c r="D922" i="3" s="1"/>
  <c r="E923" i="3" s="1"/>
  <c r="E922" i="3"/>
  <c r="C923" i="3"/>
  <c r="D923" i="3"/>
  <c r="C924" i="3"/>
  <c r="D924" i="3" s="1"/>
  <c r="E925" i="3" s="1"/>
  <c r="E924" i="3"/>
  <c r="C925" i="3"/>
  <c r="D925" i="3"/>
  <c r="C926" i="3"/>
  <c r="D926" i="3" s="1"/>
  <c r="E927" i="3" s="1"/>
  <c r="E926" i="3"/>
  <c r="C927" i="3"/>
  <c r="D927" i="3"/>
  <c r="C928" i="3"/>
  <c r="D928" i="3" s="1"/>
  <c r="E929" i="3" s="1"/>
  <c r="E928" i="3"/>
  <c r="C929" i="3"/>
  <c r="D929" i="3"/>
  <c r="C930" i="3"/>
  <c r="D930" i="3" s="1"/>
  <c r="E931" i="3" s="1"/>
  <c r="E930" i="3"/>
  <c r="C931" i="3"/>
  <c r="D931" i="3"/>
  <c r="C932" i="3"/>
  <c r="D932" i="3" s="1"/>
  <c r="E933" i="3" s="1"/>
  <c r="E932" i="3"/>
  <c r="C933" i="3"/>
  <c r="D933" i="3"/>
  <c r="C934" i="3"/>
  <c r="D934" i="3" s="1"/>
  <c r="E934" i="3"/>
  <c r="C935" i="3"/>
  <c r="D935" i="3" s="1"/>
  <c r="E936" i="3" s="1"/>
  <c r="E935" i="3"/>
  <c r="C936" i="3"/>
  <c r="D936" i="3"/>
  <c r="C937" i="3"/>
  <c r="D937" i="3" s="1"/>
  <c r="E938" i="3" s="1"/>
  <c r="E937" i="3"/>
  <c r="C938" i="3"/>
  <c r="D938" i="3"/>
  <c r="C939" i="3"/>
  <c r="D939" i="3" s="1"/>
  <c r="E940" i="3" s="1"/>
  <c r="E939" i="3"/>
  <c r="C940" i="3"/>
  <c r="D940" i="3"/>
  <c r="C941" i="3"/>
  <c r="D941" i="3" s="1"/>
  <c r="E942" i="3" s="1"/>
  <c r="E941" i="3"/>
  <c r="C942" i="3"/>
  <c r="D942" i="3"/>
  <c r="C943" i="3"/>
  <c r="D943" i="3" s="1"/>
  <c r="E944" i="3" s="1"/>
  <c r="E943" i="3"/>
  <c r="C944" i="3"/>
  <c r="D944" i="3"/>
  <c r="C945" i="3"/>
  <c r="D945" i="3" s="1"/>
  <c r="E946" i="3" s="1"/>
  <c r="E945" i="3"/>
  <c r="C946" i="3"/>
  <c r="D946" i="3"/>
  <c r="C947" i="3"/>
  <c r="D947" i="3" s="1"/>
  <c r="E948" i="3" s="1"/>
  <c r="E947" i="3"/>
  <c r="C948" i="3"/>
  <c r="D948" i="3"/>
  <c r="C949" i="3"/>
  <c r="D949" i="3" s="1"/>
  <c r="E950" i="3" s="1"/>
  <c r="E949" i="3"/>
  <c r="C950" i="3"/>
  <c r="D950" i="3"/>
  <c r="C951" i="3"/>
  <c r="D951" i="3" s="1"/>
  <c r="E952" i="3" s="1"/>
  <c r="E951" i="3"/>
  <c r="C952" i="3"/>
  <c r="D952" i="3"/>
  <c r="C953" i="3"/>
  <c r="D953" i="3" s="1"/>
  <c r="E954" i="3" s="1"/>
  <c r="E953" i="3"/>
  <c r="C954" i="3"/>
  <c r="D954" i="3"/>
  <c r="C955" i="3"/>
  <c r="D955" i="3" s="1"/>
  <c r="E956" i="3" s="1"/>
  <c r="E955" i="3"/>
  <c r="C956" i="3"/>
  <c r="D956" i="3"/>
  <c r="C957" i="3"/>
  <c r="D957" i="3" s="1"/>
  <c r="E958" i="3" s="1"/>
  <c r="E957" i="3"/>
  <c r="C958" i="3"/>
  <c r="D958" i="3"/>
  <c r="C959" i="3"/>
  <c r="D959" i="3" s="1"/>
  <c r="E960" i="3" s="1"/>
  <c r="E959" i="3"/>
  <c r="C960" i="3"/>
  <c r="D960" i="3"/>
  <c r="C961" i="3"/>
  <c r="D961" i="3" s="1"/>
  <c r="E962" i="3" s="1"/>
  <c r="E961" i="3"/>
  <c r="C962" i="3"/>
  <c r="D962" i="3"/>
  <c r="C963" i="3"/>
  <c r="D963" i="3" s="1"/>
  <c r="E964" i="3" s="1"/>
  <c r="E963" i="3"/>
  <c r="C964" i="3"/>
  <c r="D964" i="3"/>
  <c r="C965" i="3"/>
  <c r="D965" i="3" s="1"/>
  <c r="E966" i="3" s="1"/>
  <c r="E965" i="3"/>
  <c r="C966" i="3"/>
  <c r="D966" i="3"/>
  <c r="C967" i="3"/>
  <c r="D967" i="3" s="1"/>
  <c r="E968" i="3" s="1"/>
  <c r="E967" i="3"/>
  <c r="C968" i="3"/>
  <c r="D968" i="3"/>
  <c r="C969" i="3"/>
  <c r="D969" i="3" s="1"/>
  <c r="E970" i="3" s="1"/>
  <c r="E969" i="3"/>
  <c r="C970" i="3"/>
  <c r="D970" i="3"/>
  <c r="C971" i="3"/>
  <c r="D971" i="3" s="1"/>
  <c r="E972" i="3" s="1"/>
  <c r="E971" i="3"/>
  <c r="C972" i="3"/>
  <c r="D972" i="3"/>
  <c r="C973" i="3"/>
  <c r="D973" i="3" s="1"/>
  <c r="E974" i="3" s="1"/>
  <c r="E973" i="3"/>
  <c r="C974" i="3"/>
  <c r="D974" i="3"/>
  <c r="C975" i="3"/>
  <c r="D975" i="3" s="1"/>
  <c r="E976" i="3" s="1"/>
  <c r="E975" i="3"/>
  <c r="C976" i="3"/>
  <c r="D976" i="3"/>
  <c r="C977" i="3"/>
  <c r="D977" i="3" s="1"/>
  <c r="E978" i="3" s="1"/>
  <c r="E977" i="3"/>
  <c r="C978" i="3"/>
  <c r="D978" i="3"/>
  <c r="C979" i="3"/>
  <c r="D979" i="3" s="1"/>
  <c r="E980" i="3" s="1"/>
  <c r="E979" i="3"/>
  <c r="C980" i="3"/>
  <c r="D980" i="3"/>
  <c r="C981" i="3"/>
  <c r="D981" i="3" s="1"/>
  <c r="E982" i="3" s="1"/>
  <c r="E981" i="3"/>
  <c r="C982" i="3"/>
  <c r="D982" i="3"/>
  <c r="C983" i="3"/>
  <c r="D983" i="3" s="1"/>
  <c r="E984" i="3" s="1"/>
  <c r="E983" i="3"/>
  <c r="C984" i="3"/>
  <c r="D984" i="3"/>
  <c r="C985" i="3"/>
  <c r="D985" i="3" s="1"/>
  <c r="E986" i="3" s="1"/>
  <c r="E985" i="3"/>
  <c r="C986" i="3"/>
  <c r="D986" i="3"/>
  <c r="C987" i="3"/>
  <c r="D987" i="3" s="1"/>
  <c r="E988" i="3" s="1"/>
  <c r="E987" i="3"/>
  <c r="C988" i="3"/>
  <c r="D988" i="3"/>
  <c r="C989" i="3"/>
  <c r="D989" i="3" s="1"/>
  <c r="E990" i="3" s="1"/>
  <c r="E989" i="3"/>
  <c r="C990" i="3"/>
  <c r="D990" i="3"/>
  <c r="C991" i="3"/>
  <c r="D991" i="3" s="1"/>
  <c r="E992" i="3" s="1"/>
  <c r="E991" i="3"/>
  <c r="C992" i="3"/>
  <c r="D992" i="3"/>
  <c r="C993" i="3"/>
  <c r="D993" i="3" s="1"/>
  <c r="E994" i="3" s="1"/>
  <c r="E993" i="3"/>
  <c r="C994" i="3"/>
  <c r="D994" i="3"/>
  <c r="C995" i="3"/>
  <c r="D995" i="3" s="1"/>
  <c r="E996" i="3" s="1"/>
  <c r="E995" i="3"/>
  <c r="C996" i="3"/>
  <c r="D996" i="3"/>
  <c r="C997" i="3"/>
  <c r="D997" i="3" s="1"/>
  <c r="E998" i="3" s="1"/>
  <c r="E997" i="3"/>
  <c r="C998" i="3"/>
  <c r="D998" i="3"/>
  <c r="C999" i="3"/>
  <c r="D999" i="3" s="1"/>
  <c r="E1000" i="3" s="1"/>
  <c r="E999" i="3"/>
  <c r="C1000" i="3"/>
  <c r="D1000" i="3"/>
  <c r="C1001" i="3"/>
  <c r="D1001" i="3" s="1"/>
  <c r="E1002" i="3" s="1"/>
  <c r="E1001" i="3"/>
  <c r="C1002" i="3"/>
  <c r="D1002" i="3"/>
  <c r="C1003" i="3"/>
  <c r="D1003" i="3" s="1"/>
  <c r="E1004" i="3" s="1"/>
  <c r="E1003" i="3"/>
  <c r="C1004" i="3"/>
  <c r="D1004" i="3"/>
  <c r="C1005" i="3"/>
  <c r="D1005" i="3" s="1"/>
  <c r="E1006" i="3" s="1"/>
  <c r="E1005" i="3"/>
  <c r="C1006" i="3"/>
  <c r="D1006" i="3"/>
  <c r="C1007" i="3"/>
  <c r="D1007" i="3" s="1"/>
  <c r="E1008" i="3" s="1"/>
  <c r="E1007" i="3"/>
  <c r="C1008" i="3"/>
  <c r="D1008" i="3"/>
  <c r="C1009" i="3"/>
  <c r="D1009" i="3" s="1"/>
  <c r="E1010" i="3" s="1"/>
  <c r="E1009" i="3"/>
  <c r="C1010" i="3"/>
  <c r="D1010" i="3"/>
  <c r="C1011" i="3"/>
  <c r="D1011" i="3" s="1"/>
  <c r="E1012" i="3" s="1"/>
  <c r="E1011" i="3"/>
  <c r="C1012" i="3"/>
  <c r="D1012" i="3"/>
  <c r="C1013" i="3"/>
  <c r="D1013" i="3" s="1"/>
  <c r="E1014" i="3" s="1"/>
  <c r="E1013" i="3"/>
  <c r="C1014" i="3"/>
  <c r="D1014" i="3"/>
  <c r="C1015" i="3"/>
  <c r="D1015" i="3" s="1"/>
  <c r="E1016" i="3" s="1"/>
  <c r="E1015" i="3"/>
  <c r="C1016" i="3"/>
  <c r="D1016" i="3"/>
  <c r="C1017" i="3"/>
  <c r="D1017" i="3" s="1"/>
  <c r="E1018" i="3" s="1"/>
  <c r="E1017" i="3"/>
  <c r="C1018" i="3"/>
  <c r="D1018" i="3"/>
  <c r="C1019" i="3"/>
  <c r="D1019" i="3" s="1"/>
  <c r="E1020" i="3" s="1"/>
  <c r="E1019" i="3"/>
  <c r="C1020" i="3"/>
  <c r="D1020" i="3"/>
  <c r="C1021" i="3"/>
  <c r="D1021" i="3" s="1"/>
  <c r="E1022" i="3" s="1"/>
  <c r="E1021" i="3"/>
  <c r="C1022" i="3"/>
  <c r="D1022" i="3"/>
  <c r="C1023" i="3"/>
  <c r="D1023" i="3" s="1"/>
  <c r="E1024" i="3" s="1"/>
  <c r="E1023" i="3"/>
  <c r="C1024" i="3"/>
  <c r="D1024" i="3"/>
  <c r="C1025" i="3"/>
  <c r="D1025" i="3" s="1"/>
  <c r="E1026" i="3" s="1"/>
  <c r="E1025" i="3"/>
  <c r="C1026" i="3"/>
  <c r="D1026" i="3"/>
  <c r="C1027" i="3"/>
  <c r="D1027" i="3" s="1"/>
  <c r="E1028" i="3" s="1"/>
  <c r="E1027" i="3"/>
  <c r="C1028" i="3"/>
  <c r="D1028" i="3"/>
  <c r="C1029" i="3"/>
  <c r="D1029" i="3" s="1"/>
  <c r="E1030" i="3" s="1"/>
  <c r="E1029" i="3"/>
  <c r="C1030" i="3"/>
  <c r="D1030" i="3"/>
  <c r="C1031" i="3"/>
  <c r="D1031" i="3" s="1"/>
  <c r="E1032" i="3" s="1"/>
  <c r="E1031" i="3"/>
  <c r="C1032" i="3"/>
  <c r="D1032" i="3"/>
  <c r="C1033" i="3"/>
  <c r="D1033" i="3" s="1"/>
  <c r="E1034" i="3" s="1"/>
  <c r="E1033" i="3"/>
  <c r="C1034" i="3"/>
  <c r="D1034" i="3"/>
  <c r="C1035" i="3"/>
  <c r="D1035" i="3" s="1"/>
  <c r="E1036" i="3" s="1"/>
  <c r="E1035" i="3"/>
  <c r="C1036" i="3"/>
  <c r="D1036" i="3"/>
  <c r="C1037" i="3"/>
  <c r="D1037" i="3" s="1"/>
  <c r="E1038" i="3" s="1"/>
  <c r="E1037" i="3"/>
  <c r="C1038" i="3"/>
  <c r="D1038" i="3"/>
  <c r="C1039" i="3"/>
  <c r="D1039" i="3" s="1"/>
  <c r="E1040" i="3" s="1"/>
  <c r="E1039" i="3"/>
  <c r="C1040" i="3"/>
  <c r="D1040" i="3"/>
  <c r="C1041" i="3"/>
  <c r="D1041" i="3" s="1"/>
  <c r="E1042" i="3" s="1"/>
  <c r="E1041" i="3"/>
  <c r="C1042" i="3"/>
  <c r="D1042" i="3"/>
  <c r="C1043" i="3"/>
  <c r="D1043" i="3" s="1"/>
  <c r="E1044" i="3" s="1"/>
  <c r="E1043" i="3"/>
  <c r="C1044" i="3"/>
  <c r="D1044" i="3"/>
  <c r="C1045" i="3"/>
  <c r="D1045" i="3" s="1"/>
  <c r="E1046" i="3" s="1"/>
  <c r="E1045" i="3"/>
  <c r="C1046" i="3"/>
  <c r="D1046" i="3"/>
  <c r="C1047" i="3"/>
  <c r="D1047" i="3" s="1"/>
  <c r="E1048" i="3" s="1"/>
  <c r="E1047" i="3"/>
  <c r="C1048" i="3"/>
  <c r="D1048" i="3"/>
  <c r="C1049" i="3"/>
  <c r="D1049" i="3" s="1"/>
  <c r="E1050" i="3" s="1"/>
  <c r="E1049" i="3"/>
  <c r="C1050" i="3"/>
  <c r="D1050" i="3"/>
  <c r="C1051" i="3"/>
  <c r="D1051" i="3" s="1"/>
  <c r="E1052" i="3" s="1"/>
  <c r="E1051" i="3"/>
  <c r="C1052" i="3"/>
  <c r="D1052" i="3"/>
  <c r="C1053" i="3"/>
  <c r="D1053" i="3" s="1"/>
  <c r="E1054" i="3" s="1"/>
  <c r="E1053" i="3"/>
  <c r="C1054" i="3"/>
  <c r="D1054" i="3"/>
  <c r="C1055" i="3"/>
  <c r="D1055" i="3" s="1"/>
  <c r="E1056" i="3" s="1"/>
  <c r="E1055" i="3"/>
  <c r="C1056" i="3"/>
  <c r="D1056" i="3"/>
  <c r="C1057" i="3"/>
  <c r="D1057" i="3" s="1"/>
  <c r="E1058" i="3" s="1"/>
  <c r="E1057" i="3"/>
  <c r="C1058" i="3"/>
  <c r="D1058" i="3"/>
  <c r="C1059" i="3"/>
  <c r="D1059" i="3" s="1"/>
  <c r="E1060" i="3" s="1"/>
  <c r="E1059" i="3"/>
  <c r="C1060" i="3"/>
  <c r="D1060" i="3"/>
  <c r="C1061" i="3"/>
  <c r="D1061" i="3" s="1"/>
  <c r="E1062" i="3" s="1"/>
  <c r="E1061" i="3"/>
  <c r="C1062" i="3"/>
  <c r="D1062" i="3"/>
  <c r="C1063" i="3"/>
  <c r="D1063" i="3" s="1"/>
  <c r="E1064" i="3" s="1"/>
  <c r="E1063" i="3"/>
  <c r="C1064" i="3"/>
  <c r="D1064" i="3"/>
  <c r="C1065" i="3"/>
  <c r="D1065" i="3" s="1"/>
  <c r="E1066" i="3" s="1"/>
  <c r="E1065" i="3"/>
  <c r="C1066" i="3"/>
  <c r="D1066" i="3"/>
  <c r="C1067" i="3"/>
  <c r="D1067" i="3" s="1"/>
  <c r="E1068" i="3" s="1"/>
  <c r="E1067" i="3"/>
  <c r="C1068" i="3"/>
  <c r="D1068" i="3"/>
  <c r="C1069" i="3"/>
  <c r="D1069" i="3" s="1"/>
  <c r="E1070" i="3" s="1"/>
  <c r="E1069" i="3"/>
  <c r="C1070" i="3"/>
  <c r="D1070" i="3"/>
  <c r="C1071" i="3"/>
  <c r="D1071" i="3" s="1"/>
  <c r="E1072" i="3" s="1"/>
  <c r="E1071" i="3"/>
  <c r="C1072" i="3"/>
  <c r="D1072" i="3"/>
  <c r="C1073" i="3"/>
  <c r="D1073" i="3" s="1"/>
  <c r="E1074" i="3" s="1"/>
  <c r="E1073" i="3"/>
  <c r="C1074" i="3"/>
  <c r="D1074" i="3"/>
  <c r="C1075" i="3"/>
  <c r="D1075" i="3" s="1"/>
  <c r="E1076" i="3" s="1"/>
  <c r="E1075" i="3"/>
  <c r="C1076" i="3"/>
  <c r="D1076" i="3"/>
  <c r="C1077" i="3"/>
  <c r="D1077" i="3" s="1"/>
  <c r="E1078" i="3" s="1"/>
  <c r="E1077" i="3"/>
  <c r="C1078" i="3"/>
  <c r="D1078" i="3"/>
  <c r="C1079" i="3"/>
  <c r="D1079" i="3" s="1"/>
  <c r="E1080" i="3" s="1"/>
  <c r="E1079" i="3"/>
  <c r="C1080" i="3"/>
  <c r="D1080" i="3"/>
  <c r="C1081" i="3"/>
  <c r="D1081" i="3" s="1"/>
  <c r="E1082" i="3" s="1"/>
  <c r="E1081" i="3"/>
  <c r="C1082" i="3"/>
  <c r="D1082" i="3"/>
  <c r="C1083" i="3"/>
  <c r="D1083" i="3" s="1"/>
  <c r="E1084" i="3" s="1"/>
  <c r="E1083" i="3"/>
  <c r="C1084" i="3"/>
  <c r="D1084" i="3"/>
  <c r="C1085" i="3"/>
  <c r="D1085" i="3" s="1"/>
  <c r="E1086" i="3" s="1"/>
  <c r="E1085" i="3"/>
  <c r="C1086" i="3"/>
  <c r="D1086" i="3"/>
  <c r="C1087" i="3"/>
  <c r="D1087" i="3" s="1"/>
  <c r="E1088" i="3" s="1"/>
  <c r="E1087" i="3"/>
  <c r="C1088" i="3"/>
  <c r="D1088" i="3"/>
  <c r="C1089" i="3"/>
  <c r="D1089" i="3" s="1"/>
  <c r="E1090" i="3" s="1"/>
  <c r="E1089" i="3"/>
  <c r="C1090" i="3"/>
  <c r="D1090" i="3"/>
  <c r="C1091" i="3"/>
  <c r="D1091" i="3" s="1"/>
  <c r="E1092" i="3" s="1"/>
  <c r="E1091" i="3"/>
  <c r="C1092" i="3"/>
  <c r="D1092" i="3"/>
  <c r="C1093" i="3"/>
  <c r="D1093" i="3" s="1"/>
  <c r="E1094" i="3" s="1"/>
  <c r="E1093" i="3"/>
  <c r="C1094" i="3"/>
  <c r="D1094" i="3"/>
  <c r="C1095" i="3"/>
  <c r="D1095" i="3" s="1"/>
  <c r="E1096" i="3" s="1"/>
  <c r="E1095" i="3"/>
  <c r="C1096" i="3"/>
  <c r="D1096" i="3"/>
  <c r="C1097" i="3"/>
  <c r="D1097" i="3" s="1"/>
  <c r="E1098" i="3" s="1"/>
  <c r="E1097" i="3"/>
  <c r="C1098" i="3"/>
  <c r="D1098" i="3"/>
  <c r="C1099" i="3"/>
  <c r="D1099" i="3" s="1"/>
  <c r="E1100" i="3" s="1"/>
  <c r="E1099" i="3"/>
  <c r="C1100" i="3"/>
  <c r="D1100" i="3"/>
  <c r="C1101" i="3"/>
  <c r="D1101" i="3" s="1"/>
  <c r="E1102" i="3" s="1"/>
  <c r="E1101" i="3"/>
  <c r="C1102" i="3"/>
  <c r="D1102" i="3"/>
  <c r="C1103" i="3"/>
  <c r="D1103" i="3" s="1"/>
  <c r="E1104" i="3" s="1"/>
  <c r="E1103" i="3"/>
  <c r="C1104" i="3"/>
  <c r="D1104" i="3"/>
  <c r="C1105" i="3"/>
  <c r="D1105" i="3" s="1"/>
  <c r="E1106" i="3" s="1"/>
  <c r="E1105" i="3"/>
  <c r="C1106" i="3"/>
  <c r="D1106" i="3"/>
  <c r="C1107" i="3"/>
  <c r="D1107" i="3" s="1"/>
  <c r="E1108" i="3" s="1"/>
  <c r="E1107" i="3"/>
  <c r="C1108" i="3"/>
  <c r="D1108" i="3"/>
  <c r="C1109" i="3"/>
  <c r="D1109" i="3" s="1"/>
  <c r="E1110" i="3" s="1"/>
  <c r="E1109" i="3"/>
  <c r="C1110" i="3"/>
  <c r="D1110" i="3"/>
  <c r="C1111" i="3"/>
  <c r="D1111" i="3" s="1"/>
  <c r="E1112" i="3" s="1"/>
  <c r="E1111" i="3"/>
  <c r="C1112" i="3"/>
  <c r="D1112" i="3"/>
  <c r="C1113" i="3"/>
  <c r="D1113" i="3" s="1"/>
  <c r="E1114" i="3" s="1"/>
  <c r="E1113" i="3"/>
  <c r="C1114" i="3"/>
  <c r="D1114" i="3"/>
  <c r="C1115" i="3"/>
  <c r="D1115" i="3" s="1"/>
  <c r="E1116" i="3" s="1"/>
  <c r="E1115" i="3"/>
  <c r="C1116" i="3"/>
  <c r="D1116" i="3"/>
  <c r="C1117" i="3"/>
  <c r="D1117" i="3" s="1"/>
  <c r="E1118" i="3" s="1"/>
  <c r="E1117" i="3"/>
  <c r="C1118" i="3"/>
  <c r="D1118" i="3"/>
  <c r="C1119" i="3"/>
  <c r="D1119" i="3" s="1"/>
  <c r="E1120" i="3" s="1"/>
  <c r="E1119" i="3"/>
  <c r="C1120" i="3"/>
  <c r="D1120" i="3"/>
  <c r="C1121" i="3"/>
  <c r="D1121" i="3" s="1"/>
  <c r="E1122" i="3" s="1"/>
  <c r="E1121" i="3"/>
  <c r="C1122" i="3"/>
  <c r="D1122" i="3"/>
  <c r="C1123" i="3"/>
  <c r="D1123" i="3" s="1"/>
  <c r="E1124" i="3" s="1"/>
  <c r="E1123" i="3"/>
  <c r="C1124" i="3"/>
  <c r="D1124" i="3"/>
  <c r="C1125" i="3"/>
  <c r="D1125" i="3" s="1"/>
  <c r="E1126" i="3" s="1"/>
  <c r="E1125" i="3"/>
  <c r="C1126" i="3"/>
  <c r="D1126" i="3"/>
  <c r="C1127" i="3"/>
  <c r="D1127" i="3" s="1"/>
  <c r="E1128" i="3" s="1"/>
  <c r="E1127" i="3"/>
  <c r="C1128" i="3"/>
  <c r="D1128" i="3"/>
  <c r="C1129" i="3"/>
  <c r="D1129" i="3" s="1"/>
  <c r="E1130" i="3" s="1"/>
  <c r="E1129" i="3"/>
  <c r="C1130" i="3"/>
  <c r="D1130" i="3"/>
  <c r="C1131" i="3"/>
  <c r="D1131" i="3" s="1"/>
  <c r="E1132" i="3" s="1"/>
  <c r="E1131" i="3"/>
  <c r="C1132" i="3"/>
  <c r="D1132" i="3"/>
  <c r="C1133" i="3"/>
  <c r="D1133" i="3" s="1"/>
  <c r="E1134" i="3" s="1"/>
  <c r="E1133" i="3"/>
  <c r="C1134" i="3"/>
  <c r="D1134" i="3"/>
  <c r="C1135" i="3"/>
  <c r="D1135" i="3" s="1"/>
  <c r="E1136" i="3" s="1"/>
  <c r="E1135" i="3"/>
  <c r="C1136" i="3"/>
  <c r="D1136" i="3"/>
  <c r="C1137" i="3"/>
  <c r="D1137" i="3" s="1"/>
  <c r="E1138" i="3" s="1"/>
  <c r="E1137" i="3"/>
  <c r="C1138" i="3"/>
  <c r="D1138" i="3"/>
  <c r="C1139" i="3"/>
  <c r="D1139" i="3" s="1"/>
  <c r="E1140" i="3" s="1"/>
  <c r="E1139" i="3"/>
  <c r="C1140" i="3"/>
  <c r="D1140" i="3"/>
  <c r="C1141" i="3"/>
  <c r="D1141" i="3" s="1"/>
  <c r="E1142" i="3" s="1"/>
  <c r="E1141" i="3"/>
  <c r="C1142" i="3"/>
  <c r="D1142" i="3"/>
  <c r="C1143" i="3"/>
  <c r="D1143" i="3" s="1"/>
  <c r="E1144" i="3" s="1"/>
  <c r="E1143" i="3"/>
  <c r="C1144" i="3"/>
  <c r="D1144" i="3"/>
  <c r="C1145" i="3"/>
  <c r="D1145" i="3" s="1"/>
  <c r="E1146" i="3" s="1"/>
  <c r="E1145" i="3"/>
  <c r="C1146" i="3"/>
  <c r="D1146" i="3"/>
  <c r="C1147" i="3"/>
  <c r="D1147" i="3" s="1"/>
  <c r="E1148" i="3" s="1"/>
  <c r="E1147" i="3"/>
  <c r="C1148" i="3"/>
  <c r="D1148" i="3"/>
  <c r="C1149" i="3"/>
  <c r="D1149" i="3" s="1"/>
  <c r="E1150" i="3" s="1"/>
  <c r="E1149" i="3"/>
  <c r="C1150" i="3"/>
  <c r="D1150" i="3"/>
  <c r="C1151" i="3"/>
  <c r="D1151" i="3" s="1"/>
  <c r="E1152" i="3" s="1"/>
  <c r="E1151" i="3"/>
  <c r="C1152" i="3"/>
  <c r="D1152" i="3"/>
  <c r="C1153" i="3"/>
  <c r="D1153" i="3" s="1"/>
  <c r="E1154" i="3" s="1"/>
  <c r="E1153" i="3"/>
  <c r="C1154" i="3"/>
  <c r="D1154" i="3"/>
  <c r="C1155" i="3"/>
  <c r="D1155" i="3" s="1"/>
  <c r="E1156" i="3" s="1"/>
  <c r="E1155" i="3"/>
  <c r="C1156" i="3"/>
  <c r="D1156" i="3"/>
  <c r="C1157" i="3"/>
  <c r="D1157" i="3" s="1"/>
  <c r="E1158" i="3" s="1"/>
  <c r="E1157" i="3"/>
  <c r="C1158" i="3"/>
  <c r="D1158" i="3"/>
  <c r="C1159" i="3"/>
  <c r="D1159" i="3" s="1"/>
  <c r="E1160" i="3" s="1"/>
  <c r="E1159" i="3"/>
  <c r="C1160" i="3"/>
  <c r="D1160" i="3"/>
  <c r="C1161" i="3"/>
  <c r="D1161" i="3" s="1"/>
  <c r="E1162" i="3" s="1"/>
  <c r="E1161" i="3"/>
  <c r="C1162" i="3"/>
  <c r="D1162" i="3"/>
  <c r="C1163" i="3"/>
  <c r="D1163" i="3" s="1"/>
  <c r="E1164" i="3" s="1"/>
  <c r="E1163" i="3"/>
  <c r="C1164" i="3"/>
  <c r="D1164" i="3"/>
  <c r="C1165" i="3"/>
  <c r="D1165" i="3" s="1"/>
  <c r="E1166" i="3" s="1"/>
  <c r="E1165" i="3"/>
  <c r="C1166" i="3"/>
  <c r="D1166" i="3"/>
  <c r="C1167" i="3"/>
  <c r="D1167" i="3" s="1"/>
  <c r="E1168" i="3" s="1"/>
  <c r="E1167" i="3"/>
  <c r="C1168" i="3"/>
  <c r="D1168" i="3"/>
  <c r="C1169" i="3"/>
  <c r="D1169" i="3" s="1"/>
  <c r="E1170" i="3" s="1"/>
  <c r="E1169" i="3"/>
  <c r="C1170" i="3"/>
  <c r="D1170" i="3"/>
  <c r="C1171" i="3"/>
  <c r="D1171" i="3" s="1"/>
  <c r="E1172" i="3" s="1"/>
  <c r="E1171" i="3"/>
  <c r="C1172" i="3"/>
  <c r="D1172" i="3"/>
  <c r="C1173" i="3"/>
  <c r="D1173" i="3" s="1"/>
  <c r="E1174" i="3" s="1"/>
  <c r="E1173" i="3"/>
  <c r="C1174" i="3"/>
  <c r="D1174" i="3"/>
  <c r="C1175" i="3"/>
  <c r="D1175" i="3" s="1"/>
  <c r="E1176" i="3" s="1"/>
  <c r="E1175" i="3"/>
  <c r="C1176" i="3"/>
  <c r="D1176" i="3"/>
  <c r="C1177" i="3"/>
  <c r="D1177" i="3" s="1"/>
  <c r="E1178" i="3" s="1"/>
  <c r="E1177" i="3"/>
  <c r="C1178" i="3"/>
  <c r="D1178" i="3"/>
  <c r="C1179" i="3"/>
  <c r="D1179" i="3" s="1"/>
  <c r="E1180" i="3" s="1"/>
  <c r="E1179" i="3"/>
  <c r="C1180" i="3"/>
  <c r="D1180" i="3"/>
  <c r="C1181" i="3"/>
  <c r="D1181" i="3" s="1"/>
  <c r="E1182" i="3" s="1"/>
  <c r="E1181" i="3"/>
  <c r="C1182" i="3"/>
  <c r="D1182" i="3"/>
  <c r="C1183" i="3"/>
  <c r="D1183" i="3" s="1"/>
  <c r="E1184" i="3" s="1"/>
  <c r="E1183" i="3"/>
  <c r="C1184" i="3"/>
  <c r="D1184" i="3"/>
  <c r="C1185" i="3"/>
  <c r="D1185" i="3" s="1"/>
  <c r="E1186" i="3" s="1"/>
  <c r="E1185" i="3"/>
  <c r="C1186" i="3"/>
  <c r="D1186" i="3"/>
  <c r="C1187" i="3"/>
  <c r="D1187" i="3" s="1"/>
  <c r="E1188" i="3" s="1"/>
  <c r="E1187" i="3"/>
  <c r="C1188" i="3"/>
  <c r="D1188" i="3"/>
  <c r="C1189" i="3"/>
  <c r="D1189" i="3" s="1"/>
  <c r="E1190" i="3" s="1"/>
  <c r="E1189" i="3"/>
  <c r="C1190" i="3"/>
  <c r="D1190" i="3"/>
  <c r="C1191" i="3"/>
  <c r="D1191" i="3" s="1"/>
  <c r="E1192" i="3" s="1"/>
  <c r="E1191" i="3"/>
  <c r="C1192" i="3"/>
  <c r="D1192" i="3"/>
  <c r="C1193" i="3"/>
  <c r="D1193" i="3" s="1"/>
  <c r="E1194" i="3" s="1"/>
  <c r="E1193" i="3"/>
  <c r="C1194" i="3"/>
  <c r="D1194" i="3"/>
  <c r="C1195" i="3"/>
  <c r="D1195" i="3" s="1"/>
  <c r="E1196" i="3" s="1"/>
  <c r="E1195" i="3"/>
  <c r="C1196" i="3"/>
  <c r="D1196" i="3"/>
  <c r="C1197" i="3"/>
  <c r="D1197" i="3" s="1"/>
  <c r="E1198" i="3" s="1"/>
  <c r="E1197" i="3"/>
  <c r="C1198" i="3"/>
  <c r="D1198" i="3"/>
  <c r="C1199" i="3"/>
  <c r="D1199" i="3" s="1"/>
  <c r="E1200" i="3" s="1"/>
  <c r="E1199" i="3"/>
  <c r="C1200" i="3"/>
  <c r="D1200" i="3"/>
  <c r="C1201" i="3"/>
  <c r="D1201" i="3" s="1"/>
  <c r="E1202" i="3" s="1"/>
  <c r="E1201" i="3"/>
  <c r="C1202" i="3"/>
  <c r="D1202" i="3"/>
  <c r="C1203" i="3"/>
  <c r="D1203" i="3" s="1"/>
  <c r="E1204" i="3" s="1"/>
  <c r="E1203" i="3"/>
  <c r="C1204" i="3"/>
  <c r="D1204" i="3"/>
  <c r="C1205" i="3"/>
  <c r="D1205" i="3" s="1"/>
  <c r="E1206" i="3" s="1"/>
  <c r="E1205" i="3"/>
  <c r="C1206" i="3"/>
  <c r="D1206" i="3"/>
  <c r="C1207" i="3"/>
  <c r="D1207" i="3" s="1"/>
  <c r="E1208" i="3" s="1"/>
  <c r="E1207" i="3"/>
  <c r="C1208" i="3"/>
  <c r="D1208" i="3"/>
  <c r="C1209" i="3"/>
  <c r="D1209" i="3" s="1"/>
  <c r="E1210" i="3" s="1"/>
  <c r="E1209" i="3"/>
  <c r="C1210" i="3"/>
  <c r="D1210" i="3"/>
  <c r="C1211" i="3"/>
  <c r="D1211" i="3" s="1"/>
  <c r="E1212" i="3" s="1"/>
  <c r="E1211" i="3"/>
  <c r="C1212" i="3"/>
  <c r="D1212" i="3"/>
  <c r="C1213" i="3"/>
  <c r="D1213" i="3" s="1"/>
  <c r="E1214" i="3" s="1"/>
  <c r="E1213" i="3"/>
  <c r="C1214" i="3"/>
  <c r="D1214" i="3"/>
  <c r="C1215" i="3"/>
  <c r="D1215" i="3" s="1"/>
  <c r="E1216" i="3" s="1"/>
  <c r="E1215" i="3"/>
  <c r="C1216" i="3"/>
  <c r="D1216" i="3"/>
  <c r="C1217" i="3"/>
  <c r="D1217" i="3" s="1"/>
  <c r="E1218" i="3" s="1"/>
  <c r="E1217" i="3"/>
  <c r="C1218" i="3"/>
  <c r="D1218" i="3"/>
  <c r="C1219" i="3"/>
  <c r="D1219" i="3" s="1"/>
  <c r="E1220" i="3" s="1"/>
  <c r="E1219" i="3"/>
  <c r="C1220" i="3"/>
  <c r="D1220" i="3"/>
  <c r="C1221" i="3"/>
  <c r="D1221" i="3" s="1"/>
  <c r="E1222" i="3" s="1"/>
  <c r="E1221" i="3"/>
  <c r="C1222" i="3"/>
  <c r="D1222" i="3"/>
  <c r="C1223" i="3"/>
  <c r="D1223" i="3" s="1"/>
  <c r="E1224" i="3" s="1"/>
  <c r="E1223" i="3"/>
  <c r="C1224" i="3"/>
  <c r="D1224" i="3"/>
  <c r="C1225" i="3"/>
  <c r="D1225" i="3" s="1"/>
  <c r="E1226" i="3" s="1"/>
  <c r="E1225" i="3"/>
  <c r="C1226" i="3"/>
  <c r="D1226" i="3"/>
  <c r="C1227" i="3"/>
  <c r="D1227" i="3" s="1"/>
  <c r="E1228" i="3" s="1"/>
  <c r="E1227" i="3"/>
  <c r="C1228" i="3"/>
  <c r="D1228" i="3"/>
  <c r="C1229" i="3"/>
  <c r="D1229" i="3" s="1"/>
  <c r="E1230" i="3" s="1"/>
  <c r="E1229" i="3"/>
  <c r="C1230" i="3"/>
  <c r="D1230" i="3"/>
  <c r="C1231" i="3"/>
  <c r="D1231" i="3" s="1"/>
  <c r="E1232" i="3" s="1"/>
  <c r="E1231" i="3"/>
  <c r="C1232" i="3"/>
  <c r="D1232" i="3"/>
  <c r="C1233" i="3"/>
  <c r="D1233" i="3" s="1"/>
  <c r="E1234" i="3" s="1"/>
  <c r="E1233" i="3"/>
  <c r="C1234" i="3"/>
  <c r="D1234" i="3"/>
  <c r="C1235" i="3"/>
  <c r="D1235" i="3" s="1"/>
  <c r="E1236" i="3" s="1"/>
  <c r="E1235" i="3"/>
  <c r="C1236" i="3"/>
  <c r="D1236" i="3"/>
  <c r="C1237" i="3"/>
  <c r="D1237" i="3" s="1"/>
  <c r="E1238" i="3" s="1"/>
  <c r="E1237" i="3"/>
  <c r="C1238" i="3"/>
  <c r="D1238" i="3"/>
  <c r="C1239" i="3"/>
  <c r="D1239" i="3" s="1"/>
  <c r="E1240" i="3" s="1"/>
  <c r="E1239" i="3"/>
  <c r="C1240" i="3"/>
  <c r="D1240" i="3"/>
  <c r="C1241" i="3"/>
  <c r="D1241" i="3" s="1"/>
  <c r="E1242" i="3" s="1"/>
  <c r="E1241" i="3"/>
  <c r="C1242" i="3"/>
  <c r="D1242" i="3"/>
  <c r="C1243" i="3"/>
  <c r="D1243" i="3" s="1"/>
  <c r="E1244" i="3" s="1"/>
  <c r="E1243" i="3"/>
  <c r="C1244" i="3"/>
  <c r="D1244" i="3"/>
  <c r="C1245" i="3"/>
  <c r="D1245" i="3" s="1"/>
  <c r="E1246" i="3" s="1"/>
  <c r="E1245" i="3"/>
  <c r="C1246" i="3"/>
  <c r="D1246" i="3"/>
  <c r="C1247" i="3"/>
  <c r="D1247" i="3" s="1"/>
  <c r="E1248" i="3" s="1"/>
  <c r="E1247" i="3"/>
  <c r="C1248" i="3"/>
  <c r="D1248" i="3"/>
  <c r="C1249" i="3"/>
  <c r="D1249" i="3" s="1"/>
  <c r="E1250" i="3" s="1"/>
  <c r="E1249" i="3"/>
  <c r="C1250" i="3"/>
  <c r="D1250" i="3"/>
  <c r="C1251" i="3"/>
  <c r="D1251" i="3" s="1"/>
  <c r="E1252" i="3" s="1"/>
  <c r="E1251" i="3"/>
  <c r="C1252" i="3"/>
  <c r="D1252" i="3"/>
  <c r="C1253" i="3"/>
  <c r="D1253" i="3" s="1"/>
  <c r="E1254" i="3" s="1"/>
  <c r="E1253" i="3"/>
  <c r="C1254" i="3"/>
  <c r="D1254" i="3"/>
  <c r="C1255" i="3"/>
  <c r="D1255" i="3" s="1"/>
  <c r="E1256" i="3" s="1"/>
  <c r="E1255" i="3"/>
  <c r="C1256" i="3"/>
  <c r="D1256" i="3"/>
  <c r="C1257" i="3"/>
  <c r="D1257" i="3" s="1"/>
  <c r="E1258" i="3" s="1"/>
  <c r="E1257" i="3"/>
  <c r="C1258" i="3"/>
  <c r="D1258" i="3"/>
  <c r="C1259" i="3"/>
  <c r="D1259" i="3" s="1"/>
  <c r="E1260" i="3" s="1"/>
  <c r="E1259" i="3"/>
  <c r="C1260" i="3"/>
  <c r="D1260" i="3"/>
  <c r="C1261" i="3"/>
  <c r="D1261" i="3" s="1"/>
  <c r="E1262" i="3" s="1"/>
  <c r="E1261" i="3"/>
  <c r="C1262" i="3"/>
  <c r="D1262" i="3"/>
  <c r="C1263" i="3"/>
  <c r="D1263" i="3" s="1"/>
  <c r="E1264" i="3" s="1"/>
  <c r="E1263" i="3"/>
  <c r="C1264" i="3"/>
  <c r="D1264" i="3"/>
  <c r="C1265" i="3"/>
  <c r="D1265" i="3" s="1"/>
  <c r="E1266" i="3" s="1"/>
  <c r="E1265" i="3"/>
  <c r="C1266" i="3"/>
  <c r="D1266" i="3"/>
  <c r="C1267" i="3"/>
  <c r="D1267" i="3" s="1"/>
  <c r="E1268" i="3" s="1"/>
  <c r="E1267" i="3"/>
  <c r="C1268" i="3"/>
  <c r="D1268" i="3"/>
  <c r="C1269" i="3"/>
  <c r="D1269" i="3" s="1"/>
  <c r="E1270" i="3" s="1"/>
  <c r="E1269" i="3"/>
  <c r="C1270" i="3"/>
  <c r="D1270" i="3"/>
  <c r="C1271" i="3"/>
  <c r="D1271" i="3" s="1"/>
  <c r="E1272" i="3" s="1"/>
  <c r="E1271" i="3"/>
  <c r="C1272" i="3"/>
  <c r="D1272" i="3"/>
  <c r="C1273" i="3"/>
  <c r="D1273" i="3" s="1"/>
  <c r="E1274" i="3" s="1"/>
  <c r="E1273" i="3"/>
  <c r="C1274" i="3"/>
  <c r="D1274" i="3"/>
  <c r="C1275" i="3"/>
  <c r="D1275" i="3" s="1"/>
  <c r="E1276" i="3" s="1"/>
  <c r="E1275" i="3"/>
  <c r="C1276" i="3"/>
  <c r="D1276" i="3"/>
  <c r="C1277" i="3"/>
  <c r="D1277" i="3" s="1"/>
  <c r="E1278" i="3" s="1"/>
  <c r="E1277" i="3"/>
  <c r="C1278" i="3"/>
  <c r="D1278" i="3"/>
  <c r="C1279" i="3"/>
  <c r="D1279" i="3" s="1"/>
  <c r="E1280" i="3" s="1"/>
  <c r="E1279" i="3"/>
  <c r="C1280" i="3"/>
  <c r="D1280" i="3"/>
  <c r="C1281" i="3"/>
  <c r="D1281" i="3" s="1"/>
  <c r="E1282" i="3" s="1"/>
  <c r="E1281" i="3"/>
  <c r="C1282" i="3"/>
  <c r="D1282" i="3"/>
  <c r="C1283" i="3"/>
  <c r="D1283" i="3" s="1"/>
  <c r="E1284" i="3" s="1"/>
  <c r="E1283" i="3"/>
  <c r="C1284" i="3"/>
  <c r="D1284" i="3"/>
  <c r="C1285" i="3"/>
  <c r="D1285" i="3" s="1"/>
  <c r="E1286" i="3" s="1"/>
  <c r="E1285" i="3"/>
  <c r="C1286" i="3"/>
  <c r="D1286" i="3"/>
  <c r="C1287" i="3"/>
  <c r="D1287" i="3" s="1"/>
  <c r="E1288" i="3" s="1"/>
  <c r="E1287" i="3"/>
  <c r="C1288" i="3"/>
  <c r="D1288" i="3"/>
  <c r="C1289" i="3"/>
  <c r="D1289" i="3" s="1"/>
  <c r="E1290" i="3" s="1"/>
  <c r="E1289" i="3"/>
  <c r="C1290" i="3"/>
  <c r="D1290" i="3"/>
  <c r="C1291" i="3"/>
  <c r="D1291" i="3" s="1"/>
  <c r="E1292" i="3" s="1"/>
  <c r="E1291" i="3"/>
  <c r="C1292" i="3"/>
  <c r="D1292" i="3"/>
  <c r="C1293" i="3"/>
  <c r="D1293" i="3" s="1"/>
  <c r="E1294" i="3" s="1"/>
  <c r="E1293" i="3"/>
  <c r="C1294" i="3"/>
  <c r="D1294" i="3"/>
  <c r="C1295" i="3"/>
  <c r="D1295" i="3" s="1"/>
  <c r="E1296" i="3" s="1"/>
  <c r="E1295" i="3"/>
  <c r="C1296" i="3"/>
  <c r="D1296" i="3"/>
  <c r="C1297" i="3"/>
  <c r="D1297" i="3" s="1"/>
  <c r="E1298" i="3" s="1"/>
  <c r="E1297" i="3"/>
  <c r="C1298" i="3"/>
  <c r="D1298" i="3"/>
  <c r="C1299" i="3"/>
  <c r="D1299" i="3" s="1"/>
  <c r="E1300" i="3" s="1"/>
  <c r="E1299" i="3"/>
  <c r="C1300" i="3"/>
  <c r="D1300" i="3"/>
  <c r="C1301" i="3"/>
  <c r="D1301" i="3" s="1"/>
  <c r="E1302" i="3" s="1"/>
  <c r="E1301" i="3"/>
  <c r="C1302" i="3"/>
  <c r="D1302" i="3"/>
  <c r="C1303" i="3"/>
  <c r="D1303" i="3" s="1"/>
  <c r="E1304" i="3" s="1"/>
  <c r="E1303" i="3"/>
  <c r="C1304" i="3"/>
  <c r="D1304" i="3"/>
  <c r="C1305" i="3"/>
  <c r="D1305" i="3" s="1"/>
  <c r="E1306" i="3" s="1"/>
  <c r="E1305" i="3"/>
  <c r="C1306" i="3"/>
  <c r="D1306" i="3"/>
  <c r="C1307" i="3"/>
  <c r="D1307" i="3" s="1"/>
  <c r="E1307" i="3"/>
  <c r="C1308" i="3"/>
  <c r="D1308" i="3" s="1"/>
  <c r="E1309" i="3" s="1"/>
  <c r="E1308" i="3"/>
  <c r="C1309" i="3"/>
  <c r="D1309" i="3"/>
  <c r="C1310" i="3"/>
  <c r="D1310" i="3" s="1"/>
  <c r="E1311" i="3" s="1"/>
  <c r="E1310" i="3"/>
  <c r="C1311" i="3"/>
  <c r="D1311" i="3"/>
  <c r="C1312" i="3"/>
  <c r="D1312" i="3" s="1"/>
  <c r="E1313" i="3" s="1"/>
  <c r="E1312" i="3"/>
  <c r="C1313" i="3"/>
  <c r="D1313" i="3"/>
  <c r="C1314" i="3"/>
  <c r="D1314" i="3" s="1"/>
  <c r="E1315" i="3" s="1"/>
  <c r="E1314" i="3"/>
  <c r="C1315" i="3"/>
  <c r="D1315" i="3"/>
  <c r="C1316" i="3"/>
  <c r="D1316" i="3" s="1"/>
  <c r="E1317" i="3" s="1"/>
  <c r="E1316" i="3"/>
  <c r="C1317" i="3"/>
  <c r="D1317" i="3"/>
  <c r="C1318" i="3"/>
  <c r="D1318" i="3" s="1"/>
  <c r="E1319" i="3" s="1"/>
  <c r="E1318" i="3"/>
  <c r="C1319" i="3"/>
  <c r="D1319" i="3"/>
  <c r="C1320" i="3"/>
  <c r="D1320" i="3" s="1"/>
  <c r="E1321" i="3" s="1"/>
  <c r="E1320" i="3"/>
  <c r="C1321" i="3"/>
  <c r="D1321" i="3"/>
  <c r="C1322" i="3"/>
  <c r="D1322" i="3" s="1"/>
  <c r="E1323" i="3" s="1"/>
  <c r="E1322" i="3"/>
  <c r="C1323" i="3"/>
  <c r="D1323" i="3"/>
  <c r="C1324" i="3"/>
  <c r="D1324" i="3" s="1"/>
  <c r="E1325" i="3" s="1"/>
  <c r="E1324" i="3"/>
  <c r="C1325" i="3"/>
  <c r="D1325" i="3"/>
  <c r="C1326" i="3"/>
  <c r="D1326" i="3" s="1"/>
  <c r="E1327" i="3" s="1"/>
  <c r="E1326" i="3"/>
  <c r="C1327" i="3"/>
  <c r="D1327" i="3"/>
  <c r="C1328" i="3"/>
  <c r="D1328" i="3" s="1"/>
  <c r="E1329" i="3" s="1"/>
  <c r="E1328" i="3"/>
  <c r="C1329" i="3"/>
  <c r="D1329" i="3"/>
  <c r="C1330" i="3"/>
  <c r="D1330" i="3" s="1"/>
  <c r="E1331" i="3" s="1"/>
  <c r="E1330" i="3"/>
  <c r="C1331" i="3"/>
  <c r="D1331" i="3"/>
  <c r="C1332" i="3"/>
  <c r="D1332" i="3" s="1"/>
  <c r="E1333" i="3" s="1"/>
  <c r="E1332" i="3"/>
  <c r="C1333" i="3"/>
  <c r="D1333" i="3"/>
  <c r="C1334" i="3"/>
  <c r="D1334" i="3" s="1"/>
  <c r="E1335" i="3" s="1"/>
  <c r="E1334" i="3"/>
  <c r="C1335" i="3"/>
  <c r="D1335" i="3"/>
  <c r="C1336" i="3"/>
  <c r="D1336" i="3" s="1"/>
  <c r="E1337" i="3" s="1"/>
  <c r="E1336" i="3"/>
  <c r="C1337" i="3"/>
  <c r="D1337" i="3"/>
  <c r="C1338" i="3"/>
  <c r="D1338" i="3" s="1"/>
  <c r="E1339" i="3" s="1"/>
  <c r="E1338" i="3"/>
  <c r="C1339" i="3"/>
  <c r="D1339" i="3"/>
  <c r="C1340" i="3"/>
  <c r="D1340" i="3" s="1"/>
  <c r="E1341" i="3" s="1"/>
  <c r="E1340" i="3"/>
  <c r="C1341" i="3"/>
  <c r="D1341" i="3"/>
  <c r="C1342" i="3"/>
  <c r="D1342" i="3" s="1"/>
  <c r="E1343" i="3" s="1"/>
  <c r="E1342" i="3"/>
  <c r="C1343" i="3"/>
  <c r="D1343" i="3"/>
  <c r="C1344" i="3"/>
  <c r="D1344" i="3" s="1"/>
  <c r="E1345" i="3" s="1"/>
  <c r="E1344" i="3"/>
  <c r="C1345" i="3"/>
  <c r="D1345" i="3"/>
  <c r="C1346" i="3"/>
  <c r="D1346" i="3" s="1"/>
  <c r="E1347" i="3" s="1"/>
  <c r="E1346" i="3"/>
  <c r="C1347" i="3"/>
  <c r="D1347" i="3"/>
  <c r="C1348" i="3"/>
  <c r="D1348" i="3" s="1"/>
  <c r="E1349" i="3" s="1"/>
  <c r="E1348" i="3"/>
  <c r="C1349" i="3"/>
  <c r="D1349" i="3"/>
  <c r="C1350" i="3"/>
  <c r="D1350" i="3" s="1"/>
  <c r="E1351" i="3" s="1"/>
  <c r="E1350" i="3"/>
  <c r="C1351" i="3"/>
  <c r="D1351" i="3"/>
  <c r="C1352" i="3"/>
  <c r="D1352" i="3" s="1"/>
  <c r="E1353" i="3" s="1"/>
  <c r="E1352" i="3"/>
  <c r="C1353" i="3"/>
  <c r="D1353" i="3"/>
  <c r="C1354" i="3"/>
  <c r="D1354" i="3" s="1"/>
  <c r="E1355" i="3" s="1"/>
  <c r="E1354" i="3"/>
  <c r="C1355" i="3"/>
  <c r="D1355" i="3"/>
  <c r="C1356" i="3"/>
  <c r="D1356" i="3" s="1"/>
  <c r="E1357" i="3" s="1"/>
  <c r="E1356" i="3"/>
  <c r="C1357" i="3"/>
  <c r="D1357" i="3"/>
  <c r="C1358" i="3"/>
  <c r="D1358" i="3" s="1"/>
  <c r="E1359" i="3" s="1"/>
  <c r="E1358" i="3"/>
  <c r="C1359" i="3"/>
  <c r="D1359" i="3"/>
  <c r="C1360" i="3"/>
  <c r="D1360" i="3" s="1"/>
  <c r="E1361" i="3" s="1"/>
  <c r="E1360" i="3"/>
  <c r="C1361" i="3"/>
  <c r="D1361" i="3"/>
  <c r="C1362" i="3"/>
  <c r="D1362" i="3" s="1"/>
  <c r="E1363" i="3" s="1"/>
  <c r="E1362" i="3"/>
  <c r="C1363" i="3"/>
  <c r="D1363" i="3"/>
  <c r="C1364" i="3"/>
  <c r="D1364" i="3" s="1"/>
  <c r="E1365" i="3" s="1"/>
  <c r="E1364" i="3"/>
  <c r="C1365" i="3"/>
  <c r="D1365" i="3"/>
  <c r="C1366" i="3"/>
  <c r="D1366" i="3" s="1"/>
  <c r="E1367" i="3" s="1"/>
  <c r="E1366" i="3"/>
  <c r="C1367" i="3"/>
  <c r="D1367" i="3"/>
  <c r="C1368" i="3"/>
  <c r="D1368" i="3" s="1"/>
  <c r="E1369" i="3" s="1"/>
  <c r="E1368" i="3"/>
  <c r="C1369" i="3"/>
  <c r="D1369" i="3"/>
  <c r="C1370" i="3"/>
  <c r="D1370" i="3" s="1"/>
  <c r="E1371" i="3" s="1"/>
  <c r="E1370" i="3"/>
  <c r="C1371" i="3"/>
  <c r="D1371" i="3"/>
  <c r="C1372" i="3"/>
  <c r="D1372" i="3" s="1"/>
  <c r="E1373" i="3" s="1"/>
  <c r="E1372" i="3"/>
  <c r="C1373" i="3"/>
  <c r="D1373" i="3"/>
  <c r="C1374" i="3"/>
  <c r="D1374" i="3" s="1"/>
  <c r="E1375" i="3" s="1"/>
  <c r="E1374" i="3"/>
  <c r="C1375" i="3"/>
  <c r="D1375" i="3"/>
  <c r="C1376" i="3"/>
  <c r="D1376" i="3" s="1"/>
  <c r="E1377" i="3" s="1"/>
  <c r="E1376" i="3"/>
  <c r="C1377" i="3"/>
  <c r="D1377" i="3"/>
  <c r="C1378" i="3"/>
  <c r="D1378" i="3" s="1"/>
  <c r="E1379" i="3" s="1"/>
  <c r="E1378" i="3"/>
  <c r="C1379" i="3"/>
  <c r="D1379" i="3"/>
  <c r="C1380" i="3"/>
  <c r="D1380" i="3" s="1"/>
  <c r="E1381" i="3" s="1"/>
  <c r="E1380" i="3"/>
  <c r="C1381" i="3"/>
  <c r="D1381" i="3"/>
  <c r="C1382" i="3"/>
  <c r="D1382" i="3" s="1"/>
  <c r="E1383" i="3" s="1"/>
  <c r="E1382" i="3"/>
  <c r="C1383" i="3"/>
  <c r="D1383" i="3"/>
  <c r="C1384" i="3"/>
  <c r="D1384" i="3" s="1"/>
  <c r="E1385" i="3" s="1"/>
  <c r="E1384" i="3"/>
  <c r="C1385" i="3"/>
  <c r="D1385" i="3"/>
  <c r="C1386" i="3"/>
  <c r="D1386" i="3" s="1"/>
  <c r="E1387" i="3" s="1"/>
  <c r="E1386" i="3"/>
  <c r="C1387" i="3"/>
  <c r="D1387" i="3"/>
  <c r="C1388" i="3"/>
  <c r="D1388" i="3" s="1"/>
  <c r="E1389" i="3" s="1"/>
  <c r="E1388" i="3"/>
  <c r="C1389" i="3"/>
  <c r="D1389" i="3"/>
  <c r="C1390" i="3"/>
  <c r="D1390" i="3" s="1"/>
  <c r="E1391" i="3" s="1"/>
  <c r="E1390" i="3"/>
  <c r="C1391" i="3"/>
  <c r="D1391" i="3"/>
  <c r="C1392" i="3"/>
  <c r="D1392" i="3" s="1"/>
  <c r="E1393" i="3" s="1"/>
  <c r="E1392" i="3"/>
  <c r="C1393" i="3"/>
  <c r="D1393" i="3"/>
  <c r="C1394" i="3"/>
  <c r="D1394" i="3" s="1"/>
  <c r="E1395" i="3" s="1"/>
  <c r="E1394" i="3"/>
  <c r="C1395" i="3"/>
  <c r="D1395" i="3"/>
  <c r="C1396" i="3"/>
  <c r="D1396" i="3" s="1"/>
  <c r="E1397" i="3" s="1"/>
  <c r="E1396" i="3"/>
  <c r="C1397" i="3"/>
  <c r="D1397" i="3"/>
  <c r="C1398" i="3"/>
  <c r="D1398" i="3" s="1"/>
  <c r="E1399" i="3" s="1"/>
  <c r="E1398" i="3"/>
  <c r="C1399" i="3"/>
  <c r="D1399" i="3"/>
  <c r="C1400" i="3"/>
  <c r="D1400" i="3" s="1"/>
  <c r="E1401" i="3" s="1"/>
  <c r="E1400" i="3"/>
  <c r="C1401" i="3"/>
  <c r="D1401" i="3"/>
  <c r="C1402" i="3"/>
  <c r="D1402" i="3" s="1"/>
  <c r="E1403" i="3" s="1"/>
  <c r="E1402" i="3"/>
  <c r="C1403" i="3"/>
  <c r="D1403" i="3"/>
  <c r="C1404" i="3"/>
  <c r="D1404" i="3" s="1"/>
  <c r="E1405" i="3" s="1"/>
  <c r="E1404" i="3"/>
  <c r="C1405" i="3"/>
  <c r="D1405" i="3"/>
  <c r="C1406" i="3"/>
  <c r="D1406" i="3" s="1"/>
  <c r="E1407" i="3" s="1"/>
  <c r="E1406" i="3"/>
  <c r="C1407" i="3"/>
  <c r="D1407" i="3"/>
  <c r="C1408" i="3"/>
  <c r="D1408" i="3" s="1"/>
  <c r="E1409" i="3" s="1"/>
  <c r="E1408" i="3"/>
  <c r="C1409" i="3"/>
  <c r="D1409" i="3"/>
  <c r="C1410" i="3"/>
  <c r="D1410" i="3" s="1"/>
  <c r="E1411" i="3" s="1"/>
  <c r="E1410" i="3"/>
  <c r="C1411" i="3"/>
  <c r="D1411" i="3"/>
  <c r="C1412" i="3"/>
  <c r="D1412" i="3" s="1"/>
  <c r="E1413" i="3" s="1"/>
  <c r="E1412" i="3"/>
  <c r="C1413" i="3"/>
  <c r="D1413" i="3"/>
  <c r="C1414" i="3"/>
  <c r="D1414" i="3" s="1"/>
  <c r="E1415" i="3" s="1"/>
  <c r="E1414" i="3"/>
  <c r="C1415" i="3"/>
  <c r="D1415" i="3"/>
  <c r="C1416" i="3"/>
  <c r="D1416" i="3" s="1"/>
  <c r="E1417" i="3" s="1"/>
  <c r="E1416" i="3"/>
  <c r="C1417" i="3"/>
  <c r="D1417" i="3"/>
  <c r="C1418" i="3"/>
  <c r="D1418" i="3" s="1"/>
  <c r="E1419" i="3" s="1"/>
  <c r="E1418" i="3"/>
  <c r="C1419" i="3"/>
  <c r="D1419" i="3"/>
  <c r="C1420" i="3"/>
  <c r="D1420" i="3" s="1"/>
  <c r="E1421" i="3" s="1"/>
  <c r="E1420" i="3"/>
  <c r="C1421" i="3"/>
  <c r="D1421" i="3"/>
  <c r="C1422" i="3"/>
  <c r="D1422" i="3" s="1"/>
  <c r="E1423" i="3" s="1"/>
  <c r="E1422" i="3"/>
  <c r="C1423" i="3"/>
  <c r="D1423" i="3"/>
  <c r="C1424" i="3"/>
  <c r="D1424" i="3" s="1"/>
  <c r="E1425" i="3" s="1"/>
  <c r="E1424" i="3"/>
  <c r="C1425" i="3"/>
  <c r="D1425" i="3"/>
  <c r="C1426" i="3"/>
  <c r="D1426" i="3" s="1"/>
  <c r="E1427" i="3" s="1"/>
  <c r="E1426" i="3"/>
  <c r="C1427" i="3"/>
  <c r="D1427" i="3"/>
  <c r="C1428" i="3"/>
  <c r="D1428" i="3" s="1"/>
  <c r="E1429" i="3" s="1"/>
  <c r="E1428" i="3"/>
  <c r="C1429" i="3"/>
  <c r="D1429" i="3"/>
  <c r="C1430" i="3"/>
  <c r="D1430" i="3" s="1"/>
  <c r="E1431" i="3" s="1"/>
  <c r="E1430" i="3"/>
  <c r="C1431" i="3"/>
  <c r="D1431" i="3"/>
  <c r="C1432" i="3"/>
  <c r="D1432" i="3" s="1"/>
  <c r="E1433" i="3" s="1"/>
  <c r="E1432" i="3"/>
  <c r="C1433" i="3"/>
  <c r="D1433" i="3"/>
  <c r="C1434" i="3"/>
  <c r="D1434" i="3" s="1"/>
  <c r="E1435" i="3" s="1"/>
  <c r="E1434" i="3"/>
  <c r="C1435" i="3"/>
  <c r="D1435" i="3"/>
  <c r="C1436" i="3"/>
  <c r="D1436" i="3" s="1"/>
  <c r="E1437" i="3" s="1"/>
  <c r="E1436" i="3"/>
  <c r="C1437" i="3"/>
  <c r="D1437" i="3"/>
  <c r="C1438" i="3"/>
  <c r="D1438" i="3" s="1"/>
  <c r="E1439" i="3" s="1"/>
  <c r="E1438" i="3"/>
  <c r="C1439" i="3"/>
  <c r="D1439" i="3"/>
  <c r="C1440" i="3"/>
  <c r="D1440" i="3" s="1"/>
  <c r="E1441" i="3" s="1"/>
  <c r="E1440" i="3"/>
  <c r="C1441" i="3"/>
  <c r="D1441" i="3"/>
  <c r="C1442" i="3"/>
  <c r="D1442" i="3" s="1"/>
  <c r="E1443" i="3" s="1"/>
  <c r="E1442" i="3"/>
  <c r="C1443" i="3"/>
  <c r="D1443" i="3"/>
  <c r="C1444" i="3"/>
  <c r="D1444" i="3" s="1"/>
  <c r="E1445" i="3" s="1"/>
  <c r="E1444" i="3"/>
  <c r="C1445" i="3"/>
  <c r="D1445" i="3"/>
  <c r="C1446" i="3"/>
  <c r="D1446" i="3" s="1"/>
  <c r="E1447" i="3" s="1"/>
  <c r="E1446" i="3"/>
  <c r="C1447" i="3"/>
  <c r="D1447" i="3"/>
  <c r="C1448" i="3"/>
  <c r="D1448" i="3" s="1"/>
  <c r="E1449" i="3" s="1"/>
  <c r="E1448" i="3"/>
  <c r="C1449" i="3"/>
  <c r="D1449" i="3"/>
  <c r="C1450" i="3"/>
  <c r="D1450" i="3" s="1"/>
  <c r="E1451" i="3" s="1"/>
  <c r="E1450" i="3"/>
  <c r="C1451" i="3"/>
  <c r="D1451" i="3"/>
  <c r="C1452" i="3"/>
  <c r="D1452" i="3" s="1"/>
  <c r="E1453" i="3" s="1"/>
  <c r="E1452" i="3"/>
  <c r="C1453" i="3"/>
  <c r="D1453" i="3"/>
  <c r="C1454" i="3"/>
  <c r="D1454" i="3" s="1"/>
  <c r="E1455" i="3" s="1"/>
  <c r="E1454" i="3"/>
  <c r="C1455" i="3"/>
  <c r="D1455" i="3"/>
  <c r="C1456" i="3"/>
  <c r="D1456" i="3" s="1"/>
  <c r="E1457" i="3" s="1"/>
  <c r="E1456" i="3"/>
  <c r="C1457" i="3"/>
  <c r="D1457" i="3"/>
  <c r="C1458" i="3"/>
  <c r="D1458" i="3" s="1"/>
  <c r="E1459" i="3" s="1"/>
  <c r="E1458" i="3"/>
  <c r="C1459" i="3"/>
  <c r="D1459" i="3"/>
  <c r="C1460" i="3"/>
  <c r="D1460" i="3" s="1"/>
  <c r="E1461" i="3" s="1"/>
  <c r="E1460" i="3"/>
  <c r="C1461" i="3"/>
  <c r="D1461" i="3"/>
  <c r="C1462" i="3"/>
  <c r="D1462" i="3" s="1"/>
  <c r="E1463" i="3" s="1"/>
  <c r="E1462" i="3"/>
  <c r="C1463" i="3"/>
  <c r="D1463" i="3"/>
  <c r="C1464" i="3"/>
  <c r="D1464" i="3" s="1"/>
  <c r="E1465" i="3" s="1"/>
  <c r="E1464" i="3"/>
  <c r="C1465" i="3"/>
  <c r="D1465" i="3"/>
  <c r="C1466" i="3"/>
  <c r="D1466" i="3" s="1"/>
  <c r="E1467" i="3" s="1"/>
  <c r="E1466" i="3"/>
  <c r="C1467" i="3"/>
  <c r="D1467" i="3"/>
  <c r="C1468" i="3"/>
  <c r="D1468" i="3" s="1"/>
  <c r="E1469" i="3" s="1"/>
  <c r="E1468" i="3"/>
  <c r="C1469" i="3"/>
  <c r="D1469" i="3"/>
  <c r="C1470" i="3"/>
  <c r="D1470" i="3" s="1"/>
  <c r="E1471" i="3" s="1"/>
  <c r="E1470" i="3"/>
  <c r="C1471" i="3"/>
  <c r="D1471" i="3"/>
  <c r="C1472" i="3"/>
  <c r="D1472" i="3" s="1"/>
  <c r="E1473" i="3" s="1"/>
  <c r="E1472" i="3"/>
  <c r="C1473" i="3"/>
  <c r="D1473" i="3"/>
  <c r="C1474" i="3"/>
  <c r="D1474" i="3" s="1"/>
  <c r="E1475" i="3" s="1"/>
  <c r="E1474" i="3"/>
  <c r="C1475" i="3"/>
  <c r="D1475" i="3"/>
  <c r="C1476" i="3"/>
  <c r="D1476" i="3" s="1"/>
  <c r="E1477" i="3" s="1"/>
  <c r="E1476" i="3"/>
  <c r="C1477" i="3"/>
  <c r="D1477" i="3"/>
  <c r="C1478" i="3"/>
  <c r="D1478" i="3" s="1"/>
  <c r="E1479" i="3" s="1"/>
  <c r="E1478" i="3"/>
  <c r="C1479" i="3"/>
  <c r="D1479" i="3"/>
  <c r="C1480" i="3"/>
  <c r="D1480" i="3" s="1"/>
  <c r="E1481" i="3" s="1"/>
  <c r="E1480" i="3"/>
  <c r="C1481" i="3"/>
  <c r="D1481" i="3"/>
  <c r="C1482" i="3"/>
  <c r="D1482" i="3" s="1"/>
  <c r="E1483" i="3" s="1"/>
  <c r="E1482" i="3"/>
  <c r="C1483" i="3"/>
  <c r="D1483" i="3"/>
  <c r="C1484" i="3"/>
  <c r="D1484" i="3" s="1"/>
  <c r="E1485" i="3" s="1"/>
  <c r="E1484" i="3"/>
  <c r="C1485" i="3"/>
  <c r="D1485" i="3"/>
  <c r="C1486" i="3"/>
  <c r="D1486" i="3" s="1"/>
  <c r="E1487" i="3" s="1"/>
  <c r="E1486" i="3"/>
  <c r="C1487" i="3"/>
  <c r="D1487" i="3"/>
  <c r="C1488" i="3"/>
  <c r="D1488" i="3" s="1"/>
  <c r="E1489" i="3" s="1"/>
  <c r="E1488" i="3"/>
  <c r="C1489" i="3"/>
  <c r="D1489" i="3"/>
  <c r="C1490" i="3"/>
  <c r="D1490" i="3" s="1"/>
  <c r="E1491" i="3" s="1"/>
  <c r="E1490" i="3"/>
  <c r="C1491" i="3"/>
  <c r="D1491" i="3"/>
  <c r="C1492" i="3"/>
  <c r="D1492" i="3" s="1"/>
  <c r="E1493" i="3" s="1"/>
  <c r="E1492" i="3"/>
  <c r="C1493" i="3"/>
  <c r="D1493" i="3"/>
  <c r="C1494" i="3"/>
  <c r="D1494" i="3" s="1"/>
  <c r="E1495" i="3" s="1"/>
  <c r="E1494" i="3"/>
  <c r="C1495" i="3"/>
  <c r="D1495" i="3"/>
  <c r="C1496" i="3"/>
  <c r="D1496" i="3" s="1"/>
  <c r="E1497" i="3" s="1"/>
  <c r="E1496" i="3"/>
  <c r="C1497" i="3"/>
  <c r="D1497" i="3"/>
  <c r="C1498" i="3"/>
  <c r="D1498" i="3" s="1"/>
  <c r="E1499" i="3" s="1"/>
  <c r="E1498" i="3"/>
  <c r="C1499" i="3"/>
  <c r="D1499" i="3"/>
  <c r="C1500" i="3"/>
  <c r="D1500" i="3" s="1"/>
  <c r="E1501" i="3" s="1"/>
  <c r="E1500" i="3"/>
  <c r="C1501" i="3"/>
  <c r="D1501" i="3"/>
  <c r="C1502" i="3"/>
  <c r="D1502" i="3" s="1"/>
  <c r="E1503" i="3" s="1"/>
  <c r="E1502" i="3"/>
  <c r="C1503" i="3"/>
  <c r="D1503" i="3"/>
  <c r="C1504" i="3"/>
  <c r="D1504" i="3" s="1"/>
  <c r="E1505" i="3" s="1"/>
  <c r="E1504" i="3"/>
  <c r="C1505" i="3"/>
  <c r="D1505" i="3"/>
  <c r="C1506" i="3"/>
  <c r="D1506" i="3" s="1"/>
  <c r="E1507" i="3" s="1"/>
  <c r="E1506" i="3"/>
  <c r="C1507" i="3"/>
  <c r="D1507" i="3"/>
  <c r="C1508" i="3"/>
  <c r="D1508" i="3" s="1"/>
  <c r="E1509" i="3" s="1"/>
  <c r="E1508" i="3"/>
  <c r="C1509" i="3"/>
  <c r="D1509" i="3"/>
  <c r="C1510" i="3"/>
  <c r="D1510" i="3" s="1"/>
  <c r="E1511" i="3" s="1"/>
  <c r="E1510" i="3"/>
  <c r="C1511" i="3"/>
  <c r="D1511" i="3"/>
  <c r="C1512" i="3"/>
  <c r="D1512" i="3" s="1"/>
  <c r="E1513" i="3" s="1"/>
  <c r="E1512" i="3"/>
  <c r="C1513" i="3"/>
  <c r="D1513" i="3"/>
  <c r="C1514" i="3"/>
  <c r="D1514" i="3" s="1"/>
  <c r="E1515" i="3" s="1"/>
  <c r="E1514" i="3"/>
  <c r="C1515" i="3"/>
  <c r="D1515" i="3"/>
  <c r="C1516" i="3"/>
  <c r="D1516" i="3" s="1"/>
  <c r="E1517" i="3" s="1"/>
  <c r="E1516" i="3"/>
  <c r="C1517" i="3"/>
  <c r="D1517" i="3"/>
  <c r="C1518" i="3"/>
  <c r="D1518" i="3" s="1"/>
  <c r="E1519" i="3" s="1"/>
  <c r="E1518" i="3"/>
  <c r="C1519" i="3"/>
  <c r="D1519" i="3"/>
  <c r="C1520" i="3"/>
  <c r="D1520" i="3" s="1"/>
  <c r="E1521" i="3" s="1"/>
  <c r="E1520" i="3"/>
  <c r="C1521" i="3"/>
  <c r="D1521" i="3"/>
  <c r="C1522" i="3"/>
  <c r="D1522" i="3" s="1"/>
  <c r="E1523" i="3" s="1"/>
  <c r="E1522" i="3"/>
  <c r="C1523" i="3"/>
  <c r="D1523" i="3"/>
  <c r="C1524" i="3"/>
  <c r="D1524" i="3" s="1"/>
  <c r="E1525" i="3" s="1"/>
  <c r="E1524" i="3"/>
  <c r="C1525" i="3"/>
  <c r="D1525" i="3"/>
  <c r="C1526" i="3"/>
  <c r="D1526" i="3" s="1"/>
  <c r="E1527" i="3" s="1"/>
  <c r="E1526" i="3"/>
  <c r="C1527" i="3"/>
  <c r="D1527" i="3"/>
  <c r="C1528" i="3"/>
  <c r="D1528" i="3" s="1"/>
  <c r="E1529" i="3" s="1"/>
  <c r="E1528" i="3"/>
  <c r="C1529" i="3"/>
  <c r="D1529" i="3"/>
  <c r="C1530" i="3"/>
  <c r="D1530" i="3" s="1"/>
  <c r="E1531" i="3" s="1"/>
  <c r="E1530" i="3"/>
  <c r="C1531" i="3"/>
  <c r="D1531" i="3"/>
  <c r="C1532" i="3"/>
  <c r="D1532" i="3" s="1"/>
  <c r="E1533" i="3" s="1"/>
  <c r="E1532" i="3"/>
  <c r="C1533" i="3"/>
  <c r="D1533" i="3"/>
  <c r="C1534" i="3"/>
  <c r="D1534" i="3" s="1"/>
  <c r="E1535" i="3" s="1"/>
  <c r="E1534" i="3"/>
  <c r="C1535" i="3"/>
  <c r="D1535" i="3"/>
  <c r="C1536" i="3"/>
  <c r="D1536" i="3" s="1"/>
  <c r="E1537" i="3" s="1"/>
  <c r="E1536" i="3"/>
  <c r="C1537" i="3"/>
  <c r="D1537" i="3"/>
  <c r="C1538" i="3"/>
  <c r="D1538" i="3" s="1"/>
  <c r="E1539" i="3" s="1"/>
  <c r="E1538" i="3"/>
  <c r="C1539" i="3"/>
  <c r="D1539" i="3"/>
  <c r="C1540" i="3"/>
  <c r="D1540" i="3" s="1"/>
  <c r="E1541" i="3" s="1"/>
  <c r="E1540" i="3"/>
  <c r="C1541" i="3"/>
  <c r="D1541" i="3"/>
  <c r="C1542" i="3"/>
  <c r="D1542" i="3" s="1"/>
  <c r="E1543" i="3" s="1"/>
  <c r="E1542" i="3"/>
  <c r="C1543" i="3"/>
  <c r="D1543" i="3"/>
  <c r="C1544" i="3"/>
  <c r="D1544" i="3" s="1"/>
  <c r="E1545" i="3" s="1"/>
  <c r="E1544" i="3"/>
  <c r="C1545" i="3"/>
  <c r="D1545" i="3"/>
  <c r="C1546" i="3"/>
  <c r="D1546" i="3" s="1"/>
  <c r="E1547" i="3" s="1"/>
  <c r="E1546" i="3"/>
  <c r="C1547" i="3"/>
  <c r="D1547" i="3"/>
  <c r="C1548" i="3"/>
  <c r="D1548" i="3" s="1"/>
  <c r="E1549" i="3" s="1"/>
  <c r="E1548" i="3"/>
  <c r="C1549" i="3"/>
  <c r="D1549" i="3"/>
  <c r="C1550" i="3"/>
  <c r="D1550" i="3" s="1"/>
  <c r="E1551" i="3" s="1"/>
  <c r="E1550" i="3"/>
  <c r="C1551" i="3"/>
  <c r="D1551" i="3"/>
  <c r="C1552" i="3"/>
  <c r="D1552" i="3" s="1"/>
  <c r="E1553" i="3" s="1"/>
  <c r="E1552" i="3"/>
  <c r="C1553" i="3"/>
  <c r="D1553" i="3"/>
  <c r="C1554" i="3"/>
  <c r="D1554" i="3" s="1"/>
  <c r="E1555" i="3" s="1"/>
  <c r="E1554" i="3"/>
  <c r="C1555" i="3"/>
  <c r="D1555" i="3"/>
  <c r="C1556" i="3"/>
  <c r="D1556" i="3" s="1"/>
  <c r="E1557" i="3" s="1"/>
  <c r="E1556" i="3"/>
  <c r="C1557" i="3"/>
  <c r="D1557" i="3"/>
  <c r="C1558" i="3"/>
  <c r="D1558" i="3" s="1"/>
  <c r="E1559" i="3" s="1"/>
  <c r="E1558" i="3"/>
  <c r="C1559" i="3"/>
  <c r="D1559" i="3"/>
  <c r="C1560" i="3"/>
  <c r="D1560" i="3" s="1"/>
  <c r="E1561" i="3" s="1"/>
  <c r="E1560" i="3"/>
  <c r="C1561" i="3"/>
  <c r="D1561" i="3"/>
  <c r="C1562" i="3"/>
  <c r="D1562" i="3" s="1"/>
  <c r="E1563" i="3" s="1"/>
  <c r="E1562" i="3"/>
  <c r="C1563" i="3"/>
  <c r="D1563" i="3"/>
  <c r="C1564" i="3"/>
  <c r="D1564" i="3" s="1"/>
  <c r="E1565" i="3" s="1"/>
  <c r="E1564" i="3"/>
  <c r="C1565" i="3"/>
  <c r="D1565" i="3"/>
  <c r="C1566" i="3"/>
  <c r="D1566" i="3" s="1"/>
  <c r="E1567" i="3" s="1"/>
  <c r="E1566" i="3"/>
  <c r="C1567" i="3"/>
  <c r="D1567" i="3"/>
  <c r="C1568" i="3"/>
  <c r="D1568" i="3" s="1"/>
  <c r="E1569" i="3" s="1"/>
  <c r="E1568" i="3"/>
  <c r="C1569" i="3"/>
  <c r="D1569" i="3"/>
  <c r="C1570" i="3"/>
  <c r="D1570" i="3" s="1"/>
  <c r="E1571" i="3" s="1"/>
  <c r="E1570" i="3"/>
  <c r="C1571" i="3"/>
  <c r="D1571" i="3"/>
  <c r="C1572" i="3"/>
  <c r="D1572" i="3" s="1"/>
  <c r="E1573" i="3" s="1"/>
  <c r="E1572" i="3"/>
  <c r="C1573" i="3"/>
  <c r="D1573" i="3"/>
  <c r="C1574" i="3"/>
  <c r="D1574" i="3" s="1"/>
  <c r="E1575" i="3" s="1"/>
  <c r="E1574" i="3"/>
  <c r="C1575" i="3"/>
  <c r="D1575" i="3"/>
  <c r="C1576" i="3"/>
  <c r="D1576" i="3" s="1"/>
  <c r="E1577" i="3" s="1"/>
  <c r="E1576" i="3"/>
  <c r="C1577" i="3"/>
  <c r="D1577" i="3"/>
  <c r="C1578" i="3"/>
  <c r="D1578" i="3" s="1"/>
  <c r="E1579" i="3" s="1"/>
  <c r="E1578" i="3"/>
  <c r="C1579" i="3"/>
  <c r="D1579" i="3"/>
  <c r="C1580" i="3"/>
  <c r="D1580" i="3" s="1"/>
  <c r="E1581" i="3" s="1"/>
  <c r="E1580" i="3"/>
  <c r="C1581" i="3"/>
  <c r="D1581" i="3"/>
  <c r="C1582" i="3"/>
  <c r="D1582" i="3" s="1"/>
  <c r="E1583" i="3" s="1"/>
  <c r="E1582" i="3"/>
  <c r="C1583" i="3"/>
  <c r="D1583" i="3"/>
  <c r="C1584" i="3"/>
  <c r="D1584" i="3" s="1"/>
  <c r="E1585" i="3" s="1"/>
  <c r="E1584" i="3"/>
  <c r="C1585" i="3"/>
  <c r="D1585" i="3"/>
  <c r="C1586" i="3"/>
  <c r="D1586" i="3" s="1"/>
  <c r="E1587" i="3" s="1"/>
  <c r="E1586" i="3"/>
  <c r="C1587" i="3"/>
  <c r="D1587" i="3"/>
  <c r="C1588" i="3"/>
  <c r="D1588" i="3" s="1"/>
  <c r="E1589" i="3" s="1"/>
  <c r="E1588" i="3"/>
  <c r="C1589" i="3"/>
  <c r="D1589" i="3"/>
  <c r="C1590" i="3"/>
  <c r="D1590" i="3" s="1"/>
  <c r="E1591" i="3" s="1"/>
  <c r="E1590" i="3"/>
  <c r="C1591" i="3"/>
  <c r="D1591" i="3"/>
  <c r="C1592" i="3"/>
  <c r="D1592" i="3" s="1"/>
  <c r="E1593" i="3" s="1"/>
  <c r="E1592" i="3"/>
  <c r="C1593" i="3"/>
  <c r="D1593" i="3"/>
  <c r="C1594" i="3"/>
  <c r="D1594" i="3" s="1"/>
  <c r="E1595" i="3" s="1"/>
  <c r="E1594" i="3"/>
  <c r="C1595" i="3"/>
  <c r="D1595" i="3"/>
  <c r="C1596" i="3"/>
  <c r="D1596" i="3" s="1"/>
  <c r="E1597" i="3" s="1"/>
  <c r="E1596" i="3"/>
  <c r="C1597" i="3"/>
  <c r="D1597" i="3"/>
  <c r="C1598" i="3"/>
  <c r="D1598" i="3" s="1"/>
  <c r="E1599" i="3" s="1"/>
  <c r="E1598" i="3"/>
  <c r="C1599" i="3"/>
  <c r="D1599" i="3"/>
  <c r="C1600" i="3"/>
  <c r="D1600" i="3" s="1"/>
  <c r="E1601" i="3" s="1"/>
  <c r="E1600" i="3"/>
  <c r="C1601" i="3"/>
  <c r="D1601" i="3"/>
  <c r="C1602" i="3"/>
  <c r="D1602" i="3" s="1"/>
  <c r="E1603" i="3" s="1"/>
  <c r="E1602" i="3"/>
  <c r="C1603" i="3"/>
  <c r="D1603" i="3"/>
  <c r="C1604" i="3"/>
  <c r="D1604" i="3" s="1"/>
  <c r="E1605" i="3" s="1"/>
  <c r="E1604" i="3"/>
  <c r="C1605" i="3"/>
  <c r="D1605" i="3"/>
  <c r="C1606" i="3"/>
  <c r="D1606" i="3" s="1"/>
  <c r="E1607" i="3" s="1"/>
  <c r="E1606" i="3"/>
  <c r="C1607" i="3"/>
  <c r="D1607" i="3"/>
  <c r="C1608" i="3"/>
  <c r="D1608" i="3" s="1"/>
  <c r="E1609" i="3" s="1"/>
  <c r="E1608" i="3"/>
  <c r="C1609" i="3"/>
  <c r="D1609" i="3"/>
  <c r="C1610" i="3"/>
  <c r="D1610" i="3" s="1"/>
  <c r="E1611" i="3" s="1"/>
  <c r="E1610" i="3"/>
  <c r="C1611" i="3"/>
  <c r="D1611" i="3"/>
  <c r="C1612" i="3"/>
  <c r="D1612" i="3" s="1"/>
  <c r="E1613" i="3" s="1"/>
  <c r="E1612" i="3"/>
  <c r="C1613" i="3"/>
  <c r="D1613" i="3"/>
  <c r="C1614" i="3"/>
  <c r="D1614" i="3" s="1"/>
  <c r="E1615" i="3" s="1"/>
  <c r="E1614" i="3"/>
  <c r="C1615" i="3"/>
  <c r="D1615" i="3"/>
  <c r="C1616" i="3"/>
  <c r="D1616" i="3" s="1"/>
  <c r="E1617" i="3" s="1"/>
  <c r="E1616" i="3"/>
  <c r="C1617" i="3"/>
  <c r="D1617" i="3"/>
  <c r="C1618" i="3"/>
  <c r="D1618" i="3" s="1"/>
  <c r="E1619" i="3" s="1"/>
  <c r="E1618" i="3"/>
  <c r="C1619" i="3"/>
  <c r="D1619" i="3"/>
  <c r="C1620" i="3"/>
  <c r="D1620" i="3" s="1"/>
  <c r="E1621" i="3" s="1"/>
  <c r="E1620" i="3"/>
  <c r="C1621" i="3"/>
  <c r="D1621" i="3"/>
  <c r="C1622" i="3"/>
  <c r="D1622" i="3" s="1"/>
  <c r="E1623" i="3" s="1"/>
  <c r="E1622" i="3"/>
  <c r="C1623" i="3"/>
  <c r="D1623" i="3"/>
  <c r="C1624" i="3"/>
  <c r="D1624" i="3" s="1"/>
  <c r="E1625" i="3" s="1"/>
  <c r="E1624" i="3"/>
  <c r="C1625" i="3"/>
  <c r="D1625" i="3"/>
  <c r="C1626" i="3"/>
  <c r="D1626" i="3" s="1"/>
  <c r="E1627" i="3" s="1"/>
  <c r="E1626" i="3"/>
  <c r="C1627" i="3"/>
  <c r="D1627" i="3"/>
  <c r="C1628" i="3"/>
  <c r="D1628" i="3" s="1"/>
  <c r="E1629" i="3" s="1"/>
  <c r="E1628" i="3"/>
  <c r="C1629" i="3"/>
  <c r="D1629" i="3"/>
  <c r="C1630" i="3"/>
  <c r="D1630" i="3" s="1"/>
  <c r="E1631" i="3" s="1"/>
  <c r="E1630" i="3"/>
  <c r="C1631" i="3"/>
  <c r="D1631" i="3"/>
  <c r="C1632" i="3"/>
  <c r="D1632" i="3" s="1"/>
  <c r="E1633" i="3" s="1"/>
  <c r="E1632" i="3"/>
  <c r="C1633" i="3"/>
  <c r="D1633" i="3"/>
  <c r="C1634" i="3"/>
  <c r="D1634" i="3" s="1"/>
  <c r="E1635" i="3" s="1"/>
  <c r="E1634" i="3"/>
  <c r="C1635" i="3"/>
  <c r="D1635" i="3"/>
  <c r="C1636" i="3"/>
  <c r="D1636" i="3" s="1"/>
  <c r="E1637" i="3" s="1"/>
  <c r="E1636" i="3"/>
  <c r="C1637" i="3"/>
  <c r="D1637" i="3"/>
  <c r="C1638" i="3"/>
  <c r="D1638" i="3" s="1"/>
  <c r="E1639" i="3" s="1"/>
  <c r="E1638" i="3"/>
  <c r="C1639" i="3"/>
  <c r="D1639" i="3"/>
  <c r="C1640" i="3"/>
  <c r="D1640" i="3" s="1"/>
  <c r="E1641" i="3" s="1"/>
  <c r="E1640" i="3"/>
  <c r="C1641" i="3"/>
  <c r="D1641" i="3"/>
  <c r="C1642" i="3"/>
  <c r="D1642" i="3" s="1"/>
  <c r="E1643" i="3" s="1"/>
  <c r="E1642" i="3"/>
  <c r="C1643" i="3"/>
  <c r="D1643" i="3"/>
  <c r="C1644" i="3"/>
  <c r="D1644" i="3" s="1"/>
  <c r="E1645" i="3" s="1"/>
  <c r="E1644" i="3"/>
  <c r="C1645" i="3"/>
  <c r="D1645" i="3"/>
  <c r="C1646" i="3"/>
  <c r="D1646" i="3" s="1"/>
  <c r="E1647" i="3" s="1"/>
  <c r="E1646" i="3"/>
  <c r="C1647" i="3"/>
  <c r="D1647" i="3"/>
  <c r="C1648" i="3"/>
  <c r="D1648" i="3" s="1"/>
  <c r="E1649" i="3" s="1"/>
  <c r="E1648" i="3"/>
  <c r="C1649" i="3"/>
  <c r="D1649" i="3"/>
  <c r="C1650" i="3"/>
  <c r="D1650" i="3" s="1"/>
  <c r="E1651" i="3" s="1"/>
  <c r="E1650" i="3"/>
  <c r="C1651" i="3"/>
  <c r="D1651" i="3"/>
  <c r="C1652" i="3"/>
  <c r="D1652" i="3" s="1"/>
  <c r="E1653" i="3" s="1"/>
  <c r="E1652" i="3"/>
  <c r="C1653" i="3"/>
  <c r="D1653" i="3"/>
  <c r="C1654" i="3"/>
  <c r="D1654" i="3" s="1"/>
  <c r="E1655" i="3" s="1"/>
  <c r="E1654" i="3"/>
  <c r="C1655" i="3"/>
  <c r="D1655" i="3"/>
  <c r="C1656" i="3"/>
  <c r="D1656" i="3" s="1"/>
  <c r="E1657" i="3" s="1"/>
  <c r="E1656" i="3"/>
  <c r="C1657" i="3"/>
  <c r="D1657" i="3"/>
  <c r="C1658" i="3"/>
  <c r="D1658" i="3" s="1"/>
  <c r="E1659" i="3" s="1"/>
  <c r="E1658" i="3"/>
  <c r="C1659" i="3"/>
  <c r="D1659" i="3"/>
  <c r="C1660" i="3"/>
  <c r="D1660" i="3" s="1"/>
  <c r="E1661" i="3" s="1"/>
  <c r="E1660" i="3"/>
  <c r="C1661" i="3"/>
  <c r="D1661" i="3"/>
  <c r="C1662" i="3"/>
  <c r="D1662" i="3" s="1"/>
  <c r="E1663" i="3" s="1"/>
  <c r="E1662" i="3"/>
  <c r="C1663" i="3"/>
  <c r="D1663" i="3"/>
  <c r="C1664" i="3"/>
  <c r="D1664" i="3" s="1"/>
  <c r="E1665" i="3" s="1"/>
  <c r="E1664" i="3"/>
  <c r="C1665" i="3"/>
  <c r="D1665" i="3"/>
  <c r="C1666" i="3"/>
  <c r="D1666" i="3" s="1"/>
  <c r="E1667" i="3" s="1"/>
  <c r="E1666" i="3"/>
  <c r="C1667" i="3"/>
  <c r="D1667" i="3"/>
  <c r="C1668" i="3"/>
  <c r="D1668" i="3" s="1"/>
  <c r="E1669" i="3" s="1"/>
  <c r="E1668" i="3"/>
  <c r="C1669" i="3"/>
  <c r="D1669" i="3"/>
  <c r="C1670" i="3"/>
  <c r="D1670" i="3" s="1"/>
  <c r="E1671" i="3" s="1"/>
  <c r="E1670" i="3"/>
  <c r="C1671" i="3"/>
  <c r="D1671" i="3"/>
  <c r="C1672" i="3"/>
  <c r="D1672" i="3" s="1"/>
  <c r="E1673" i="3" s="1"/>
  <c r="E1672" i="3"/>
  <c r="C1673" i="3"/>
  <c r="D1673" i="3"/>
  <c r="C1674" i="3"/>
  <c r="D1674" i="3" s="1"/>
  <c r="E1675" i="3" s="1"/>
  <c r="E1674" i="3"/>
  <c r="C1675" i="3"/>
  <c r="D1675" i="3"/>
  <c r="C1676" i="3"/>
  <c r="D1676" i="3" s="1"/>
  <c r="E1677" i="3" s="1"/>
  <c r="E1676" i="3"/>
  <c r="C1677" i="3"/>
  <c r="D1677" i="3"/>
  <c r="C1678" i="3"/>
  <c r="D1678" i="3" s="1"/>
  <c r="E1679" i="3" s="1"/>
  <c r="E1678" i="3"/>
  <c r="C1679" i="3"/>
  <c r="D1679" i="3"/>
  <c r="C1680" i="3"/>
  <c r="D1680" i="3" s="1"/>
  <c r="E1681" i="3" s="1"/>
  <c r="E1680" i="3"/>
  <c r="C1681" i="3"/>
  <c r="D1681" i="3"/>
  <c r="C1682" i="3"/>
  <c r="D1682" i="3" s="1"/>
  <c r="E1683" i="3" s="1"/>
  <c r="E1682" i="3"/>
  <c r="C1683" i="3"/>
  <c r="D1683" i="3"/>
  <c r="C1684" i="3"/>
  <c r="D1684" i="3" s="1"/>
  <c r="E1685" i="3" s="1"/>
  <c r="E1684" i="3"/>
  <c r="C1685" i="3"/>
  <c r="D1685" i="3"/>
  <c r="C1686" i="3"/>
  <c r="D1686" i="3" s="1"/>
  <c r="E1687" i="3" s="1"/>
  <c r="E1686" i="3"/>
  <c r="C1687" i="3"/>
  <c r="D1687" i="3"/>
  <c r="C1688" i="3"/>
  <c r="D1688" i="3" s="1"/>
  <c r="E1689" i="3" s="1"/>
  <c r="E1688" i="3"/>
  <c r="C1689" i="3"/>
  <c r="D1689" i="3"/>
  <c r="C1690" i="3"/>
  <c r="D1690" i="3" s="1"/>
  <c r="E1691" i="3" s="1"/>
  <c r="E1690" i="3"/>
  <c r="C1691" i="3"/>
  <c r="D1691" i="3"/>
  <c r="C1692" i="3"/>
  <c r="D1692" i="3" s="1"/>
  <c r="E1693" i="3" s="1"/>
  <c r="E1692" i="3"/>
  <c r="C1693" i="3"/>
  <c r="D1693" i="3"/>
  <c r="C1694" i="3"/>
  <c r="D1694" i="3" s="1"/>
  <c r="E1695" i="3" s="1"/>
  <c r="E1694" i="3"/>
  <c r="C1695" i="3"/>
  <c r="D1695" i="3"/>
  <c r="C1696" i="3"/>
  <c r="D1696" i="3" s="1"/>
  <c r="E1697" i="3" s="1"/>
  <c r="E1696" i="3"/>
  <c r="C1697" i="3"/>
  <c r="D1697" i="3"/>
  <c r="C1698" i="3"/>
  <c r="D1698" i="3" s="1"/>
  <c r="E1699" i="3" s="1"/>
  <c r="E1698" i="3"/>
  <c r="C1699" i="3"/>
  <c r="D1699" i="3"/>
  <c r="C1700" i="3"/>
  <c r="D1700" i="3" s="1"/>
  <c r="E1701" i="3" s="1"/>
  <c r="E1700" i="3"/>
  <c r="C1701" i="3"/>
  <c r="D1701" i="3"/>
  <c r="C1702" i="3"/>
  <c r="D1702" i="3" s="1"/>
  <c r="E1703" i="3" s="1"/>
  <c r="E1702" i="3"/>
  <c r="C1703" i="3"/>
  <c r="D1703" i="3"/>
  <c r="C1704" i="3"/>
  <c r="D1704" i="3" s="1"/>
  <c r="E1705" i="3" s="1"/>
  <c r="E1704" i="3"/>
  <c r="C1705" i="3"/>
  <c r="D1705" i="3"/>
  <c r="C1706" i="3"/>
  <c r="D1706" i="3" s="1"/>
  <c r="E1707" i="3" s="1"/>
  <c r="E1706" i="3"/>
  <c r="C1707" i="3"/>
  <c r="D1707" i="3"/>
  <c r="C1708" i="3"/>
  <c r="D1708" i="3" s="1"/>
  <c r="E1709" i="3" s="1"/>
  <c r="E1708" i="3"/>
  <c r="C1709" i="3"/>
  <c r="D1709" i="3"/>
  <c r="C1710" i="3"/>
  <c r="D1710" i="3" s="1"/>
  <c r="E1711" i="3" s="1"/>
  <c r="E1710" i="3"/>
  <c r="C1711" i="3"/>
  <c r="D1711" i="3"/>
  <c r="C1712" i="3"/>
  <c r="D1712" i="3" s="1"/>
  <c r="E1713" i="3" s="1"/>
  <c r="E1712" i="3"/>
  <c r="C1713" i="3"/>
  <c r="D1713" i="3"/>
  <c r="C1714" i="3"/>
  <c r="D1714" i="3" s="1"/>
  <c r="E1715" i="3" s="1"/>
  <c r="E1714" i="3"/>
  <c r="C1715" i="3"/>
  <c r="D1715" i="3"/>
  <c r="C1716" i="3"/>
  <c r="D1716" i="3" s="1"/>
  <c r="E1717" i="3" s="1"/>
  <c r="E1716" i="3"/>
  <c r="C1717" i="3"/>
  <c r="D1717" i="3"/>
  <c r="C1718" i="3"/>
  <c r="D1718" i="3" s="1"/>
  <c r="E1719" i="3" s="1"/>
  <c r="E1718" i="3"/>
  <c r="C1719" i="3"/>
  <c r="D1719" i="3"/>
  <c r="C1720" i="3"/>
  <c r="D1720" i="3" s="1"/>
  <c r="E1721" i="3" s="1"/>
  <c r="E1720" i="3"/>
  <c r="C1721" i="3"/>
  <c r="D1721" i="3"/>
  <c r="C1722" i="3"/>
  <c r="D1722" i="3" s="1"/>
  <c r="E1723" i="3" s="1"/>
  <c r="E1722" i="3"/>
  <c r="C1723" i="3"/>
  <c r="D1723" i="3"/>
  <c r="C1724" i="3"/>
  <c r="D1724" i="3" s="1"/>
  <c r="E1725" i="3" s="1"/>
  <c r="E1724" i="3"/>
  <c r="C1725" i="3"/>
  <c r="D1725" i="3"/>
  <c r="C1726" i="3"/>
  <c r="D1726" i="3" s="1"/>
  <c r="E1727" i="3" s="1"/>
  <c r="E1726" i="3"/>
  <c r="C1727" i="3"/>
  <c r="D1727" i="3"/>
  <c r="C1728" i="3"/>
  <c r="D1728" i="3" s="1"/>
  <c r="E1729" i="3" s="1"/>
  <c r="E1728" i="3"/>
  <c r="C1729" i="3"/>
  <c r="D1729" i="3"/>
  <c r="C1730" i="3"/>
  <c r="D1730" i="3" s="1"/>
  <c r="E1731" i="3" s="1"/>
  <c r="E1730" i="3"/>
  <c r="C1731" i="3"/>
  <c r="D1731" i="3"/>
  <c r="C1732" i="3"/>
  <c r="D1732" i="3" s="1"/>
  <c r="E1733" i="3" s="1"/>
  <c r="E1732" i="3"/>
  <c r="C1733" i="3"/>
  <c r="D1733" i="3"/>
  <c r="C1734" i="3"/>
  <c r="D1734" i="3" s="1"/>
  <c r="E1735" i="3" s="1"/>
  <c r="E1734" i="3"/>
  <c r="C1735" i="3"/>
  <c r="D1735" i="3"/>
  <c r="C1736" i="3"/>
  <c r="D1736" i="3" s="1"/>
  <c r="E1737" i="3" s="1"/>
  <c r="E1736" i="3"/>
  <c r="C1737" i="3"/>
  <c r="D1737" i="3"/>
  <c r="C1738" i="3"/>
  <c r="D1738" i="3" s="1"/>
  <c r="E1739" i="3" s="1"/>
  <c r="E1738" i="3"/>
  <c r="C1739" i="3"/>
  <c r="D1739" i="3"/>
  <c r="C1740" i="3"/>
  <c r="D1740" i="3" s="1"/>
  <c r="E1741" i="3" s="1"/>
  <c r="E1740" i="3"/>
  <c r="C1741" i="3"/>
  <c r="D1741" i="3"/>
  <c r="C1742" i="3"/>
  <c r="D1742" i="3" s="1"/>
  <c r="E1743" i="3" s="1"/>
  <c r="E1742" i="3"/>
  <c r="C1743" i="3"/>
  <c r="D1743" i="3"/>
  <c r="C1744" i="3"/>
  <c r="D1744" i="3" s="1"/>
  <c r="E1745" i="3" s="1"/>
  <c r="E1744" i="3"/>
  <c r="C1745" i="3"/>
  <c r="D1745" i="3"/>
  <c r="C1746" i="3"/>
  <c r="D1746" i="3" s="1"/>
  <c r="E1747" i="3" s="1"/>
  <c r="E1746" i="3"/>
  <c r="C1747" i="3"/>
  <c r="D1747" i="3"/>
  <c r="C1748" i="3"/>
  <c r="D1748" i="3" s="1"/>
  <c r="E1749" i="3" s="1"/>
  <c r="E1748" i="3"/>
  <c r="C1749" i="3"/>
  <c r="D1749" i="3"/>
  <c r="C1750" i="3"/>
  <c r="D1750" i="3" s="1"/>
  <c r="E1751" i="3" s="1"/>
  <c r="E1750" i="3"/>
  <c r="C1751" i="3"/>
  <c r="D1751" i="3"/>
  <c r="C1752" i="3"/>
  <c r="D1752" i="3" s="1"/>
  <c r="E1753" i="3" s="1"/>
  <c r="E1752" i="3"/>
  <c r="C1753" i="3"/>
  <c r="D1753" i="3"/>
  <c r="C1754" i="3"/>
  <c r="D1754" i="3" s="1"/>
  <c r="E1755" i="3" s="1"/>
  <c r="E1754" i="3"/>
  <c r="C1755" i="3"/>
  <c r="D1755" i="3"/>
  <c r="C1756" i="3"/>
  <c r="D1756" i="3" s="1"/>
  <c r="E1757" i="3" s="1"/>
  <c r="E1756" i="3"/>
  <c r="C1757" i="3"/>
  <c r="D1757" i="3"/>
  <c r="C1758" i="3"/>
  <c r="D1758" i="3" s="1"/>
  <c r="E1759" i="3" s="1"/>
  <c r="E1758" i="3"/>
  <c r="C1759" i="3"/>
  <c r="D1759" i="3"/>
  <c r="C1760" i="3"/>
  <c r="D1760" i="3" s="1"/>
  <c r="E1761" i="3" s="1"/>
  <c r="E1760" i="3"/>
  <c r="C1761" i="3"/>
  <c r="D1761" i="3"/>
  <c r="C1762" i="3"/>
  <c r="D1762" i="3" s="1"/>
  <c r="E1763" i="3" s="1"/>
  <c r="E1762" i="3"/>
  <c r="C1763" i="3"/>
  <c r="D1763" i="3"/>
  <c r="C1764" i="3"/>
  <c r="D1764" i="3" s="1"/>
  <c r="E1765" i="3" s="1"/>
  <c r="E1764" i="3"/>
  <c r="C1765" i="3"/>
  <c r="D1765" i="3"/>
  <c r="C1766" i="3"/>
  <c r="D1766" i="3" s="1"/>
  <c r="E1767" i="3" s="1"/>
  <c r="E1766" i="3"/>
  <c r="C1767" i="3"/>
  <c r="D1767" i="3"/>
  <c r="C1768" i="3"/>
  <c r="D1768" i="3" s="1"/>
  <c r="E1769" i="3" s="1"/>
  <c r="E1768" i="3"/>
  <c r="C1769" i="3"/>
  <c r="D1769" i="3"/>
  <c r="C1770" i="3"/>
  <c r="D1770" i="3" s="1"/>
  <c r="E1771" i="3" s="1"/>
  <c r="E1770" i="3"/>
  <c r="C1771" i="3"/>
  <c r="D1771" i="3"/>
  <c r="C1772" i="3"/>
  <c r="D1772" i="3" s="1"/>
  <c r="E1773" i="3" s="1"/>
  <c r="E1772" i="3"/>
  <c r="C1773" i="3"/>
  <c r="D1773" i="3"/>
  <c r="C1774" i="3"/>
  <c r="D1774" i="3" s="1"/>
  <c r="E1775" i="3" s="1"/>
  <c r="E1774" i="3"/>
  <c r="C1775" i="3"/>
  <c r="D1775" i="3"/>
  <c r="C1776" i="3"/>
  <c r="D1776" i="3" s="1"/>
  <c r="E1777" i="3" s="1"/>
  <c r="E1776" i="3"/>
  <c r="C1777" i="3"/>
  <c r="D1777" i="3"/>
  <c r="C1778" i="3"/>
  <c r="D1778" i="3" s="1"/>
  <c r="E1779" i="3" s="1"/>
  <c r="E1778" i="3"/>
  <c r="C1779" i="3"/>
  <c r="D1779" i="3"/>
  <c r="C1780" i="3"/>
  <c r="D1780" i="3" s="1"/>
  <c r="E1781" i="3" s="1"/>
  <c r="E1780" i="3"/>
  <c r="C1781" i="3"/>
  <c r="D1781" i="3"/>
  <c r="C1782" i="3"/>
  <c r="D1782" i="3" s="1"/>
  <c r="E1783" i="3" s="1"/>
  <c r="E1782" i="3"/>
  <c r="C1783" i="3"/>
  <c r="D1783" i="3"/>
  <c r="C1784" i="3"/>
  <c r="D1784" i="3" s="1"/>
  <c r="E1785" i="3" s="1"/>
  <c r="E1784" i="3"/>
  <c r="C1785" i="3"/>
  <c r="D1785" i="3"/>
  <c r="C1786" i="3"/>
  <c r="D1786" i="3" s="1"/>
  <c r="E1787" i="3" s="1"/>
  <c r="E1786" i="3"/>
  <c r="C1787" i="3"/>
  <c r="D1787" i="3"/>
  <c r="C1788" i="3"/>
  <c r="D1788" i="3" s="1"/>
  <c r="E1789" i="3" s="1"/>
  <c r="E1788" i="3"/>
  <c r="C1789" i="3"/>
  <c r="D1789" i="3"/>
  <c r="C1790" i="3"/>
  <c r="D1790" i="3" s="1"/>
  <c r="E1791" i="3" s="1"/>
  <c r="E1790" i="3"/>
  <c r="C1791" i="3"/>
  <c r="D1791" i="3"/>
  <c r="C1792" i="3"/>
  <c r="D1792" i="3" s="1"/>
  <c r="E1793" i="3" s="1"/>
  <c r="E1792" i="3"/>
  <c r="C1793" i="3"/>
  <c r="D1793" i="3"/>
  <c r="C1794" i="3"/>
  <c r="D1794" i="3" s="1"/>
  <c r="E1795" i="3" s="1"/>
  <c r="E1794" i="3"/>
  <c r="C1795" i="3"/>
  <c r="D1795" i="3"/>
  <c r="C1796" i="3"/>
  <c r="D1796" i="3" s="1"/>
  <c r="E1797" i="3" s="1"/>
  <c r="E1796" i="3"/>
  <c r="C1797" i="3"/>
  <c r="D1797" i="3"/>
  <c r="C1798" i="3"/>
  <c r="D1798" i="3" s="1"/>
  <c r="E1799" i="3" s="1"/>
  <c r="E1798" i="3"/>
  <c r="C1799" i="3"/>
  <c r="D1799" i="3"/>
  <c r="C1800" i="3"/>
  <c r="D1800" i="3" s="1"/>
  <c r="E1801" i="3" s="1"/>
  <c r="E1800" i="3"/>
  <c r="C1801" i="3"/>
  <c r="D1801" i="3"/>
  <c r="C1802" i="3"/>
  <c r="D1802" i="3" s="1"/>
  <c r="E1803" i="3" s="1"/>
  <c r="E1802" i="3"/>
  <c r="C1803" i="3"/>
  <c r="D1803" i="3"/>
  <c r="C1804" i="3"/>
  <c r="D1804" i="3" s="1"/>
  <c r="E1805" i="3" s="1"/>
  <c r="E1804" i="3"/>
  <c r="C1805" i="3"/>
  <c r="D1805" i="3"/>
  <c r="C1806" i="3"/>
  <c r="D1806" i="3" s="1"/>
  <c r="E1807" i="3" s="1"/>
  <c r="E1806" i="3"/>
  <c r="C1807" i="3"/>
  <c r="D1807" i="3"/>
  <c r="C1808" i="3"/>
  <c r="D1808" i="3" s="1"/>
  <c r="E1809" i="3" s="1"/>
  <c r="E1808" i="3"/>
  <c r="C1809" i="3"/>
  <c r="D1809" i="3"/>
  <c r="C1810" i="3"/>
  <c r="D1810" i="3" s="1"/>
  <c r="E1811" i="3" s="1"/>
  <c r="E1810" i="3"/>
  <c r="C1811" i="3"/>
  <c r="D1811" i="3"/>
  <c r="C1812" i="3"/>
  <c r="D1812" i="3" s="1"/>
  <c r="E1813" i="3" s="1"/>
  <c r="E1812" i="3"/>
  <c r="C1813" i="3"/>
  <c r="D1813" i="3"/>
  <c r="C1814" i="3"/>
  <c r="D1814" i="3" s="1"/>
  <c r="E1815" i="3" s="1"/>
  <c r="E1814" i="3"/>
  <c r="C1815" i="3"/>
  <c r="D1815" i="3"/>
  <c r="C1816" i="3"/>
  <c r="D1816" i="3" s="1"/>
  <c r="E1817" i="3" s="1"/>
  <c r="E1816" i="3"/>
  <c r="C1817" i="3"/>
  <c r="D1817" i="3"/>
  <c r="C1818" i="3"/>
  <c r="D1818" i="3" s="1"/>
  <c r="E1818" i="3"/>
  <c r="F36" i="6" l="1"/>
  <c r="E26" i="6"/>
  <c r="F27" i="6" s="1"/>
  <c r="G28" i="6" s="1"/>
  <c r="G35" i="6" s="1"/>
  <c r="F35" i="6" s="1"/>
  <c r="E25" i="6"/>
  <c r="B36" i="5"/>
  <c r="B38" i="5"/>
  <c r="B21" i="5" s="1"/>
  <c r="D21" i="5" s="1"/>
  <c r="B40" i="5"/>
  <c r="B35" i="5"/>
  <c r="B4" i="4"/>
  <c r="B4" i="3"/>
  <c r="D3" i="2"/>
  <c r="D4" i="2"/>
  <c r="D7" i="2"/>
  <c r="D8" i="2"/>
  <c r="D9" i="2"/>
  <c r="D10" i="2" s="1"/>
  <c r="D11" i="2" s="1"/>
  <c r="D12" i="2" s="1"/>
  <c r="D13" i="2" s="1"/>
  <c r="D14" i="2" s="1"/>
  <c r="D15" i="2" s="1"/>
  <c r="D16" i="2" s="1"/>
  <c r="D17" i="2" s="1"/>
  <c r="D18" i="2" s="1"/>
  <c r="D19" i="2" s="1"/>
  <c r="D20" i="2" s="1"/>
  <c r="D21" i="2" s="1"/>
  <c r="D22" i="2" s="1"/>
  <c r="D23" i="2" s="1"/>
  <c r="D24" i="2" s="1"/>
  <c r="D25" i="2" s="1"/>
  <c r="D26" i="2" s="1"/>
  <c r="D27" i="2" s="1"/>
  <c r="D28" i="2" s="1"/>
  <c r="D29" i="2" s="1"/>
  <c r="D30" i="2" s="1"/>
  <c r="D31" i="2" s="1"/>
  <c r="E14" i="2"/>
  <c r="E15" i="2"/>
  <c r="E5" i="2"/>
  <c r="E29" i="2"/>
  <c r="E8" i="2"/>
  <c r="E24" i="2"/>
  <c r="E27" i="2"/>
  <c r="E17" i="2"/>
  <c r="E26" i="2"/>
  <c r="E13" i="2"/>
  <c r="E9" i="2"/>
  <c r="E12" i="2"/>
  <c r="E28" i="2"/>
  <c r="E11" i="2"/>
  <c r="E2" i="2"/>
  <c r="E31" i="2"/>
  <c r="E22" i="2"/>
  <c r="E21" i="2"/>
  <c r="E16" i="2"/>
  <c r="E6" i="2"/>
  <c r="E7" i="2"/>
  <c r="E10" i="2"/>
  <c r="E23" i="2"/>
  <c r="E30" i="2"/>
  <c r="E3" i="2"/>
  <c r="E20" i="2"/>
  <c r="E19" i="2"/>
  <c r="E25" i="2"/>
  <c r="E4" i="2"/>
  <c r="E18" i="2"/>
  <c r="D18" i="5" l="1"/>
  <c r="E7" i="5" s="1"/>
  <c r="E35" i="6"/>
  <c r="B19" i="5"/>
  <c r="D19" i="5" s="1"/>
  <c r="F25" i="6"/>
  <c r="F26" i="6"/>
  <c r="G27" i="6" s="1"/>
  <c r="G34" i="6" s="1"/>
  <c r="F34" i="6" s="1"/>
  <c r="E34" i="6" s="1"/>
  <c r="D24" i="5"/>
  <c r="P24" i="5" s="1"/>
  <c r="B24" i="5"/>
  <c r="N24" i="5" s="1"/>
  <c r="B37" i="5"/>
  <c r="B23" i="5" s="1"/>
  <c r="N23" i="5" s="1"/>
  <c r="B39" i="5"/>
  <c r="B41" i="5"/>
  <c r="D23" i="5" s="1"/>
  <c r="P23" i="5" s="1"/>
  <c r="D26" i="5"/>
  <c r="P26" i="5" s="1"/>
  <c r="B22" i="5"/>
  <c r="N22" i="5" s="1"/>
  <c r="B20" i="5"/>
  <c r="B26" i="5"/>
  <c r="N26" i="5" s="1"/>
  <c r="J15" i="4"/>
  <c r="J16" i="4" s="1"/>
  <c r="J17" i="4" s="1"/>
  <c r="J18" i="4" s="1"/>
  <c r="J19" i="4" s="1"/>
  <c r="J20" i="4" s="1"/>
  <c r="J21" i="4" s="1"/>
  <c r="J22" i="4" s="1"/>
  <c r="J23" i="4" s="1"/>
  <c r="J24" i="4" s="1"/>
  <c r="J25" i="4" s="1"/>
  <c r="J26" i="4" s="1"/>
  <c r="J27" i="4" s="1"/>
  <c r="J28" i="4" s="1"/>
  <c r="J29" i="4" s="1"/>
  <c r="J30" i="4" s="1"/>
  <c r="J31" i="4" s="1"/>
  <c r="J32" i="4" s="1"/>
  <c r="J33" i="4" s="1"/>
  <c r="J34" i="4" s="1"/>
  <c r="J35" i="4" s="1"/>
  <c r="J36" i="4" s="1"/>
  <c r="J37" i="4" s="1"/>
  <c r="J38" i="4" s="1"/>
  <c r="J39" i="4" s="1"/>
  <c r="J40" i="4" s="1"/>
  <c r="J41" i="4" s="1"/>
  <c r="J42" i="4" s="1"/>
  <c r="J43" i="4" s="1"/>
  <c r="J44" i="4" s="1"/>
  <c r="J45" i="4" s="1"/>
  <c r="J46" i="4" s="1"/>
  <c r="J47" i="4" s="1"/>
  <c r="J48" i="4" s="1"/>
  <c r="J49" i="4" s="1"/>
  <c r="J50" i="4" s="1"/>
  <c r="J51" i="4" s="1"/>
  <c r="J52" i="4" s="1"/>
  <c r="J53" i="4" s="1"/>
  <c r="J54" i="4" s="1"/>
  <c r="J55" i="4" s="1"/>
  <c r="J56" i="4" s="1"/>
  <c r="J57" i="4" s="1"/>
  <c r="J58" i="4" s="1"/>
  <c r="J59" i="4" s="1"/>
  <c r="J60" i="4" s="1"/>
  <c r="J61" i="4" s="1"/>
  <c r="J62" i="4" s="1"/>
  <c r="J63" i="4" s="1"/>
  <c r="J64" i="4" s="1"/>
  <c r="J65" i="4" s="1"/>
  <c r="J66" i="4" s="1"/>
  <c r="J67" i="4" s="1"/>
  <c r="J68" i="4" s="1"/>
  <c r="J69" i="4" s="1"/>
  <c r="J70" i="4" s="1"/>
  <c r="J71" i="4" s="1"/>
  <c r="J72" i="4" s="1"/>
  <c r="J73" i="4" s="1"/>
  <c r="J74" i="4" s="1"/>
  <c r="J75" i="4" s="1"/>
  <c r="J76" i="4" s="1"/>
  <c r="J77" i="4" s="1"/>
  <c r="J78" i="4" s="1"/>
  <c r="J79" i="4" s="1"/>
  <c r="J80" i="4" s="1"/>
  <c r="J81" i="4" s="1"/>
  <c r="J82" i="4" s="1"/>
  <c r="J83" i="4" s="1"/>
  <c r="J84" i="4" s="1"/>
  <c r="J85" i="4" s="1"/>
  <c r="J86" i="4" s="1"/>
  <c r="J87" i="4" s="1"/>
  <c r="J88" i="4" s="1"/>
  <c r="J89" i="4" s="1"/>
  <c r="J90" i="4" s="1"/>
  <c r="J91" i="4" s="1"/>
  <c r="J92" i="4" s="1"/>
  <c r="J93" i="4" s="1"/>
  <c r="J94" i="4" s="1"/>
  <c r="J95" i="4" s="1"/>
  <c r="J96" i="4" s="1"/>
  <c r="J97" i="4" s="1"/>
  <c r="J98" i="4" s="1"/>
  <c r="J99" i="4" s="1"/>
  <c r="J100" i="4" s="1"/>
  <c r="J101" i="4" s="1"/>
  <c r="J102" i="4" s="1"/>
  <c r="J103" i="4" s="1"/>
  <c r="J104" i="4" s="1"/>
  <c r="J105" i="4" s="1"/>
  <c r="J106" i="4" s="1"/>
  <c r="J107" i="4" s="1"/>
  <c r="J108" i="4" s="1"/>
  <c r="J109" i="4" s="1"/>
  <c r="J110" i="4" s="1"/>
  <c r="J111" i="4" s="1"/>
  <c r="J112" i="4" s="1"/>
  <c r="J113" i="4" s="1"/>
  <c r="J114" i="4" s="1"/>
  <c r="J115" i="4" s="1"/>
  <c r="J116" i="4" s="1"/>
  <c r="J117" i="4" s="1"/>
  <c r="J118" i="4" s="1"/>
  <c r="J119" i="4" s="1"/>
  <c r="J120" i="4" s="1"/>
  <c r="J121" i="4" s="1"/>
  <c r="J122" i="4" s="1"/>
  <c r="J123" i="4" s="1"/>
  <c r="J124" i="4" s="1"/>
  <c r="J125" i="4" s="1"/>
  <c r="J126" i="4" s="1"/>
  <c r="J127" i="4" s="1"/>
  <c r="J128" i="4" s="1"/>
  <c r="J129" i="4" s="1"/>
  <c r="J130" i="4" s="1"/>
  <c r="J131" i="4" s="1"/>
  <c r="J132" i="4" s="1"/>
  <c r="J133" i="4" s="1"/>
  <c r="J134" i="4" s="1"/>
  <c r="J135" i="4" s="1"/>
  <c r="J136" i="4" s="1"/>
  <c r="J137" i="4" s="1"/>
  <c r="J138" i="4" s="1"/>
  <c r="J139" i="4" s="1"/>
  <c r="J140" i="4" s="1"/>
  <c r="J141" i="4" s="1"/>
  <c r="J142" i="4" s="1"/>
  <c r="J143" i="4" s="1"/>
  <c r="J144" i="4" s="1"/>
  <c r="J145" i="4" s="1"/>
  <c r="J146" i="4" s="1"/>
  <c r="J147" i="4" s="1"/>
  <c r="J148" i="4" s="1"/>
  <c r="J149" i="4" s="1"/>
  <c r="J150" i="4" s="1"/>
  <c r="J151" i="4" s="1"/>
  <c r="J152" i="4" s="1"/>
  <c r="J153" i="4" s="1"/>
  <c r="J154" i="4" s="1"/>
  <c r="J155" i="4" s="1"/>
  <c r="J156" i="4" s="1"/>
  <c r="J157" i="4" s="1"/>
  <c r="J158" i="4" s="1"/>
  <c r="J159" i="4" s="1"/>
  <c r="J160" i="4" s="1"/>
  <c r="J161" i="4" s="1"/>
  <c r="J162" i="4" s="1"/>
  <c r="J163" i="4" s="1"/>
  <c r="J164" i="4" s="1"/>
  <c r="J165" i="4" s="1"/>
  <c r="J166" i="4" s="1"/>
  <c r="J167" i="4" s="1"/>
  <c r="J168" i="4" s="1"/>
  <c r="J169" i="4" s="1"/>
  <c r="J170" i="4" s="1"/>
  <c r="J171" i="4" s="1"/>
  <c r="J172" i="4" s="1"/>
  <c r="J173" i="4" s="1"/>
  <c r="J174" i="4" s="1"/>
  <c r="J175" i="4" s="1"/>
  <c r="J176" i="4" s="1"/>
  <c r="J177" i="4" s="1"/>
  <c r="J178" i="4" s="1"/>
  <c r="J179" i="4" s="1"/>
  <c r="J180" i="4" s="1"/>
  <c r="J181" i="4" s="1"/>
  <c r="J182" i="4" s="1"/>
  <c r="J183" i="4" s="1"/>
  <c r="J184" i="4" s="1"/>
  <c r="J185" i="4" s="1"/>
  <c r="J186" i="4" s="1"/>
  <c r="J187" i="4" s="1"/>
  <c r="J188" i="4" s="1"/>
  <c r="J189" i="4" s="1"/>
  <c r="J190" i="4" s="1"/>
  <c r="J191" i="4" s="1"/>
  <c r="J192" i="4" s="1"/>
  <c r="J193" i="4" s="1"/>
  <c r="J194" i="4" s="1"/>
  <c r="J195" i="4" s="1"/>
  <c r="J196" i="4" s="1"/>
  <c r="J197" i="4" s="1"/>
  <c r="J198" i="4" s="1"/>
  <c r="J199" i="4" s="1"/>
  <c r="J200" i="4" s="1"/>
  <c r="J201" i="4" s="1"/>
  <c r="J202" i="4" s="1"/>
  <c r="J203" i="4" s="1"/>
  <c r="J204" i="4" s="1"/>
  <c r="J205" i="4" s="1"/>
  <c r="J206" i="4" s="1"/>
  <c r="J207" i="4" s="1"/>
  <c r="J208" i="4" s="1"/>
  <c r="J209" i="4" s="1"/>
  <c r="J210" i="4" s="1"/>
  <c r="J211" i="4" s="1"/>
  <c r="J212" i="4" s="1"/>
  <c r="J213" i="4" s="1"/>
  <c r="J214" i="4" s="1"/>
  <c r="J215" i="4" s="1"/>
  <c r="J216" i="4" s="1"/>
  <c r="J217" i="4" s="1"/>
  <c r="J218" i="4" s="1"/>
  <c r="J219" i="4" s="1"/>
  <c r="J220" i="4" s="1"/>
  <c r="J221" i="4" s="1"/>
  <c r="J222" i="4" s="1"/>
  <c r="J223" i="4" s="1"/>
  <c r="J224" i="4" s="1"/>
  <c r="J225" i="4" s="1"/>
  <c r="J226" i="4" s="1"/>
  <c r="J227" i="4" s="1"/>
  <c r="J228" i="4" s="1"/>
  <c r="J229" i="4" s="1"/>
  <c r="J230" i="4" s="1"/>
  <c r="J231" i="4" s="1"/>
  <c r="J232" i="4" s="1"/>
  <c r="J233" i="4" s="1"/>
  <c r="J234" i="4" s="1"/>
  <c r="J235" i="4" s="1"/>
  <c r="J236" i="4" s="1"/>
  <c r="J237" i="4" s="1"/>
  <c r="J238" i="4" s="1"/>
  <c r="J239" i="4" s="1"/>
  <c r="J240" i="4" s="1"/>
  <c r="J241" i="4" s="1"/>
  <c r="J242" i="4" s="1"/>
  <c r="J243" i="4" s="1"/>
  <c r="J244" i="4" s="1"/>
  <c r="J245" i="4" s="1"/>
  <c r="J246" i="4" s="1"/>
  <c r="J247" i="4" s="1"/>
  <c r="J248" i="4" s="1"/>
  <c r="J249" i="4" s="1"/>
  <c r="J250" i="4" s="1"/>
  <c r="J251" i="4" s="1"/>
  <c r="J252" i="4" s="1"/>
  <c r="J253" i="4" s="1"/>
  <c r="J254" i="4" s="1"/>
  <c r="J255" i="4" s="1"/>
  <c r="J256" i="4" s="1"/>
  <c r="J257" i="4" s="1"/>
  <c r="J258" i="4" s="1"/>
  <c r="J259" i="4" s="1"/>
  <c r="J260" i="4" s="1"/>
  <c r="J261" i="4" s="1"/>
  <c r="J262" i="4" s="1"/>
  <c r="J263" i="4" s="1"/>
  <c r="J264" i="4" s="1"/>
  <c r="J265" i="4" s="1"/>
  <c r="J266" i="4" s="1"/>
  <c r="J267" i="4" s="1"/>
  <c r="J268" i="4" s="1"/>
  <c r="J269" i="4" s="1"/>
  <c r="J270" i="4" s="1"/>
  <c r="J271" i="4" s="1"/>
  <c r="J272" i="4" s="1"/>
  <c r="J273" i="4" s="1"/>
  <c r="J274" i="4" s="1"/>
  <c r="J275" i="4" s="1"/>
  <c r="J276" i="4" s="1"/>
  <c r="J277" i="4" s="1"/>
  <c r="J278" i="4" s="1"/>
  <c r="J279" i="4" s="1"/>
  <c r="J280" i="4" s="1"/>
  <c r="J281" i="4" s="1"/>
  <c r="J282" i="4" s="1"/>
  <c r="J283" i="4" s="1"/>
  <c r="J284" i="4" s="1"/>
  <c r="J285" i="4" s="1"/>
  <c r="J286" i="4" s="1"/>
  <c r="J287" i="4" s="1"/>
  <c r="J288" i="4" s="1"/>
  <c r="J289" i="4" s="1"/>
  <c r="J290" i="4" s="1"/>
  <c r="J291" i="4" s="1"/>
  <c r="J292" i="4" s="1"/>
  <c r="J293" i="4" s="1"/>
  <c r="J294" i="4" s="1"/>
  <c r="J295" i="4" s="1"/>
  <c r="J296" i="4" s="1"/>
  <c r="J297" i="4" s="1"/>
  <c r="J298" i="4" s="1"/>
  <c r="J299" i="4" s="1"/>
  <c r="J300" i="4" s="1"/>
  <c r="J301" i="4" s="1"/>
  <c r="J302" i="4" s="1"/>
  <c r="J303" i="4" s="1"/>
  <c r="J304" i="4" s="1"/>
  <c r="J305" i="4" s="1"/>
  <c r="J306" i="4" s="1"/>
  <c r="J307" i="4" s="1"/>
  <c r="J308" i="4" s="1"/>
  <c r="J309" i="4" s="1"/>
  <c r="J310" i="4" s="1"/>
  <c r="J311" i="4" s="1"/>
  <c r="J312" i="4" s="1"/>
  <c r="J313" i="4" s="1"/>
  <c r="J314" i="4" s="1"/>
  <c r="J315" i="4" s="1"/>
  <c r="J316" i="4" s="1"/>
  <c r="J317" i="4" s="1"/>
  <c r="J318" i="4" s="1"/>
  <c r="J319" i="4" s="1"/>
  <c r="J320" i="4" s="1"/>
  <c r="J321" i="4" s="1"/>
  <c r="J322" i="4" s="1"/>
  <c r="J323" i="4" s="1"/>
  <c r="J324" i="4" s="1"/>
  <c r="J325" i="4" s="1"/>
  <c r="J326" i="4" s="1"/>
  <c r="J327" i="4" s="1"/>
  <c r="J328" i="4" s="1"/>
  <c r="J329" i="4" s="1"/>
  <c r="J330" i="4" s="1"/>
  <c r="J331" i="4" s="1"/>
  <c r="J332" i="4" s="1"/>
  <c r="J333" i="4" s="1"/>
  <c r="J334" i="4" s="1"/>
  <c r="J335" i="4" s="1"/>
  <c r="J336" i="4" s="1"/>
  <c r="J337" i="4" s="1"/>
  <c r="J338" i="4" s="1"/>
  <c r="J339" i="4" s="1"/>
  <c r="J340" i="4" s="1"/>
  <c r="J341" i="4" s="1"/>
  <c r="J342" i="4" s="1"/>
  <c r="J343" i="4" s="1"/>
  <c r="J344" i="4" s="1"/>
  <c r="J345" i="4" s="1"/>
  <c r="J346" i="4" s="1"/>
  <c r="J347" i="4" s="1"/>
  <c r="J348" i="4" s="1"/>
  <c r="J349" i="4" s="1"/>
  <c r="J350" i="4" s="1"/>
  <c r="J351" i="4" s="1"/>
  <c r="J352" i="4" s="1"/>
  <c r="J353" i="4" s="1"/>
  <c r="J354" i="4" s="1"/>
  <c r="J355" i="4" s="1"/>
  <c r="J356" i="4" s="1"/>
  <c r="J357" i="4" s="1"/>
  <c r="J358" i="4" s="1"/>
  <c r="J359" i="4" s="1"/>
  <c r="J360" i="4" s="1"/>
  <c r="J361" i="4" s="1"/>
  <c r="J362" i="4" s="1"/>
  <c r="J363" i="4" s="1"/>
  <c r="J364" i="4" s="1"/>
  <c r="J365" i="4" s="1"/>
  <c r="J366" i="4" s="1"/>
  <c r="J367" i="4" s="1"/>
  <c r="J368" i="4" s="1"/>
  <c r="J369" i="4" s="1"/>
  <c r="J370" i="4" s="1"/>
  <c r="J371" i="4" s="1"/>
  <c r="J372" i="4" s="1"/>
  <c r="J373" i="4" s="1"/>
  <c r="J374" i="4" s="1"/>
  <c r="J375" i="4" s="1"/>
  <c r="J376" i="4" s="1"/>
  <c r="J377" i="4" s="1"/>
  <c r="J378" i="4" s="1"/>
  <c r="J379" i="4" s="1"/>
  <c r="J380" i="4" s="1"/>
  <c r="J381" i="4" s="1"/>
  <c r="J382" i="4" s="1"/>
  <c r="J383" i="4" s="1"/>
  <c r="J384" i="4" s="1"/>
  <c r="J385" i="4" s="1"/>
  <c r="J386" i="4" s="1"/>
  <c r="J387" i="4" s="1"/>
  <c r="J388" i="4" s="1"/>
  <c r="J389" i="4" s="1"/>
  <c r="J390" i="4" s="1"/>
  <c r="J391" i="4" s="1"/>
  <c r="J392" i="4" s="1"/>
  <c r="J393" i="4" s="1"/>
  <c r="J394" i="4" s="1"/>
  <c r="J395" i="4" s="1"/>
  <c r="J396" i="4" s="1"/>
  <c r="J397" i="4" s="1"/>
  <c r="J398" i="4" s="1"/>
  <c r="J399" i="4" s="1"/>
  <c r="J400" i="4" s="1"/>
  <c r="J401" i="4" s="1"/>
  <c r="J402" i="4" s="1"/>
  <c r="J403" i="4" s="1"/>
  <c r="J404" i="4" s="1"/>
  <c r="J405" i="4" s="1"/>
  <c r="J406" i="4" s="1"/>
  <c r="J407" i="4" s="1"/>
  <c r="J408" i="4" s="1"/>
  <c r="J409" i="4" s="1"/>
  <c r="J410" i="4" s="1"/>
  <c r="J411" i="4" s="1"/>
  <c r="J412" i="4" s="1"/>
  <c r="J413" i="4" s="1"/>
  <c r="J414" i="4" s="1"/>
  <c r="J415" i="4" s="1"/>
  <c r="J416" i="4" s="1"/>
  <c r="J417" i="4" s="1"/>
  <c r="J418" i="4" s="1"/>
  <c r="J419" i="4" s="1"/>
  <c r="J420" i="4" s="1"/>
  <c r="J421" i="4" s="1"/>
  <c r="J422" i="4" s="1"/>
  <c r="J423" i="4" s="1"/>
  <c r="J424" i="4" s="1"/>
  <c r="J425" i="4" s="1"/>
  <c r="J426" i="4" s="1"/>
  <c r="J427" i="4" s="1"/>
  <c r="J428" i="4" s="1"/>
  <c r="J429" i="4" s="1"/>
  <c r="J430" i="4" s="1"/>
  <c r="J431" i="4" s="1"/>
  <c r="J432" i="4" s="1"/>
  <c r="J433" i="4" s="1"/>
  <c r="J434" i="4" s="1"/>
  <c r="J435" i="4" s="1"/>
  <c r="J436" i="4" s="1"/>
  <c r="J437" i="4" s="1"/>
  <c r="J438" i="4" s="1"/>
  <c r="J439" i="4" s="1"/>
  <c r="J440" i="4" s="1"/>
  <c r="J441" i="4" s="1"/>
  <c r="J442" i="4" s="1"/>
  <c r="J443" i="4" s="1"/>
  <c r="J444" i="4" s="1"/>
  <c r="J445" i="4" s="1"/>
  <c r="J446" i="4" s="1"/>
  <c r="J447" i="4" s="1"/>
  <c r="J448" i="4" s="1"/>
  <c r="J449" i="4" s="1"/>
  <c r="J450" i="4" s="1"/>
  <c r="J451" i="4" s="1"/>
  <c r="J452" i="4" s="1"/>
  <c r="J453" i="4" s="1"/>
  <c r="J454" i="4" s="1"/>
  <c r="J455" i="4" s="1"/>
  <c r="J456" i="4" s="1"/>
  <c r="J457" i="4" s="1"/>
  <c r="J458" i="4" s="1"/>
  <c r="J459" i="4" s="1"/>
  <c r="J460" i="4" s="1"/>
  <c r="J461" i="4" s="1"/>
  <c r="J462" i="4" s="1"/>
  <c r="J463" i="4" s="1"/>
  <c r="J464" i="4" s="1"/>
  <c r="J465" i="4" s="1"/>
  <c r="J466" i="4" s="1"/>
  <c r="J467" i="4" s="1"/>
  <c r="J468" i="4" s="1"/>
  <c r="J469" i="4" s="1"/>
  <c r="J470" i="4" s="1"/>
  <c r="J471" i="4" s="1"/>
  <c r="J472" i="4" s="1"/>
  <c r="J473" i="4" s="1"/>
  <c r="J474" i="4" s="1"/>
  <c r="J475" i="4" s="1"/>
  <c r="J476" i="4" s="1"/>
  <c r="J477" i="4" s="1"/>
  <c r="J478" i="4" s="1"/>
  <c r="J479" i="4" s="1"/>
  <c r="J480" i="4" s="1"/>
  <c r="J481" i="4" s="1"/>
  <c r="J482" i="4" s="1"/>
  <c r="J483" i="4" s="1"/>
  <c r="J484" i="4" s="1"/>
  <c r="J485" i="4" s="1"/>
  <c r="J486" i="4" s="1"/>
  <c r="J487" i="4" s="1"/>
  <c r="J488" i="4" s="1"/>
  <c r="J489" i="4" s="1"/>
  <c r="J490" i="4" s="1"/>
  <c r="J491" i="4" s="1"/>
  <c r="J492" i="4" s="1"/>
  <c r="J493" i="4" s="1"/>
  <c r="J494" i="4" s="1"/>
  <c r="J495" i="4" s="1"/>
  <c r="J496" i="4" s="1"/>
  <c r="J497" i="4" s="1"/>
  <c r="J498" i="4" s="1"/>
  <c r="J499" i="4" s="1"/>
  <c r="J500" i="4" s="1"/>
  <c r="J501" i="4" s="1"/>
  <c r="J502" i="4" s="1"/>
  <c r="J503" i="4" s="1"/>
  <c r="J504" i="4" s="1"/>
  <c r="J505" i="4" s="1"/>
  <c r="J506" i="4" s="1"/>
  <c r="J507" i="4" s="1"/>
  <c r="J508" i="4" s="1"/>
  <c r="J509" i="4" s="1"/>
  <c r="J510" i="4" s="1"/>
  <c r="J511" i="4" s="1"/>
  <c r="J512" i="4" s="1"/>
  <c r="J513" i="4" s="1"/>
  <c r="J514" i="4" s="1"/>
  <c r="J515" i="4" s="1"/>
  <c r="J516" i="4" s="1"/>
  <c r="J517" i="4" s="1"/>
  <c r="J518" i="4" s="1"/>
  <c r="J519" i="4" s="1"/>
  <c r="J520" i="4" s="1"/>
  <c r="J521" i="4" s="1"/>
  <c r="J522" i="4" s="1"/>
  <c r="J523" i="4" s="1"/>
  <c r="J524" i="4" s="1"/>
  <c r="J525" i="4" s="1"/>
  <c r="J526" i="4" s="1"/>
  <c r="J527" i="4" s="1"/>
  <c r="J528" i="4" s="1"/>
  <c r="J529" i="4" s="1"/>
  <c r="J530" i="4" s="1"/>
  <c r="J531" i="4" s="1"/>
  <c r="J532" i="4" s="1"/>
  <c r="J533" i="4" s="1"/>
  <c r="J534" i="4" s="1"/>
  <c r="J535" i="4" s="1"/>
  <c r="J536" i="4" s="1"/>
  <c r="J537" i="4" s="1"/>
  <c r="J538" i="4" s="1"/>
  <c r="J539" i="4" s="1"/>
  <c r="J540" i="4" s="1"/>
  <c r="J541" i="4" s="1"/>
  <c r="J542" i="4" s="1"/>
  <c r="J543" i="4" s="1"/>
  <c r="J544" i="4" s="1"/>
  <c r="J545" i="4" s="1"/>
  <c r="J546" i="4" s="1"/>
  <c r="J547" i="4" s="1"/>
  <c r="J548" i="4" s="1"/>
  <c r="J549" i="4" s="1"/>
  <c r="J550" i="4" s="1"/>
  <c r="J551" i="4" s="1"/>
  <c r="J552" i="4" s="1"/>
  <c r="J553" i="4" s="1"/>
  <c r="J554" i="4" s="1"/>
  <c r="J555" i="4" s="1"/>
  <c r="J556" i="4" s="1"/>
  <c r="J557" i="4" s="1"/>
  <c r="J558" i="4" s="1"/>
  <c r="J559" i="4" s="1"/>
  <c r="J560" i="4" s="1"/>
  <c r="J561" i="4" s="1"/>
  <c r="J562" i="4" s="1"/>
  <c r="J563" i="4" s="1"/>
  <c r="J564" i="4" s="1"/>
  <c r="J565" i="4" s="1"/>
  <c r="J566" i="4" s="1"/>
  <c r="J567" i="4" s="1"/>
  <c r="J568" i="4" s="1"/>
  <c r="J569" i="4" s="1"/>
  <c r="J570" i="4" s="1"/>
  <c r="J571" i="4" s="1"/>
  <c r="J572" i="4" s="1"/>
  <c r="J573" i="4" s="1"/>
  <c r="J574" i="4" s="1"/>
  <c r="J575" i="4" s="1"/>
  <c r="J576" i="4" s="1"/>
  <c r="J577" i="4" s="1"/>
  <c r="J578" i="4" s="1"/>
  <c r="J579" i="4" s="1"/>
  <c r="J580" i="4" s="1"/>
  <c r="J581" i="4" s="1"/>
  <c r="J582" i="4" s="1"/>
  <c r="J583" i="4" s="1"/>
  <c r="J584" i="4" s="1"/>
  <c r="J585" i="4" s="1"/>
  <c r="J586" i="4" s="1"/>
  <c r="J587" i="4" s="1"/>
  <c r="J588" i="4" s="1"/>
  <c r="J589" i="4" s="1"/>
  <c r="J590" i="4" s="1"/>
  <c r="J591" i="4" s="1"/>
  <c r="J592" i="4" s="1"/>
  <c r="J593" i="4" s="1"/>
  <c r="J594" i="4" s="1"/>
  <c r="J595" i="4" s="1"/>
  <c r="J596" i="4" s="1"/>
  <c r="J597" i="4" s="1"/>
  <c r="J598" i="4" s="1"/>
  <c r="J599" i="4" s="1"/>
  <c r="J600" i="4" s="1"/>
  <c r="J601" i="4" s="1"/>
  <c r="J602" i="4" s="1"/>
  <c r="J603" i="4" s="1"/>
  <c r="J604" i="4" s="1"/>
  <c r="J605" i="4" s="1"/>
  <c r="J606" i="4" s="1"/>
  <c r="J607" i="4" s="1"/>
  <c r="J608" i="4" s="1"/>
  <c r="J609" i="4" s="1"/>
  <c r="J610" i="4" s="1"/>
  <c r="J611" i="4" s="1"/>
  <c r="J612" i="4" s="1"/>
  <c r="J613" i="4" s="1"/>
  <c r="J614" i="4" s="1"/>
  <c r="J615" i="4" s="1"/>
  <c r="J616" i="4" s="1"/>
  <c r="J617" i="4" s="1"/>
  <c r="J618" i="4" s="1"/>
  <c r="J619" i="4" s="1"/>
  <c r="J620" i="4" s="1"/>
  <c r="J621" i="4" s="1"/>
  <c r="J622" i="4" s="1"/>
  <c r="J623" i="4" s="1"/>
  <c r="J624" i="4" s="1"/>
  <c r="J625" i="4" s="1"/>
  <c r="J626" i="4" s="1"/>
  <c r="J627" i="4" s="1"/>
  <c r="J628" i="4" s="1"/>
  <c r="J629" i="4" s="1"/>
  <c r="J630" i="4" s="1"/>
  <c r="J631" i="4" s="1"/>
  <c r="J632" i="4" s="1"/>
  <c r="J633" i="4" s="1"/>
  <c r="J634" i="4" s="1"/>
  <c r="J635" i="4" s="1"/>
  <c r="J636" i="4" s="1"/>
  <c r="J637" i="4" s="1"/>
  <c r="J638" i="4" s="1"/>
  <c r="J639" i="4" s="1"/>
  <c r="J640" i="4" s="1"/>
  <c r="J641" i="4" s="1"/>
  <c r="J642" i="4" s="1"/>
  <c r="J643" i="4" s="1"/>
  <c r="J644" i="4" s="1"/>
  <c r="J645" i="4" s="1"/>
  <c r="J646" i="4" s="1"/>
  <c r="J647" i="4" s="1"/>
  <c r="J648" i="4" s="1"/>
  <c r="J649" i="4" s="1"/>
  <c r="J650" i="4" s="1"/>
  <c r="J651" i="4" s="1"/>
  <c r="J652" i="4" s="1"/>
  <c r="J653" i="4" s="1"/>
  <c r="J654" i="4" s="1"/>
  <c r="J655" i="4" s="1"/>
  <c r="J656" i="4" s="1"/>
  <c r="J657" i="4" s="1"/>
  <c r="J658" i="4" s="1"/>
  <c r="J659" i="4" s="1"/>
  <c r="J660" i="4" s="1"/>
  <c r="J661" i="4" s="1"/>
  <c r="J662" i="4" s="1"/>
  <c r="J663" i="4" s="1"/>
  <c r="J664" i="4" s="1"/>
  <c r="J665" i="4" s="1"/>
  <c r="J666" i="4" s="1"/>
  <c r="J667" i="4" s="1"/>
  <c r="J668" i="4" s="1"/>
  <c r="J669" i="4" s="1"/>
  <c r="J670" i="4" s="1"/>
  <c r="J671" i="4" s="1"/>
  <c r="J672" i="4" s="1"/>
  <c r="J673" i="4" s="1"/>
  <c r="J674" i="4" s="1"/>
  <c r="J675" i="4" s="1"/>
  <c r="J676" i="4" s="1"/>
  <c r="J677" i="4" s="1"/>
  <c r="J678" i="4" s="1"/>
  <c r="J679" i="4" s="1"/>
  <c r="J680" i="4" s="1"/>
  <c r="J681" i="4" s="1"/>
  <c r="J682" i="4" s="1"/>
  <c r="J683" i="4" s="1"/>
  <c r="J684" i="4" s="1"/>
  <c r="J685" i="4" s="1"/>
  <c r="J686" i="4" s="1"/>
  <c r="J687" i="4" s="1"/>
  <c r="J688" i="4" s="1"/>
  <c r="J689" i="4" s="1"/>
  <c r="J690" i="4" s="1"/>
  <c r="J691" i="4" s="1"/>
  <c r="J692" i="4" s="1"/>
  <c r="J693" i="4" s="1"/>
  <c r="J694" i="4" s="1"/>
  <c r="J695" i="4" s="1"/>
  <c r="J696" i="4" s="1"/>
  <c r="J697" i="4" s="1"/>
  <c r="J698" i="4" s="1"/>
  <c r="J699" i="4" s="1"/>
  <c r="J700" i="4" s="1"/>
  <c r="J701" i="4" s="1"/>
  <c r="J702" i="4" s="1"/>
  <c r="J703" i="4" s="1"/>
  <c r="J704" i="4" s="1"/>
  <c r="J705" i="4" s="1"/>
  <c r="J706" i="4" s="1"/>
  <c r="J707" i="4" s="1"/>
  <c r="J708" i="4" s="1"/>
  <c r="J709" i="4" s="1"/>
  <c r="J710" i="4" s="1"/>
  <c r="J711" i="4" s="1"/>
  <c r="J712" i="4" s="1"/>
  <c r="J713" i="4" s="1"/>
  <c r="J714" i="4" s="1"/>
  <c r="J715" i="4" s="1"/>
  <c r="J716" i="4" s="1"/>
  <c r="J717" i="4" s="1"/>
  <c r="J718" i="4" s="1"/>
  <c r="J719" i="4" s="1"/>
  <c r="J720" i="4" s="1"/>
  <c r="J721" i="4" s="1"/>
  <c r="J722" i="4" s="1"/>
  <c r="J723" i="4" s="1"/>
  <c r="J724" i="4" s="1"/>
  <c r="J725" i="4" s="1"/>
  <c r="J726" i="4" s="1"/>
  <c r="J727" i="4" s="1"/>
  <c r="J728" i="4" s="1"/>
  <c r="J729" i="4" s="1"/>
  <c r="J730" i="4" s="1"/>
  <c r="J731" i="4" s="1"/>
  <c r="J732" i="4" s="1"/>
  <c r="J733" i="4" s="1"/>
  <c r="J734" i="4" s="1"/>
  <c r="J735" i="4" s="1"/>
  <c r="J736" i="4" s="1"/>
  <c r="J737" i="4" s="1"/>
  <c r="J738" i="4" s="1"/>
  <c r="J739" i="4" s="1"/>
  <c r="J740" i="4" s="1"/>
  <c r="J741" i="4" s="1"/>
  <c r="J742" i="4" s="1"/>
  <c r="J743" i="4" s="1"/>
  <c r="J744" i="4" s="1"/>
  <c r="J745" i="4" s="1"/>
  <c r="J746" i="4" s="1"/>
  <c r="J747" i="4" s="1"/>
  <c r="J748" i="4" s="1"/>
  <c r="J749" i="4" s="1"/>
  <c r="J750" i="4" s="1"/>
  <c r="J751" i="4" s="1"/>
  <c r="J752" i="4" s="1"/>
  <c r="J753" i="4" s="1"/>
  <c r="J754" i="4" s="1"/>
  <c r="J755" i="4" s="1"/>
  <c r="J756" i="4" s="1"/>
  <c r="J757" i="4" s="1"/>
  <c r="J758" i="4" s="1"/>
  <c r="J759" i="4" s="1"/>
  <c r="J760" i="4" s="1"/>
  <c r="J761" i="4" s="1"/>
  <c r="J762" i="4" s="1"/>
  <c r="J763" i="4" s="1"/>
  <c r="J764" i="4" s="1"/>
  <c r="J765" i="4" s="1"/>
  <c r="J766" i="4" s="1"/>
  <c r="J767" i="4" s="1"/>
  <c r="J768" i="4" s="1"/>
  <c r="J769" i="4" s="1"/>
  <c r="J770" i="4" s="1"/>
  <c r="J771" i="4" s="1"/>
  <c r="J772" i="4" s="1"/>
  <c r="J773" i="4" s="1"/>
  <c r="J774" i="4" s="1"/>
  <c r="J775" i="4" s="1"/>
  <c r="J776" i="4" s="1"/>
  <c r="J777" i="4" s="1"/>
  <c r="J778" i="4" s="1"/>
  <c r="J779" i="4" s="1"/>
  <c r="J780" i="4" s="1"/>
  <c r="J781" i="4" s="1"/>
  <c r="J782" i="4" s="1"/>
  <c r="J783" i="4" s="1"/>
  <c r="J784" i="4" s="1"/>
  <c r="J785" i="4" s="1"/>
  <c r="J786" i="4" s="1"/>
  <c r="J787" i="4" s="1"/>
  <c r="J788" i="4" s="1"/>
  <c r="J789" i="4" s="1"/>
  <c r="J790" i="4" s="1"/>
  <c r="J791" i="4" s="1"/>
  <c r="J792" i="4" s="1"/>
  <c r="J793" i="4" s="1"/>
  <c r="J794" i="4" s="1"/>
  <c r="J795" i="4" s="1"/>
  <c r="J796" i="4" s="1"/>
  <c r="J797" i="4" s="1"/>
  <c r="J798" i="4" s="1"/>
  <c r="J799" i="4" s="1"/>
  <c r="J800" i="4" s="1"/>
  <c r="J801" i="4" s="1"/>
  <c r="J802" i="4" s="1"/>
  <c r="J803" i="4" s="1"/>
  <c r="J804" i="4" s="1"/>
  <c r="J805" i="4" s="1"/>
  <c r="J806" i="4" s="1"/>
  <c r="J807" i="4" s="1"/>
  <c r="J808" i="4" s="1"/>
  <c r="J809" i="4" s="1"/>
  <c r="J810" i="4" s="1"/>
  <c r="J811" i="4" s="1"/>
  <c r="J812" i="4" s="1"/>
  <c r="J813" i="4" s="1"/>
  <c r="J814" i="4" s="1"/>
  <c r="J815" i="4" s="1"/>
  <c r="J816" i="4" s="1"/>
  <c r="J817" i="4" s="1"/>
  <c r="J818" i="4" s="1"/>
  <c r="J819" i="4" s="1"/>
  <c r="J820" i="4" s="1"/>
  <c r="J821" i="4" s="1"/>
  <c r="J822" i="4" s="1"/>
  <c r="J823" i="4" s="1"/>
  <c r="J824" i="4" s="1"/>
  <c r="J825" i="4" s="1"/>
  <c r="J826" i="4" s="1"/>
  <c r="J827" i="4" s="1"/>
  <c r="J828" i="4" s="1"/>
  <c r="J829" i="4" s="1"/>
  <c r="J830" i="4" s="1"/>
  <c r="J831" i="4" s="1"/>
  <c r="J832" i="4" s="1"/>
  <c r="J833" i="4" s="1"/>
  <c r="J834" i="4" s="1"/>
  <c r="J835" i="4" s="1"/>
  <c r="J836" i="4" s="1"/>
  <c r="J837" i="4" s="1"/>
  <c r="J838" i="4" s="1"/>
  <c r="J839" i="4" s="1"/>
  <c r="J840" i="4" s="1"/>
  <c r="J841" i="4" s="1"/>
  <c r="J842" i="4" s="1"/>
  <c r="J843" i="4" s="1"/>
  <c r="J844" i="4" s="1"/>
  <c r="J845" i="4" s="1"/>
  <c r="J846" i="4" s="1"/>
  <c r="J847" i="4" s="1"/>
  <c r="J848" i="4" s="1"/>
  <c r="J849" i="4" s="1"/>
  <c r="J850" i="4" s="1"/>
  <c r="J851" i="4" s="1"/>
  <c r="J852" i="4" s="1"/>
  <c r="J853" i="4" s="1"/>
  <c r="J854" i="4" s="1"/>
  <c r="J855" i="4" s="1"/>
  <c r="J856" i="4" s="1"/>
  <c r="J857" i="4" s="1"/>
  <c r="J858" i="4" s="1"/>
  <c r="J859" i="4" s="1"/>
  <c r="J860" i="4" s="1"/>
  <c r="J861" i="4" s="1"/>
  <c r="J862" i="4" s="1"/>
  <c r="J863" i="4" s="1"/>
  <c r="J864" i="4" s="1"/>
  <c r="J865" i="4" s="1"/>
  <c r="J866" i="4" s="1"/>
  <c r="J867" i="4" s="1"/>
  <c r="J868" i="4" s="1"/>
  <c r="J869" i="4" s="1"/>
  <c r="J870" i="4" s="1"/>
  <c r="J871" i="4" s="1"/>
  <c r="J872" i="4" s="1"/>
  <c r="J873" i="4" s="1"/>
  <c r="J874" i="4" s="1"/>
  <c r="J875" i="4" s="1"/>
  <c r="J876" i="4" s="1"/>
  <c r="J877" i="4" s="1"/>
  <c r="J878" i="4" s="1"/>
  <c r="J879" i="4" s="1"/>
  <c r="J880" i="4" s="1"/>
  <c r="J881" i="4" s="1"/>
  <c r="J882" i="4" s="1"/>
  <c r="J883" i="4" s="1"/>
  <c r="J884" i="4" s="1"/>
  <c r="J885" i="4" s="1"/>
  <c r="J886" i="4" s="1"/>
  <c r="J887" i="4" s="1"/>
  <c r="J888" i="4" s="1"/>
  <c r="J889" i="4" s="1"/>
  <c r="J890" i="4" s="1"/>
  <c r="J891" i="4" s="1"/>
  <c r="J892" i="4" s="1"/>
  <c r="J893" i="4" s="1"/>
  <c r="J894" i="4" s="1"/>
  <c r="J895" i="4" s="1"/>
  <c r="J896" i="4" s="1"/>
  <c r="J897" i="4" s="1"/>
  <c r="J898" i="4" s="1"/>
  <c r="J899" i="4" s="1"/>
  <c r="J900" i="4" s="1"/>
  <c r="J901" i="4" s="1"/>
  <c r="J902" i="4" s="1"/>
  <c r="J903" i="4" s="1"/>
  <c r="J904" i="4" s="1"/>
  <c r="J905" i="4" s="1"/>
  <c r="J906" i="4" s="1"/>
  <c r="J907" i="4" s="1"/>
  <c r="J908" i="4" s="1"/>
  <c r="J909" i="4" s="1"/>
  <c r="J910" i="4" s="1"/>
  <c r="J911" i="4" s="1"/>
  <c r="J912" i="4" s="1"/>
  <c r="J913" i="4" s="1"/>
  <c r="J914" i="4" s="1"/>
  <c r="J915" i="4" s="1"/>
  <c r="J916" i="4" s="1"/>
  <c r="J917" i="4" s="1"/>
  <c r="J918" i="4" s="1"/>
  <c r="J919" i="4" s="1"/>
  <c r="J920" i="4" s="1"/>
  <c r="J921" i="4" s="1"/>
  <c r="J922" i="4" s="1"/>
  <c r="J923" i="4" s="1"/>
  <c r="J924" i="4" s="1"/>
  <c r="J925" i="4" s="1"/>
  <c r="J926" i="4" s="1"/>
  <c r="J927" i="4" s="1"/>
  <c r="J928" i="4" s="1"/>
  <c r="J929" i="4" s="1"/>
  <c r="J930" i="4" s="1"/>
  <c r="J931" i="4" s="1"/>
  <c r="J932" i="4" s="1"/>
  <c r="J933" i="4" s="1"/>
  <c r="J934" i="4" s="1"/>
  <c r="J935" i="4" s="1"/>
  <c r="J936" i="4" s="1"/>
  <c r="J937" i="4" s="1"/>
  <c r="J938" i="4" s="1"/>
  <c r="J939" i="4" s="1"/>
  <c r="J940" i="4" s="1"/>
  <c r="J941" i="4" s="1"/>
  <c r="J942" i="4" s="1"/>
  <c r="J943" i="4" s="1"/>
  <c r="J944" i="4" s="1"/>
  <c r="J945" i="4" s="1"/>
  <c r="J946" i="4" s="1"/>
  <c r="J947" i="4" s="1"/>
  <c r="J948" i="4" s="1"/>
  <c r="J949" i="4" s="1"/>
  <c r="J950" i="4" s="1"/>
  <c r="J951" i="4" s="1"/>
  <c r="J952" i="4" s="1"/>
  <c r="J953" i="4" s="1"/>
  <c r="J954" i="4" s="1"/>
  <c r="J955" i="4" s="1"/>
  <c r="J956" i="4" s="1"/>
  <c r="J957" i="4" s="1"/>
  <c r="J958" i="4" s="1"/>
  <c r="J959" i="4" s="1"/>
  <c r="J960" i="4" s="1"/>
  <c r="J961" i="4" s="1"/>
  <c r="J962" i="4" s="1"/>
  <c r="J963" i="4" s="1"/>
  <c r="J964" i="4" s="1"/>
  <c r="J965" i="4" s="1"/>
  <c r="J966" i="4" s="1"/>
  <c r="J967" i="4" s="1"/>
  <c r="J968" i="4" s="1"/>
  <c r="J969" i="4" s="1"/>
  <c r="J970" i="4" s="1"/>
  <c r="J971" i="4" s="1"/>
  <c r="J972" i="4" s="1"/>
  <c r="J973" i="4" s="1"/>
  <c r="J974" i="4" s="1"/>
  <c r="J975" i="4" s="1"/>
  <c r="J976" i="4" s="1"/>
  <c r="J977" i="4" s="1"/>
  <c r="J978" i="4" s="1"/>
  <c r="J979" i="4" s="1"/>
  <c r="J980" i="4" s="1"/>
  <c r="J981" i="4" s="1"/>
  <c r="J982" i="4" s="1"/>
  <c r="J983" i="4" s="1"/>
  <c r="J984" i="4" s="1"/>
  <c r="J985" i="4" s="1"/>
  <c r="J986" i="4" s="1"/>
  <c r="J987" i="4" s="1"/>
  <c r="J988" i="4" s="1"/>
  <c r="J989" i="4" s="1"/>
  <c r="J990" i="4" s="1"/>
  <c r="J991" i="4" s="1"/>
  <c r="J992" i="4" s="1"/>
  <c r="J993" i="4" s="1"/>
  <c r="J994" i="4" s="1"/>
  <c r="J995" i="4" s="1"/>
  <c r="J996" i="4" s="1"/>
  <c r="J997" i="4" s="1"/>
  <c r="J998" i="4" s="1"/>
  <c r="J999" i="4" s="1"/>
  <c r="J1000" i="4" s="1"/>
  <c r="J1001" i="4" s="1"/>
  <c r="J1002" i="4" s="1"/>
  <c r="J1003" i="4" s="1"/>
  <c r="J1004" i="4" s="1"/>
  <c r="J1005" i="4" s="1"/>
  <c r="J1006" i="4" s="1"/>
  <c r="J1007" i="4" s="1"/>
  <c r="J1008" i="4" s="1"/>
  <c r="J1009" i="4" s="1"/>
  <c r="J1010" i="4" s="1"/>
  <c r="J1011" i="4" s="1"/>
  <c r="J1012" i="4" s="1"/>
  <c r="J1013" i="4" s="1"/>
  <c r="J1014" i="4" s="1"/>
  <c r="J1015" i="4" s="1"/>
  <c r="J1016" i="4" s="1"/>
  <c r="J1017" i="4" s="1"/>
  <c r="J1018" i="4" s="1"/>
  <c r="J1019" i="4" s="1"/>
  <c r="J1020" i="4" s="1"/>
  <c r="J1021" i="4" s="1"/>
  <c r="J1022" i="4" s="1"/>
  <c r="J1023" i="4" s="1"/>
  <c r="J1024" i="4" s="1"/>
  <c r="J1025" i="4" s="1"/>
  <c r="J1026" i="4" s="1"/>
  <c r="J1027" i="4" s="1"/>
  <c r="J1028" i="4" s="1"/>
  <c r="J1029" i="4" s="1"/>
  <c r="J1030" i="4" s="1"/>
  <c r="J1031" i="4" s="1"/>
  <c r="J1032" i="4" s="1"/>
  <c r="J1033" i="4" s="1"/>
  <c r="J1034" i="4" s="1"/>
  <c r="J1035" i="4" s="1"/>
  <c r="J1036" i="4" s="1"/>
  <c r="J1037" i="4" s="1"/>
  <c r="J1038" i="4" s="1"/>
  <c r="J1039" i="4" s="1"/>
  <c r="J1040" i="4" s="1"/>
  <c r="J1041" i="4" s="1"/>
  <c r="J1042" i="4" s="1"/>
  <c r="J1043" i="4" s="1"/>
  <c r="J1044" i="4" s="1"/>
  <c r="J1045" i="4" s="1"/>
  <c r="J1046" i="4" s="1"/>
  <c r="J1047" i="4" s="1"/>
  <c r="J1048" i="4" s="1"/>
  <c r="J1049" i="4" s="1"/>
  <c r="J1050" i="4" s="1"/>
  <c r="J1051" i="4" s="1"/>
  <c r="J1052" i="4" s="1"/>
  <c r="J1053" i="4" s="1"/>
  <c r="J1054" i="4" s="1"/>
  <c r="J1055" i="4" s="1"/>
  <c r="J1056" i="4" s="1"/>
  <c r="J1057" i="4" s="1"/>
  <c r="J1058" i="4" s="1"/>
  <c r="J1059" i="4" s="1"/>
  <c r="J1060" i="4" s="1"/>
  <c r="J1061" i="4" s="1"/>
  <c r="J1062" i="4" s="1"/>
  <c r="J1063" i="4" s="1"/>
  <c r="J1064" i="4" s="1"/>
  <c r="J1065" i="4" s="1"/>
  <c r="J1066" i="4" s="1"/>
  <c r="J1067" i="4" s="1"/>
  <c r="J1068" i="4" s="1"/>
  <c r="J1069" i="4" s="1"/>
  <c r="J1070" i="4" s="1"/>
  <c r="J1071" i="4" s="1"/>
  <c r="J1072" i="4" s="1"/>
  <c r="J1073" i="4" s="1"/>
  <c r="J1074" i="4" s="1"/>
  <c r="J1075" i="4" s="1"/>
  <c r="J1076" i="4" s="1"/>
  <c r="J1077" i="4" s="1"/>
  <c r="J1078" i="4" s="1"/>
  <c r="J1079" i="4" s="1"/>
  <c r="J1080" i="4" s="1"/>
  <c r="J1081" i="4" s="1"/>
  <c r="J1082" i="4" s="1"/>
  <c r="J1083" i="4" s="1"/>
  <c r="J1084" i="4" s="1"/>
  <c r="J1085" i="4" s="1"/>
  <c r="J1086" i="4" s="1"/>
  <c r="J1087" i="4" s="1"/>
  <c r="J1088" i="4" s="1"/>
  <c r="J1089" i="4" s="1"/>
  <c r="J1090" i="4" s="1"/>
  <c r="J1091" i="4" s="1"/>
  <c r="J1092" i="4" s="1"/>
  <c r="J1093" i="4" s="1"/>
  <c r="J1094" i="4" s="1"/>
  <c r="J1095" i="4" s="1"/>
  <c r="J1096" i="4" s="1"/>
  <c r="J1097" i="4" s="1"/>
  <c r="J1098" i="4" s="1"/>
  <c r="J1099" i="4" s="1"/>
  <c r="J1100" i="4" s="1"/>
  <c r="J1101" i="4" s="1"/>
  <c r="J1102" i="4" s="1"/>
  <c r="J1103" i="4" s="1"/>
  <c r="J1104" i="4" s="1"/>
  <c r="J1105" i="4" s="1"/>
  <c r="J1106" i="4" s="1"/>
  <c r="J1107" i="4" s="1"/>
  <c r="J1108" i="4" s="1"/>
  <c r="J1109" i="4" s="1"/>
  <c r="J1110" i="4" s="1"/>
  <c r="J1111" i="4" s="1"/>
  <c r="J1112" i="4" s="1"/>
  <c r="J1113" i="4" s="1"/>
  <c r="J1114" i="4" s="1"/>
  <c r="J1115" i="4" s="1"/>
  <c r="J1116" i="4" s="1"/>
  <c r="J1117" i="4" s="1"/>
  <c r="J1118" i="4" s="1"/>
  <c r="J1119" i="4" s="1"/>
  <c r="J1120" i="4" s="1"/>
  <c r="J1121" i="4" s="1"/>
  <c r="J1122" i="4" s="1"/>
  <c r="J1123" i="4" s="1"/>
  <c r="J1124" i="4" s="1"/>
  <c r="J1125" i="4" s="1"/>
  <c r="J1126" i="4" s="1"/>
  <c r="J1127" i="4" s="1"/>
  <c r="J1128" i="4" s="1"/>
  <c r="J1129" i="4" s="1"/>
  <c r="J1130" i="4" s="1"/>
  <c r="J1131" i="4" s="1"/>
  <c r="J1132" i="4" s="1"/>
  <c r="J1133" i="4" s="1"/>
  <c r="J1134" i="4" s="1"/>
  <c r="J1135" i="4" s="1"/>
  <c r="J1136" i="4" s="1"/>
  <c r="J1137" i="4" s="1"/>
  <c r="J1138" i="4" s="1"/>
  <c r="J1139" i="4" s="1"/>
  <c r="J1140" i="4" s="1"/>
  <c r="J1141" i="4" s="1"/>
  <c r="J1142" i="4" s="1"/>
  <c r="J1143" i="4" s="1"/>
  <c r="J1144" i="4" s="1"/>
  <c r="J1145" i="4" s="1"/>
  <c r="J1146" i="4" s="1"/>
  <c r="J1147" i="4" s="1"/>
  <c r="J1148" i="4" s="1"/>
  <c r="J1149" i="4" s="1"/>
  <c r="J1150" i="4" s="1"/>
  <c r="J1151" i="4" s="1"/>
  <c r="J1152" i="4" s="1"/>
  <c r="J1153" i="4" s="1"/>
  <c r="J1154" i="4" s="1"/>
  <c r="J1155" i="4" s="1"/>
  <c r="J1156" i="4" s="1"/>
  <c r="J1157" i="4" s="1"/>
  <c r="J1158" i="4" s="1"/>
  <c r="J1159" i="4" s="1"/>
  <c r="J1160" i="4" s="1"/>
  <c r="J1161" i="4" s="1"/>
  <c r="J1162" i="4" s="1"/>
  <c r="J1163" i="4" s="1"/>
  <c r="J1164" i="4" s="1"/>
  <c r="J1165" i="4" s="1"/>
  <c r="J1166" i="4" s="1"/>
  <c r="J1167" i="4" s="1"/>
  <c r="J1168" i="4" s="1"/>
  <c r="J1169" i="4" s="1"/>
  <c r="J1170" i="4" s="1"/>
  <c r="J1171" i="4" s="1"/>
  <c r="J1172" i="4" s="1"/>
  <c r="J1173" i="4" s="1"/>
  <c r="J1174" i="4" s="1"/>
  <c r="J1175" i="4" s="1"/>
  <c r="J1176" i="4" s="1"/>
  <c r="J1177" i="4" s="1"/>
  <c r="J1178" i="4" s="1"/>
  <c r="J1179" i="4" s="1"/>
  <c r="J1180" i="4" s="1"/>
  <c r="J1181" i="4" s="1"/>
  <c r="J1182" i="4" s="1"/>
  <c r="J1183" i="4" s="1"/>
  <c r="J1184" i="4" s="1"/>
  <c r="J1185" i="4" s="1"/>
  <c r="J1186" i="4" s="1"/>
  <c r="J1187" i="4" s="1"/>
  <c r="J1188" i="4" s="1"/>
  <c r="J1189" i="4" s="1"/>
  <c r="J1190" i="4" s="1"/>
  <c r="J1191" i="4" s="1"/>
  <c r="J1192" i="4" s="1"/>
  <c r="J1193" i="4" s="1"/>
  <c r="J1194" i="4" s="1"/>
  <c r="J1195" i="4" s="1"/>
  <c r="J1196" i="4" s="1"/>
  <c r="J1197" i="4" s="1"/>
  <c r="J1198" i="4" s="1"/>
  <c r="J1199" i="4" s="1"/>
  <c r="J1200" i="4" s="1"/>
  <c r="J1201" i="4" s="1"/>
  <c r="J1202" i="4" s="1"/>
  <c r="J1203" i="4" s="1"/>
  <c r="J1204" i="4" s="1"/>
  <c r="J1205" i="4" s="1"/>
  <c r="J1206" i="4" s="1"/>
  <c r="J1207" i="4" s="1"/>
  <c r="J1208" i="4" s="1"/>
  <c r="J1209" i="4" s="1"/>
  <c r="J1210" i="4" s="1"/>
  <c r="J1211" i="4" s="1"/>
  <c r="J1212" i="4" s="1"/>
  <c r="J1213" i="4" s="1"/>
  <c r="J1214" i="4" s="1"/>
  <c r="J1215" i="4" s="1"/>
  <c r="J1216" i="4" s="1"/>
  <c r="J1217" i="4" s="1"/>
  <c r="J1218" i="4" s="1"/>
  <c r="J1219" i="4" s="1"/>
  <c r="J1220" i="4" s="1"/>
  <c r="J1221" i="4" s="1"/>
  <c r="J1222" i="4" s="1"/>
  <c r="J1223" i="4" s="1"/>
  <c r="J1224" i="4" s="1"/>
  <c r="J1225" i="4" s="1"/>
  <c r="J1226" i="4" s="1"/>
  <c r="J1227" i="4" s="1"/>
  <c r="J1228" i="4" s="1"/>
  <c r="J1229" i="4" s="1"/>
  <c r="J1230" i="4" s="1"/>
  <c r="J1231" i="4" s="1"/>
  <c r="J1232" i="4" s="1"/>
  <c r="J1233" i="4" s="1"/>
  <c r="J1234" i="4" s="1"/>
  <c r="J1235" i="4" s="1"/>
  <c r="J1236" i="4" s="1"/>
  <c r="J1237" i="4" s="1"/>
  <c r="J1238" i="4" s="1"/>
  <c r="J1239" i="4" s="1"/>
  <c r="J1240" i="4" s="1"/>
  <c r="J1241" i="4" s="1"/>
  <c r="J1242" i="4" s="1"/>
  <c r="J1243" i="4" s="1"/>
  <c r="J1244" i="4" s="1"/>
  <c r="J1245" i="4" s="1"/>
  <c r="J1246" i="4" s="1"/>
  <c r="J1247" i="4" s="1"/>
  <c r="J1248" i="4" s="1"/>
  <c r="J1249" i="4" s="1"/>
  <c r="J1250" i="4" s="1"/>
  <c r="J1251" i="4" s="1"/>
  <c r="J1252" i="4" s="1"/>
  <c r="J1253" i="4" s="1"/>
  <c r="J1254" i="4" s="1"/>
  <c r="J1255" i="4" s="1"/>
  <c r="J1256" i="4" s="1"/>
  <c r="J1257" i="4" s="1"/>
  <c r="J1258" i="4" s="1"/>
  <c r="J1259" i="4" s="1"/>
  <c r="J1260" i="4" s="1"/>
  <c r="J1261" i="4" s="1"/>
  <c r="J1262" i="4" s="1"/>
  <c r="J1263" i="4" s="1"/>
  <c r="J1264" i="4" s="1"/>
  <c r="J1265" i="4" s="1"/>
  <c r="J1266" i="4" s="1"/>
  <c r="J1267" i="4" s="1"/>
  <c r="J1268" i="4" s="1"/>
  <c r="J1269" i="4" s="1"/>
  <c r="J1270" i="4" s="1"/>
  <c r="J1271" i="4" s="1"/>
  <c r="J1272" i="4" s="1"/>
  <c r="J1273" i="4" s="1"/>
  <c r="J1274" i="4" s="1"/>
  <c r="J1275" i="4" s="1"/>
  <c r="J1276" i="4" s="1"/>
  <c r="J1277" i="4" s="1"/>
  <c r="J1278" i="4" s="1"/>
  <c r="J1279" i="4" s="1"/>
  <c r="J1280" i="4" s="1"/>
  <c r="J1281" i="4" s="1"/>
  <c r="J1282" i="4" s="1"/>
  <c r="J1283" i="4" s="1"/>
  <c r="J1284" i="4" s="1"/>
  <c r="J1285" i="4" s="1"/>
  <c r="J1286" i="4" s="1"/>
  <c r="J1287" i="4" s="1"/>
  <c r="J1288" i="4" s="1"/>
  <c r="J1289" i="4" s="1"/>
  <c r="J1290" i="4" s="1"/>
  <c r="J1291" i="4" s="1"/>
  <c r="J1292" i="4" s="1"/>
  <c r="J1293" i="4" s="1"/>
  <c r="J1294" i="4" s="1"/>
  <c r="J1295" i="4" s="1"/>
  <c r="J1296" i="4" s="1"/>
  <c r="J1297" i="4" s="1"/>
  <c r="J1298" i="4" s="1"/>
  <c r="J1299" i="4" s="1"/>
  <c r="J1300" i="4" s="1"/>
  <c r="J1301" i="4" s="1"/>
  <c r="J1302" i="4" s="1"/>
  <c r="J1303" i="4" s="1"/>
  <c r="J1304" i="4" s="1"/>
  <c r="J1305" i="4" s="1"/>
  <c r="J1306" i="4" s="1"/>
  <c r="J1307" i="4" s="1"/>
  <c r="J1308" i="4" s="1"/>
  <c r="J1309" i="4" s="1"/>
  <c r="J1310" i="4" s="1"/>
  <c r="J1311" i="4" s="1"/>
  <c r="J1312" i="4" s="1"/>
  <c r="J1313" i="4" s="1"/>
  <c r="J1314" i="4" s="1"/>
  <c r="J1315" i="4" s="1"/>
  <c r="J1316" i="4" s="1"/>
  <c r="F14" i="4"/>
  <c r="F15" i="4" s="1"/>
  <c r="F14" i="3"/>
  <c r="F15" i="3" s="1"/>
  <c r="J15" i="3"/>
  <c r="J16" i="3" s="1"/>
  <c r="J17" i="3" s="1"/>
  <c r="J18" i="3" s="1"/>
  <c r="J19" i="3" s="1"/>
  <c r="J20" i="3" s="1"/>
  <c r="J21" i="3" s="1"/>
  <c r="J22" i="3" s="1"/>
  <c r="J23" i="3" s="1"/>
  <c r="J24" i="3" s="1"/>
  <c r="J25" i="3" s="1"/>
  <c r="J26" i="3" s="1"/>
  <c r="J27" i="3" s="1"/>
  <c r="J28" i="3" s="1"/>
  <c r="J29" i="3" s="1"/>
  <c r="J30" i="3" s="1"/>
  <c r="J31" i="3" s="1"/>
  <c r="J32" i="3" s="1"/>
  <c r="J33" i="3" s="1"/>
  <c r="J34" i="3" s="1"/>
  <c r="J35" i="3" s="1"/>
  <c r="J36" i="3" s="1"/>
  <c r="J37" i="3" s="1"/>
  <c r="J38" i="3" s="1"/>
  <c r="J39" i="3" s="1"/>
  <c r="J40" i="3" s="1"/>
  <c r="J41" i="3" s="1"/>
  <c r="J42" i="3" s="1"/>
  <c r="J43" i="3" s="1"/>
  <c r="J44" i="3" s="1"/>
  <c r="J45" i="3" s="1"/>
  <c r="J46" i="3" s="1"/>
  <c r="J47" i="3" s="1"/>
  <c r="J48" i="3" s="1"/>
  <c r="J49" i="3" s="1"/>
  <c r="J50" i="3" s="1"/>
  <c r="J51" i="3" s="1"/>
  <c r="J52" i="3" s="1"/>
  <c r="J53" i="3" s="1"/>
  <c r="J54" i="3" s="1"/>
  <c r="J55" i="3" s="1"/>
  <c r="J56" i="3" s="1"/>
  <c r="J57" i="3" s="1"/>
  <c r="J58" i="3" s="1"/>
  <c r="J59" i="3" s="1"/>
  <c r="J60" i="3" s="1"/>
  <c r="J61" i="3" s="1"/>
  <c r="J62" i="3" s="1"/>
  <c r="J63" i="3" s="1"/>
  <c r="J64" i="3" s="1"/>
  <c r="J65" i="3" s="1"/>
  <c r="J66" i="3" s="1"/>
  <c r="J67" i="3" s="1"/>
  <c r="J68" i="3" s="1"/>
  <c r="J69" i="3" s="1"/>
  <c r="J70" i="3" s="1"/>
  <c r="J71" i="3" s="1"/>
  <c r="J72" i="3" s="1"/>
  <c r="J73" i="3" s="1"/>
  <c r="J74" i="3" s="1"/>
  <c r="J75" i="3" s="1"/>
  <c r="J76" i="3" s="1"/>
  <c r="J77" i="3" s="1"/>
  <c r="J78" i="3" s="1"/>
  <c r="J79" i="3" s="1"/>
  <c r="J80" i="3" s="1"/>
  <c r="J81" i="3" s="1"/>
  <c r="J82" i="3" s="1"/>
  <c r="J83" i="3" s="1"/>
  <c r="J84" i="3" s="1"/>
  <c r="J85" i="3" s="1"/>
  <c r="J86" i="3" s="1"/>
  <c r="J87" i="3" s="1"/>
  <c r="J88" i="3" s="1"/>
  <c r="J89" i="3" s="1"/>
  <c r="J90" i="3" s="1"/>
  <c r="J91" i="3" s="1"/>
  <c r="J92" i="3" s="1"/>
  <c r="J93" i="3" s="1"/>
  <c r="J94" i="3" s="1"/>
  <c r="J95" i="3" s="1"/>
  <c r="J96" i="3" s="1"/>
  <c r="J97" i="3" s="1"/>
  <c r="J98" i="3" s="1"/>
  <c r="J99" i="3" s="1"/>
  <c r="J100" i="3" s="1"/>
  <c r="J101" i="3" s="1"/>
  <c r="J102" i="3" s="1"/>
  <c r="J103" i="3" s="1"/>
  <c r="J104" i="3" s="1"/>
  <c r="J105" i="3" s="1"/>
  <c r="J106" i="3" s="1"/>
  <c r="J107" i="3" s="1"/>
  <c r="J108" i="3" s="1"/>
  <c r="J109" i="3" s="1"/>
  <c r="J110" i="3" s="1"/>
  <c r="J111" i="3" s="1"/>
  <c r="J112" i="3" s="1"/>
  <c r="J113" i="3" s="1"/>
  <c r="J114" i="3" s="1"/>
  <c r="J115" i="3" s="1"/>
  <c r="J116" i="3" s="1"/>
  <c r="J117" i="3" s="1"/>
  <c r="J118" i="3" s="1"/>
  <c r="J119" i="3" s="1"/>
  <c r="J120" i="3" s="1"/>
  <c r="J121" i="3" s="1"/>
  <c r="J122" i="3" s="1"/>
  <c r="J123" i="3" s="1"/>
  <c r="J124" i="3" s="1"/>
  <c r="J125" i="3" s="1"/>
  <c r="J126" i="3" s="1"/>
  <c r="J127" i="3" s="1"/>
  <c r="J128" i="3" s="1"/>
  <c r="J129" i="3" s="1"/>
  <c r="J130" i="3" s="1"/>
  <c r="J131" i="3" s="1"/>
  <c r="J132" i="3" s="1"/>
  <c r="J133" i="3" s="1"/>
  <c r="J134" i="3" s="1"/>
  <c r="J135" i="3" s="1"/>
  <c r="J136" i="3" s="1"/>
  <c r="J137" i="3" s="1"/>
  <c r="J138" i="3" s="1"/>
  <c r="J139" i="3" s="1"/>
  <c r="J140" i="3" s="1"/>
  <c r="J141" i="3" s="1"/>
  <c r="J142" i="3" s="1"/>
  <c r="J143" i="3" s="1"/>
  <c r="J144" i="3" s="1"/>
  <c r="J145" i="3" s="1"/>
  <c r="J146" i="3" s="1"/>
  <c r="J147" i="3" s="1"/>
  <c r="J148" i="3" s="1"/>
  <c r="J149" i="3" s="1"/>
  <c r="J150" i="3" s="1"/>
  <c r="J151" i="3" s="1"/>
  <c r="J152" i="3" s="1"/>
  <c r="J153" i="3" s="1"/>
  <c r="J154" i="3" s="1"/>
  <c r="J155" i="3" s="1"/>
  <c r="J156" i="3" s="1"/>
  <c r="J157" i="3" s="1"/>
  <c r="J158" i="3" s="1"/>
  <c r="J159" i="3" s="1"/>
  <c r="J160" i="3" s="1"/>
  <c r="J161" i="3" s="1"/>
  <c r="J162" i="3" s="1"/>
  <c r="J163" i="3" s="1"/>
  <c r="J164" i="3" s="1"/>
  <c r="J165" i="3" s="1"/>
  <c r="J166" i="3" s="1"/>
  <c r="J167" i="3" s="1"/>
  <c r="J168" i="3" s="1"/>
  <c r="J169" i="3" s="1"/>
  <c r="J170" i="3" s="1"/>
  <c r="J171" i="3" s="1"/>
  <c r="J172" i="3" s="1"/>
  <c r="J173" i="3" s="1"/>
  <c r="J174" i="3" s="1"/>
  <c r="J175" i="3" s="1"/>
  <c r="J176" i="3" s="1"/>
  <c r="J177" i="3" s="1"/>
  <c r="J178" i="3" s="1"/>
  <c r="J179" i="3" s="1"/>
  <c r="J180" i="3" s="1"/>
  <c r="J181" i="3" s="1"/>
  <c r="J182" i="3" s="1"/>
  <c r="J183" i="3" s="1"/>
  <c r="J184" i="3" s="1"/>
  <c r="J185" i="3" s="1"/>
  <c r="J186" i="3" s="1"/>
  <c r="J187" i="3" s="1"/>
  <c r="J188" i="3" s="1"/>
  <c r="J189" i="3" s="1"/>
  <c r="J190" i="3" s="1"/>
  <c r="J191" i="3" s="1"/>
  <c r="J192" i="3" s="1"/>
  <c r="J193" i="3" s="1"/>
  <c r="J194" i="3" s="1"/>
  <c r="J195" i="3" s="1"/>
  <c r="J196" i="3" s="1"/>
  <c r="J197" i="3" s="1"/>
  <c r="J198" i="3" s="1"/>
  <c r="J199" i="3" s="1"/>
  <c r="J200" i="3" s="1"/>
  <c r="J201" i="3" s="1"/>
  <c r="J202" i="3" s="1"/>
  <c r="J203" i="3" s="1"/>
  <c r="J204" i="3" s="1"/>
  <c r="J205" i="3" s="1"/>
  <c r="J206" i="3" s="1"/>
  <c r="J207" i="3" s="1"/>
  <c r="J208" i="3" s="1"/>
  <c r="J209" i="3" s="1"/>
  <c r="J210" i="3" s="1"/>
  <c r="J211" i="3" s="1"/>
  <c r="J212" i="3" s="1"/>
  <c r="J213" i="3" s="1"/>
  <c r="J214" i="3" s="1"/>
  <c r="J215" i="3" s="1"/>
  <c r="J216" i="3" s="1"/>
  <c r="J217" i="3" s="1"/>
  <c r="J218" i="3" s="1"/>
  <c r="J219" i="3" s="1"/>
  <c r="J220" i="3" s="1"/>
  <c r="J221" i="3" s="1"/>
  <c r="J222" i="3" s="1"/>
  <c r="J223" i="3" s="1"/>
  <c r="J224" i="3" s="1"/>
  <c r="J225" i="3" s="1"/>
  <c r="J226" i="3" s="1"/>
  <c r="J227" i="3" s="1"/>
  <c r="J228" i="3" s="1"/>
  <c r="J229" i="3" s="1"/>
  <c r="J230" i="3" s="1"/>
  <c r="J231" i="3" s="1"/>
  <c r="J232" i="3" s="1"/>
  <c r="J233" i="3" s="1"/>
  <c r="J234" i="3" s="1"/>
  <c r="J235" i="3" s="1"/>
  <c r="J236" i="3" s="1"/>
  <c r="J237" i="3" s="1"/>
  <c r="J238" i="3" s="1"/>
  <c r="J239" i="3" s="1"/>
  <c r="J240" i="3" s="1"/>
  <c r="J241" i="3" s="1"/>
  <c r="J242" i="3" s="1"/>
  <c r="J243" i="3" s="1"/>
  <c r="J244" i="3" s="1"/>
  <c r="J245" i="3" s="1"/>
  <c r="J246" i="3" s="1"/>
  <c r="J247" i="3" s="1"/>
  <c r="J248" i="3" s="1"/>
  <c r="J249" i="3" s="1"/>
  <c r="J250" i="3" s="1"/>
  <c r="J251" i="3" s="1"/>
  <c r="J252" i="3" s="1"/>
  <c r="J253" i="3" s="1"/>
  <c r="J254" i="3" s="1"/>
  <c r="J255" i="3" s="1"/>
  <c r="J256" i="3" s="1"/>
  <c r="J257" i="3" s="1"/>
  <c r="J258" i="3" s="1"/>
  <c r="J259" i="3" s="1"/>
  <c r="J260" i="3" s="1"/>
  <c r="J261" i="3" s="1"/>
  <c r="J262" i="3" s="1"/>
  <c r="J263" i="3" s="1"/>
  <c r="J264" i="3" s="1"/>
  <c r="J265" i="3" s="1"/>
  <c r="J266" i="3" s="1"/>
  <c r="J267" i="3" s="1"/>
  <c r="J268" i="3" s="1"/>
  <c r="J269" i="3" s="1"/>
  <c r="J270" i="3" s="1"/>
  <c r="J271" i="3" s="1"/>
  <c r="J272" i="3" s="1"/>
  <c r="J273" i="3" s="1"/>
  <c r="J274" i="3" s="1"/>
  <c r="J275" i="3" s="1"/>
  <c r="J276" i="3" s="1"/>
  <c r="J277" i="3" s="1"/>
  <c r="J278" i="3" s="1"/>
  <c r="J279" i="3" s="1"/>
  <c r="J280" i="3" s="1"/>
  <c r="J281" i="3" s="1"/>
  <c r="J282" i="3" s="1"/>
  <c r="J283" i="3" s="1"/>
  <c r="J284" i="3" s="1"/>
  <c r="J285" i="3" s="1"/>
  <c r="J286" i="3" s="1"/>
  <c r="J287" i="3" s="1"/>
  <c r="J288" i="3" s="1"/>
  <c r="J289" i="3" s="1"/>
  <c r="J290" i="3" s="1"/>
  <c r="J291" i="3" s="1"/>
  <c r="J292" i="3" s="1"/>
  <c r="J293" i="3" s="1"/>
  <c r="J294" i="3" s="1"/>
  <c r="J295" i="3" s="1"/>
  <c r="J296" i="3" s="1"/>
  <c r="J297" i="3" s="1"/>
  <c r="J298" i="3" s="1"/>
  <c r="J299" i="3" s="1"/>
  <c r="J300" i="3" s="1"/>
  <c r="J301" i="3" s="1"/>
  <c r="J302" i="3" s="1"/>
  <c r="J303" i="3" s="1"/>
  <c r="J304" i="3" s="1"/>
  <c r="J305" i="3" s="1"/>
  <c r="J306" i="3" s="1"/>
  <c r="J307" i="3" s="1"/>
  <c r="J308" i="3" s="1"/>
  <c r="J309" i="3" s="1"/>
  <c r="J310" i="3" s="1"/>
  <c r="J311" i="3" s="1"/>
  <c r="J312" i="3" s="1"/>
  <c r="J313" i="3" s="1"/>
  <c r="J314" i="3" s="1"/>
  <c r="J315" i="3" s="1"/>
  <c r="J316" i="3" s="1"/>
  <c r="J317" i="3" s="1"/>
  <c r="J318" i="3" s="1"/>
  <c r="J319" i="3" s="1"/>
  <c r="J320" i="3" s="1"/>
  <c r="J321" i="3" s="1"/>
  <c r="J322" i="3" s="1"/>
  <c r="J323" i="3" s="1"/>
  <c r="J324" i="3" s="1"/>
  <c r="J325" i="3" s="1"/>
  <c r="J326" i="3" s="1"/>
  <c r="J327" i="3" s="1"/>
  <c r="J328" i="3" s="1"/>
  <c r="J329" i="3" s="1"/>
  <c r="J330" i="3" s="1"/>
  <c r="J331" i="3" s="1"/>
  <c r="J332" i="3" s="1"/>
  <c r="J333" i="3" s="1"/>
  <c r="J334" i="3" s="1"/>
  <c r="J335" i="3" s="1"/>
  <c r="J336" i="3" s="1"/>
  <c r="J337" i="3" s="1"/>
  <c r="J338" i="3" s="1"/>
  <c r="J339" i="3" s="1"/>
  <c r="J340" i="3" s="1"/>
  <c r="J341" i="3" s="1"/>
  <c r="J342" i="3" s="1"/>
  <c r="J343" i="3" s="1"/>
  <c r="J344" i="3" s="1"/>
  <c r="J345" i="3" s="1"/>
  <c r="J346" i="3" s="1"/>
  <c r="J347" i="3" s="1"/>
  <c r="J348" i="3" s="1"/>
  <c r="J349" i="3" s="1"/>
  <c r="J350" i="3" s="1"/>
  <c r="J351" i="3" s="1"/>
  <c r="J352" i="3" s="1"/>
  <c r="J353" i="3" s="1"/>
  <c r="J354" i="3" s="1"/>
  <c r="J355" i="3" s="1"/>
  <c r="J356" i="3" s="1"/>
  <c r="J357" i="3" s="1"/>
  <c r="J358" i="3" s="1"/>
  <c r="J359" i="3" s="1"/>
  <c r="J360" i="3" s="1"/>
  <c r="J361" i="3" s="1"/>
  <c r="J362" i="3" s="1"/>
  <c r="J363" i="3" s="1"/>
  <c r="J364" i="3" s="1"/>
  <c r="J365" i="3" s="1"/>
  <c r="J366" i="3" s="1"/>
  <c r="J367" i="3" s="1"/>
  <c r="J368" i="3" s="1"/>
  <c r="J369" i="3" s="1"/>
  <c r="J370" i="3" s="1"/>
  <c r="J371" i="3" s="1"/>
  <c r="J372" i="3" s="1"/>
  <c r="J373" i="3" s="1"/>
  <c r="J374" i="3" s="1"/>
  <c r="J375" i="3" s="1"/>
  <c r="J376" i="3" s="1"/>
  <c r="J377" i="3" s="1"/>
  <c r="J378" i="3" s="1"/>
  <c r="J379" i="3" s="1"/>
  <c r="J380" i="3" s="1"/>
  <c r="J381" i="3" s="1"/>
  <c r="J382" i="3" s="1"/>
  <c r="J383" i="3" s="1"/>
  <c r="J384" i="3" s="1"/>
  <c r="J385" i="3" s="1"/>
  <c r="J386" i="3" s="1"/>
  <c r="J387" i="3" s="1"/>
  <c r="J388" i="3" s="1"/>
  <c r="J389" i="3" s="1"/>
  <c r="J390" i="3" s="1"/>
  <c r="J391" i="3" s="1"/>
  <c r="J392" i="3" s="1"/>
  <c r="J393" i="3" s="1"/>
  <c r="J394" i="3" s="1"/>
  <c r="J395" i="3" s="1"/>
  <c r="J396" i="3" s="1"/>
  <c r="J397" i="3" s="1"/>
  <c r="J398" i="3" s="1"/>
  <c r="J399" i="3" s="1"/>
  <c r="J400" i="3" s="1"/>
  <c r="J401" i="3" s="1"/>
  <c r="J402" i="3" s="1"/>
  <c r="J403" i="3" s="1"/>
  <c r="J404" i="3" s="1"/>
  <c r="J405" i="3" s="1"/>
  <c r="J406" i="3" s="1"/>
  <c r="J407" i="3" s="1"/>
  <c r="J408" i="3" s="1"/>
  <c r="J409" i="3" s="1"/>
  <c r="J410" i="3" s="1"/>
  <c r="J411" i="3" s="1"/>
  <c r="J412" i="3" s="1"/>
  <c r="J413" i="3" s="1"/>
  <c r="J414" i="3" s="1"/>
  <c r="J415" i="3" s="1"/>
  <c r="J416" i="3" s="1"/>
  <c r="J417" i="3" s="1"/>
  <c r="J418" i="3" s="1"/>
  <c r="J419" i="3" s="1"/>
  <c r="J420" i="3" s="1"/>
  <c r="J421" i="3" s="1"/>
  <c r="J422" i="3" s="1"/>
  <c r="J423" i="3" s="1"/>
  <c r="J424" i="3" s="1"/>
  <c r="J425" i="3" s="1"/>
  <c r="J426" i="3" s="1"/>
  <c r="J427" i="3" s="1"/>
  <c r="J428" i="3" s="1"/>
  <c r="J429" i="3" s="1"/>
  <c r="J430" i="3" s="1"/>
  <c r="J431" i="3" s="1"/>
  <c r="J432" i="3" s="1"/>
  <c r="J433" i="3" s="1"/>
  <c r="J434" i="3" s="1"/>
  <c r="J435" i="3" s="1"/>
  <c r="J436" i="3" s="1"/>
  <c r="J437" i="3" s="1"/>
  <c r="J438" i="3" s="1"/>
  <c r="J439" i="3" s="1"/>
  <c r="J440" i="3" s="1"/>
  <c r="J441" i="3" s="1"/>
  <c r="J442" i="3" s="1"/>
  <c r="J443" i="3" s="1"/>
  <c r="J444" i="3" s="1"/>
  <c r="J445" i="3" s="1"/>
  <c r="J446" i="3" s="1"/>
  <c r="J447" i="3" s="1"/>
  <c r="J448" i="3" s="1"/>
  <c r="J449" i="3" s="1"/>
  <c r="J450" i="3" s="1"/>
  <c r="J451" i="3" s="1"/>
  <c r="J452" i="3" s="1"/>
  <c r="J453" i="3" s="1"/>
  <c r="J454" i="3" s="1"/>
  <c r="J455" i="3" s="1"/>
  <c r="J456" i="3" s="1"/>
  <c r="J457" i="3" s="1"/>
  <c r="J458" i="3" s="1"/>
  <c r="J459" i="3" s="1"/>
  <c r="J460" i="3" s="1"/>
  <c r="J461" i="3" s="1"/>
  <c r="J462" i="3" s="1"/>
  <c r="J463" i="3" s="1"/>
  <c r="J464" i="3" s="1"/>
  <c r="J465" i="3" s="1"/>
  <c r="J466" i="3" s="1"/>
  <c r="J467" i="3" s="1"/>
  <c r="J468" i="3" s="1"/>
  <c r="J469" i="3" s="1"/>
  <c r="J470" i="3" s="1"/>
  <c r="J471" i="3" s="1"/>
  <c r="J472" i="3" s="1"/>
  <c r="J473" i="3" s="1"/>
  <c r="J474" i="3" s="1"/>
  <c r="J475" i="3" s="1"/>
  <c r="J476" i="3" s="1"/>
  <c r="J477" i="3" s="1"/>
  <c r="J478" i="3" s="1"/>
  <c r="J479" i="3" s="1"/>
  <c r="J480" i="3" s="1"/>
  <c r="J481" i="3" s="1"/>
  <c r="J482" i="3" s="1"/>
  <c r="J483" i="3" s="1"/>
  <c r="J484" i="3" s="1"/>
  <c r="J485" i="3" s="1"/>
  <c r="J486" i="3" s="1"/>
  <c r="J487" i="3" s="1"/>
  <c r="J488" i="3" s="1"/>
  <c r="J489" i="3" s="1"/>
  <c r="J490" i="3" s="1"/>
  <c r="J491" i="3" s="1"/>
  <c r="J492" i="3" s="1"/>
  <c r="J493" i="3" s="1"/>
  <c r="J494" i="3" s="1"/>
  <c r="J495" i="3" s="1"/>
  <c r="J496" i="3" s="1"/>
  <c r="J497" i="3" s="1"/>
  <c r="J498" i="3" s="1"/>
  <c r="J499" i="3" s="1"/>
  <c r="J500" i="3" s="1"/>
  <c r="J501" i="3" s="1"/>
  <c r="J502" i="3" s="1"/>
  <c r="J503" i="3" s="1"/>
  <c r="J504" i="3" s="1"/>
  <c r="J505" i="3" s="1"/>
  <c r="J506" i="3" s="1"/>
  <c r="J507" i="3" s="1"/>
  <c r="J508" i="3" s="1"/>
  <c r="J509" i="3" s="1"/>
  <c r="J510" i="3" s="1"/>
  <c r="J511" i="3" s="1"/>
  <c r="J512" i="3" s="1"/>
  <c r="J513" i="3" s="1"/>
  <c r="J514" i="3" s="1"/>
  <c r="J515" i="3" s="1"/>
  <c r="J516" i="3" s="1"/>
  <c r="J517" i="3" s="1"/>
  <c r="J518" i="3" s="1"/>
  <c r="J519" i="3" s="1"/>
  <c r="J520" i="3" s="1"/>
  <c r="J521" i="3" s="1"/>
  <c r="J522" i="3" s="1"/>
  <c r="J523" i="3" s="1"/>
  <c r="J524" i="3" s="1"/>
  <c r="J525" i="3" s="1"/>
  <c r="J526" i="3" s="1"/>
  <c r="J527" i="3" s="1"/>
  <c r="J528" i="3" s="1"/>
  <c r="J529" i="3" s="1"/>
  <c r="J530" i="3" s="1"/>
  <c r="J531" i="3" s="1"/>
  <c r="J532" i="3" s="1"/>
  <c r="J533" i="3" s="1"/>
  <c r="J534" i="3" s="1"/>
  <c r="J535" i="3" s="1"/>
  <c r="J536" i="3" s="1"/>
  <c r="J537" i="3" s="1"/>
  <c r="J538" i="3" s="1"/>
  <c r="J539" i="3" s="1"/>
  <c r="J540" i="3" s="1"/>
  <c r="J541" i="3" s="1"/>
  <c r="J542" i="3" s="1"/>
  <c r="J543" i="3" s="1"/>
  <c r="J544" i="3" s="1"/>
  <c r="J545" i="3" s="1"/>
  <c r="J546" i="3" s="1"/>
  <c r="J547" i="3" s="1"/>
  <c r="J548" i="3" s="1"/>
  <c r="J549" i="3" s="1"/>
  <c r="J550" i="3" s="1"/>
  <c r="J551" i="3" s="1"/>
  <c r="J552" i="3" s="1"/>
  <c r="J553" i="3" s="1"/>
  <c r="J554" i="3" s="1"/>
  <c r="J555" i="3" s="1"/>
  <c r="J556" i="3" s="1"/>
  <c r="J557" i="3" s="1"/>
  <c r="J558" i="3" s="1"/>
  <c r="J559" i="3" s="1"/>
  <c r="J560" i="3" s="1"/>
  <c r="J561" i="3" s="1"/>
  <c r="J562" i="3" s="1"/>
  <c r="J563" i="3" s="1"/>
  <c r="J564" i="3" s="1"/>
  <c r="J565" i="3" s="1"/>
  <c r="J566" i="3" s="1"/>
  <c r="J567" i="3" s="1"/>
  <c r="J568" i="3" s="1"/>
  <c r="J569" i="3" s="1"/>
  <c r="J570" i="3" s="1"/>
  <c r="J571" i="3" s="1"/>
  <c r="J572" i="3" s="1"/>
  <c r="J573" i="3" s="1"/>
  <c r="J574" i="3" s="1"/>
  <c r="J575" i="3" s="1"/>
  <c r="J576" i="3" s="1"/>
  <c r="J577" i="3" s="1"/>
  <c r="J578" i="3" s="1"/>
  <c r="J579" i="3" s="1"/>
  <c r="J580" i="3" s="1"/>
  <c r="J581" i="3" s="1"/>
  <c r="J582" i="3" s="1"/>
  <c r="J583" i="3" s="1"/>
  <c r="J584" i="3" s="1"/>
  <c r="J585" i="3" s="1"/>
  <c r="J586" i="3" s="1"/>
  <c r="J587" i="3" s="1"/>
  <c r="J588" i="3" s="1"/>
  <c r="J589" i="3" s="1"/>
  <c r="J590" i="3" s="1"/>
  <c r="J591" i="3" s="1"/>
  <c r="J592" i="3" s="1"/>
  <c r="J593" i="3" s="1"/>
  <c r="J594" i="3" s="1"/>
  <c r="J595" i="3" s="1"/>
  <c r="J596" i="3" s="1"/>
  <c r="J597" i="3" s="1"/>
  <c r="J598" i="3" s="1"/>
  <c r="J599" i="3" s="1"/>
  <c r="J600" i="3" s="1"/>
  <c r="J601" i="3" s="1"/>
  <c r="J602" i="3" s="1"/>
  <c r="J603" i="3" s="1"/>
  <c r="J604" i="3" s="1"/>
  <c r="J605" i="3" s="1"/>
  <c r="J606" i="3" s="1"/>
  <c r="J607" i="3" s="1"/>
  <c r="J608" i="3" s="1"/>
  <c r="J609" i="3" s="1"/>
  <c r="J610" i="3" s="1"/>
  <c r="J611" i="3" s="1"/>
  <c r="J612" i="3" s="1"/>
  <c r="J613" i="3" s="1"/>
  <c r="J614" i="3" s="1"/>
  <c r="J615" i="3" s="1"/>
  <c r="J616" i="3" s="1"/>
  <c r="J617" i="3" s="1"/>
  <c r="J618" i="3" s="1"/>
  <c r="J619" i="3" s="1"/>
  <c r="J620" i="3" s="1"/>
  <c r="J621" i="3" s="1"/>
  <c r="J622" i="3" s="1"/>
  <c r="J623" i="3" s="1"/>
  <c r="J624" i="3" s="1"/>
  <c r="J625" i="3" s="1"/>
  <c r="J626" i="3" s="1"/>
  <c r="J627" i="3" s="1"/>
  <c r="J628" i="3" s="1"/>
  <c r="J629" i="3" s="1"/>
  <c r="J630" i="3" s="1"/>
  <c r="J631" i="3" s="1"/>
  <c r="J632" i="3" s="1"/>
  <c r="J633" i="3" s="1"/>
  <c r="J634" i="3" s="1"/>
  <c r="J635" i="3" s="1"/>
  <c r="J636" i="3" s="1"/>
  <c r="J637" i="3" s="1"/>
  <c r="J638" i="3" s="1"/>
  <c r="J639" i="3" s="1"/>
  <c r="J640" i="3" s="1"/>
  <c r="J641" i="3" s="1"/>
  <c r="J642" i="3" s="1"/>
  <c r="J643" i="3" s="1"/>
  <c r="J644" i="3" s="1"/>
  <c r="J645" i="3" s="1"/>
  <c r="J646" i="3" s="1"/>
  <c r="J647" i="3" s="1"/>
  <c r="J648" i="3" s="1"/>
  <c r="J649" i="3" s="1"/>
  <c r="J650" i="3" s="1"/>
  <c r="J651" i="3" s="1"/>
  <c r="J652" i="3" s="1"/>
  <c r="J653" i="3" s="1"/>
  <c r="J654" i="3" s="1"/>
  <c r="J655" i="3" s="1"/>
  <c r="J656" i="3" s="1"/>
  <c r="J657" i="3" s="1"/>
  <c r="J658" i="3" s="1"/>
  <c r="J659" i="3" s="1"/>
  <c r="J660" i="3" s="1"/>
  <c r="J661" i="3" s="1"/>
  <c r="J662" i="3" s="1"/>
  <c r="J663" i="3" s="1"/>
  <c r="J664" i="3" s="1"/>
  <c r="J665" i="3" s="1"/>
  <c r="J666" i="3" s="1"/>
  <c r="J667" i="3" s="1"/>
  <c r="J668" i="3" s="1"/>
  <c r="J669" i="3" s="1"/>
  <c r="J670" i="3" s="1"/>
  <c r="J671" i="3" s="1"/>
  <c r="J672" i="3" s="1"/>
  <c r="J673" i="3" s="1"/>
  <c r="J674" i="3" s="1"/>
  <c r="J675" i="3" s="1"/>
  <c r="J676" i="3" s="1"/>
  <c r="J677" i="3" s="1"/>
  <c r="J678" i="3" s="1"/>
  <c r="J679" i="3" s="1"/>
  <c r="J680" i="3" s="1"/>
  <c r="J681" i="3" s="1"/>
  <c r="J682" i="3" s="1"/>
  <c r="J683" i="3" s="1"/>
  <c r="J684" i="3" s="1"/>
  <c r="J685" i="3" s="1"/>
  <c r="J686" i="3" s="1"/>
  <c r="J687" i="3" s="1"/>
  <c r="J688" i="3" s="1"/>
  <c r="J689" i="3" s="1"/>
  <c r="J690" i="3" s="1"/>
  <c r="J691" i="3" s="1"/>
  <c r="J692" i="3" s="1"/>
  <c r="J693" i="3" s="1"/>
  <c r="J694" i="3" s="1"/>
  <c r="J695" i="3" s="1"/>
  <c r="J696" i="3" s="1"/>
  <c r="J697" i="3" s="1"/>
  <c r="J698" i="3" s="1"/>
  <c r="J699" i="3" s="1"/>
  <c r="J700" i="3" s="1"/>
  <c r="J701" i="3" s="1"/>
  <c r="J702" i="3" s="1"/>
  <c r="J703" i="3" s="1"/>
  <c r="J704" i="3" s="1"/>
  <c r="J705" i="3" s="1"/>
  <c r="J706" i="3" s="1"/>
  <c r="J707" i="3" s="1"/>
  <c r="J708" i="3" s="1"/>
  <c r="J709" i="3" s="1"/>
  <c r="J710" i="3" s="1"/>
  <c r="J711" i="3" s="1"/>
  <c r="J712" i="3" s="1"/>
  <c r="J713" i="3" s="1"/>
  <c r="J714" i="3" s="1"/>
  <c r="J715" i="3" s="1"/>
  <c r="J716" i="3" s="1"/>
  <c r="J717" i="3" s="1"/>
  <c r="J718" i="3" s="1"/>
  <c r="J719" i="3" s="1"/>
  <c r="J720" i="3" s="1"/>
  <c r="J721" i="3" s="1"/>
  <c r="J722" i="3" s="1"/>
  <c r="J723" i="3" s="1"/>
  <c r="J724" i="3" s="1"/>
  <c r="J725" i="3" s="1"/>
  <c r="J726" i="3" s="1"/>
  <c r="J727" i="3" s="1"/>
  <c r="J728" i="3" s="1"/>
  <c r="J729" i="3" s="1"/>
  <c r="J730" i="3" s="1"/>
  <c r="J731" i="3" s="1"/>
  <c r="J732" i="3" s="1"/>
  <c r="J733" i="3" s="1"/>
  <c r="J734" i="3" s="1"/>
  <c r="J735" i="3" s="1"/>
  <c r="J736" i="3" s="1"/>
  <c r="J737" i="3" s="1"/>
  <c r="J738" i="3" s="1"/>
  <c r="J739" i="3" s="1"/>
  <c r="J740" i="3" s="1"/>
  <c r="J741" i="3" s="1"/>
  <c r="J742" i="3" s="1"/>
  <c r="J743" i="3" s="1"/>
  <c r="J744" i="3" s="1"/>
  <c r="J745" i="3" s="1"/>
  <c r="J746" i="3" s="1"/>
  <c r="J747" i="3" s="1"/>
  <c r="J748" i="3" s="1"/>
  <c r="J749" i="3" s="1"/>
  <c r="J750" i="3" s="1"/>
  <c r="J751" i="3" s="1"/>
  <c r="J752" i="3" s="1"/>
  <c r="J753" i="3" s="1"/>
  <c r="J754" i="3" s="1"/>
  <c r="J755" i="3" s="1"/>
  <c r="J756" i="3" s="1"/>
  <c r="J757" i="3" s="1"/>
  <c r="J758" i="3" s="1"/>
  <c r="J759" i="3" s="1"/>
  <c r="J760" i="3" s="1"/>
  <c r="J761" i="3" s="1"/>
  <c r="J762" i="3" s="1"/>
  <c r="J763" i="3" s="1"/>
  <c r="J764" i="3" s="1"/>
  <c r="J765" i="3" s="1"/>
  <c r="J766" i="3" s="1"/>
  <c r="J767" i="3" s="1"/>
  <c r="J768" i="3" s="1"/>
  <c r="J769" i="3" s="1"/>
  <c r="J770" i="3" s="1"/>
  <c r="J771" i="3" s="1"/>
  <c r="J772" i="3" s="1"/>
  <c r="J773" i="3" s="1"/>
  <c r="J774" i="3" s="1"/>
  <c r="J775" i="3" s="1"/>
  <c r="J776" i="3" s="1"/>
  <c r="J777" i="3" s="1"/>
  <c r="J778" i="3" s="1"/>
  <c r="J779" i="3" s="1"/>
  <c r="J780" i="3" s="1"/>
  <c r="J781" i="3" s="1"/>
  <c r="J782" i="3" s="1"/>
  <c r="J783" i="3" s="1"/>
  <c r="J784" i="3" s="1"/>
  <c r="J785" i="3" s="1"/>
  <c r="J786" i="3" s="1"/>
  <c r="J787" i="3" s="1"/>
  <c r="J788" i="3" s="1"/>
  <c r="J789" i="3" s="1"/>
  <c r="J790" i="3" s="1"/>
  <c r="J791" i="3" s="1"/>
  <c r="J792" i="3" s="1"/>
  <c r="J793" i="3" s="1"/>
  <c r="J794" i="3" s="1"/>
  <c r="J795" i="3" s="1"/>
  <c r="J796" i="3" s="1"/>
  <c r="J797" i="3" s="1"/>
  <c r="J798" i="3" s="1"/>
  <c r="J799" i="3" s="1"/>
  <c r="J800" i="3" s="1"/>
  <c r="J801" i="3" s="1"/>
  <c r="J802" i="3" s="1"/>
  <c r="J803" i="3" s="1"/>
  <c r="J804" i="3" s="1"/>
  <c r="J805" i="3" s="1"/>
  <c r="J806" i="3" s="1"/>
  <c r="J807" i="3" s="1"/>
  <c r="J808" i="3" s="1"/>
  <c r="J809" i="3" s="1"/>
  <c r="J810" i="3" s="1"/>
  <c r="J811" i="3" s="1"/>
  <c r="J812" i="3" s="1"/>
  <c r="J813" i="3" s="1"/>
  <c r="J814" i="3" s="1"/>
  <c r="J815" i="3" s="1"/>
  <c r="J816" i="3" s="1"/>
  <c r="J817" i="3" s="1"/>
  <c r="J818" i="3" s="1"/>
  <c r="J819" i="3" s="1"/>
  <c r="J820" i="3" s="1"/>
  <c r="J821" i="3" s="1"/>
  <c r="J822" i="3" s="1"/>
  <c r="J823" i="3" s="1"/>
  <c r="J824" i="3" s="1"/>
  <c r="J825" i="3" s="1"/>
  <c r="J826" i="3" s="1"/>
  <c r="J827" i="3" s="1"/>
  <c r="J828" i="3" s="1"/>
  <c r="J829" i="3" s="1"/>
  <c r="J830" i="3" s="1"/>
  <c r="J831" i="3" s="1"/>
  <c r="J832" i="3" s="1"/>
  <c r="J833" i="3" s="1"/>
  <c r="J834" i="3" s="1"/>
  <c r="J835" i="3" s="1"/>
  <c r="J836" i="3" s="1"/>
  <c r="J837" i="3" s="1"/>
  <c r="J838" i="3" s="1"/>
  <c r="J839" i="3" s="1"/>
  <c r="J840" i="3" s="1"/>
  <c r="J841" i="3" s="1"/>
  <c r="J842" i="3" s="1"/>
  <c r="J843" i="3" s="1"/>
  <c r="J844" i="3" s="1"/>
  <c r="J845" i="3" s="1"/>
  <c r="J846" i="3" s="1"/>
  <c r="J847" i="3" s="1"/>
  <c r="J848" i="3" s="1"/>
  <c r="J849" i="3" s="1"/>
  <c r="J850" i="3" s="1"/>
  <c r="J851" i="3" s="1"/>
  <c r="J852" i="3" s="1"/>
  <c r="J853" i="3" s="1"/>
  <c r="J854" i="3" s="1"/>
  <c r="J855" i="3" s="1"/>
  <c r="J856" i="3" s="1"/>
  <c r="J857" i="3" s="1"/>
  <c r="J858" i="3" s="1"/>
  <c r="J859" i="3" s="1"/>
  <c r="J860" i="3" s="1"/>
  <c r="J861" i="3" s="1"/>
  <c r="J862" i="3" s="1"/>
  <c r="J863" i="3" s="1"/>
  <c r="J864" i="3" s="1"/>
  <c r="J865" i="3" s="1"/>
  <c r="J866" i="3" s="1"/>
  <c r="J867" i="3" s="1"/>
  <c r="J868" i="3" s="1"/>
  <c r="J869" i="3" s="1"/>
  <c r="J870" i="3" s="1"/>
  <c r="J871" i="3" s="1"/>
  <c r="J872" i="3" s="1"/>
  <c r="J873" i="3" s="1"/>
  <c r="J874" i="3" s="1"/>
  <c r="J875" i="3" s="1"/>
  <c r="J876" i="3" s="1"/>
  <c r="J877" i="3" s="1"/>
  <c r="J878" i="3" s="1"/>
  <c r="J879" i="3" s="1"/>
  <c r="J880" i="3" s="1"/>
  <c r="J881" i="3" s="1"/>
  <c r="J882" i="3" s="1"/>
  <c r="J883" i="3" s="1"/>
  <c r="J884" i="3" s="1"/>
  <c r="J885" i="3" s="1"/>
  <c r="J886" i="3" s="1"/>
  <c r="J887" i="3" s="1"/>
  <c r="J888" i="3" s="1"/>
  <c r="J889" i="3" s="1"/>
  <c r="J890" i="3" s="1"/>
  <c r="J891" i="3" s="1"/>
  <c r="J892" i="3" s="1"/>
  <c r="J893" i="3" s="1"/>
  <c r="J894" i="3" s="1"/>
  <c r="J895" i="3" s="1"/>
  <c r="J896" i="3" s="1"/>
  <c r="J897" i="3" s="1"/>
  <c r="J898" i="3" s="1"/>
  <c r="J899" i="3" s="1"/>
  <c r="J900" i="3" s="1"/>
  <c r="J901" i="3" s="1"/>
  <c r="J902" i="3" s="1"/>
  <c r="J903" i="3" s="1"/>
  <c r="J904" i="3" s="1"/>
  <c r="J905" i="3" s="1"/>
  <c r="J906" i="3" s="1"/>
  <c r="J907" i="3" s="1"/>
  <c r="J908" i="3" s="1"/>
  <c r="J909" i="3" s="1"/>
  <c r="J910" i="3" s="1"/>
  <c r="J911" i="3" s="1"/>
  <c r="J912" i="3" s="1"/>
  <c r="J913" i="3" s="1"/>
  <c r="J914" i="3" s="1"/>
  <c r="J915" i="3" s="1"/>
  <c r="J916" i="3" s="1"/>
  <c r="J917" i="3" s="1"/>
  <c r="J918" i="3" s="1"/>
  <c r="J919" i="3" s="1"/>
  <c r="J920" i="3" s="1"/>
  <c r="J921" i="3" s="1"/>
  <c r="J922" i="3" s="1"/>
  <c r="J923" i="3" s="1"/>
  <c r="J924" i="3" s="1"/>
  <c r="J925" i="3" s="1"/>
  <c r="J926" i="3" s="1"/>
  <c r="J927" i="3" s="1"/>
  <c r="J928" i="3" s="1"/>
  <c r="J929" i="3" s="1"/>
  <c r="J930" i="3" s="1"/>
  <c r="J931" i="3" s="1"/>
  <c r="J932" i="3" s="1"/>
  <c r="J933" i="3" s="1"/>
  <c r="J934" i="3" s="1"/>
  <c r="J935" i="3" s="1"/>
  <c r="J936" i="3" s="1"/>
  <c r="J937" i="3" s="1"/>
  <c r="J938" i="3" s="1"/>
  <c r="J939" i="3" s="1"/>
  <c r="J940" i="3" s="1"/>
  <c r="J941" i="3" s="1"/>
  <c r="J942" i="3" s="1"/>
  <c r="J943" i="3" s="1"/>
  <c r="J944" i="3" s="1"/>
  <c r="J945" i="3" s="1"/>
  <c r="J946" i="3" s="1"/>
  <c r="J947" i="3" s="1"/>
  <c r="J948" i="3" s="1"/>
  <c r="J949" i="3" s="1"/>
  <c r="J950" i="3" s="1"/>
  <c r="J951" i="3" s="1"/>
  <c r="J952" i="3" s="1"/>
  <c r="J953" i="3" s="1"/>
  <c r="J954" i="3" s="1"/>
  <c r="J955" i="3" s="1"/>
  <c r="J956" i="3" s="1"/>
  <c r="J957" i="3" s="1"/>
  <c r="J958" i="3" s="1"/>
  <c r="J959" i="3" s="1"/>
  <c r="J960" i="3" s="1"/>
  <c r="J961" i="3" s="1"/>
  <c r="J962" i="3" s="1"/>
  <c r="J963" i="3" s="1"/>
  <c r="J964" i="3" s="1"/>
  <c r="J965" i="3" s="1"/>
  <c r="J966" i="3" s="1"/>
  <c r="J967" i="3" s="1"/>
  <c r="J968" i="3" s="1"/>
  <c r="J969" i="3" s="1"/>
  <c r="J970" i="3" s="1"/>
  <c r="J971" i="3" s="1"/>
  <c r="J972" i="3" s="1"/>
  <c r="J973" i="3" s="1"/>
  <c r="J974" i="3" s="1"/>
  <c r="J975" i="3" s="1"/>
  <c r="J976" i="3" s="1"/>
  <c r="J977" i="3" s="1"/>
  <c r="J978" i="3" s="1"/>
  <c r="J979" i="3" s="1"/>
  <c r="J980" i="3" s="1"/>
  <c r="J981" i="3" s="1"/>
  <c r="J982" i="3" s="1"/>
  <c r="J983" i="3" s="1"/>
  <c r="J984" i="3" s="1"/>
  <c r="J985" i="3" s="1"/>
  <c r="J986" i="3" s="1"/>
  <c r="J987" i="3" s="1"/>
  <c r="J988" i="3" s="1"/>
  <c r="J989" i="3" s="1"/>
  <c r="J990" i="3" s="1"/>
  <c r="J991" i="3" s="1"/>
  <c r="J992" i="3" s="1"/>
  <c r="J993" i="3" s="1"/>
  <c r="J994" i="3" s="1"/>
  <c r="J995" i="3" s="1"/>
  <c r="J996" i="3" s="1"/>
  <c r="J997" i="3" s="1"/>
  <c r="J998" i="3" s="1"/>
  <c r="J999" i="3" s="1"/>
  <c r="J1000" i="3" s="1"/>
  <c r="J1001" i="3" s="1"/>
  <c r="J1002" i="3" s="1"/>
  <c r="J1003" i="3" s="1"/>
  <c r="J1004" i="3" s="1"/>
  <c r="J1005" i="3" s="1"/>
  <c r="J1006" i="3" s="1"/>
  <c r="J1007" i="3" s="1"/>
  <c r="J1008" i="3" s="1"/>
  <c r="J1009" i="3" s="1"/>
  <c r="J1010" i="3" s="1"/>
  <c r="J1011" i="3" s="1"/>
  <c r="J1012" i="3" s="1"/>
  <c r="J1013" i="3" s="1"/>
  <c r="J1014" i="3" s="1"/>
  <c r="J1015" i="3" s="1"/>
  <c r="J1016" i="3" s="1"/>
  <c r="J1017" i="3" s="1"/>
  <c r="J1018" i="3" s="1"/>
  <c r="J1019" i="3" s="1"/>
  <c r="J1020" i="3" s="1"/>
  <c r="J1021" i="3" s="1"/>
  <c r="J1022" i="3" s="1"/>
  <c r="J1023" i="3" s="1"/>
  <c r="J1024" i="3" s="1"/>
  <c r="J1025" i="3" s="1"/>
  <c r="J1026" i="3" s="1"/>
  <c r="J1027" i="3" s="1"/>
  <c r="J1028" i="3" s="1"/>
  <c r="J1029" i="3" s="1"/>
  <c r="J1030" i="3" s="1"/>
  <c r="J1031" i="3" s="1"/>
  <c r="J1032" i="3" s="1"/>
  <c r="J1033" i="3" s="1"/>
  <c r="J1034" i="3" s="1"/>
  <c r="J1035" i="3" s="1"/>
  <c r="J1036" i="3" s="1"/>
  <c r="J1037" i="3" s="1"/>
  <c r="J1038" i="3" s="1"/>
  <c r="J1039" i="3" s="1"/>
  <c r="J1040" i="3" s="1"/>
  <c r="J1041" i="3" s="1"/>
  <c r="J1042" i="3" s="1"/>
  <c r="J1043" i="3" s="1"/>
  <c r="J1044" i="3" s="1"/>
  <c r="J1045" i="3" s="1"/>
  <c r="J1046" i="3" s="1"/>
  <c r="J1047" i="3" s="1"/>
  <c r="J1048" i="3" s="1"/>
  <c r="J1049" i="3" s="1"/>
  <c r="J1050" i="3" s="1"/>
  <c r="J1051" i="3" s="1"/>
  <c r="J1052" i="3" s="1"/>
  <c r="J1053" i="3" s="1"/>
  <c r="J1054" i="3" s="1"/>
  <c r="J1055" i="3" s="1"/>
  <c r="J1056" i="3" s="1"/>
  <c r="J1057" i="3" s="1"/>
  <c r="J1058" i="3" s="1"/>
  <c r="J1059" i="3" s="1"/>
  <c r="J1060" i="3" s="1"/>
  <c r="J1061" i="3" s="1"/>
  <c r="J1062" i="3" s="1"/>
  <c r="J1063" i="3" s="1"/>
  <c r="J1064" i="3" s="1"/>
  <c r="J1065" i="3" s="1"/>
  <c r="J1066" i="3" s="1"/>
  <c r="J1067" i="3" s="1"/>
  <c r="J1068" i="3" s="1"/>
  <c r="J1069" i="3" s="1"/>
  <c r="J1070" i="3" s="1"/>
  <c r="J1071" i="3" s="1"/>
  <c r="J1072" i="3" s="1"/>
  <c r="J1073" i="3" s="1"/>
  <c r="J1074" i="3" s="1"/>
  <c r="J1075" i="3" s="1"/>
  <c r="J1076" i="3" s="1"/>
  <c r="J1077" i="3" s="1"/>
  <c r="J1078" i="3" s="1"/>
  <c r="J1079" i="3" s="1"/>
  <c r="J1080" i="3" s="1"/>
  <c r="J1081" i="3" s="1"/>
  <c r="J1082" i="3" s="1"/>
  <c r="J1083" i="3" s="1"/>
  <c r="J1084" i="3" s="1"/>
  <c r="J1085" i="3" s="1"/>
  <c r="J1086" i="3" s="1"/>
  <c r="J1087" i="3" s="1"/>
  <c r="J1088" i="3" s="1"/>
  <c r="J1089" i="3" s="1"/>
  <c r="J1090" i="3" s="1"/>
  <c r="J1091" i="3" s="1"/>
  <c r="J1092" i="3" s="1"/>
  <c r="J1093" i="3" s="1"/>
  <c r="J1094" i="3" s="1"/>
  <c r="J1095" i="3" s="1"/>
  <c r="J1096" i="3" s="1"/>
  <c r="J1097" i="3" s="1"/>
  <c r="J1098" i="3" s="1"/>
  <c r="J1099" i="3" s="1"/>
  <c r="J1100" i="3" s="1"/>
  <c r="J1101" i="3" s="1"/>
  <c r="J1102" i="3" s="1"/>
  <c r="J1103" i="3" s="1"/>
  <c r="J1104" i="3" s="1"/>
  <c r="J1105" i="3" s="1"/>
  <c r="J1106" i="3" s="1"/>
  <c r="J1107" i="3" s="1"/>
  <c r="J1108" i="3" s="1"/>
  <c r="J1109" i="3" s="1"/>
  <c r="J1110" i="3" s="1"/>
  <c r="J1111" i="3" s="1"/>
  <c r="J1112" i="3" s="1"/>
  <c r="J1113" i="3" s="1"/>
  <c r="J1114" i="3" s="1"/>
  <c r="J1115" i="3" s="1"/>
  <c r="J1116" i="3" s="1"/>
  <c r="J1117" i="3" s="1"/>
  <c r="J1118" i="3" s="1"/>
  <c r="J1119" i="3" s="1"/>
  <c r="J1120" i="3" s="1"/>
  <c r="J1121" i="3" s="1"/>
  <c r="J1122" i="3" s="1"/>
  <c r="J1123" i="3" s="1"/>
  <c r="J1124" i="3" s="1"/>
  <c r="J1125" i="3" s="1"/>
  <c r="J1126" i="3" s="1"/>
  <c r="J1127" i="3" s="1"/>
  <c r="J1128" i="3" s="1"/>
  <c r="J1129" i="3" s="1"/>
  <c r="J1130" i="3" s="1"/>
  <c r="J1131" i="3" s="1"/>
  <c r="J1132" i="3" s="1"/>
  <c r="J1133" i="3" s="1"/>
  <c r="J1134" i="3" s="1"/>
  <c r="J1135" i="3" s="1"/>
  <c r="J1136" i="3" s="1"/>
  <c r="J1137" i="3" s="1"/>
  <c r="J1138" i="3" s="1"/>
  <c r="J1139" i="3" s="1"/>
  <c r="J1140" i="3" s="1"/>
  <c r="J1141" i="3" s="1"/>
  <c r="J1142" i="3" s="1"/>
  <c r="J1143" i="3" s="1"/>
  <c r="J1144" i="3" s="1"/>
  <c r="J1145" i="3" s="1"/>
  <c r="J1146" i="3" s="1"/>
  <c r="J1147" i="3" s="1"/>
  <c r="J1148" i="3" s="1"/>
  <c r="J1149" i="3" s="1"/>
  <c r="J1150" i="3" s="1"/>
  <c r="J1151" i="3" s="1"/>
  <c r="J1152" i="3" s="1"/>
  <c r="J1153" i="3" s="1"/>
  <c r="J1154" i="3" s="1"/>
  <c r="J1155" i="3" s="1"/>
  <c r="J1156" i="3" s="1"/>
  <c r="J1157" i="3" s="1"/>
  <c r="J1158" i="3" s="1"/>
  <c r="J1159" i="3" s="1"/>
  <c r="J1160" i="3" s="1"/>
  <c r="J1161" i="3" s="1"/>
  <c r="J1162" i="3" s="1"/>
  <c r="J1163" i="3" s="1"/>
  <c r="J1164" i="3" s="1"/>
  <c r="J1165" i="3" s="1"/>
  <c r="J1166" i="3" s="1"/>
  <c r="J1167" i="3" s="1"/>
  <c r="J1168" i="3" s="1"/>
  <c r="J1169" i="3" s="1"/>
  <c r="J1170" i="3" s="1"/>
  <c r="J1171" i="3" s="1"/>
  <c r="J1172" i="3" s="1"/>
  <c r="J1173" i="3" s="1"/>
  <c r="J1174" i="3" s="1"/>
  <c r="J1175" i="3" s="1"/>
  <c r="J1176" i="3" s="1"/>
  <c r="J1177" i="3" s="1"/>
  <c r="J1178" i="3" s="1"/>
  <c r="J1179" i="3" s="1"/>
  <c r="J1180" i="3" s="1"/>
  <c r="J1181" i="3" s="1"/>
  <c r="J1182" i="3" s="1"/>
  <c r="J1183" i="3" s="1"/>
  <c r="J1184" i="3" s="1"/>
  <c r="J1185" i="3" s="1"/>
  <c r="J1186" i="3" s="1"/>
  <c r="J1187" i="3" s="1"/>
  <c r="J1188" i="3" s="1"/>
  <c r="J1189" i="3" s="1"/>
  <c r="J1190" i="3" s="1"/>
  <c r="J1191" i="3" s="1"/>
  <c r="J1192" i="3" s="1"/>
  <c r="J1193" i="3" s="1"/>
  <c r="J1194" i="3" s="1"/>
  <c r="J1195" i="3" s="1"/>
  <c r="J1196" i="3" s="1"/>
  <c r="J1197" i="3" s="1"/>
  <c r="J1198" i="3" s="1"/>
  <c r="J1199" i="3" s="1"/>
  <c r="J1200" i="3" s="1"/>
  <c r="J1201" i="3" s="1"/>
  <c r="J1202" i="3" s="1"/>
  <c r="J1203" i="3" s="1"/>
  <c r="J1204" i="3" s="1"/>
  <c r="J1205" i="3" s="1"/>
  <c r="J1206" i="3" s="1"/>
  <c r="J1207" i="3" s="1"/>
  <c r="J1208" i="3" s="1"/>
  <c r="J1209" i="3" s="1"/>
  <c r="J1210" i="3" s="1"/>
  <c r="J1211" i="3" s="1"/>
  <c r="J1212" i="3" s="1"/>
  <c r="J1213" i="3" s="1"/>
  <c r="J1214" i="3" s="1"/>
  <c r="J1215" i="3" s="1"/>
  <c r="J1216" i="3" s="1"/>
  <c r="J1217" i="3" s="1"/>
  <c r="J1218" i="3" s="1"/>
  <c r="J1219" i="3" s="1"/>
  <c r="J1220" i="3" s="1"/>
  <c r="J1221" i="3" s="1"/>
  <c r="J1222" i="3" s="1"/>
  <c r="J1223" i="3" s="1"/>
  <c r="J1224" i="3" s="1"/>
  <c r="J1225" i="3" s="1"/>
  <c r="J1226" i="3" s="1"/>
  <c r="J1227" i="3" s="1"/>
  <c r="J1228" i="3" s="1"/>
  <c r="J1229" i="3" s="1"/>
  <c r="J1230" i="3" s="1"/>
  <c r="J1231" i="3" s="1"/>
  <c r="J1232" i="3" s="1"/>
  <c r="J1233" i="3" s="1"/>
  <c r="J1234" i="3" s="1"/>
  <c r="J1235" i="3" s="1"/>
  <c r="J1236" i="3" s="1"/>
  <c r="J1237" i="3" s="1"/>
  <c r="J1238" i="3" s="1"/>
  <c r="J1239" i="3" s="1"/>
  <c r="J1240" i="3" s="1"/>
  <c r="J1241" i="3" s="1"/>
  <c r="J1242" i="3" s="1"/>
  <c r="J1243" i="3" s="1"/>
  <c r="J1244" i="3" s="1"/>
  <c r="J1245" i="3" s="1"/>
  <c r="J1246" i="3" s="1"/>
  <c r="J1247" i="3" s="1"/>
  <c r="J1248" i="3" s="1"/>
  <c r="J1249" i="3" s="1"/>
  <c r="J1250" i="3" s="1"/>
  <c r="J1251" i="3" s="1"/>
  <c r="J1252" i="3" s="1"/>
  <c r="J1253" i="3" s="1"/>
  <c r="J1254" i="3" s="1"/>
  <c r="J1255" i="3" s="1"/>
  <c r="J1256" i="3" s="1"/>
  <c r="J1257" i="3" s="1"/>
  <c r="J1258" i="3" s="1"/>
  <c r="J1259" i="3" s="1"/>
  <c r="J1260" i="3" s="1"/>
  <c r="J1261" i="3" s="1"/>
  <c r="J1262" i="3" s="1"/>
  <c r="J1263" i="3" s="1"/>
  <c r="J1264" i="3" s="1"/>
  <c r="J1265" i="3" s="1"/>
  <c r="J1266" i="3" s="1"/>
  <c r="J1267" i="3" s="1"/>
  <c r="J1268" i="3" s="1"/>
  <c r="J1269" i="3" s="1"/>
  <c r="J1270" i="3" s="1"/>
  <c r="J1271" i="3" s="1"/>
  <c r="J1272" i="3" s="1"/>
  <c r="J1273" i="3" s="1"/>
  <c r="J1274" i="3" s="1"/>
  <c r="J1275" i="3" s="1"/>
  <c r="J1276" i="3" s="1"/>
  <c r="J1277" i="3" s="1"/>
  <c r="J1278" i="3" s="1"/>
  <c r="J1279" i="3" s="1"/>
  <c r="J1280" i="3" s="1"/>
  <c r="J1281" i="3" s="1"/>
  <c r="J1282" i="3" s="1"/>
  <c r="J1283" i="3" s="1"/>
  <c r="J1284" i="3" s="1"/>
  <c r="J1285" i="3" s="1"/>
  <c r="J1286" i="3" s="1"/>
  <c r="J1287" i="3" s="1"/>
  <c r="J1288" i="3" s="1"/>
  <c r="J1289" i="3" s="1"/>
  <c r="J1290" i="3" s="1"/>
  <c r="J1291" i="3" s="1"/>
  <c r="J1292" i="3" s="1"/>
  <c r="J1293" i="3" s="1"/>
  <c r="J1294" i="3" s="1"/>
  <c r="J1295" i="3" s="1"/>
  <c r="J1296" i="3" s="1"/>
  <c r="J1297" i="3" s="1"/>
  <c r="J1298" i="3" s="1"/>
  <c r="J1299" i="3" s="1"/>
  <c r="J1300" i="3" s="1"/>
  <c r="J1301" i="3" s="1"/>
  <c r="J1302" i="3" s="1"/>
  <c r="J1303" i="3" s="1"/>
  <c r="J1304" i="3" s="1"/>
  <c r="J1305" i="3" s="1"/>
  <c r="J1306" i="3" s="1"/>
  <c r="J1307" i="3" s="1"/>
  <c r="J1308" i="3" s="1"/>
  <c r="J1309" i="3" s="1"/>
  <c r="J1310" i="3" s="1"/>
  <c r="J1311" i="3" s="1"/>
  <c r="J1312" i="3" s="1"/>
  <c r="J1313" i="3" s="1"/>
  <c r="J1314" i="3" s="1"/>
  <c r="J1315" i="3" s="1"/>
  <c r="J1316" i="3" s="1"/>
  <c r="J1317" i="3" s="1"/>
  <c r="J1318" i="3" s="1"/>
  <c r="J1319" i="3" s="1"/>
  <c r="J1320" i="3" s="1"/>
  <c r="J1321" i="3" s="1"/>
  <c r="J1322" i="3" s="1"/>
  <c r="J1323" i="3" s="1"/>
  <c r="J1324" i="3" s="1"/>
  <c r="J1325" i="3" s="1"/>
  <c r="J1326" i="3" s="1"/>
  <c r="J1327" i="3" s="1"/>
  <c r="J1328" i="3" s="1"/>
  <c r="J1329" i="3" s="1"/>
  <c r="J1330" i="3" s="1"/>
  <c r="J1331" i="3" s="1"/>
  <c r="J1332" i="3" s="1"/>
  <c r="J1333" i="3" s="1"/>
  <c r="J1334" i="3" s="1"/>
  <c r="J1335" i="3" s="1"/>
  <c r="J1336" i="3" s="1"/>
  <c r="J1337" i="3" s="1"/>
  <c r="J1338" i="3" s="1"/>
  <c r="J1339" i="3" s="1"/>
  <c r="J1340" i="3" s="1"/>
  <c r="J1341" i="3" s="1"/>
  <c r="J1342" i="3" s="1"/>
  <c r="J1343" i="3" s="1"/>
  <c r="J1344" i="3" s="1"/>
  <c r="J1345" i="3" s="1"/>
  <c r="J1346" i="3" s="1"/>
  <c r="J1347" i="3" s="1"/>
  <c r="J1348" i="3" s="1"/>
  <c r="J1349" i="3" s="1"/>
  <c r="J1350" i="3" s="1"/>
  <c r="J1351" i="3" s="1"/>
  <c r="J1352" i="3" s="1"/>
  <c r="J1353" i="3" s="1"/>
  <c r="J1354" i="3" s="1"/>
  <c r="J1355" i="3" s="1"/>
  <c r="J1356" i="3" s="1"/>
  <c r="J1357" i="3" s="1"/>
  <c r="J1358" i="3" s="1"/>
  <c r="J1359" i="3" s="1"/>
  <c r="J1360" i="3" s="1"/>
  <c r="J1361" i="3" s="1"/>
  <c r="J1362" i="3" s="1"/>
  <c r="J1363" i="3" s="1"/>
  <c r="J1364" i="3" s="1"/>
  <c r="J1365" i="3" s="1"/>
  <c r="J1366" i="3" s="1"/>
  <c r="J1367" i="3" s="1"/>
  <c r="J1368" i="3" s="1"/>
  <c r="J1369" i="3" s="1"/>
  <c r="J1370" i="3" s="1"/>
  <c r="J1371" i="3" s="1"/>
  <c r="J1372" i="3" s="1"/>
  <c r="J1373" i="3" s="1"/>
  <c r="J1374" i="3" s="1"/>
  <c r="J1375" i="3" s="1"/>
  <c r="J1376" i="3" s="1"/>
  <c r="J1377" i="3" s="1"/>
  <c r="J1378" i="3" s="1"/>
  <c r="J1379" i="3" s="1"/>
  <c r="J1380" i="3" s="1"/>
  <c r="J1381" i="3" s="1"/>
  <c r="J1382" i="3" s="1"/>
  <c r="J1383" i="3" s="1"/>
  <c r="J1384" i="3" s="1"/>
  <c r="J1385" i="3" s="1"/>
  <c r="J1386" i="3" s="1"/>
  <c r="J1387" i="3" s="1"/>
  <c r="J1388" i="3" s="1"/>
  <c r="J1389" i="3" s="1"/>
  <c r="J1390" i="3" s="1"/>
  <c r="J1391" i="3" s="1"/>
  <c r="J1392" i="3" s="1"/>
  <c r="J1393" i="3" s="1"/>
  <c r="J1394" i="3" s="1"/>
  <c r="J1395" i="3" s="1"/>
  <c r="J1396" i="3" s="1"/>
  <c r="J1397" i="3" s="1"/>
  <c r="J1398" i="3" s="1"/>
  <c r="J1399" i="3" s="1"/>
  <c r="J1400" i="3" s="1"/>
  <c r="J1401" i="3" s="1"/>
  <c r="J1402" i="3" s="1"/>
  <c r="J1403" i="3" s="1"/>
  <c r="J1404" i="3" s="1"/>
  <c r="J1405" i="3" s="1"/>
  <c r="J1406" i="3" s="1"/>
  <c r="J1407" i="3" s="1"/>
  <c r="J1408" i="3" s="1"/>
  <c r="J1409" i="3" s="1"/>
  <c r="J1410" i="3" s="1"/>
  <c r="J1411" i="3" s="1"/>
  <c r="J1412" i="3" s="1"/>
  <c r="J1413" i="3" s="1"/>
  <c r="J1414" i="3" s="1"/>
  <c r="J1415" i="3" s="1"/>
  <c r="J1416" i="3" s="1"/>
  <c r="J1417" i="3" s="1"/>
  <c r="J1418" i="3" s="1"/>
  <c r="J1419" i="3" s="1"/>
  <c r="J1420" i="3" s="1"/>
  <c r="J1421" i="3" s="1"/>
  <c r="J1422" i="3" s="1"/>
  <c r="J1423" i="3" s="1"/>
  <c r="J1424" i="3" s="1"/>
  <c r="J1425" i="3" s="1"/>
  <c r="J1426" i="3" s="1"/>
  <c r="J1427" i="3" s="1"/>
  <c r="J1428" i="3" s="1"/>
  <c r="J1429" i="3" s="1"/>
  <c r="J1430" i="3" s="1"/>
  <c r="J1431" i="3" s="1"/>
  <c r="J1432" i="3" s="1"/>
  <c r="J1433" i="3" s="1"/>
  <c r="J1434" i="3" s="1"/>
  <c r="J1435" i="3" s="1"/>
  <c r="J1436" i="3" s="1"/>
  <c r="J1437" i="3" s="1"/>
  <c r="J1438" i="3" s="1"/>
  <c r="J1439" i="3" s="1"/>
  <c r="J1440" i="3" s="1"/>
  <c r="J1441" i="3" s="1"/>
  <c r="J1442" i="3" s="1"/>
  <c r="J1443" i="3" s="1"/>
  <c r="J1444" i="3" s="1"/>
  <c r="J1445" i="3" s="1"/>
  <c r="J1446" i="3" s="1"/>
  <c r="J1447" i="3" s="1"/>
  <c r="J1448" i="3" s="1"/>
  <c r="J1449" i="3" s="1"/>
  <c r="J1450" i="3" s="1"/>
  <c r="J1451" i="3" s="1"/>
  <c r="J1452" i="3" s="1"/>
  <c r="J1453" i="3" s="1"/>
  <c r="J1454" i="3" s="1"/>
  <c r="J1455" i="3" s="1"/>
  <c r="J1456" i="3" s="1"/>
  <c r="J1457" i="3" s="1"/>
  <c r="J1458" i="3" s="1"/>
  <c r="J1459" i="3" s="1"/>
  <c r="J1460" i="3" s="1"/>
  <c r="J1461" i="3" s="1"/>
  <c r="J1462" i="3" s="1"/>
  <c r="J1463" i="3" s="1"/>
  <c r="J1464" i="3" s="1"/>
  <c r="J1465" i="3" s="1"/>
  <c r="J1466" i="3" s="1"/>
  <c r="J1467" i="3" s="1"/>
  <c r="J1468" i="3" s="1"/>
  <c r="J1469" i="3" s="1"/>
  <c r="J1470" i="3" s="1"/>
  <c r="J1471" i="3" s="1"/>
  <c r="J1472" i="3" s="1"/>
  <c r="J1473" i="3" s="1"/>
  <c r="J1474" i="3" s="1"/>
  <c r="J1475" i="3" s="1"/>
  <c r="J1476" i="3" s="1"/>
  <c r="J1477" i="3" s="1"/>
  <c r="J1478" i="3" s="1"/>
  <c r="J1479" i="3" s="1"/>
  <c r="J1480" i="3" s="1"/>
  <c r="J1481" i="3" s="1"/>
  <c r="J1482" i="3" s="1"/>
  <c r="J1483" i="3" s="1"/>
  <c r="J1484" i="3" s="1"/>
  <c r="J1485" i="3" s="1"/>
  <c r="J1486" i="3" s="1"/>
  <c r="J1487" i="3" s="1"/>
  <c r="J1488" i="3" s="1"/>
  <c r="J1489" i="3" s="1"/>
  <c r="J1490" i="3" s="1"/>
  <c r="J1491" i="3" s="1"/>
  <c r="J1492" i="3" s="1"/>
  <c r="J1493" i="3" s="1"/>
  <c r="J1494" i="3" s="1"/>
  <c r="J1495" i="3" s="1"/>
  <c r="J1496" i="3" s="1"/>
  <c r="J1497" i="3" s="1"/>
  <c r="J1498" i="3" s="1"/>
  <c r="J1499" i="3" s="1"/>
  <c r="J1500" i="3" s="1"/>
  <c r="J1501" i="3" s="1"/>
  <c r="J1502" i="3" s="1"/>
  <c r="J1503" i="3" s="1"/>
  <c r="J1504" i="3" s="1"/>
  <c r="J1505" i="3" s="1"/>
  <c r="J1506" i="3" s="1"/>
  <c r="J1507" i="3" s="1"/>
  <c r="J1508" i="3" s="1"/>
  <c r="J1509" i="3" s="1"/>
  <c r="J1510" i="3" s="1"/>
  <c r="J1511" i="3" s="1"/>
  <c r="J1512" i="3" s="1"/>
  <c r="J1513" i="3" s="1"/>
  <c r="J1514" i="3" s="1"/>
  <c r="J1515" i="3" s="1"/>
  <c r="J1516" i="3" s="1"/>
  <c r="J1517" i="3" s="1"/>
  <c r="J1518" i="3" s="1"/>
  <c r="J1519" i="3" s="1"/>
  <c r="J1520" i="3" s="1"/>
  <c r="J1521" i="3" s="1"/>
  <c r="J1522" i="3" s="1"/>
  <c r="J1523" i="3" s="1"/>
  <c r="J1524" i="3" s="1"/>
  <c r="J1525" i="3" s="1"/>
  <c r="J1526" i="3" s="1"/>
  <c r="J1527" i="3" s="1"/>
  <c r="J1528" i="3" s="1"/>
  <c r="J1529" i="3" s="1"/>
  <c r="J1530" i="3" s="1"/>
  <c r="J1531" i="3" s="1"/>
  <c r="J1532" i="3" s="1"/>
  <c r="J1533" i="3" s="1"/>
  <c r="J1534" i="3" s="1"/>
  <c r="J1535" i="3" s="1"/>
  <c r="J1536" i="3" s="1"/>
  <c r="J1537" i="3" s="1"/>
  <c r="J1538" i="3" s="1"/>
  <c r="J1539" i="3" s="1"/>
  <c r="J1540" i="3" s="1"/>
  <c r="J1541" i="3" s="1"/>
  <c r="J1542" i="3" s="1"/>
  <c r="J1543" i="3" s="1"/>
  <c r="J1544" i="3" s="1"/>
  <c r="J1545" i="3" s="1"/>
  <c r="J1546" i="3" s="1"/>
  <c r="J1547" i="3" s="1"/>
  <c r="J1548" i="3" s="1"/>
  <c r="J1549" i="3" s="1"/>
  <c r="J1550" i="3" s="1"/>
  <c r="J1551" i="3" s="1"/>
  <c r="J1552" i="3" s="1"/>
  <c r="J1553" i="3" s="1"/>
  <c r="J1554" i="3" s="1"/>
  <c r="J1555" i="3" s="1"/>
  <c r="J1556" i="3" s="1"/>
  <c r="J1557" i="3" s="1"/>
  <c r="J1558" i="3" s="1"/>
  <c r="J1559" i="3" s="1"/>
  <c r="J1560" i="3" s="1"/>
  <c r="J1561" i="3" s="1"/>
  <c r="J1562" i="3" s="1"/>
  <c r="J1563" i="3" s="1"/>
  <c r="J1564" i="3" s="1"/>
  <c r="J1565" i="3" s="1"/>
  <c r="J1566" i="3" s="1"/>
  <c r="J1567" i="3" s="1"/>
  <c r="J1568" i="3" s="1"/>
  <c r="J1569" i="3" s="1"/>
  <c r="J1570" i="3" s="1"/>
  <c r="J1571" i="3" s="1"/>
  <c r="J1572" i="3" s="1"/>
  <c r="J1573" i="3" s="1"/>
  <c r="J1574" i="3" s="1"/>
  <c r="J1575" i="3" s="1"/>
  <c r="J1576" i="3" s="1"/>
  <c r="J1577" i="3" s="1"/>
  <c r="J1578" i="3" s="1"/>
  <c r="J1579" i="3" s="1"/>
  <c r="J1580" i="3" s="1"/>
  <c r="J1581" i="3" s="1"/>
  <c r="J1582" i="3" s="1"/>
  <c r="J1583" i="3" s="1"/>
  <c r="J1584" i="3" s="1"/>
  <c r="J1585" i="3" s="1"/>
  <c r="J1586" i="3" s="1"/>
  <c r="J1587" i="3" s="1"/>
  <c r="J1588" i="3" s="1"/>
  <c r="J1589" i="3" s="1"/>
  <c r="J1590" i="3" s="1"/>
  <c r="J1591" i="3" s="1"/>
  <c r="J1592" i="3" s="1"/>
  <c r="J1593" i="3" s="1"/>
  <c r="J1594" i="3" s="1"/>
  <c r="J1595" i="3" s="1"/>
  <c r="J1596" i="3" s="1"/>
  <c r="J1597" i="3" s="1"/>
  <c r="J1598" i="3" s="1"/>
  <c r="J1599" i="3" s="1"/>
  <c r="J1600" i="3" s="1"/>
  <c r="J1601" i="3" s="1"/>
  <c r="J1602" i="3" s="1"/>
  <c r="J1603" i="3" s="1"/>
  <c r="J1604" i="3" s="1"/>
  <c r="J1605" i="3" s="1"/>
  <c r="J1606" i="3" s="1"/>
  <c r="J1607" i="3" s="1"/>
  <c r="J1608" i="3" s="1"/>
  <c r="J1609" i="3" s="1"/>
  <c r="J1610" i="3" s="1"/>
  <c r="J1611" i="3" s="1"/>
  <c r="J1612" i="3" s="1"/>
  <c r="J1613" i="3" s="1"/>
  <c r="J1614" i="3" s="1"/>
  <c r="J1615" i="3" s="1"/>
  <c r="J1616" i="3" s="1"/>
  <c r="J1617" i="3" s="1"/>
  <c r="J1618" i="3" s="1"/>
  <c r="J1619" i="3" s="1"/>
  <c r="J1620" i="3" s="1"/>
  <c r="J1621" i="3" s="1"/>
  <c r="J1622" i="3" s="1"/>
  <c r="J1623" i="3" s="1"/>
  <c r="J1624" i="3" s="1"/>
  <c r="J1625" i="3" s="1"/>
  <c r="J1626" i="3" s="1"/>
  <c r="J1627" i="3" s="1"/>
  <c r="J1628" i="3" s="1"/>
  <c r="J1629" i="3" s="1"/>
  <c r="J1630" i="3" s="1"/>
  <c r="J1631" i="3" s="1"/>
  <c r="J1632" i="3" s="1"/>
  <c r="J1633" i="3" s="1"/>
  <c r="J1634" i="3" s="1"/>
  <c r="J1635" i="3" s="1"/>
  <c r="J1636" i="3" s="1"/>
  <c r="J1637" i="3" s="1"/>
  <c r="J1638" i="3" s="1"/>
  <c r="J1639" i="3" s="1"/>
  <c r="J1640" i="3" s="1"/>
  <c r="J1641" i="3" s="1"/>
  <c r="J1642" i="3" s="1"/>
  <c r="J1643" i="3" s="1"/>
  <c r="J1644" i="3" s="1"/>
  <c r="J1645" i="3" s="1"/>
  <c r="J1646" i="3" s="1"/>
  <c r="J1647" i="3" s="1"/>
  <c r="J1648" i="3" s="1"/>
  <c r="J1649" i="3" s="1"/>
  <c r="J1650" i="3" s="1"/>
  <c r="J1651" i="3" s="1"/>
  <c r="J1652" i="3" s="1"/>
  <c r="J1653" i="3" s="1"/>
  <c r="J1654" i="3" s="1"/>
  <c r="J1655" i="3" s="1"/>
  <c r="J1656" i="3" s="1"/>
  <c r="J1657" i="3" s="1"/>
  <c r="J1658" i="3" s="1"/>
  <c r="J1659" i="3" s="1"/>
  <c r="J1660" i="3" s="1"/>
  <c r="J1661" i="3" s="1"/>
  <c r="J1662" i="3" s="1"/>
  <c r="J1663" i="3" s="1"/>
  <c r="J1664" i="3" s="1"/>
  <c r="J1665" i="3" s="1"/>
  <c r="J1666" i="3" s="1"/>
  <c r="J1667" i="3" s="1"/>
  <c r="J1668" i="3" s="1"/>
  <c r="J1669" i="3" s="1"/>
  <c r="J1670" i="3" s="1"/>
  <c r="J1671" i="3" s="1"/>
  <c r="J1672" i="3" s="1"/>
  <c r="J1673" i="3" s="1"/>
  <c r="J1674" i="3" s="1"/>
  <c r="J1675" i="3" s="1"/>
  <c r="J1676" i="3" s="1"/>
  <c r="J1677" i="3" s="1"/>
  <c r="J1678" i="3" s="1"/>
  <c r="J1679" i="3" s="1"/>
  <c r="J1680" i="3" s="1"/>
  <c r="J1681" i="3" s="1"/>
  <c r="J1682" i="3" s="1"/>
  <c r="J1683" i="3" s="1"/>
  <c r="J1684" i="3" s="1"/>
  <c r="J1685" i="3" s="1"/>
  <c r="J1686" i="3" s="1"/>
  <c r="J1687" i="3" s="1"/>
  <c r="J1688" i="3" s="1"/>
  <c r="J1689" i="3" s="1"/>
  <c r="J1690" i="3" s="1"/>
  <c r="J1691" i="3" s="1"/>
  <c r="J1692" i="3" s="1"/>
  <c r="J1693" i="3" s="1"/>
  <c r="J1694" i="3" s="1"/>
  <c r="J1695" i="3" s="1"/>
  <c r="J1696" i="3" s="1"/>
  <c r="J1697" i="3" s="1"/>
  <c r="J1698" i="3" s="1"/>
  <c r="J1699" i="3" s="1"/>
  <c r="J1700" i="3" s="1"/>
  <c r="J1701" i="3" s="1"/>
  <c r="J1702" i="3" s="1"/>
  <c r="J1703" i="3" s="1"/>
  <c r="J1704" i="3" s="1"/>
  <c r="J1705" i="3" s="1"/>
  <c r="J1706" i="3" s="1"/>
  <c r="J1707" i="3" s="1"/>
  <c r="J1708" i="3" s="1"/>
  <c r="J1709" i="3" s="1"/>
  <c r="J1710" i="3" s="1"/>
  <c r="J1711" i="3" s="1"/>
  <c r="J1712" i="3" s="1"/>
  <c r="J1713" i="3" s="1"/>
  <c r="J1714" i="3" s="1"/>
  <c r="J1715" i="3" s="1"/>
  <c r="J1716" i="3" s="1"/>
  <c r="J1717" i="3" s="1"/>
  <c r="J1718" i="3" s="1"/>
  <c r="J1719" i="3" s="1"/>
  <c r="J1720" i="3" s="1"/>
  <c r="J1721" i="3" s="1"/>
  <c r="J1722" i="3" s="1"/>
  <c r="J1723" i="3" s="1"/>
  <c r="J1724" i="3" s="1"/>
  <c r="J1725" i="3" s="1"/>
  <c r="J1726" i="3" s="1"/>
  <c r="J1727" i="3" s="1"/>
  <c r="J1728" i="3" s="1"/>
  <c r="J1729" i="3" s="1"/>
  <c r="J1730" i="3" s="1"/>
  <c r="J1731" i="3" s="1"/>
  <c r="J1732" i="3" s="1"/>
  <c r="J1733" i="3" s="1"/>
  <c r="J1734" i="3" s="1"/>
  <c r="J1735" i="3" s="1"/>
  <c r="J1736" i="3" s="1"/>
  <c r="J1737" i="3" s="1"/>
  <c r="J1738" i="3" s="1"/>
  <c r="J1739" i="3" s="1"/>
  <c r="J1740" i="3" s="1"/>
  <c r="J1741" i="3" s="1"/>
  <c r="J1742" i="3" s="1"/>
  <c r="J1743" i="3" s="1"/>
  <c r="J1744" i="3" s="1"/>
  <c r="J1745" i="3" s="1"/>
  <c r="J1746" i="3" s="1"/>
  <c r="J1747" i="3" s="1"/>
  <c r="J1748" i="3" s="1"/>
  <c r="J1749" i="3" s="1"/>
  <c r="J1750" i="3" s="1"/>
  <c r="J1751" i="3" s="1"/>
  <c r="J1752" i="3" s="1"/>
  <c r="J1753" i="3" s="1"/>
  <c r="J1754" i="3" s="1"/>
  <c r="J1755" i="3" s="1"/>
  <c r="J1756" i="3" s="1"/>
  <c r="J1757" i="3" s="1"/>
  <c r="J1758" i="3" s="1"/>
  <c r="J1759" i="3" s="1"/>
  <c r="J1760" i="3" s="1"/>
  <c r="J1761" i="3" s="1"/>
  <c r="J1762" i="3" s="1"/>
  <c r="J1763" i="3" s="1"/>
  <c r="J1764" i="3" s="1"/>
  <c r="J1765" i="3" s="1"/>
  <c r="J1766" i="3" s="1"/>
  <c r="J1767" i="3" s="1"/>
  <c r="J1768" i="3" s="1"/>
  <c r="J1769" i="3" s="1"/>
  <c r="J1770" i="3" s="1"/>
  <c r="J1771" i="3" s="1"/>
  <c r="J1772" i="3" s="1"/>
  <c r="J1773" i="3" s="1"/>
  <c r="J1774" i="3" s="1"/>
  <c r="J1775" i="3" s="1"/>
  <c r="J1776" i="3" s="1"/>
  <c r="J1777" i="3" s="1"/>
  <c r="J1778" i="3" s="1"/>
  <c r="J1779" i="3" s="1"/>
  <c r="J1780" i="3" s="1"/>
  <c r="J1781" i="3" s="1"/>
  <c r="J1782" i="3" s="1"/>
  <c r="J1783" i="3" s="1"/>
  <c r="J1784" i="3" s="1"/>
  <c r="J1785" i="3" s="1"/>
  <c r="J1786" i="3" s="1"/>
  <c r="J1787" i="3" s="1"/>
  <c r="J1788" i="3" s="1"/>
  <c r="J1789" i="3" s="1"/>
  <c r="J1790" i="3" s="1"/>
  <c r="J1791" i="3" s="1"/>
  <c r="J1792" i="3" s="1"/>
  <c r="J1793" i="3" s="1"/>
  <c r="J1794" i="3" s="1"/>
  <c r="J1795" i="3" s="1"/>
  <c r="J1796" i="3" s="1"/>
  <c r="J1797" i="3" s="1"/>
  <c r="J1798" i="3" s="1"/>
  <c r="J1799" i="3" s="1"/>
  <c r="J1800" i="3" s="1"/>
  <c r="J1801" i="3" s="1"/>
  <c r="J1802" i="3" s="1"/>
  <c r="J1803" i="3" s="1"/>
  <c r="J1804" i="3" s="1"/>
  <c r="J1805" i="3" s="1"/>
  <c r="J1806" i="3" s="1"/>
  <c r="J1807" i="3" s="1"/>
  <c r="J1808" i="3" s="1"/>
  <c r="J1809" i="3" s="1"/>
  <c r="J1810" i="3" s="1"/>
  <c r="J1811" i="3" s="1"/>
  <c r="J1812" i="3" s="1"/>
  <c r="J1813" i="3" s="1"/>
  <c r="J1814" i="3" s="1"/>
  <c r="J1815" i="3" s="1"/>
  <c r="J1816" i="3" s="1"/>
  <c r="J1817" i="3" s="1"/>
  <c r="J1818" i="3" s="1"/>
  <c r="D34" i="6" l="1"/>
  <c r="B18" i="5"/>
  <c r="P19" i="5"/>
  <c r="D22" i="5"/>
  <c r="P22" i="5" s="1"/>
  <c r="G26" i="6"/>
  <c r="G33" i="6" s="1"/>
  <c r="F33" i="6" s="1"/>
  <c r="E33" i="6" s="1"/>
  <c r="D33" i="6" s="1"/>
  <c r="G25" i="6"/>
  <c r="G32" i="6" s="1"/>
  <c r="N19" i="5"/>
  <c r="N21" i="5"/>
  <c r="P21" i="5"/>
  <c r="N20" i="5"/>
  <c r="D20" i="5"/>
  <c r="P20" i="5" s="1"/>
  <c r="G15" i="4"/>
  <c r="I15" i="4"/>
  <c r="F16" i="4"/>
  <c r="I15" i="3"/>
  <c r="G15" i="3"/>
  <c r="F16" i="3"/>
  <c r="C33" i="6" l="1"/>
  <c r="E5" i="5"/>
  <c r="F32" i="6"/>
  <c r="E32" i="6" s="1"/>
  <c r="D32" i="6" s="1"/>
  <c r="C32" i="6" s="1"/>
  <c r="P18" i="5"/>
  <c r="D25" i="5"/>
  <c r="N18" i="5"/>
  <c r="B25" i="5"/>
  <c r="I16" i="4"/>
  <c r="G16" i="4"/>
  <c r="F17" i="4"/>
  <c r="G16" i="3"/>
  <c r="I16" i="3"/>
  <c r="F17" i="3"/>
  <c r="B32" i="6" l="1"/>
  <c r="N25" i="5"/>
  <c r="P25" i="5"/>
  <c r="G17" i="4"/>
  <c r="I17" i="4"/>
  <c r="F18" i="4"/>
  <c r="I17" i="3"/>
  <c r="G17" i="3"/>
  <c r="F18" i="3"/>
  <c r="F13" i="6" l="1"/>
  <c r="F14" i="6"/>
  <c r="E8" i="6"/>
  <c r="E9" i="6"/>
  <c r="I18" i="4"/>
  <c r="G18" i="4"/>
  <c r="F19" i="4"/>
  <c r="G18" i="3"/>
  <c r="I18" i="3"/>
  <c r="F19" i="3"/>
  <c r="G19" i="4" l="1"/>
  <c r="I19" i="4"/>
  <c r="F20" i="4"/>
  <c r="I19" i="3"/>
  <c r="G19" i="3"/>
  <c r="F20" i="3"/>
  <c r="I20" i="4" l="1"/>
  <c r="G20" i="4"/>
  <c r="F21" i="4"/>
  <c r="G20" i="3"/>
  <c r="I20" i="3"/>
  <c r="F21" i="3"/>
  <c r="G21" i="4" l="1"/>
  <c r="I21" i="4"/>
  <c r="F22" i="4"/>
  <c r="I21" i="3"/>
  <c r="G21" i="3"/>
  <c r="F22" i="3"/>
  <c r="I22" i="4" l="1"/>
  <c r="G22" i="4"/>
  <c r="F23" i="4"/>
  <c r="G22" i="3"/>
  <c r="I22" i="3"/>
  <c r="F23" i="3"/>
  <c r="G23" i="4" l="1"/>
  <c r="I23" i="4"/>
  <c r="F24" i="4"/>
  <c r="I23" i="3"/>
  <c r="G23" i="3"/>
  <c r="F24" i="3"/>
  <c r="I24" i="4" l="1"/>
  <c r="G24" i="4"/>
  <c r="F25" i="4"/>
  <c r="G24" i="3"/>
  <c r="I24" i="3"/>
  <c r="F25" i="3"/>
  <c r="G25" i="4" l="1"/>
  <c r="I25" i="4"/>
  <c r="F26" i="4"/>
  <c r="I25" i="3"/>
  <c r="G25" i="3"/>
  <c r="F26" i="3"/>
  <c r="I26" i="4" l="1"/>
  <c r="G26" i="4"/>
  <c r="F27" i="4"/>
  <c r="G26" i="3"/>
  <c r="I26" i="3"/>
  <c r="F27" i="3"/>
  <c r="G27" i="4" l="1"/>
  <c r="I27" i="4"/>
  <c r="F28" i="4"/>
  <c r="I27" i="3"/>
  <c r="G27" i="3"/>
  <c r="F28" i="3"/>
  <c r="I28" i="4" l="1"/>
  <c r="G28" i="4"/>
  <c r="F29" i="4"/>
  <c r="G28" i="3"/>
  <c r="I28" i="3"/>
  <c r="F29" i="3"/>
  <c r="G29" i="4" l="1"/>
  <c r="I29" i="4"/>
  <c r="F30" i="4"/>
  <c r="I29" i="3"/>
  <c r="G29" i="3"/>
  <c r="F30" i="3"/>
  <c r="I30" i="4" l="1"/>
  <c r="G30" i="4"/>
  <c r="F31" i="4"/>
  <c r="G30" i="3"/>
  <c r="I30" i="3"/>
  <c r="F31" i="3"/>
  <c r="G31" i="4" l="1"/>
  <c r="I31" i="4"/>
  <c r="F32" i="4"/>
  <c r="I31" i="3"/>
  <c r="G31" i="3"/>
  <c r="F32" i="3"/>
  <c r="I32" i="4" l="1"/>
  <c r="G32" i="4"/>
  <c r="F33" i="4"/>
  <c r="G32" i="3"/>
  <c r="I32" i="3"/>
  <c r="F33" i="3"/>
  <c r="G33" i="4" l="1"/>
  <c r="I33" i="4"/>
  <c r="F34" i="4"/>
  <c r="I33" i="3"/>
  <c r="G33" i="3"/>
  <c r="F34" i="3"/>
  <c r="I34" i="4" l="1"/>
  <c r="G34" i="4"/>
  <c r="F35" i="4"/>
  <c r="G34" i="3"/>
  <c r="I34" i="3"/>
  <c r="F35" i="3"/>
  <c r="G35" i="4" l="1"/>
  <c r="I35" i="4"/>
  <c r="F36" i="4"/>
  <c r="I35" i="3"/>
  <c r="G35" i="3"/>
  <c r="F36" i="3"/>
  <c r="I36" i="4" l="1"/>
  <c r="G36" i="4"/>
  <c r="F37" i="4"/>
  <c r="G36" i="3"/>
  <c r="I36" i="3"/>
  <c r="F37" i="3"/>
  <c r="G37" i="4" l="1"/>
  <c r="I37" i="4"/>
  <c r="F38" i="4"/>
  <c r="I37" i="3"/>
  <c r="G37" i="3"/>
  <c r="F38" i="3"/>
  <c r="I38" i="4" l="1"/>
  <c r="G38" i="4"/>
  <c r="F39" i="4"/>
  <c r="G38" i="3"/>
  <c r="I38" i="3"/>
  <c r="F39" i="3"/>
  <c r="G39" i="4" l="1"/>
  <c r="I39" i="4"/>
  <c r="F40" i="4"/>
  <c r="I39" i="3"/>
  <c r="G39" i="3"/>
  <c r="F40" i="3"/>
  <c r="I40" i="4" l="1"/>
  <c r="G40" i="4"/>
  <c r="F41" i="4"/>
  <c r="G40" i="3"/>
  <c r="I40" i="3"/>
  <c r="F41" i="3"/>
  <c r="G41" i="4" l="1"/>
  <c r="I41" i="4"/>
  <c r="F42" i="4"/>
  <c r="I41" i="3"/>
  <c r="G41" i="3"/>
  <c r="F42" i="3"/>
  <c r="G42" i="4" l="1"/>
  <c r="I42" i="4"/>
  <c r="F43" i="4"/>
  <c r="G42" i="3"/>
  <c r="I42" i="3"/>
  <c r="F43" i="3"/>
  <c r="I43" i="4" l="1"/>
  <c r="G43" i="4"/>
  <c r="F44" i="4"/>
  <c r="I43" i="3"/>
  <c r="F44" i="3"/>
  <c r="G43" i="3"/>
  <c r="G44" i="4" l="1"/>
  <c r="I44" i="4"/>
  <c r="F45" i="4"/>
  <c r="G44" i="3"/>
  <c r="I44" i="3"/>
  <c r="F45" i="3"/>
  <c r="I45" i="4" l="1"/>
  <c r="G45" i="4"/>
  <c r="F46" i="4"/>
  <c r="I45" i="3"/>
  <c r="G45" i="3"/>
  <c r="F46" i="3"/>
  <c r="G46" i="4" l="1"/>
  <c r="I46" i="4"/>
  <c r="F47" i="4"/>
  <c r="G46" i="3"/>
  <c r="I46" i="3"/>
  <c r="F47" i="3"/>
  <c r="I47" i="4" l="1"/>
  <c r="G47" i="4"/>
  <c r="F48" i="4"/>
  <c r="I47" i="3"/>
  <c r="G47" i="3"/>
  <c r="F48" i="3"/>
  <c r="G48" i="4" l="1"/>
  <c r="I48" i="4"/>
  <c r="F49" i="4"/>
  <c r="G48" i="3"/>
  <c r="I48" i="3"/>
  <c r="F49" i="3"/>
  <c r="I49" i="4" l="1"/>
  <c r="G49" i="4"/>
  <c r="F50" i="4"/>
  <c r="I49" i="3"/>
  <c r="G49" i="3"/>
  <c r="F50" i="3"/>
  <c r="G50" i="4" l="1"/>
  <c r="I50" i="4"/>
  <c r="F51" i="4"/>
  <c r="G50" i="3"/>
  <c r="I50" i="3"/>
  <c r="F51" i="3"/>
  <c r="I51" i="4" l="1"/>
  <c r="G51" i="4"/>
  <c r="F52" i="4"/>
  <c r="I51" i="3"/>
  <c r="G51" i="3"/>
  <c r="F52" i="3"/>
  <c r="G52" i="4" l="1"/>
  <c r="I52" i="4"/>
  <c r="F53" i="4"/>
  <c r="G52" i="3"/>
  <c r="I52" i="3"/>
  <c r="F53" i="3"/>
  <c r="I53" i="4" l="1"/>
  <c r="G53" i="4"/>
  <c r="F54" i="4"/>
  <c r="I53" i="3"/>
  <c r="G53" i="3"/>
  <c r="F54" i="3"/>
  <c r="G54" i="4" l="1"/>
  <c r="I54" i="4"/>
  <c r="F55" i="4"/>
  <c r="G54" i="3"/>
  <c r="I54" i="3"/>
  <c r="F55" i="3"/>
  <c r="I55" i="4" l="1"/>
  <c r="G55" i="4"/>
  <c r="F56" i="4"/>
  <c r="I55" i="3"/>
  <c r="G55" i="3"/>
  <c r="F56" i="3"/>
  <c r="G56" i="4" l="1"/>
  <c r="I56" i="4"/>
  <c r="F57" i="4"/>
  <c r="G56" i="3"/>
  <c r="I56" i="3"/>
  <c r="F57" i="3"/>
  <c r="I57" i="4" l="1"/>
  <c r="G57" i="4"/>
  <c r="F58" i="4"/>
  <c r="I57" i="3"/>
  <c r="G57" i="3"/>
  <c r="F58" i="3"/>
  <c r="G58" i="4" l="1"/>
  <c r="I58" i="4"/>
  <c r="F59" i="4"/>
  <c r="G58" i="3"/>
  <c r="I58" i="3"/>
  <c r="F59" i="3"/>
  <c r="I59" i="4" l="1"/>
  <c r="G59" i="4"/>
  <c r="F60" i="4"/>
  <c r="I59" i="3"/>
  <c r="G59" i="3"/>
  <c r="F60" i="3"/>
  <c r="G60" i="4" l="1"/>
  <c r="I60" i="4"/>
  <c r="F61" i="4"/>
  <c r="G60" i="3"/>
  <c r="I60" i="3"/>
  <c r="F61" i="3"/>
  <c r="I61" i="4" l="1"/>
  <c r="G61" i="4"/>
  <c r="F62" i="4"/>
  <c r="I61" i="3"/>
  <c r="G61" i="3"/>
  <c r="F62" i="3"/>
  <c r="G62" i="4" l="1"/>
  <c r="I62" i="4"/>
  <c r="F63" i="4"/>
  <c r="G62" i="3"/>
  <c r="I62" i="3"/>
  <c r="F63" i="3"/>
  <c r="I63" i="4" l="1"/>
  <c r="G63" i="4"/>
  <c r="F64" i="4"/>
  <c r="I63" i="3"/>
  <c r="G63" i="3"/>
  <c r="F64" i="3"/>
  <c r="G64" i="4" l="1"/>
  <c r="I64" i="4"/>
  <c r="F65" i="4"/>
  <c r="G64" i="3"/>
  <c r="I64" i="3"/>
  <c r="F65" i="3"/>
  <c r="I65" i="4" l="1"/>
  <c r="G65" i="4"/>
  <c r="F66" i="4"/>
  <c r="I65" i="3"/>
  <c r="G65" i="3"/>
  <c r="F66" i="3"/>
  <c r="G66" i="4" l="1"/>
  <c r="I66" i="4"/>
  <c r="F67" i="4"/>
  <c r="G66" i="3"/>
  <c r="I66" i="3"/>
  <c r="F67" i="3"/>
  <c r="I67" i="4" l="1"/>
  <c r="G67" i="4"/>
  <c r="F68" i="4"/>
  <c r="I67" i="3"/>
  <c r="G67" i="3"/>
  <c r="F68" i="3"/>
  <c r="G68" i="4" l="1"/>
  <c r="I68" i="4"/>
  <c r="F69" i="4"/>
  <c r="G68" i="3"/>
  <c r="I68" i="3"/>
  <c r="F69" i="3"/>
  <c r="I69" i="4" l="1"/>
  <c r="G69" i="4"/>
  <c r="F70" i="4"/>
  <c r="I69" i="3"/>
  <c r="G69" i="3"/>
  <c r="F70" i="3"/>
  <c r="G70" i="4" l="1"/>
  <c r="I70" i="4"/>
  <c r="F71" i="4"/>
  <c r="G70" i="3"/>
  <c r="I70" i="3"/>
  <c r="F71" i="3"/>
  <c r="I71" i="4" l="1"/>
  <c r="G71" i="4"/>
  <c r="F72" i="4"/>
  <c r="I71" i="3"/>
  <c r="G71" i="3"/>
  <c r="F72" i="3"/>
  <c r="G72" i="4" l="1"/>
  <c r="I72" i="4"/>
  <c r="F73" i="4"/>
  <c r="G72" i="3"/>
  <c r="I72" i="3"/>
  <c r="F73" i="3"/>
  <c r="I73" i="4" l="1"/>
  <c r="G73" i="4"/>
  <c r="F74" i="4"/>
  <c r="I73" i="3"/>
  <c r="G73" i="3"/>
  <c r="F74" i="3"/>
  <c r="G74" i="4" l="1"/>
  <c r="I74" i="4"/>
  <c r="F75" i="4"/>
  <c r="G74" i="3"/>
  <c r="I74" i="3"/>
  <c r="F75" i="3"/>
  <c r="I75" i="4" l="1"/>
  <c r="G75" i="4"/>
  <c r="F76" i="4"/>
  <c r="I75" i="3"/>
  <c r="G75" i="3"/>
  <c r="F76" i="3"/>
  <c r="G76" i="4" l="1"/>
  <c r="I76" i="4"/>
  <c r="F77" i="4"/>
  <c r="G76" i="3"/>
  <c r="I76" i="3"/>
  <c r="F77" i="3"/>
  <c r="I77" i="4" l="1"/>
  <c r="G77" i="4"/>
  <c r="F78" i="4"/>
  <c r="I77" i="3"/>
  <c r="G77" i="3"/>
  <c r="F78" i="3"/>
  <c r="G78" i="4" l="1"/>
  <c r="I78" i="4"/>
  <c r="F79" i="4"/>
  <c r="G78" i="3"/>
  <c r="I78" i="3"/>
  <c r="F79" i="3"/>
  <c r="I79" i="4" l="1"/>
  <c r="G79" i="4"/>
  <c r="F80" i="4"/>
  <c r="I79" i="3"/>
  <c r="G79" i="3"/>
  <c r="F80" i="3"/>
  <c r="G80" i="4" l="1"/>
  <c r="I80" i="4"/>
  <c r="F81" i="4"/>
  <c r="G80" i="3"/>
  <c r="I80" i="3"/>
  <c r="F81" i="3"/>
  <c r="I81" i="4" l="1"/>
  <c r="G81" i="4"/>
  <c r="F82" i="4"/>
  <c r="I81" i="3"/>
  <c r="G81" i="3"/>
  <c r="F82" i="3"/>
  <c r="G82" i="4" l="1"/>
  <c r="I82" i="4"/>
  <c r="F83" i="4"/>
  <c r="G82" i="3"/>
  <c r="I82" i="3"/>
  <c r="F83" i="3"/>
  <c r="I83" i="4" l="1"/>
  <c r="G83" i="4"/>
  <c r="F84" i="4"/>
  <c r="I83" i="3"/>
  <c r="G83" i="3"/>
  <c r="F84" i="3"/>
  <c r="G84" i="4" l="1"/>
  <c r="I84" i="4"/>
  <c r="F85" i="4"/>
  <c r="G84" i="3"/>
  <c r="I84" i="3"/>
  <c r="F85" i="3"/>
  <c r="I85" i="4" l="1"/>
  <c r="G85" i="4"/>
  <c r="F86" i="4"/>
  <c r="I85" i="3"/>
  <c r="G85" i="3"/>
  <c r="F86" i="3"/>
  <c r="G86" i="4" l="1"/>
  <c r="I86" i="4"/>
  <c r="F87" i="4"/>
  <c r="G86" i="3"/>
  <c r="I86" i="3"/>
  <c r="F87" i="3"/>
  <c r="I87" i="4" l="1"/>
  <c r="G87" i="4"/>
  <c r="F88" i="4"/>
  <c r="I87" i="3"/>
  <c r="G87" i="3"/>
  <c r="F88" i="3"/>
  <c r="G88" i="4" l="1"/>
  <c r="I88" i="4"/>
  <c r="F89" i="4"/>
  <c r="G88" i="3"/>
  <c r="I88" i="3"/>
  <c r="F89" i="3"/>
  <c r="I89" i="4" l="1"/>
  <c r="G89" i="4"/>
  <c r="F90" i="4"/>
  <c r="I89" i="3"/>
  <c r="G89" i="3"/>
  <c r="F90" i="3"/>
  <c r="G90" i="4" l="1"/>
  <c r="I90" i="4"/>
  <c r="F91" i="4"/>
  <c r="G90" i="3"/>
  <c r="I90" i="3"/>
  <c r="F91" i="3"/>
  <c r="I91" i="4" l="1"/>
  <c r="G91" i="4"/>
  <c r="F92" i="4"/>
  <c r="I91" i="3"/>
  <c r="G91" i="3"/>
  <c r="F92" i="3"/>
  <c r="G92" i="4" l="1"/>
  <c r="I92" i="4"/>
  <c r="F93" i="4"/>
  <c r="G92" i="3"/>
  <c r="I92" i="3"/>
  <c r="F93" i="3"/>
  <c r="I93" i="4" l="1"/>
  <c r="G93" i="4"/>
  <c r="F94" i="4"/>
  <c r="I93" i="3"/>
  <c r="G93" i="3"/>
  <c r="F94" i="3"/>
  <c r="G94" i="4" l="1"/>
  <c r="I94" i="4"/>
  <c r="F95" i="4"/>
  <c r="G94" i="3"/>
  <c r="I94" i="3"/>
  <c r="F95" i="3"/>
  <c r="I95" i="4" l="1"/>
  <c r="G95" i="4"/>
  <c r="F96" i="4"/>
  <c r="I95" i="3"/>
  <c r="G95" i="3"/>
  <c r="F96" i="3"/>
  <c r="G96" i="4" l="1"/>
  <c r="I96" i="4"/>
  <c r="F97" i="4"/>
  <c r="G96" i="3"/>
  <c r="I96" i="3"/>
  <c r="F97" i="3"/>
  <c r="I97" i="4" l="1"/>
  <c r="G97" i="4"/>
  <c r="F98" i="4"/>
  <c r="I97" i="3"/>
  <c r="G97" i="3"/>
  <c r="F98" i="3"/>
  <c r="G98" i="4" l="1"/>
  <c r="I98" i="4"/>
  <c r="F99" i="4"/>
  <c r="G98" i="3"/>
  <c r="I98" i="3"/>
  <c r="F99" i="3"/>
  <c r="I99" i="4" l="1"/>
  <c r="G99" i="4"/>
  <c r="F100" i="4"/>
  <c r="G99" i="3"/>
  <c r="I99" i="3"/>
  <c r="F100" i="3"/>
  <c r="G100" i="4" l="1"/>
  <c r="I100" i="4"/>
  <c r="F101" i="4"/>
  <c r="I100" i="3"/>
  <c r="G100" i="3"/>
  <c r="F101" i="3"/>
  <c r="I101" i="4" l="1"/>
  <c r="G101" i="4"/>
  <c r="F102" i="4"/>
  <c r="G101" i="3"/>
  <c r="I101" i="3"/>
  <c r="F102" i="3"/>
  <c r="G102" i="4" l="1"/>
  <c r="I102" i="4"/>
  <c r="F103" i="4"/>
  <c r="I102" i="3"/>
  <c r="G102" i="3"/>
  <c r="F103" i="3"/>
  <c r="I103" i="4" l="1"/>
  <c r="G103" i="4"/>
  <c r="F104" i="4"/>
  <c r="G103" i="3"/>
  <c r="I103" i="3"/>
  <c r="F104" i="3"/>
  <c r="G104" i="4" l="1"/>
  <c r="I104" i="4"/>
  <c r="F105" i="4"/>
  <c r="I104" i="3"/>
  <c r="G104" i="3"/>
  <c r="F105" i="3"/>
  <c r="I105" i="4" l="1"/>
  <c r="G105" i="4"/>
  <c r="F106" i="4"/>
  <c r="G105" i="3"/>
  <c r="I105" i="3"/>
  <c r="F106" i="3"/>
  <c r="G106" i="4" l="1"/>
  <c r="I106" i="4"/>
  <c r="F107" i="4"/>
  <c r="I106" i="3"/>
  <c r="G106" i="3"/>
  <c r="F107" i="3"/>
  <c r="I107" i="4" l="1"/>
  <c r="G107" i="4"/>
  <c r="F108" i="4"/>
  <c r="G107" i="3"/>
  <c r="I107" i="3"/>
  <c r="F108" i="3"/>
  <c r="G108" i="4" l="1"/>
  <c r="I108" i="4"/>
  <c r="F109" i="4"/>
  <c r="I108" i="3"/>
  <c r="G108" i="3"/>
  <c r="F109" i="3"/>
  <c r="I109" i="4" l="1"/>
  <c r="G109" i="4"/>
  <c r="F110" i="4"/>
  <c r="G109" i="3"/>
  <c r="I109" i="3"/>
  <c r="F110" i="3"/>
  <c r="G110" i="4" l="1"/>
  <c r="I110" i="4"/>
  <c r="F111" i="4"/>
  <c r="I110" i="3"/>
  <c r="G110" i="3"/>
  <c r="F111" i="3"/>
  <c r="I111" i="4" l="1"/>
  <c r="G111" i="4"/>
  <c r="F112" i="4"/>
  <c r="G111" i="3"/>
  <c r="I111" i="3"/>
  <c r="F112" i="3"/>
  <c r="G112" i="4" l="1"/>
  <c r="I112" i="4"/>
  <c r="F113" i="4"/>
  <c r="I112" i="3"/>
  <c r="G112" i="3"/>
  <c r="F113" i="3"/>
  <c r="I113" i="4" l="1"/>
  <c r="G113" i="4"/>
  <c r="F114" i="4"/>
  <c r="G113" i="3"/>
  <c r="I113" i="3"/>
  <c r="F114" i="3"/>
  <c r="G114" i="4" l="1"/>
  <c r="I114" i="4"/>
  <c r="F115" i="4"/>
  <c r="I114" i="3"/>
  <c r="G114" i="3"/>
  <c r="F115" i="3"/>
  <c r="I115" i="4" l="1"/>
  <c r="G115" i="4"/>
  <c r="F116" i="4"/>
  <c r="G115" i="3"/>
  <c r="I115" i="3"/>
  <c r="F116" i="3"/>
  <c r="G116" i="4" l="1"/>
  <c r="I116" i="4"/>
  <c r="F117" i="4"/>
  <c r="I116" i="3"/>
  <c r="G116" i="3"/>
  <c r="F117" i="3"/>
  <c r="I117" i="4" l="1"/>
  <c r="G117" i="4"/>
  <c r="F118" i="4"/>
  <c r="G117" i="3"/>
  <c r="I117" i="3"/>
  <c r="F118" i="3"/>
  <c r="G118" i="4" l="1"/>
  <c r="I118" i="4"/>
  <c r="F119" i="4"/>
  <c r="I118" i="3"/>
  <c r="G118" i="3"/>
  <c r="F119" i="3"/>
  <c r="I119" i="4" l="1"/>
  <c r="G119" i="4"/>
  <c r="F120" i="4"/>
  <c r="G119" i="3"/>
  <c r="I119" i="3"/>
  <c r="F120" i="3"/>
  <c r="G120" i="4" l="1"/>
  <c r="I120" i="4"/>
  <c r="F121" i="4"/>
  <c r="I120" i="3"/>
  <c r="G120" i="3"/>
  <c r="F121" i="3"/>
  <c r="I121" i="4" l="1"/>
  <c r="G121" i="4"/>
  <c r="F122" i="4"/>
  <c r="G121" i="3"/>
  <c r="I121" i="3"/>
  <c r="F122" i="3"/>
  <c r="G122" i="4" l="1"/>
  <c r="I122" i="4"/>
  <c r="F123" i="4"/>
  <c r="I122" i="3"/>
  <c r="G122" i="3"/>
  <c r="F123" i="3"/>
  <c r="I123" i="4" l="1"/>
  <c r="G123" i="4"/>
  <c r="F124" i="4"/>
  <c r="G123" i="3"/>
  <c r="I123" i="3"/>
  <c r="F124" i="3"/>
  <c r="G124" i="4" l="1"/>
  <c r="I124" i="4"/>
  <c r="F125" i="4"/>
  <c r="I124" i="3"/>
  <c r="G124" i="3"/>
  <c r="F125" i="3"/>
  <c r="I125" i="4" l="1"/>
  <c r="G125" i="4"/>
  <c r="F126" i="4"/>
  <c r="G125" i="3"/>
  <c r="I125" i="3"/>
  <c r="F126" i="3"/>
  <c r="G126" i="4" l="1"/>
  <c r="I126" i="4"/>
  <c r="F127" i="4"/>
  <c r="I126" i="3"/>
  <c r="G126" i="3"/>
  <c r="F127" i="3"/>
  <c r="I127" i="4" l="1"/>
  <c r="G127" i="4"/>
  <c r="F128" i="4"/>
  <c r="G127" i="3"/>
  <c r="I127" i="3"/>
  <c r="F128" i="3"/>
  <c r="G128" i="4" l="1"/>
  <c r="I128" i="4"/>
  <c r="F129" i="4"/>
  <c r="I128" i="3"/>
  <c r="G128" i="3"/>
  <c r="F129" i="3"/>
  <c r="I129" i="4" l="1"/>
  <c r="G129" i="4"/>
  <c r="F130" i="4"/>
  <c r="G129" i="3"/>
  <c r="I129" i="3"/>
  <c r="F130" i="3"/>
  <c r="G130" i="4" l="1"/>
  <c r="I130" i="4"/>
  <c r="F131" i="4"/>
  <c r="I130" i="3"/>
  <c r="G130" i="3"/>
  <c r="F131" i="3"/>
  <c r="I131" i="4" l="1"/>
  <c r="G131" i="4"/>
  <c r="F132" i="4"/>
  <c r="G131" i="3"/>
  <c r="I131" i="3"/>
  <c r="F132" i="3"/>
  <c r="G132" i="4" l="1"/>
  <c r="I132" i="4"/>
  <c r="F133" i="4"/>
  <c r="I132" i="3"/>
  <c r="G132" i="3"/>
  <c r="F133" i="3"/>
  <c r="I133" i="4" l="1"/>
  <c r="G133" i="4"/>
  <c r="F134" i="4"/>
  <c r="G133" i="3"/>
  <c r="I133" i="3"/>
  <c r="F134" i="3"/>
  <c r="G134" i="4" l="1"/>
  <c r="I134" i="4"/>
  <c r="F135" i="4"/>
  <c r="I134" i="3"/>
  <c r="G134" i="3"/>
  <c r="F135" i="3"/>
  <c r="I135" i="4" l="1"/>
  <c r="G135" i="4"/>
  <c r="F136" i="4"/>
  <c r="G135" i="3"/>
  <c r="I135" i="3"/>
  <c r="F136" i="3"/>
  <c r="G136" i="4" l="1"/>
  <c r="I136" i="4"/>
  <c r="F137" i="4"/>
  <c r="I136" i="3"/>
  <c r="G136" i="3"/>
  <c r="F137" i="3"/>
  <c r="I137" i="4" l="1"/>
  <c r="G137" i="4"/>
  <c r="F138" i="4"/>
  <c r="G137" i="3"/>
  <c r="I137" i="3"/>
  <c r="F138" i="3"/>
  <c r="G138" i="4" l="1"/>
  <c r="I138" i="4"/>
  <c r="F139" i="4"/>
  <c r="I138" i="3"/>
  <c r="G138" i="3"/>
  <c r="F139" i="3"/>
  <c r="I139" i="4" l="1"/>
  <c r="G139" i="4"/>
  <c r="F140" i="4"/>
  <c r="G139" i="3"/>
  <c r="I139" i="3"/>
  <c r="F140" i="3"/>
  <c r="G140" i="4" l="1"/>
  <c r="I140" i="4"/>
  <c r="F141" i="4"/>
  <c r="I140" i="3"/>
  <c r="G140" i="3"/>
  <c r="F141" i="3"/>
  <c r="I141" i="4" l="1"/>
  <c r="G141" i="4"/>
  <c r="F142" i="4"/>
  <c r="G141" i="3"/>
  <c r="I141" i="3"/>
  <c r="F142" i="3"/>
  <c r="G142" i="4" l="1"/>
  <c r="I142" i="4"/>
  <c r="F143" i="4"/>
  <c r="I142" i="3"/>
  <c r="G142" i="3"/>
  <c r="F143" i="3"/>
  <c r="I143" i="4" l="1"/>
  <c r="G143" i="4"/>
  <c r="F144" i="4"/>
  <c r="G143" i="3"/>
  <c r="I143" i="3"/>
  <c r="F144" i="3"/>
  <c r="G144" i="4" l="1"/>
  <c r="I144" i="4"/>
  <c r="F145" i="4"/>
  <c r="I144" i="3"/>
  <c r="G144" i="3"/>
  <c r="F145" i="3"/>
  <c r="I145" i="4" l="1"/>
  <c r="G145" i="4"/>
  <c r="F146" i="4"/>
  <c r="G145" i="3"/>
  <c r="I145" i="3"/>
  <c r="F146" i="3"/>
  <c r="G146" i="4" l="1"/>
  <c r="I146" i="4"/>
  <c r="F147" i="4"/>
  <c r="I146" i="3"/>
  <c r="G146" i="3"/>
  <c r="F147" i="3"/>
  <c r="I147" i="4" l="1"/>
  <c r="G147" i="4"/>
  <c r="F148" i="4"/>
  <c r="G147" i="3"/>
  <c r="I147" i="3"/>
  <c r="F148" i="3"/>
  <c r="G148" i="4" l="1"/>
  <c r="I148" i="4"/>
  <c r="F149" i="4"/>
  <c r="I148" i="3"/>
  <c r="G148" i="3"/>
  <c r="F149" i="3"/>
  <c r="I149" i="4" l="1"/>
  <c r="G149" i="4"/>
  <c r="F150" i="4"/>
  <c r="G149" i="3"/>
  <c r="I149" i="3"/>
  <c r="F150" i="3"/>
  <c r="G150" i="4" l="1"/>
  <c r="I150" i="4"/>
  <c r="F151" i="4"/>
  <c r="I150" i="3"/>
  <c r="G150" i="3"/>
  <c r="F151" i="3"/>
  <c r="I151" i="4" l="1"/>
  <c r="G151" i="4"/>
  <c r="F152" i="4"/>
  <c r="G151" i="3"/>
  <c r="I151" i="3"/>
  <c r="F152" i="3"/>
  <c r="G152" i="4" l="1"/>
  <c r="I152" i="4"/>
  <c r="F153" i="4"/>
  <c r="I152" i="3"/>
  <c r="G152" i="3"/>
  <c r="F153" i="3"/>
  <c r="I153" i="4" l="1"/>
  <c r="G153" i="4"/>
  <c r="F154" i="4"/>
  <c r="G153" i="3"/>
  <c r="I153" i="3"/>
  <c r="F154" i="3"/>
  <c r="G154" i="4" l="1"/>
  <c r="I154" i="4"/>
  <c r="F155" i="4"/>
  <c r="I154" i="3"/>
  <c r="G154" i="3"/>
  <c r="F155" i="3"/>
  <c r="I155" i="4" l="1"/>
  <c r="G155" i="4"/>
  <c r="F156" i="4"/>
  <c r="G155" i="3"/>
  <c r="I155" i="3"/>
  <c r="F156" i="3"/>
  <c r="G156" i="4" l="1"/>
  <c r="I156" i="4"/>
  <c r="F157" i="4"/>
  <c r="I156" i="3"/>
  <c r="G156" i="3"/>
  <c r="F157" i="3"/>
  <c r="I157" i="4" l="1"/>
  <c r="G157" i="4"/>
  <c r="F158" i="4"/>
  <c r="G157" i="3"/>
  <c r="I157" i="3"/>
  <c r="F158" i="3"/>
  <c r="G158" i="4" l="1"/>
  <c r="I158" i="4"/>
  <c r="F159" i="4"/>
  <c r="I158" i="3"/>
  <c r="G158" i="3"/>
  <c r="F159" i="3"/>
  <c r="I159" i="4" l="1"/>
  <c r="G159" i="4"/>
  <c r="F160" i="4"/>
  <c r="G159" i="3"/>
  <c r="I159" i="3"/>
  <c r="F160" i="3"/>
  <c r="G160" i="4" l="1"/>
  <c r="I160" i="4"/>
  <c r="F161" i="4"/>
  <c r="I160" i="3"/>
  <c r="G160" i="3"/>
  <c r="F161" i="3"/>
  <c r="I161" i="4" l="1"/>
  <c r="G161" i="4"/>
  <c r="F162" i="4"/>
  <c r="G161" i="3"/>
  <c r="I161" i="3"/>
  <c r="F162" i="3"/>
  <c r="G162" i="4" l="1"/>
  <c r="I162" i="4"/>
  <c r="F163" i="4"/>
  <c r="I162" i="3"/>
  <c r="G162" i="3"/>
  <c r="F163" i="3"/>
  <c r="I163" i="4" l="1"/>
  <c r="G163" i="4"/>
  <c r="F164" i="4"/>
  <c r="G163" i="3"/>
  <c r="I163" i="3"/>
  <c r="F164" i="3"/>
  <c r="G164" i="4" l="1"/>
  <c r="I164" i="4"/>
  <c r="F165" i="4"/>
  <c r="I164" i="3"/>
  <c r="G164" i="3"/>
  <c r="F165" i="3"/>
  <c r="I165" i="4" l="1"/>
  <c r="G165" i="4"/>
  <c r="F166" i="4"/>
  <c r="G165" i="3"/>
  <c r="I165" i="3"/>
  <c r="F166" i="3"/>
  <c r="G166" i="4" l="1"/>
  <c r="I166" i="4"/>
  <c r="F167" i="4"/>
  <c r="I166" i="3"/>
  <c r="G166" i="3"/>
  <c r="F167" i="3"/>
  <c r="I167" i="4" l="1"/>
  <c r="G167" i="4"/>
  <c r="F168" i="4"/>
  <c r="G167" i="3"/>
  <c r="I167" i="3"/>
  <c r="F168" i="3"/>
  <c r="G168" i="4" l="1"/>
  <c r="I168" i="4"/>
  <c r="F169" i="4"/>
  <c r="I168" i="3"/>
  <c r="G168" i="3"/>
  <c r="F169" i="3"/>
  <c r="I169" i="4" l="1"/>
  <c r="G169" i="4"/>
  <c r="F170" i="4"/>
  <c r="G169" i="3"/>
  <c r="I169" i="3"/>
  <c r="F170" i="3"/>
  <c r="G170" i="4" l="1"/>
  <c r="I170" i="4"/>
  <c r="F171" i="4"/>
  <c r="I170" i="3"/>
  <c r="G170" i="3"/>
  <c r="F171" i="3"/>
  <c r="I171" i="4" l="1"/>
  <c r="G171" i="4"/>
  <c r="F172" i="4"/>
  <c r="G171" i="3"/>
  <c r="I171" i="3"/>
  <c r="F172" i="3"/>
  <c r="G172" i="4" l="1"/>
  <c r="I172" i="4"/>
  <c r="F173" i="4"/>
  <c r="I172" i="3"/>
  <c r="G172" i="3"/>
  <c r="F173" i="3"/>
  <c r="I173" i="4" l="1"/>
  <c r="G173" i="4"/>
  <c r="F174" i="4"/>
  <c r="G173" i="3"/>
  <c r="I173" i="3"/>
  <c r="F174" i="3"/>
  <c r="G174" i="4" l="1"/>
  <c r="I174" i="4"/>
  <c r="F175" i="4"/>
  <c r="I174" i="3"/>
  <c r="G174" i="3"/>
  <c r="F175" i="3"/>
  <c r="G175" i="4" l="1"/>
  <c r="I175" i="4"/>
  <c r="F176" i="4"/>
  <c r="G175" i="3"/>
  <c r="I175" i="3"/>
  <c r="F176" i="3"/>
  <c r="I176" i="4" l="1"/>
  <c r="G176" i="4"/>
  <c r="F177" i="4"/>
  <c r="I176" i="3"/>
  <c r="G176" i="3"/>
  <c r="F177" i="3"/>
  <c r="G177" i="4" l="1"/>
  <c r="I177" i="4"/>
  <c r="F178" i="4"/>
  <c r="G177" i="3"/>
  <c r="I177" i="3"/>
  <c r="F178" i="3"/>
  <c r="I178" i="4" l="1"/>
  <c r="G178" i="4"/>
  <c r="F179" i="4"/>
  <c r="I178" i="3"/>
  <c r="G178" i="3"/>
  <c r="F179" i="3"/>
  <c r="G179" i="4" l="1"/>
  <c r="I179" i="4"/>
  <c r="F180" i="4"/>
  <c r="G179" i="3"/>
  <c r="I179" i="3"/>
  <c r="F180" i="3"/>
  <c r="I180" i="4" l="1"/>
  <c r="G180" i="4"/>
  <c r="F181" i="4"/>
  <c r="I180" i="3"/>
  <c r="G180" i="3"/>
  <c r="F181" i="3"/>
  <c r="G181" i="4" l="1"/>
  <c r="I181" i="4"/>
  <c r="F182" i="4"/>
  <c r="G181" i="3"/>
  <c r="I181" i="3"/>
  <c r="F182" i="3"/>
  <c r="I182" i="4" l="1"/>
  <c r="G182" i="4"/>
  <c r="F183" i="4"/>
  <c r="I182" i="3"/>
  <c r="G182" i="3"/>
  <c r="F183" i="3"/>
  <c r="G183" i="4" l="1"/>
  <c r="I183" i="4"/>
  <c r="F184" i="4"/>
  <c r="G183" i="3"/>
  <c r="I183" i="3"/>
  <c r="F184" i="3"/>
  <c r="I184" i="4" l="1"/>
  <c r="G184" i="4"/>
  <c r="F185" i="4"/>
  <c r="I184" i="3"/>
  <c r="G184" i="3"/>
  <c r="F185" i="3"/>
  <c r="G185" i="4" l="1"/>
  <c r="I185" i="4"/>
  <c r="F186" i="4"/>
  <c r="G185" i="3"/>
  <c r="I185" i="3"/>
  <c r="F186" i="3"/>
  <c r="I186" i="4" l="1"/>
  <c r="G186" i="4"/>
  <c r="F187" i="4"/>
  <c r="I186" i="3"/>
  <c r="G186" i="3"/>
  <c r="F187" i="3"/>
  <c r="G187" i="4" l="1"/>
  <c r="I187" i="4"/>
  <c r="F188" i="4"/>
  <c r="G187" i="3"/>
  <c r="I187" i="3"/>
  <c r="F188" i="3"/>
  <c r="I188" i="4" l="1"/>
  <c r="G188" i="4"/>
  <c r="F189" i="4"/>
  <c r="I188" i="3"/>
  <c r="G188" i="3"/>
  <c r="F189" i="3"/>
  <c r="G189" i="4" l="1"/>
  <c r="I189" i="4"/>
  <c r="F190" i="4"/>
  <c r="G189" i="3"/>
  <c r="I189" i="3"/>
  <c r="F190" i="3"/>
  <c r="I190" i="4" l="1"/>
  <c r="G190" i="4"/>
  <c r="F191" i="4"/>
  <c r="I190" i="3"/>
  <c r="G190" i="3"/>
  <c r="F191" i="3"/>
  <c r="G191" i="4" l="1"/>
  <c r="I191" i="4"/>
  <c r="F192" i="4"/>
  <c r="G191" i="3"/>
  <c r="I191" i="3"/>
  <c r="F192" i="3"/>
  <c r="I192" i="4" l="1"/>
  <c r="G192" i="4"/>
  <c r="F193" i="4"/>
  <c r="I192" i="3"/>
  <c r="G192" i="3"/>
  <c r="F193" i="3"/>
  <c r="G193" i="4" l="1"/>
  <c r="I193" i="4"/>
  <c r="F194" i="4"/>
  <c r="G193" i="3"/>
  <c r="I193" i="3"/>
  <c r="F194" i="3"/>
  <c r="I194" i="4" l="1"/>
  <c r="G194" i="4"/>
  <c r="F195" i="4"/>
  <c r="I194" i="3"/>
  <c r="G194" i="3"/>
  <c r="F195" i="3"/>
  <c r="G195" i="4" l="1"/>
  <c r="I195" i="4"/>
  <c r="F196" i="4"/>
  <c r="G195" i="3"/>
  <c r="I195" i="3"/>
  <c r="F196" i="3"/>
  <c r="I196" i="4" l="1"/>
  <c r="G196" i="4"/>
  <c r="F197" i="4"/>
  <c r="I196" i="3"/>
  <c r="G196" i="3"/>
  <c r="F197" i="3"/>
  <c r="G197" i="4" l="1"/>
  <c r="I197" i="4"/>
  <c r="F198" i="4"/>
  <c r="G197" i="3"/>
  <c r="I197" i="3"/>
  <c r="F198" i="3"/>
  <c r="I198" i="4" l="1"/>
  <c r="G198" i="4"/>
  <c r="F199" i="4"/>
  <c r="I198" i="3"/>
  <c r="G198" i="3"/>
  <c r="F199" i="3"/>
  <c r="G199" i="4" l="1"/>
  <c r="I199" i="4"/>
  <c r="F200" i="4"/>
  <c r="G199" i="3"/>
  <c r="I199" i="3"/>
  <c r="F200" i="3"/>
  <c r="I200" i="4" l="1"/>
  <c r="G200" i="4"/>
  <c r="F201" i="4"/>
  <c r="I200" i="3"/>
  <c r="G200" i="3"/>
  <c r="F201" i="3"/>
  <c r="G201" i="4" l="1"/>
  <c r="I201" i="4"/>
  <c r="F202" i="4"/>
  <c r="G201" i="3"/>
  <c r="I201" i="3"/>
  <c r="F202" i="3"/>
  <c r="I202" i="4" l="1"/>
  <c r="G202" i="4"/>
  <c r="F203" i="4"/>
  <c r="I202" i="3"/>
  <c r="G202" i="3"/>
  <c r="F203" i="3"/>
  <c r="G203" i="4" l="1"/>
  <c r="I203" i="4"/>
  <c r="F204" i="4"/>
  <c r="G203" i="3"/>
  <c r="I203" i="3"/>
  <c r="F204" i="3"/>
  <c r="I204" i="4" l="1"/>
  <c r="G204" i="4"/>
  <c r="F205" i="4"/>
  <c r="I204" i="3"/>
  <c r="G204" i="3"/>
  <c r="F205" i="3"/>
  <c r="G205" i="4" l="1"/>
  <c r="I205" i="4"/>
  <c r="F206" i="4"/>
  <c r="G205" i="3"/>
  <c r="I205" i="3"/>
  <c r="F206" i="3"/>
  <c r="I206" i="4" l="1"/>
  <c r="G206" i="4"/>
  <c r="F207" i="4"/>
  <c r="I206" i="3"/>
  <c r="G206" i="3"/>
  <c r="F207" i="3"/>
  <c r="G207" i="4" l="1"/>
  <c r="I207" i="4"/>
  <c r="F208" i="4"/>
  <c r="G207" i="3"/>
  <c r="I207" i="3"/>
  <c r="F208" i="3"/>
  <c r="I208" i="4" l="1"/>
  <c r="G208" i="4"/>
  <c r="F209" i="4"/>
  <c r="I208" i="3"/>
  <c r="G208" i="3"/>
  <c r="F209" i="3"/>
  <c r="G209" i="4" l="1"/>
  <c r="I209" i="4"/>
  <c r="F210" i="4"/>
  <c r="G209" i="3"/>
  <c r="I209" i="3"/>
  <c r="F210" i="3"/>
  <c r="I210" i="4" l="1"/>
  <c r="G210" i="4"/>
  <c r="F211" i="4"/>
  <c r="I210" i="3"/>
  <c r="G210" i="3"/>
  <c r="F211" i="3"/>
  <c r="G211" i="4" l="1"/>
  <c r="I211" i="4"/>
  <c r="F212" i="4"/>
  <c r="G211" i="3"/>
  <c r="I211" i="3"/>
  <c r="F212" i="3"/>
  <c r="I212" i="4" l="1"/>
  <c r="G212" i="4"/>
  <c r="F213" i="4"/>
  <c r="I212" i="3"/>
  <c r="G212" i="3"/>
  <c r="F213" i="3"/>
  <c r="G213" i="4" l="1"/>
  <c r="I213" i="4"/>
  <c r="F214" i="4"/>
  <c r="G213" i="3"/>
  <c r="I213" i="3"/>
  <c r="F214" i="3"/>
  <c r="I214" i="4" l="1"/>
  <c r="G214" i="4"/>
  <c r="F215" i="4"/>
  <c r="I214" i="3"/>
  <c r="G214" i="3"/>
  <c r="F215" i="3"/>
  <c r="G215" i="4" l="1"/>
  <c r="I215" i="4"/>
  <c r="F216" i="4"/>
  <c r="G215" i="3"/>
  <c r="I215" i="3"/>
  <c r="F216" i="3"/>
  <c r="I216" i="4" l="1"/>
  <c r="G216" i="4"/>
  <c r="F217" i="4"/>
  <c r="I216" i="3"/>
  <c r="G216" i="3"/>
  <c r="F217" i="3"/>
  <c r="G217" i="4" l="1"/>
  <c r="I217" i="4"/>
  <c r="F218" i="4"/>
  <c r="G217" i="3"/>
  <c r="I217" i="3"/>
  <c r="F218" i="3"/>
  <c r="I218" i="4" l="1"/>
  <c r="G218" i="4"/>
  <c r="F219" i="4"/>
  <c r="I218" i="3"/>
  <c r="G218" i="3"/>
  <c r="F219" i="3"/>
  <c r="I219" i="4" l="1"/>
  <c r="G219" i="4"/>
  <c r="F220" i="4"/>
  <c r="G219" i="3"/>
  <c r="I219" i="3"/>
  <c r="F220" i="3"/>
  <c r="G220" i="4" l="1"/>
  <c r="I220" i="4"/>
  <c r="F221" i="4"/>
  <c r="I220" i="3"/>
  <c r="G220" i="3"/>
  <c r="F221" i="3"/>
  <c r="I221" i="4" l="1"/>
  <c r="G221" i="4"/>
  <c r="F222" i="4"/>
  <c r="G221" i="3"/>
  <c r="I221" i="3"/>
  <c r="F222" i="3"/>
  <c r="G222" i="4" l="1"/>
  <c r="F223" i="4"/>
  <c r="I222" i="4"/>
  <c r="I222" i="3"/>
  <c r="G222" i="3"/>
  <c r="F223" i="3"/>
  <c r="I223" i="4" l="1"/>
  <c r="G223" i="4"/>
  <c r="F224" i="4"/>
  <c r="G223" i="3"/>
  <c r="I223" i="3"/>
  <c r="F224" i="3"/>
  <c r="G224" i="4" l="1"/>
  <c r="I224" i="4"/>
  <c r="F225" i="4"/>
  <c r="I224" i="3"/>
  <c r="G224" i="3"/>
  <c r="F225" i="3"/>
  <c r="I225" i="4" l="1"/>
  <c r="G225" i="4"/>
  <c r="F226" i="4"/>
  <c r="G225" i="3"/>
  <c r="I225" i="3"/>
  <c r="F226" i="3"/>
  <c r="G226" i="4" l="1"/>
  <c r="I226" i="4"/>
  <c r="F227" i="4"/>
  <c r="I226" i="3"/>
  <c r="G226" i="3"/>
  <c r="F227" i="3"/>
  <c r="I227" i="4" l="1"/>
  <c r="G227" i="4"/>
  <c r="F228" i="4"/>
  <c r="G227" i="3"/>
  <c r="I227" i="3"/>
  <c r="F228" i="3"/>
  <c r="G228" i="4" l="1"/>
  <c r="I228" i="4"/>
  <c r="F229" i="4"/>
  <c r="I228" i="3"/>
  <c r="G228" i="3"/>
  <c r="F229" i="3"/>
  <c r="I229" i="4" l="1"/>
  <c r="G229" i="4"/>
  <c r="F230" i="4"/>
  <c r="G229" i="3"/>
  <c r="I229" i="3"/>
  <c r="F230" i="3"/>
  <c r="G230" i="4" l="1"/>
  <c r="I230" i="4"/>
  <c r="F231" i="4"/>
  <c r="I230" i="3"/>
  <c r="G230" i="3"/>
  <c r="F231" i="3"/>
  <c r="I231" i="4" l="1"/>
  <c r="G231" i="4"/>
  <c r="F232" i="4"/>
  <c r="G231" i="3"/>
  <c r="I231" i="3"/>
  <c r="F232" i="3"/>
  <c r="G232" i="4" l="1"/>
  <c r="I232" i="4"/>
  <c r="F233" i="4"/>
  <c r="I232" i="3"/>
  <c r="G232" i="3"/>
  <c r="F233" i="3"/>
  <c r="I233" i="4" l="1"/>
  <c r="G233" i="4"/>
  <c r="F234" i="4"/>
  <c r="G233" i="3"/>
  <c r="I233" i="3"/>
  <c r="F234" i="3"/>
  <c r="G234" i="4" l="1"/>
  <c r="I234" i="4"/>
  <c r="F235" i="4"/>
  <c r="I234" i="3"/>
  <c r="G234" i="3"/>
  <c r="F235" i="3"/>
  <c r="I235" i="4" l="1"/>
  <c r="G235" i="4"/>
  <c r="F236" i="4"/>
  <c r="G235" i="3"/>
  <c r="I235" i="3"/>
  <c r="F236" i="3"/>
  <c r="G236" i="4" l="1"/>
  <c r="I236" i="4"/>
  <c r="F237" i="4"/>
  <c r="I236" i="3"/>
  <c r="G236" i="3"/>
  <c r="F237" i="3"/>
  <c r="I237" i="4" l="1"/>
  <c r="G237" i="4"/>
  <c r="F238" i="4"/>
  <c r="G237" i="3"/>
  <c r="I237" i="3"/>
  <c r="F238" i="3"/>
  <c r="G238" i="4" l="1"/>
  <c r="I238" i="4"/>
  <c r="F239" i="4"/>
  <c r="I238" i="3"/>
  <c r="G238" i="3"/>
  <c r="F239" i="3"/>
  <c r="I239" i="4" l="1"/>
  <c r="G239" i="4"/>
  <c r="F240" i="4"/>
  <c r="G239" i="3"/>
  <c r="I239" i="3"/>
  <c r="F240" i="3"/>
  <c r="G240" i="4" l="1"/>
  <c r="I240" i="4"/>
  <c r="F241" i="4"/>
  <c r="I240" i="3"/>
  <c r="G240" i="3"/>
  <c r="F241" i="3"/>
  <c r="I241" i="4" l="1"/>
  <c r="G241" i="4"/>
  <c r="F242" i="4"/>
  <c r="G241" i="3"/>
  <c r="I241" i="3"/>
  <c r="F242" i="3"/>
  <c r="G242" i="4" l="1"/>
  <c r="I242" i="4"/>
  <c r="F243" i="4"/>
  <c r="I242" i="3"/>
  <c r="G242" i="3"/>
  <c r="F243" i="3"/>
  <c r="I243" i="4" l="1"/>
  <c r="G243" i="4"/>
  <c r="F244" i="4"/>
  <c r="G243" i="3"/>
  <c r="I243" i="3"/>
  <c r="F244" i="3"/>
  <c r="G244" i="4" l="1"/>
  <c r="I244" i="4"/>
  <c r="F245" i="4"/>
  <c r="I244" i="3"/>
  <c r="G244" i="3"/>
  <c r="F245" i="3"/>
  <c r="I245" i="4" l="1"/>
  <c r="G245" i="4"/>
  <c r="F246" i="4"/>
  <c r="G245" i="3"/>
  <c r="I245" i="3"/>
  <c r="F246" i="3"/>
  <c r="G246" i="4" l="1"/>
  <c r="I246" i="4"/>
  <c r="F247" i="4"/>
  <c r="I246" i="3"/>
  <c r="G246" i="3"/>
  <c r="F247" i="3"/>
  <c r="I247" i="4" l="1"/>
  <c r="G247" i="4"/>
  <c r="F248" i="4"/>
  <c r="G247" i="3"/>
  <c r="I247" i="3"/>
  <c r="F248" i="3"/>
  <c r="G248" i="4" l="1"/>
  <c r="I248" i="4"/>
  <c r="F249" i="4"/>
  <c r="I248" i="3"/>
  <c r="G248" i="3"/>
  <c r="F249" i="3"/>
  <c r="I249" i="4" l="1"/>
  <c r="G249" i="4"/>
  <c r="F250" i="4"/>
  <c r="G249" i="3"/>
  <c r="I249" i="3"/>
  <c r="F250" i="3"/>
  <c r="G250" i="4" l="1"/>
  <c r="I250" i="4"/>
  <c r="F251" i="4"/>
  <c r="I250" i="3"/>
  <c r="G250" i="3"/>
  <c r="F251" i="3"/>
  <c r="I251" i="4" l="1"/>
  <c r="G251" i="4"/>
  <c r="F252" i="4"/>
  <c r="G251" i="3"/>
  <c r="I251" i="3"/>
  <c r="F252" i="3"/>
  <c r="G252" i="4" l="1"/>
  <c r="I252" i="4"/>
  <c r="F253" i="4"/>
  <c r="I252" i="3"/>
  <c r="G252" i="3"/>
  <c r="F253" i="3"/>
  <c r="I253" i="4" l="1"/>
  <c r="G253" i="4"/>
  <c r="F254" i="4"/>
  <c r="G253" i="3"/>
  <c r="I253" i="3"/>
  <c r="F254" i="3"/>
  <c r="G254" i="4" l="1"/>
  <c r="I254" i="4"/>
  <c r="F255" i="4"/>
  <c r="I254" i="3"/>
  <c r="G254" i="3"/>
  <c r="F255" i="3"/>
  <c r="I255" i="4" l="1"/>
  <c r="G255" i="4"/>
  <c r="F256" i="4"/>
  <c r="G255" i="3"/>
  <c r="I255" i="3"/>
  <c r="F256" i="3"/>
  <c r="G256" i="4" l="1"/>
  <c r="I256" i="4"/>
  <c r="F257" i="4"/>
  <c r="I256" i="3"/>
  <c r="G256" i="3"/>
  <c r="F257" i="3"/>
  <c r="I257" i="4" l="1"/>
  <c r="G257" i="4"/>
  <c r="F258" i="4"/>
  <c r="G257" i="3"/>
  <c r="I257" i="3"/>
  <c r="F258" i="3"/>
  <c r="G258" i="4" l="1"/>
  <c r="I258" i="4"/>
  <c r="F259" i="4"/>
  <c r="I258" i="3"/>
  <c r="G258" i="3"/>
  <c r="F259" i="3"/>
  <c r="I259" i="4" l="1"/>
  <c r="G259" i="4"/>
  <c r="F260" i="4"/>
  <c r="G259" i="3"/>
  <c r="I259" i="3"/>
  <c r="F260" i="3"/>
  <c r="G260" i="4" l="1"/>
  <c r="I260" i="4"/>
  <c r="F261" i="4"/>
  <c r="I260" i="3"/>
  <c r="G260" i="3"/>
  <c r="F261" i="3"/>
  <c r="I261" i="4" l="1"/>
  <c r="G261" i="4"/>
  <c r="F262" i="4"/>
  <c r="G261" i="3"/>
  <c r="I261" i="3"/>
  <c r="F262" i="3"/>
  <c r="G262" i="4" l="1"/>
  <c r="I262" i="4"/>
  <c r="F263" i="4"/>
  <c r="I262" i="3"/>
  <c r="G262" i="3"/>
  <c r="F263" i="3"/>
  <c r="I263" i="4" l="1"/>
  <c r="G263" i="4"/>
  <c r="F264" i="4"/>
  <c r="G263" i="3"/>
  <c r="I263" i="3"/>
  <c r="F264" i="3"/>
  <c r="G264" i="4" l="1"/>
  <c r="I264" i="4"/>
  <c r="F265" i="4"/>
  <c r="I264" i="3"/>
  <c r="G264" i="3"/>
  <c r="F265" i="3"/>
  <c r="I265" i="4" l="1"/>
  <c r="G265" i="4"/>
  <c r="F266" i="4"/>
  <c r="G265" i="3"/>
  <c r="I265" i="3"/>
  <c r="F266" i="3"/>
  <c r="G266" i="4" l="1"/>
  <c r="I266" i="4"/>
  <c r="F267" i="4"/>
  <c r="I266" i="3"/>
  <c r="G266" i="3"/>
  <c r="F267" i="3"/>
  <c r="I267" i="4" l="1"/>
  <c r="G267" i="4"/>
  <c r="F268" i="4"/>
  <c r="G267" i="3"/>
  <c r="I267" i="3"/>
  <c r="F268" i="3"/>
  <c r="G268" i="4" l="1"/>
  <c r="I268" i="4"/>
  <c r="F269" i="4"/>
  <c r="I268" i="3"/>
  <c r="G268" i="3"/>
  <c r="F269" i="3"/>
  <c r="I269" i="4" l="1"/>
  <c r="G269" i="4"/>
  <c r="F270" i="4"/>
  <c r="G269" i="3"/>
  <c r="I269" i="3"/>
  <c r="F270" i="3"/>
  <c r="G270" i="4" l="1"/>
  <c r="I270" i="4"/>
  <c r="F271" i="4"/>
  <c r="I270" i="3"/>
  <c r="G270" i="3"/>
  <c r="F271" i="3"/>
  <c r="I271" i="4" l="1"/>
  <c r="G271" i="4"/>
  <c r="F272" i="4"/>
  <c r="G271" i="3"/>
  <c r="I271" i="3"/>
  <c r="F272" i="3"/>
  <c r="G272" i="4" l="1"/>
  <c r="I272" i="4"/>
  <c r="F273" i="4"/>
  <c r="I272" i="3"/>
  <c r="G272" i="3"/>
  <c r="F273" i="3"/>
  <c r="I273" i="4" l="1"/>
  <c r="G273" i="4"/>
  <c r="F274" i="4"/>
  <c r="G273" i="3"/>
  <c r="I273" i="3"/>
  <c r="F274" i="3"/>
  <c r="G274" i="4" l="1"/>
  <c r="I274" i="4"/>
  <c r="F275" i="4"/>
  <c r="I274" i="3"/>
  <c r="G274" i="3"/>
  <c r="F275" i="3"/>
  <c r="I275" i="4" l="1"/>
  <c r="G275" i="4"/>
  <c r="F276" i="4"/>
  <c r="G275" i="3"/>
  <c r="I275" i="3"/>
  <c r="F276" i="3"/>
  <c r="G276" i="4" l="1"/>
  <c r="I276" i="4"/>
  <c r="F277" i="4"/>
  <c r="I276" i="3"/>
  <c r="G276" i="3"/>
  <c r="F277" i="3"/>
  <c r="I277" i="4" l="1"/>
  <c r="G277" i="4"/>
  <c r="F278" i="4"/>
  <c r="G277" i="3"/>
  <c r="I277" i="3"/>
  <c r="F278" i="3"/>
  <c r="G278" i="4" l="1"/>
  <c r="I278" i="4"/>
  <c r="F279" i="4"/>
  <c r="I278" i="3"/>
  <c r="G278" i="3"/>
  <c r="F279" i="3"/>
  <c r="I279" i="4" l="1"/>
  <c r="G279" i="4"/>
  <c r="F280" i="4"/>
  <c r="G279" i="3"/>
  <c r="I279" i="3"/>
  <c r="F280" i="3"/>
  <c r="G280" i="4" l="1"/>
  <c r="I280" i="4"/>
  <c r="F281" i="4"/>
  <c r="I280" i="3"/>
  <c r="G280" i="3"/>
  <c r="F281" i="3"/>
  <c r="I281" i="4" l="1"/>
  <c r="G281" i="4"/>
  <c r="F282" i="4"/>
  <c r="G281" i="3"/>
  <c r="I281" i="3"/>
  <c r="F282" i="3"/>
  <c r="G282" i="4" l="1"/>
  <c r="I282" i="4"/>
  <c r="F283" i="4"/>
  <c r="I282" i="3"/>
  <c r="G282" i="3"/>
  <c r="F283" i="3"/>
  <c r="I283" i="4" l="1"/>
  <c r="G283" i="4"/>
  <c r="F284" i="4"/>
  <c r="G283" i="3"/>
  <c r="I283" i="3"/>
  <c r="F284" i="3"/>
  <c r="G284" i="4" l="1"/>
  <c r="I284" i="4"/>
  <c r="F285" i="4"/>
  <c r="I284" i="3"/>
  <c r="G284" i="3"/>
  <c r="F285" i="3"/>
  <c r="I285" i="4" l="1"/>
  <c r="G285" i="4"/>
  <c r="F286" i="4"/>
  <c r="G285" i="3"/>
  <c r="I285" i="3"/>
  <c r="F286" i="3"/>
  <c r="G286" i="4" l="1"/>
  <c r="I286" i="4"/>
  <c r="F287" i="4"/>
  <c r="I286" i="3"/>
  <c r="G286" i="3"/>
  <c r="F287" i="3"/>
  <c r="I287" i="4" l="1"/>
  <c r="G287" i="4"/>
  <c r="F288" i="4"/>
  <c r="G287" i="3"/>
  <c r="I287" i="3"/>
  <c r="F288" i="3"/>
  <c r="G288" i="4" l="1"/>
  <c r="I288" i="4"/>
  <c r="F289" i="4"/>
  <c r="I288" i="3"/>
  <c r="G288" i="3"/>
  <c r="F289" i="3"/>
  <c r="I289" i="4" l="1"/>
  <c r="G289" i="4"/>
  <c r="F290" i="4"/>
  <c r="G289" i="3"/>
  <c r="I289" i="3"/>
  <c r="F290" i="3"/>
  <c r="G290" i="4" l="1"/>
  <c r="I290" i="4"/>
  <c r="F291" i="4"/>
  <c r="I290" i="3"/>
  <c r="G290" i="3"/>
  <c r="F291" i="3"/>
  <c r="I291" i="4" l="1"/>
  <c r="G291" i="4"/>
  <c r="F292" i="4"/>
  <c r="G291" i="3"/>
  <c r="I291" i="3"/>
  <c r="F292" i="3"/>
  <c r="G292" i="4" l="1"/>
  <c r="I292" i="4"/>
  <c r="F293" i="4"/>
  <c r="I292" i="3"/>
  <c r="G292" i="3"/>
  <c r="F293" i="3"/>
  <c r="I293" i="4" l="1"/>
  <c r="G293" i="4"/>
  <c r="F294" i="4"/>
  <c r="G293" i="3"/>
  <c r="I293" i="3"/>
  <c r="F294" i="3"/>
  <c r="G294" i="4" l="1"/>
  <c r="I294" i="4"/>
  <c r="F295" i="4"/>
  <c r="I294" i="3"/>
  <c r="G294" i="3"/>
  <c r="F295" i="3"/>
  <c r="I295" i="4" l="1"/>
  <c r="G295" i="4"/>
  <c r="F296" i="4"/>
  <c r="G295" i="3"/>
  <c r="I295" i="3"/>
  <c r="F296" i="3"/>
  <c r="G296" i="4" l="1"/>
  <c r="I296" i="4"/>
  <c r="F297" i="4"/>
  <c r="I296" i="3"/>
  <c r="G296" i="3"/>
  <c r="F297" i="3"/>
  <c r="I297" i="4" l="1"/>
  <c r="G297" i="4"/>
  <c r="F298" i="4"/>
  <c r="G297" i="3"/>
  <c r="I297" i="3"/>
  <c r="F298" i="3"/>
  <c r="G298" i="4" l="1"/>
  <c r="I298" i="4"/>
  <c r="F299" i="4"/>
  <c r="I298" i="3"/>
  <c r="G298" i="3"/>
  <c r="F299" i="3"/>
  <c r="I299" i="4" l="1"/>
  <c r="G299" i="4"/>
  <c r="F300" i="4"/>
  <c r="G299" i="3"/>
  <c r="I299" i="3"/>
  <c r="F300" i="3"/>
  <c r="G300" i="4" l="1"/>
  <c r="I300" i="4"/>
  <c r="F301" i="4"/>
  <c r="I300" i="3"/>
  <c r="G300" i="3"/>
  <c r="F301" i="3"/>
  <c r="I301" i="4" l="1"/>
  <c r="G301" i="4"/>
  <c r="F302" i="4"/>
  <c r="G301" i="3"/>
  <c r="I301" i="3"/>
  <c r="F302" i="3"/>
  <c r="G302" i="4" l="1"/>
  <c r="I302" i="4"/>
  <c r="F303" i="4"/>
  <c r="I302" i="3"/>
  <c r="G302" i="3"/>
  <c r="F303" i="3"/>
  <c r="I303" i="4" l="1"/>
  <c r="G303" i="4"/>
  <c r="F304" i="4"/>
  <c r="G303" i="3"/>
  <c r="I303" i="3"/>
  <c r="F304" i="3"/>
  <c r="G304" i="4" l="1"/>
  <c r="I304" i="4"/>
  <c r="F305" i="4"/>
  <c r="I304" i="3"/>
  <c r="G304" i="3"/>
  <c r="F305" i="3"/>
  <c r="I305" i="4" l="1"/>
  <c r="G305" i="4"/>
  <c r="F306" i="4"/>
  <c r="G305" i="3"/>
  <c r="I305" i="3"/>
  <c r="F306" i="3"/>
  <c r="G306" i="4" l="1"/>
  <c r="I306" i="4"/>
  <c r="F307" i="4"/>
  <c r="I306" i="3"/>
  <c r="G306" i="3"/>
  <c r="F307" i="3"/>
  <c r="I307" i="4" l="1"/>
  <c r="G307" i="4"/>
  <c r="F308" i="4"/>
  <c r="G307" i="3"/>
  <c r="I307" i="3"/>
  <c r="F308" i="3"/>
  <c r="G308" i="4" l="1"/>
  <c r="I308" i="4"/>
  <c r="F309" i="4"/>
  <c r="I308" i="3"/>
  <c r="G308" i="3"/>
  <c r="F309" i="3"/>
  <c r="I309" i="4" l="1"/>
  <c r="G309" i="4"/>
  <c r="F310" i="4"/>
  <c r="G309" i="3"/>
  <c r="I309" i="3"/>
  <c r="F310" i="3"/>
  <c r="G310" i="4" l="1"/>
  <c r="I310" i="4"/>
  <c r="F311" i="4"/>
  <c r="I310" i="3"/>
  <c r="G310" i="3"/>
  <c r="F311" i="3"/>
  <c r="I311" i="4" l="1"/>
  <c r="G311" i="4"/>
  <c r="F312" i="4"/>
  <c r="G311" i="3"/>
  <c r="I311" i="3"/>
  <c r="F312" i="3"/>
  <c r="G312" i="4" l="1"/>
  <c r="I312" i="4"/>
  <c r="F313" i="4"/>
  <c r="I312" i="3"/>
  <c r="G312" i="3"/>
  <c r="F313" i="3"/>
  <c r="I313" i="4" l="1"/>
  <c r="G313" i="4"/>
  <c r="F314" i="4"/>
  <c r="G313" i="3"/>
  <c r="I313" i="3"/>
  <c r="F314" i="3"/>
  <c r="G314" i="4" l="1"/>
  <c r="I314" i="4"/>
  <c r="F315" i="4"/>
  <c r="I314" i="3"/>
  <c r="G314" i="3"/>
  <c r="F315" i="3"/>
  <c r="I315" i="4" l="1"/>
  <c r="G315" i="4"/>
  <c r="F316" i="4"/>
  <c r="G315" i="3"/>
  <c r="I315" i="3"/>
  <c r="F316" i="3"/>
  <c r="G316" i="4" l="1"/>
  <c r="I316" i="4"/>
  <c r="F317" i="4"/>
  <c r="I316" i="3"/>
  <c r="G316" i="3"/>
  <c r="F317" i="3"/>
  <c r="I317" i="4" l="1"/>
  <c r="G317" i="4"/>
  <c r="F318" i="4"/>
  <c r="G317" i="3"/>
  <c r="I317" i="3"/>
  <c r="F318" i="3"/>
  <c r="G318" i="4" l="1"/>
  <c r="I318" i="4"/>
  <c r="F319" i="4"/>
  <c r="I318" i="3"/>
  <c r="G318" i="3"/>
  <c r="F319" i="3"/>
  <c r="I319" i="4" l="1"/>
  <c r="G319" i="4"/>
  <c r="F320" i="4"/>
  <c r="G319" i="3"/>
  <c r="I319" i="3"/>
  <c r="F320" i="3"/>
  <c r="G320" i="4" l="1"/>
  <c r="I320" i="4"/>
  <c r="F321" i="4"/>
  <c r="I320" i="3"/>
  <c r="G320" i="3"/>
  <c r="F321" i="3"/>
  <c r="I321" i="4" l="1"/>
  <c r="G321" i="4"/>
  <c r="F322" i="4"/>
  <c r="G321" i="3"/>
  <c r="I321" i="3"/>
  <c r="F322" i="3"/>
  <c r="G322" i="4" l="1"/>
  <c r="I322" i="4"/>
  <c r="F323" i="4"/>
  <c r="I322" i="3"/>
  <c r="G322" i="3"/>
  <c r="F323" i="3"/>
  <c r="I323" i="4" l="1"/>
  <c r="G323" i="4"/>
  <c r="F324" i="4"/>
  <c r="G323" i="3"/>
  <c r="I323" i="3"/>
  <c r="F324" i="3"/>
  <c r="I324" i="4" l="1"/>
  <c r="G324" i="4"/>
  <c r="F325" i="4"/>
  <c r="I324" i="3"/>
  <c r="G324" i="3"/>
  <c r="F325" i="3"/>
  <c r="G325" i="4" l="1"/>
  <c r="I325" i="4"/>
  <c r="F326" i="4"/>
  <c r="G325" i="3"/>
  <c r="I325" i="3"/>
  <c r="F326" i="3"/>
  <c r="G326" i="4" l="1"/>
  <c r="I326" i="4"/>
  <c r="F327" i="4"/>
  <c r="I326" i="3"/>
  <c r="G326" i="3"/>
  <c r="F327" i="3"/>
  <c r="I327" i="4" l="1"/>
  <c r="G327" i="4"/>
  <c r="F328" i="4"/>
  <c r="G327" i="3"/>
  <c r="F328" i="3"/>
  <c r="I327" i="3"/>
  <c r="G328" i="4" l="1"/>
  <c r="I328" i="4"/>
  <c r="F329" i="4"/>
  <c r="I328" i="3"/>
  <c r="G328" i="3"/>
  <c r="F329" i="3"/>
  <c r="I329" i="4" l="1"/>
  <c r="G329" i="4"/>
  <c r="F330" i="4"/>
  <c r="G329" i="3"/>
  <c r="I329" i="3"/>
  <c r="F330" i="3"/>
  <c r="G330" i="4" l="1"/>
  <c r="I330" i="4"/>
  <c r="F331" i="4"/>
  <c r="I330" i="3"/>
  <c r="G330" i="3"/>
  <c r="F331" i="3"/>
  <c r="I331" i="4" l="1"/>
  <c r="G331" i="4"/>
  <c r="F332" i="4"/>
  <c r="G331" i="3"/>
  <c r="I331" i="3"/>
  <c r="F332" i="3"/>
  <c r="G332" i="4" l="1"/>
  <c r="I332" i="4"/>
  <c r="F333" i="4"/>
  <c r="I332" i="3"/>
  <c r="G332" i="3"/>
  <c r="F333" i="3"/>
  <c r="I333" i="4" l="1"/>
  <c r="G333" i="4"/>
  <c r="F334" i="4"/>
  <c r="G333" i="3"/>
  <c r="I333" i="3"/>
  <c r="F334" i="3"/>
  <c r="G334" i="4" l="1"/>
  <c r="I334" i="4"/>
  <c r="F335" i="4"/>
  <c r="I334" i="3"/>
  <c r="G334" i="3"/>
  <c r="F335" i="3"/>
  <c r="I335" i="4" l="1"/>
  <c r="G335" i="4"/>
  <c r="F336" i="4"/>
  <c r="G335" i="3"/>
  <c r="I335" i="3"/>
  <c r="F336" i="3"/>
  <c r="G336" i="4" l="1"/>
  <c r="I336" i="4"/>
  <c r="F337" i="4"/>
  <c r="I336" i="3"/>
  <c r="G336" i="3"/>
  <c r="F337" i="3"/>
  <c r="I337" i="4" l="1"/>
  <c r="G337" i="4"/>
  <c r="F338" i="4"/>
  <c r="G337" i="3"/>
  <c r="I337" i="3"/>
  <c r="F338" i="3"/>
  <c r="G338" i="4" l="1"/>
  <c r="I338" i="4"/>
  <c r="F339" i="4"/>
  <c r="G338" i="3"/>
  <c r="I338" i="3"/>
  <c r="F339" i="3"/>
  <c r="I339" i="4" l="1"/>
  <c r="G339" i="4"/>
  <c r="F340" i="4"/>
  <c r="I339" i="3"/>
  <c r="G339" i="3"/>
  <c r="F340" i="3"/>
  <c r="G340" i="4" l="1"/>
  <c r="I340" i="4"/>
  <c r="F341" i="4"/>
  <c r="G340" i="3"/>
  <c r="I340" i="3"/>
  <c r="F341" i="3"/>
  <c r="I341" i="4" l="1"/>
  <c r="G341" i="4"/>
  <c r="F342" i="4"/>
  <c r="I341" i="3"/>
  <c r="G341" i="3"/>
  <c r="F342" i="3"/>
  <c r="G342" i="4" l="1"/>
  <c r="I342" i="4"/>
  <c r="F343" i="4"/>
  <c r="G342" i="3"/>
  <c r="I342" i="3"/>
  <c r="F343" i="3"/>
  <c r="I343" i="4" l="1"/>
  <c r="G343" i="4"/>
  <c r="F344" i="4"/>
  <c r="I343" i="3"/>
  <c r="G343" i="3"/>
  <c r="F344" i="3"/>
  <c r="G344" i="4" l="1"/>
  <c r="I344" i="4"/>
  <c r="F345" i="4"/>
  <c r="G344" i="3"/>
  <c r="I344" i="3"/>
  <c r="F345" i="3"/>
  <c r="I345" i="4" l="1"/>
  <c r="G345" i="4"/>
  <c r="F346" i="4"/>
  <c r="I345" i="3"/>
  <c r="G345" i="3"/>
  <c r="F346" i="3"/>
  <c r="G346" i="4" l="1"/>
  <c r="I346" i="4"/>
  <c r="F347" i="4"/>
  <c r="G346" i="3"/>
  <c r="I346" i="3"/>
  <c r="F347" i="3"/>
  <c r="I347" i="4" l="1"/>
  <c r="G347" i="4"/>
  <c r="F348" i="4"/>
  <c r="I347" i="3"/>
  <c r="G347" i="3"/>
  <c r="F348" i="3"/>
  <c r="G348" i="4" l="1"/>
  <c r="I348" i="4"/>
  <c r="F349" i="4"/>
  <c r="G348" i="3"/>
  <c r="I348" i="3"/>
  <c r="F349" i="3"/>
  <c r="I349" i="4" l="1"/>
  <c r="G349" i="4"/>
  <c r="F350" i="4"/>
  <c r="I349" i="3"/>
  <c r="G349" i="3"/>
  <c r="F350" i="3"/>
  <c r="G350" i="4" l="1"/>
  <c r="I350" i="4"/>
  <c r="F351" i="4"/>
  <c r="G350" i="3"/>
  <c r="I350" i="3"/>
  <c r="F351" i="3"/>
  <c r="I351" i="4" l="1"/>
  <c r="G351" i="4"/>
  <c r="F352" i="4"/>
  <c r="I351" i="3"/>
  <c r="G351" i="3"/>
  <c r="F352" i="3"/>
  <c r="G352" i="4" l="1"/>
  <c r="I352" i="4"/>
  <c r="F353" i="4"/>
  <c r="G352" i="3"/>
  <c r="I352" i="3"/>
  <c r="F353" i="3"/>
  <c r="I353" i="4" l="1"/>
  <c r="G353" i="4"/>
  <c r="F354" i="4"/>
  <c r="I353" i="3"/>
  <c r="G353" i="3"/>
  <c r="F354" i="3"/>
  <c r="G354" i="4" l="1"/>
  <c r="I354" i="4"/>
  <c r="F355" i="4"/>
  <c r="G354" i="3"/>
  <c r="I354" i="3"/>
  <c r="F355" i="3"/>
  <c r="I355" i="4" l="1"/>
  <c r="G355" i="4"/>
  <c r="F356" i="4"/>
  <c r="I355" i="3"/>
  <c r="G355" i="3"/>
  <c r="F356" i="3"/>
  <c r="G356" i="4" l="1"/>
  <c r="I356" i="4"/>
  <c r="F357" i="4"/>
  <c r="G356" i="3"/>
  <c r="I356" i="3"/>
  <c r="F357" i="3"/>
  <c r="I357" i="4" l="1"/>
  <c r="G357" i="4"/>
  <c r="F358" i="4"/>
  <c r="I357" i="3"/>
  <c r="G357" i="3"/>
  <c r="F358" i="3"/>
  <c r="G358" i="4" l="1"/>
  <c r="I358" i="4"/>
  <c r="F359" i="4"/>
  <c r="G358" i="3"/>
  <c r="I358" i="3"/>
  <c r="F359" i="3"/>
  <c r="I359" i="4" l="1"/>
  <c r="G359" i="4"/>
  <c r="F360" i="4"/>
  <c r="I359" i="3"/>
  <c r="G359" i="3"/>
  <c r="F360" i="3"/>
  <c r="G360" i="4" l="1"/>
  <c r="I360" i="4"/>
  <c r="F361" i="4"/>
  <c r="G360" i="3"/>
  <c r="I360" i="3"/>
  <c r="F361" i="3"/>
  <c r="I361" i="4" l="1"/>
  <c r="G361" i="4"/>
  <c r="F362" i="4"/>
  <c r="I361" i="3"/>
  <c r="G361" i="3"/>
  <c r="F362" i="3"/>
  <c r="G362" i="4" l="1"/>
  <c r="I362" i="4"/>
  <c r="F363" i="4"/>
  <c r="G362" i="3"/>
  <c r="I362" i="3"/>
  <c r="F363" i="3"/>
  <c r="I363" i="4" l="1"/>
  <c r="G363" i="4"/>
  <c r="F364" i="4"/>
  <c r="I363" i="3"/>
  <c r="G363" i="3"/>
  <c r="F364" i="3"/>
  <c r="G364" i="4" l="1"/>
  <c r="I364" i="4"/>
  <c r="F365" i="4"/>
  <c r="G364" i="3"/>
  <c r="I364" i="3"/>
  <c r="F365" i="3"/>
  <c r="I365" i="4" l="1"/>
  <c r="G365" i="4"/>
  <c r="F366" i="4"/>
  <c r="I365" i="3"/>
  <c r="G365" i="3"/>
  <c r="F366" i="3"/>
  <c r="G366" i="4" l="1"/>
  <c r="I366" i="4"/>
  <c r="F367" i="4"/>
  <c r="G366" i="3"/>
  <c r="I366" i="3"/>
  <c r="F367" i="3"/>
  <c r="I367" i="4" l="1"/>
  <c r="G367" i="4"/>
  <c r="F368" i="4"/>
  <c r="I367" i="3"/>
  <c r="F368" i="3"/>
  <c r="G367" i="3"/>
  <c r="G368" i="4" l="1"/>
  <c r="I368" i="4"/>
  <c r="F369" i="4"/>
  <c r="I368" i="3"/>
  <c r="G368" i="3"/>
  <c r="F369" i="3"/>
  <c r="I369" i="4" l="1"/>
  <c r="G369" i="4"/>
  <c r="F370" i="4"/>
  <c r="G369" i="3"/>
  <c r="I369" i="3"/>
  <c r="F370" i="3"/>
  <c r="G370" i="4" l="1"/>
  <c r="I370" i="4"/>
  <c r="F371" i="4"/>
  <c r="I370" i="3"/>
  <c r="G370" i="3"/>
  <c r="F371" i="3"/>
  <c r="I371" i="4" l="1"/>
  <c r="G371" i="4"/>
  <c r="F372" i="4"/>
  <c r="G371" i="3"/>
  <c r="I371" i="3"/>
  <c r="F372" i="3"/>
  <c r="G372" i="4" l="1"/>
  <c r="I372" i="4"/>
  <c r="F373" i="4"/>
  <c r="I372" i="3"/>
  <c r="G372" i="3"/>
  <c r="F373" i="3"/>
  <c r="I373" i="4" l="1"/>
  <c r="G373" i="4"/>
  <c r="F374" i="4"/>
  <c r="G373" i="3"/>
  <c r="I373" i="3"/>
  <c r="F374" i="3"/>
  <c r="G374" i="4" l="1"/>
  <c r="I374" i="4"/>
  <c r="F375" i="4"/>
  <c r="I374" i="3"/>
  <c r="G374" i="3"/>
  <c r="F375" i="3"/>
  <c r="I375" i="4" l="1"/>
  <c r="G375" i="4"/>
  <c r="F376" i="4"/>
  <c r="G375" i="3"/>
  <c r="I375" i="3"/>
  <c r="F376" i="3"/>
  <c r="G376" i="4" l="1"/>
  <c r="I376" i="4"/>
  <c r="F377" i="4"/>
  <c r="I376" i="3"/>
  <c r="G376" i="3"/>
  <c r="F377" i="3"/>
  <c r="I377" i="4" l="1"/>
  <c r="G377" i="4"/>
  <c r="F378" i="4"/>
  <c r="G377" i="3"/>
  <c r="I377" i="3"/>
  <c r="F378" i="3"/>
  <c r="G378" i="4" l="1"/>
  <c r="I378" i="4"/>
  <c r="F379" i="4"/>
  <c r="I378" i="3"/>
  <c r="G378" i="3"/>
  <c r="F379" i="3"/>
  <c r="I379" i="4" l="1"/>
  <c r="G379" i="4"/>
  <c r="F380" i="4"/>
  <c r="G379" i="3"/>
  <c r="I379" i="3"/>
  <c r="F380" i="3"/>
  <c r="G380" i="4" l="1"/>
  <c r="I380" i="4"/>
  <c r="F381" i="4"/>
  <c r="I380" i="3"/>
  <c r="G380" i="3"/>
  <c r="F381" i="3"/>
  <c r="I381" i="4" l="1"/>
  <c r="G381" i="4"/>
  <c r="F382" i="4"/>
  <c r="G381" i="3"/>
  <c r="I381" i="3"/>
  <c r="F382" i="3"/>
  <c r="G382" i="4" l="1"/>
  <c r="I382" i="4"/>
  <c r="F383" i="4"/>
  <c r="I382" i="3"/>
  <c r="G382" i="3"/>
  <c r="F383" i="3"/>
  <c r="I383" i="4" l="1"/>
  <c r="G383" i="4"/>
  <c r="F384" i="4"/>
  <c r="G383" i="3"/>
  <c r="I383" i="3"/>
  <c r="F384" i="3"/>
  <c r="G384" i="4" l="1"/>
  <c r="I384" i="4"/>
  <c r="F385" i="4"/>
  <c r="I384" i="3"/>
  <c r="G384" i="3"/>
  <c r="F385" i="3"/>
  <c r="I385" i="4" l="1"/>
  <c r="G385" i="4"/>
  <c r="F386" i="4"/>
  <c r="G385" i="3"/>
  <c r="I385" i="3"/>
  <c r="F386" i="3"/>
  <c r="G386" i="4" l="1"/>
  <c r="I386" i="4"/>
  <c r="F387" i="4"/>
  <c r="I386" i="3"/>
  <c r="G386" i="3"/>
  <c r="F387" i="3"/>
  <c r="I387" i="4" l="1"/>
  <c r="G387" i="4"/>
  <c r="F388" i="4"/>
  <c r="G387" i="3"/>
  <c r="I387" i="3"/>
  <c r="F388" i="3"/>
  <c r="G388" i="4" l="1"/>
  <c r="I388" i="4"/>
  <c r="F389" i="4"/>
  <c r="I388" i="3"/>
  <c r="G388" i="3"/>
  <c r="F389" i="3"/>
  <c r="I389" i="4" l="1"/>
  <c r="G389" i="4"/>
  <c r="F390" i="4"/>
  <c r="G389" i="3"/>
  <c r="I389" i="3"/>
  <c r="F390" i="3"/>
  <c r="G390" i="4" l="1"/>
  <c r="I390" i="4"/>
  <c r="F391" i="4"/>
  <c r="I390" i="3"/>
  <c r="G390" i="3"/>
  <c r="F391" i="3"/>
  <c r="I391" i="4" l="1"/>
  <c r="G391" i="4"/>
  <c r="F392" i="4"/>
  <c r="G391" i="3"/>
  <c r="I391" i="3"/>
  <c r="F392" i="3"/>
  <c r="G392" i="4" l="1"/>
  <c r="I392" i="4"/>
  <c r="F393" i="4"/>
  <c r="I392" i="3"/>
  <c r="G392" i="3"/>
  <c r="F393" i="3"/>
  <c r="I393" i="4" l="1"/>
  <c r="G393" i="4"/>
  <c r="F394" i="4"/>
  <c r="G393" i="3"/>
  <c r="I393" i="3"/>
  <c r="F394" i="3"/>
  <c r="G394" i="4" l="1"/>
  <c r="I394" i="4"/>
  <c r="F395" i="4"/>
  <c r="I394" i="3"/>
  <c r="G394" i="3"/>
  <c r="F395" i="3"/>
  <c r="I395" i="4" l="1"/>
  <c r="G395" i="4"/>
  <c r="F396" i="4"/>
  <c r="G395" i="3"/>
  <c r="I395" i="3"/>
  <c r="F396" i="3"/>
  <c r="G396" i="4" l="1"/>
  <c r="I396" i="4"/>
  <c r="F397" i="4"/>
  <c r="I396" i="3"/>
  <c r="G396" i="3"/>
  <c r="F397" i="3"/>
  <c r="I397" i="4" l="1"/>
  <c r="G397" i="4"/>
  <c r="F398" i="4"/>
  <c r="G397" i="3"/>
  <c r="I397" i="3"/>
  <c r="F398" i="3"/>
  <c r="G398" i="4" l="1"/>
  <c r="I398" i="4"/>
  <c r="F399" i="4"/>
  <c r="I398" i="3"/>
  <c r="G398" i="3"/>
  <c r="F399" i="3"/>
  <c r="I399" i="4" l="1"/>
  <c r="G399" i="4"/>
  <c r="F400" i="4"/>
  <c r="G399" i="3"/>
  <c r="I399" i="3"/>
  <c r="F400" i="3"/>
  <c r="G400" i="4" l="1"/>
  <c r="I400" i="4"/>
  <c r="F401" i="4"/>
  <c r="I400" i="3"/>
  <c r="G400" i="3"/>
  <c r="F401" i="3"/>
  <c r="I401" i="4" l="1"/>
  <c r="G401" i="4"/>
  <c r="F402" i="4"/>
  <c r="G401" i="3"/>
  <c r="I401" i="3"/>
  <c r="F402" i="3"/>
  <c r="G402" i="4" l="1"/>
  <c r="I402" i="4"/>
  <c r="F403" i="4"/>
  <c r="I402" i="3"/>
  <c r="G402" i="3"/>
  <c r="F403" i="3"/>
  <c r="I403" i="4" l="1"/>
  <c r="G403" i="4"/>
  <c r="F404" i="4"/>
  <c r="G403" i="3"/>
  <c r="I403" i="3"/>
  <c r="F404" i="3"/>
  <c r="G404" i="4" l="1"/>
  <c r="I404" i="4"/>
  <c r="F405" i="4"/>
  <c r="I404" i="3"/>
  <c r="G404" i="3"/>
  <c r="F405" i="3"/>
  <c r="I405" i="4" l="1"/>
  <c r="G405" i="4"/>
  <c r="F406" i="4"/>
  <c r="G405" i="3"/>
  <c r="I405" i="3"/>
  <c r="F406" i="3"/>
  <c r="G406" i="4" l="1"/>
  <c r="I406" i="4"/>
  <c r="F407" i="4"/>
  <c r="I406" i="3"/>
  <c r="G406" i="3"/>
  <c r="F407" i="3"/>
  <c r="I407" i="4" l="1"/>
  <c r="G407" i="4"/>
  <c r="F408" i="4"/>
  <c r="G407" i="3"/>
  <c r="I407" i="3"/>
  <c r="F408" i="3"/>
  <c r="G408" i="4" l="1"/>
  <c r="I408" i="4"/>
  <c r="F409" i="4"/>
  <c r="I408" i="3"/>
  <c r="G408" i="3"/>
  <c r="F409" i="3"/>
  <c r="I409" i="4" l="1"/>
  <c r="G409" i="4"/>
  <c r="F410" i="4"/>
  <c r="G409" i="3"/>
  <c r="I409" i="3"/>
  <c r="F410" i="3"/>
  <c r="G410" i="4" l="1"/>
  <c r="I410" i="4"/>
  <c r="F411" i="4"/>
  <c r="I410" i="3"/>
  <c r="G410" i="3"/>
  <c r="F411" i="3"/>
  <c r="I411" i="4" l="1"/>
  <c r="G411" i="4"/>
  <c r="F412" i="4"/>
  <c r="G411" i="3"/>
  <c r="I411" i="3"/>
  <c r="F412" i="3"/>
  <c r="G412" i="4" l="1"/>
  <c r="I412" i="4"/>
  <c r="F413" i="4"/>
  <c r="I412" i="3"/>
  <c r="G412" i="3"/>
  <c r="F413" i="3"/>
  <c r="I413" i="4" l="1"/>
  <c r="G413" i="4"/>
  <c r="F414" i="4"/>
  <c r="G413" i="3"/>
  <c r="I413" i="3"/>
  <c r="F414" i="3"/>
  <c r="G414" i="4" l="1"/>
  <c r="I414" i="4"/>
  <c r="F415" i="4"/>
  <c r="I414" i="3"/>
  <c r="G414" i="3"/>
  <c r="F415" i="3"/>
  <c r="I415" i="4" l="1"/>
  <c r="G415" i="4"/>
  <c r="F416" i="4"/>
  <c r="G415" i="3"/>
  <c r="I415" i="3"/>
  <c r="F416" i="3"/>
  <c r="G416" i="4" l="1"/>
  <c r="I416" i="4"/>
  <c r="F417" i="4"/>
  <c r="I416" i="3"/>
  <c r="G416" i="3"/>
  <c r="F417" i="3"/>
  <c r="I417" i="4" l="1"/>
  <c r="G417" i="4"/>
  <c r="F418" i="4"/>
  <c r="G417" i="3"/>
  <c r="I417" i="3"/>
  <c r="F418" i="3"/>
  <c r="G418" i="4" l="1"/>
  <c r="I418" i="4"/>
  <c r="F419" i="4"/>
  <c r="I418" i="3"/>
  <c r="G418" i="3"/>
  <c r="F419" i="3"/>
  <c r="I419" i="4" l="1"/>
  <c r="G419" i="4"/>
  <c r="F420" i="4"/>
  <c r="G419" i="3"/>
  <c r="I419" i="3"/>
  <c r="F420" i="3"/>
  <c r="G420" i="4" l="1"/>
  <c r="I420" i="4"/>
  <c r="F421" i="4"/>
  <c r="I420" i="3"/>
  <c r="G420" i="3"/>
  <c r="F421" i="3"/>
  <c r="I421" i="4" l="1"/>
  <c r="G421" i="4"/>
  <c r="F422" i="4"/>
  <c r="G421" i="3"/>
  <c r="I421" i="3"/>
  <c r="F422" i="3"/>
  <c r="G422" i="4" l="1"/>
  <c r="I422" i="4"/>
  <c r="F423" i="4"/>
  <c r="I422" i="3"/>
  <c r="G422" i="3"/>
  <c r="F423" i="3"/>
  <c r="I423" i="4" l="1"/>
  <c r="G423" i="4"/>
  <c r="F424" i="4"/>
  <c r="G423" i="3"/>
  <c r="I423" i="3"/>
  <c r="F424" i="3"/>
  <c r="G424" i="4" l="1"/>
  <c r="I424" i="4"/>
  <c r="F425" i="4"/>
  <c r="I424" i="3"/>
  <c r="G424" i="3"/>
  <c r="F425" i="3"/>
  <c r="I425" i="4" l="1"/>
  <c r="G425" i="4"/>
  <c r="F426" i="4"/>
  <c r="G425" i="3"/>
  <c r="I425" i="3"/>
  <c r="F426" i="3"/>
  <c r="G426" i="4" l="1"/>
  <c r="I426" i="4"/>
  <c r="F427" i="4"/>
  <c r="I426" i="3"/>
  <c r="G426" i="3"/>
  <c r="F427" i="3"/>
  <c r="I427" i="4" l="1"/>
  <c r="G427" i="4"/>
  <c r="F428" i="4"/>
  <c r="G427" i="3"/>
  <c r="I427" i="3"/>
  <c r="F428" i="3"/>
  <c r="G428" i="4" l="1"/>
  <c r="I428" i="4"/>
  <c r="F429" i="4"/>
  <c r="I428" i="3"/>
  <c r="G428" i="3"/>
  <c r="F429" i="3"/>
  <c r="I429" i="4" l="1"/>
  <c r="G429" i="4"/>
  <c r="F430" i="4"/>
  <c r="G429" i="3"/>
  <c r="I429" i="3"/>
  <c r="F430" i="3"/>
  <c r="G430" i="4" l="1"/>
  <c r="I430" i="4"/>
  <c r="F431" i="4"/>
  <c r="I430" i="3"/>
  <c r="G430" i="3"/>
  <c r="F431" i="3"/>
  <c r="I431" i="4" l="1"/>
  <c r="G431" i="4"/>
  <c r="F432" i="4"/>
  <c r="G431" i="3"/>
  <c r="I431" i="3"/>
  <c r="F432" i="3"/>
  <c r="G432" i="4" l="1"/>
  <c r="I432" i="4"/>
  <c r="F433" i="4"/>
  <c r="I432" i="3"/>
  <c r="G432" i="3"/>
  <c r="F433" i="3"/>
  <c r="I433" i="4" l="1"/>
  <c r="G433" i="4"/>
  <c r="F434" i="4"/>
  <c r="G433" i="3"/>
  <c r="I433" i="3"/>
  <c r="F434" i="3"/>
  <c r="G434" i="4" l="1"/>
  <c r="I434" i="4"/>
  <c r="F435" i="4"/>
  <c r="I434" i="3"/>
  <c r="G434" i="3"/>
  <c r="F435" i="3"/>
  <c r="I435" i="4" l="1"/>
  <c r="G435" i="4"/>
  <c r="F436" i="4"/>
  <c r="G435" i="3"/>
  <c r="I435" i="3"/>
  <c r="F436" i="3"/>
  <c r="G436" i="4" l="1"/>
  <c r="I436" i="4"/>
  <c r="F437" i="4"/>
  <c r="I436" i="3"/>
  <c r="G436" i="3"/>
  <c r="F437" i="3"/>
  <c r="I437" i="4" l="1"/>
  <c r="G437" i="4"/>
  <c r="F438" i="4"/>
  <c r="G437" i="3"/>
  <c r="I437" i="3"/>
  <c r="F438" i="3"/>
  <c r="G438" i="4" l="1"/>
  <c r="I438" i="4"/>
  <c r="F439" i="4"/>
  <c r="I438" i="3"/>
  <c r="G438" i="3"/>
  <c r="F439" i="3"/>
  <c r="I439" i="4" l="1"/>
  <c r="G439" i="4"/>
  <c r="F440" i="4"/>
  <c r="G439" i="3"/>
  <c r="I439" i="3"/>
  <c r="F440" i="3"/>
  <c r="G440" i="4" l="1"/>
  <c r="I440" i="4"/>
  <c r="F441" i="4"/>
  <c r="I440" i="3"/>
  <c r="G440" i="3"/>
  <c r="F441" i="3"/>
  <c r="I441" i="4" l="1"/>
  <c r="G441" i="4"/>
  <c r="F442" i="4"/>
  <c r="G441" i="3"/>
  <c r="I441" i="3"/>
  <c r="F442" i="3"/>
  <c r="G442" i="4" l="1"/>
  <c r="I442" i="4"/>
  <c r="F443" i="4"/>
  <c r="I442" i="3"/>
  <c r="G442" i="3"/>
  <c r="F443" i="3"/>
  <c r="I443" i="4" l="1"/>
  <c r="G443" i="4"/>
  <c r="F444" i="4"/>
  <c r="G443" i="3"/>
  <c r="I443" i="3"/>
  <c r="F444" i="3"/>
  <c r="G444" i="4" l="1"/>
  <c r="I444" i="4"/>
  <c r="F445" i="4"/>
  <c r="I444" i="3"/>
  <c r="G444" i="3"/>
  <c r="F445" i="3"/>
  <c r="I445" i="4" l="1"/>
  <c r="G445" i="4"/>
  <c r="F446" i="4"/>
  <c r="G445" i="3"/>
  <c r="I445" i="3"/>
  <c r="F446" i="3"/>
  <c r="G446" i="4" l="1"/>
  <c r="I446" i="4"/>
  <c r="F447" i="4"/>
  <c r="I446" i="3"/>
  <c r="G446" i="3"/>
  <c r="F447" i="3"/>
  <c r="I447" i="4" l="1"/>
  <c r="G447" i="4"/>
  <c r="F448" i="4"/>
  <c r="G447" i="3"/>
  <c r="I447" i="3"/>
  <c r="F448" i="3"/>
  <c r="G448" i="4" l="1"/>
  <c r="I448" i="4"/>
  <c r="F449" i="4"/>
  <c r="I448" i="3"/>
  <c r="G448" i="3"/>
  <c r="F449" i="3"/>
  <c r="I449" i="4" l="1"/>
  <c r="G449" i="4"/>
  <c r="F450" i="4"/>
  <c r="G449" i="3"/>
  <c r="I449" i="3"/>
  <c r="F450" i="3"/>
  <c r="G450" i="4" l="1"/>
  <c r="I450" i="4"/>
  <c r="F451" i="4"/>
  <c r="I450" i="3"/>
  <c r="G450" i="3"/>
  <c r="F451" i="3"/>
  <c r="I451" i="4" l="1"/>
  <c r="G451" i="4"/>
  <c r="F452" i="4"/>
  <c r="G451" i="3"/>
  <c r="I451" i="3"/>
  <c r="F452" i="3"/>
  <c r="G452" i="4" l="1"/>
  <c r="I452" i="4"/>
  <c r="F453" i="4"/>
  <c r="I452" i="3"/>
  <c r="G452" i="3"/>
  <c r="F453" i="3"/>
  <c r="I453" i="4" l="1"/>
  <c r="G453" i="4"/>
  <c r="F454" i="4"/>
  <c r="G453" i="3"/>
  <c r="I453" i="3"/>
  <c r="F454" i="3"/>
  <c r="G454" i="4" l="1"/>
  <c r="I454" i="4"/>
  <c r="F455" i="4"/>
  <c r="I454" i="3"/>
  <c r="G454" i="3"/>
  <c r="F455" i="3"/>
  <c r="I455" i="4" l="1"/>
  <c r="G455" i="4"/>
  <c r="F456" i="4"/>
  <c r="G455" i="3"/>
  <c r="I455" i="3"/>
  <c r="F456" i="3"/>
  <c r="G456" i="4" l="1"/>
  <c r="I456" i="4"/>
  <c r="F457" i="4"/>
  <c r="I456" i="3"/>
  <c r="G456" i="3"/>
  <c r="F457" i="3"/>
  <c r="I457" i="4" l="1"/>
  <c r="G457" i="4"/>
  <c r="F458" i="4"/>
  <c r="G457" i="3"/>
  <c r="I457" i="3"/>
  <c r="F458" i="3"/>
  <c r="G458" i="4" l="1"/>
  <c r="I458" i="4"/>
  <c r="F459" i="4"/>
  <c r="I458" i="3"/>
  <c r="G458" i="3"/>
  <c r="F459" i="3"/>
  <c r="I459" i="4" l="1"/>
  <c r="G459" i="4"/>
  <c r="F460" i="4"/>
  <c r="G459" i="3"/>
  <c r="I459" i="3"/>
  <c r="F460" i="3"/>
  <c r="G460" i="4" l="1"/>
  <c r="I460" i="4"/>
  <c r="F461" i="4"/>
  <c r="I460" i="3"/>
  <c r="G460" i="3"/>
  <c r="F461" i="3"/>
  <c r="I461" i="4" l="1"/>
  <c r="G461" i="4"/>
  <c r="F462" i="4"/>
  <c r="G461" i="3"/>
  <c r="I461" i="3"/>
  <c r="F462" i="3"/>
  <c r="G462" i="4" l="1"/>
  <c r="I462" i="4"/>
  <c r="F463" i="4"/>
  <c r="I462" i="3"/>
  <c r="G462" i="3"/>
  <c r="F463" i="3"/>
  <c r="I463" i="4" l="1"/>
  <c r="G463" i="4"/>
  <c r="F464" i="4"/>
  <c r="G463" i="3"/>
  <c r="I463" i="3"/>
  <c r="F464" i="3"/>
  <c r="G464" i="4" l="1"/>
  <c r="I464" i="4"/>
  <c r="F465" i="4"/>
  <c r="I464" i="3"/>
  <c r="G464" i="3"/>
  <c r="F465" i="3"/>
  <c r="I465" i="4" l="1"/>
  <c r="G465" i="4"/>
  <c r="F466" i="4"/>
  <c r="G465" i="3"/>
  <c r="I465" i="3"/>
  <c r="F466" i="3"/>
  <c r="G466" i="4" l="1"/>
  <c r="I466" i="4"/>
  <c r="F467" i="4"/>
  <c r="I466" i="3"/>
  <c r="G466" i="3"/>
  <c r="F467" i="3"/>
  <c r="I467" i="4" l="1"/>
  <c r="G467" i="4"/>
  <c r="F468" i="4"/>
  <c r="G467" i="3"/>
  <c r="I467" i="3"/>
  <c r="F468" i="3"/>
  <c r="G468" i="4" l="1"/>
  <c r="I468" i="4"/>
  <c r="F469" i="4"/>
  <c r="I468" i="3"/>
  <c r="G468" i="3"/>
  <c r="F469" i="3"/>
  <c r="I469" i="4" l="1"/>
  <c r="G469" i="4"/>
  <c r="F470" i="4"/>
  <c r="G469" i="3"/>
  <c r="I469" i="3"/>
  <c r="F470" i="3"/>
  <c r="G470" i="4" l="1"/>
  <c r="I470" i="4"/>
  <c r="F471" i="4"/>
  <c r="I470" i="3"/>
  <c r="G470" i="3"/>
  <c r="F471" i="3"/>
  <c r="I471" i="4" l="1"/>
  <c r="G471" i="4"/>
  <c r="F472" i="4"/>
  <c r="G471" i="3"/>
  <c r="I471" i="3"/>
  <c r="F472" i="3"/>
  <c r="G472" i="4" l="1"/>
  <c r="I472" i="4"/>
  <c r="F473" i="4"/>
  <c r="I472" i="3"/>
  <c r="G472" i="3"/>
  <c r="F473" i="3"/>
  <c r="I473" i="4" l="1"/>
  <c r="G473" i="4"/>
  <c r="F474" i="4"/>
  <c r="G473" i="3"/>
  <c r="I473" i="3"/>
  <c r="F474" i="3"/>
  <c r="G474" i="4" l="1"/>
  <c r="I474" i="4"/>
  <c r="F475" i="4"/>
  <c r="I474" i="3"/>
  <c r="G474" i="3"/>
  <c r="F475" i="3"/>
  <c r="I475" i="4" l="1"/>
  <c r="G475" i="4"/>
  <c r="F476" i="4"/>
  <c r="G475" i="3"/>
  <c r="I475" i="3"/>
  <c r="F476" i="3"/>
  <c r="G476" i="4" l="1"/>
  <c r="I476" i="4"/>
  <c r="F477" i="4"/>
  <c r="I476" i="3"/>
  <c r="G476" i="3"/>
  <c r="F477" i="3"/>
  <c r="I477" i="4" l="1"/>
  <c r="G477" i="4"/>
  <c r="F478" i="4"/>
  <c r="G477" i="3"/>
  <c r="I477" i="3"/>
  <c r="F478" i="3"/>
  <c r="G478" i="4" l="1"/>
  <c r="I478" i="4"/>
  <c r="F479" i="4"/>
  <c r="I478" i="3"/>
  <c r="G478" i="3"/>
  <c r="F479" i="3"/>
  <c r="I479" i="4" l="1"/>
  <c r="G479" i="4"/>
  <c r="F480" i="4"/>
  <c r="G479" i="3"/>
  <c r="I479" i="3"/>
  <c r="F480" i="3"/>
  <c r="G480" i="4" l="1"/>
  <c r="I480" i="4"/>
  <c r="F481" i="4"/>
  <c r="I480" i="3"/>
  <c r="G480" i="3"/>
  <c r="F481" i="3"/>
  <c r="I481" i="4" l="1"/>
  <c r="G481" i="4"/>
  <c r="F482" i="4"/>
  <c r="G481" i="3"/>
  <c r="I481" i="3"/>
  <c r="F482" i="3"/>
  <c r="G482" i="4" l="1"/>
  <c r="I482" i="4"/>
  <c r="F483" i="4"/>
  <c r="I482" i="3"/>
  <c r="G482" i="3"/>
  <c r="F483" i="3"/>
  <c r="I483" i="4" l="1"/>
  <c r="G483" i="4"/>
  <c r="F484" i="4"/>
  <c r="G483" i="3"/>
  <c r="I483" i="3"/>
  <c r="F484" i="3"/>
  <c r="G484" i="4" l="1"/>
  <c r="I484" i="4"/>
  <c r="F485" i="4"/>
  <c r="I484" i="3"/>
  <c r="G484" i="3"/>
  <c r="F485" i="3"/>
  <c r="I485" i="4" l="1"/>
  <c r="G485" i="4"/>
  <c r="F486" i="4"/>
  <c r="G485" i="3"/>
  <c r="I485" i="3"/>
  <c r="F486" i="3"/>
  <c r="G486" i="4" l="1"/>
  <c r="I486" i="4"/>
  <c r="F487" i="4"/>
  <c r="I486" i="3"/>
  <c r="G486" i="3"/>
  <c r="F487" i="3"/>
  <c r="I487" i="4" l="1"/>
  <c r="G487" i="4"/>
  <c r="F488" i="4"/>
  <c r="G487" i="3"/>
  <c r="I487" i="3"/>
  <c r="F488" i="3"/>
  <c r="G488" i="4" l="1"/>
  <c r="I488" i="4"/>
  <c r="F489" i="4"/>
  <c r="I488" i="3"/>
  <c r="G488" i="3"/>
  <c r="F489" i="3"/>
  <c r="I489" i="4" l="1"/>
  <c r="G489" i="4"/>
  <c r="F490" i="4"/>
  <c r="G489" i="3"/>
  <c r="I489" i="3"/>
  <c r="F490" i="3"/>
  <c r="G490" i="4" l="1"/>
  <c r="I490" i="4"/>
  <c r="F491" i="4"/>
  <c r="I490" i="3"/>
  <c r="G490" i="3"/>
  <c r="F491" i="3"/>
  <c r="I491" i="4" l="1"/>
  <c r="G491" i="4"/>
  <c r="F492" i="4"/>
  <c r="G491" i="3"/>
  <c r="I491" i="3"/>
  <c r="F492" i="3"/>
  <c r="G492" i="4" l="1"/>
  <c r="I492" i="4"/>
  <c r="F493" i="4"/>
  <c r="I492" i="3"/>
  <c r="G492" i="3"/>
  <c r="F493" i="3"/>
  <c r="I493" i="4" l="1"/>
  <c r="G493" i="4"/>
  <c r="F494" i="4"/>
  <c r="G493" i="3"/>
  <c r="I493" i="3"/>
  <c r="F494" i="3"/>
  <c r="G494" i="4" l="1"/>
  <c r="I494" i="4"/>
  <c r="F495" i="4"/>
  <c r="I494" i="3"/>
  <c r="G494" i="3"/>
  <c r="F495" i="3"/>
  <c r="I495" i="4" l="1"/>
  <c r="G495" i="4"/>
  <c r="F496" i="4"/>
  <c r="G495" i="3"/>
  <c r="I495" i="3"/>
  <c r="F496" i="3"/>
  <c r="G496" i="4" l="1"/>
  <c r="I496" i="4"/>
  <c r="F497" i="4"/>
  <c r="I496" i="3"/>
  <c r="G496" i="3"/>
  <c r="F497" i="3"/>
  <c r="I497" i="4" l="1"/>
  <c r="G497" i="4"/>
  <c r="F498" i="4"/>
  <c r="G497" i="3"/>
  <c r="I497" i="3"/>
  <c r="F498" i="3"/>
  <c r="G498" i="4" l="1"/>
  <c r="I498" i="4"/>
  <c r="F499" i="4"/>
  <c r="I498" i="3"/>
  <c r="G498" i="3"/>
  <c r="F499" i="3"/>
  <c r="I499" i="4" l="1"/>
  <c r="G499" i="4"/>
  <c r="F500" i="4"/>
  <c r="G499" i="3"/>
  <c r="I499" i="3"/>
  <c r="F500" i="3"/>
  <c r="G500" i="4" l="1"/>
  <c r="I500" i="4"/>
  <c r="F501" i="4"/>
  <c r="I500" i="3"/>
  <c r="G500" i="3"/>
  <c r="F501" i="3"/>
  <c r="I501" i="4" l="1"/>
  <c r="G501" i="4"/>
  <c r="F502" i="4"/>
  <c r="G501" i="3"/>
  <c r="I501" i="3"/>
  <c r="F502" i="3"/>
  <c r="G502" i="4" l="1"/>
  <c r="I502" i="4"/>
  <c r="F503" i="4"/>
  <c r="I502" i="3"/>
  <c r="G502" i="3"/>
  <c r="F503" i="3"/>
  <c r="I503" i="4" l="1"/>
  <c r="G503" i="4"/>
  <c r="F504" i="4"/>
  <c r="G503" i="3"/>
  <c r="I503" i="3"/>
  <c r="F504" i="3"/>
  <c r="G504" i="4" l="1"/>
  <c r="I504" i="4"/>
  <c r="F505" i="4"/>
  <c r="I504" i="3"/>
  <c r="G504" i="3"/>
  <c r="F505" i="3"/>
  <c r="I505" i="4" l="1"/>
  <c r="G505" i="4"/>
  <c r="F506" i="4"/>
  <c r="G505" i="3"/>
  <c r="I505" i="3"/>
  <c r="F506" i="3"/>
  <c r="G506" i="4" l="1"/>
  <c r="I506" i="4"/>
  <c r="F507" i="4"/>
  <c r="I506" i="3"/>
  <c r="G506" i="3"/>
  <c r="F507" i="3"/>
  <c r="I507" i="4" l="1"/>
  <c r="G507" i="4"/>
  <c r="F508" i="4"/>
  <c r="G507" i="3"/>
  <c r="I507" i="3"/>
  <c r="F508" i="3"/>
  <c r="G508" i="4" l="1"/>
  <c r="I508" i="4"/>
  <c r="F509" i="4"/>
  <c r="I508" i="3"/>
  <c r="G508" i="3"/>
  <c r="F509" i="3"/>
  <c r="I509" i="4" l="1"/>
  <c r="G509" i="4"/>
  <c r="F510" i="4"/>
  <c r="G509" i="3"/>
  <c r="I509" i="3"/>
  <c r="F510" i="3"/>
  <c r="G510" i="4" l="1"/>
  <c r="I510" i="4"/>
  <c r="F511" i="4"/>
  <c r="I510" i="3"/>
  <c r="G510" i="3"/>
  <c r="F511" i="3"/>
  <c r="I511" i="4" l="1"/>
  <c r="G511" i="4"/>
  <c r="F512" i="4"/>
  <c r="G511" i="3"/>
  <c r="I511" i="3"/>
  <c r="F512" i="3"/>
  <c r="I512" i="4" l="1"/>
  <c r="G512" i="4"/>
  <c r="F513" i="4"/>
  <c r="I512" i="3"/>
  <c r="G512" i="3"/>
  <c r="F513" i="3"/>
  <c r="G513" i="4" l="1"/>
  <c r="I513" i="4"/>
  <c r="F514" i="4"/>
  <c r="G513" i="3"/>
  <c r="I513" i="3"/>
  <c r="F514" i="3"/>
  <c r="I514" i="4" l="1"/>
  <c r="G514" i="4"/>
  <c r="F515" i="4"/>
  <c r="I514" i="3"/>
  <c r="G514" i="3"/>
  <c r="F515" i="3"/>
  <c r="G515" i="4" l="1"/>
  <c r="I515" i="4"/>
  <c r="F516" i="4"/>
  <c r="G515" i="3"/>
  <c r="I515" i="3"/>
  <c r="F516" i="3"/>
  <c r="I516" i="4" l="1"/>
  <c r="G516" i="4"/>
  <c r="F517" i="4"/>
  <c r="I516" i="3"/>
  <c r="G516" i="3"/>
  <c r="F517" i="3"/>
  <c r="G517" i="4" l="1"/>
  <c r="I517" i="4"/>
  <c r="F518" i="4"/>
  <c r="G517" i="3"/>
  <c r="I517" i="3"/>
  <c r="F518" i="3"/>
  <c r="I518" i="4" l="1"/>
  <c r="G518" i="4"/>
  <c r="F519" i="4"/>
  <c r="I518" i="3"/>
  <c r="G518" i="3"/>
  <c r="F519" i="3"/>
  <c r="G519" i="4" l="1"/>
  <c r="I519" i="4"/>
  <c r="F520" i="4"/>
  <c r="G519" i="3"/>
  <c r="I519" i="3"/>
  <c r="F520" i="3"/>
  <c r="I520" i="4" l="1"/>
  <c r="G520" i="4"/>
  <c r="F521" i="4"/>
  <c r="I520" i="3"/>
  <c r="G520" i="3"/>
  <c r="F521" i="3"/>
  <c r="G521" i="4" l="1"/>
  <c r="I521" i="4"/>
  <c r="F522" i="4"/>
  <c r="G521" i="3"/>
  <c r="I521" i="3"/>
  <c r="F522" i="3"/>
  <c r="I522" i="4" l="1"/>
  <c r="G522" i="4"/>
  <c r="F523" i="4"/>
  <c r="I522" i="3"/>
  <c r="G522" i="3"/>
  <c r="F523" i="3"/>
  <c r="G523" i="4" l="1"/>
  <c r="I523" i="4"/>
  <c r="F524" i="4"/>
  <c r="G523" i="3"/>
  <c r="I523" i="3"/>
  <c r="F524" i="3"/>
  <c r="I524" i="4" l="1"/>
  <c r="G524" i="4"/>
  <c r="F525" i="4"/>
  <c r="I524" i="3"/>
  <c r="G524" i="3"/>
  <c r="F525" i="3"/>
  <c r="G525" i="4" l="1"/>
  <c r="I525" i="4"/>
  <c r="F526" i="4"/>
  <c r="G525" i="3"/>
  <c r="I525" i="3"/>
  <c r="F526" i="3"/>
  <c r="I526" i="4" l="1"/>
  <c r="G526" i="4"/>
  <c r="F527" i="4"/>
  <c r="I526" i="3"/>
  <c r="G526" i="3"/>
  <c r="F527" i="3"/>
  <c r="G527" i="4" l="1"/>
  <c r="I527" i="4"/>
  <c r="F528" i="4"/>
  <c r="G527" i="3"/>
  <c r="I527" i="3"/>
  <c r="F528" i="3"/>
  <c r="I528" i="4" l="1"/>
  <c r="G528" i="4"/>
  <c r="F529" i="4"/>
  <c r="I528" i="3"/>
  <c r="G528" i="3"/>
  <c r="F529" i="3"/>
  <c r="G529" i="4" l="1"/>
  <c r="I529" i="4"/>
  <c r="F530" i="4"/>
  <c r="G529" i="3"/>
  <c r="I529" i="3"/>
  <c r="F530" i="3"/>
  <c r="I530" i="4" l="1"/>
  <c r="G530" i="4"/>
  <c r="F531" i="4"/>
  <c r="I530" i="3"/>
  <c r="G530" i="3"/>
  <c r="F531" i="3"/>
  <c r="G531" i="4" l="1"/>
  <c r="I531" i="4"/>
  <c r="F532" i="4"/>
  <c r="G531" i="3"/>
  <c r="I531" i="3"/>
  <c r="F532" i="3"/>
  <c r="I532" i="4" l="1"/>
  <c r="G532" i="4"/>
  <c r="F533" i="4"/>
  <c r="I532" i="3"/>
  <c r="G532" i="3"/>
  <c r="F533" i="3"/>
  <c r="G533" i="4" l="1"/>
  <c r="I533" i="4"/>
  <c r="F534" i="4"/>
  <c r="G533" i="3"/>
  <c r="I533" i="3"/>
  <c r="F534" i="3"/>
  <c r="I534" i="4" l="1"/>
  <c r="G534" i="4"/>
  <c r="F535" i="4"/>
  <c r="I534" i="3"/>
  <c r="G534" i="3"/>
  <c r="F535" i="3"/>
  <c r="G535" i="4" l="1"/>
  <c r="I535" i="4"/>
  <c r="F536" i="4"/>
  <c r="G535" i="3"/>
  <c r="I535" i="3"/>
  <c r="F536" i="3"/>
  <c r="G536" i="4" l="1"/>
  <c r="I536" i="4"/>
  <c r="F537" i="4"/>
  <c r="I536" i="3"/>
  <c r="G536" i="3"/>
  <c r="F537" i="3"/>
  <c r="I537" i="4" l="1"/>
  <c r="G537" i="4"/>
  <c r="F538" i="4"/>
  <c r="G537" i="3"/>
  <c r="I537" i="3"/>
  <c r="F538" i="3"/>
  <c r="G538" i="4" l="1"/>
  <c r="I538" i="4"/>
  <c r="F539" i="4"/>
  <c r="I538" i="3"/>
  <c r="G538" i="3"/>
  <c r="F539" i="3"/>
  <c r="I539" i="4" l="1"/>
  <c r="G539" i="4"/>
  <c r="F540" i="4"/>
  <c r="G539" i="3"/>
  <c r="I539" i="3"/>
  <c r="F540" i="3"/>
  <c r="G540" i="4" l="1"/>
  <c r="I540" i="4"/>
  <c r="F541" i="4"/>
  <c r="I540" i="3"/>
  <c r="G540" i="3"/>
  <c r="F541" i="3"/>
  <c r="I541" i="4" l="1"/>
  <c r="G541" i="4"/>
  <c r="F542" i="4"/>
  <c r="G541" i="3"/>
  <c r="I541" i="3"/>
  <c r="F542" i="3"/>
  <c r="G542" i="4" l="1"/>
  <c r="I542" i="4"/>
  <c r="F543" i="4"/>
  <c r="I542" i="3"/>
  <c r="G542" i="3"/>
  <c r="F543" i="3"/>
  <c r="I543" i="4" l="1"/>
  <c r="G543" i="4"/>
  <c r="F544" i="4"/>
  <c r="G543" i="3"/>
  <c r="I543" i="3"/>
  <c r="F544" i="3"/>
  <c r="G544" i="4" l="1"/>
  <c r="I544" i="4"/>
  <c r="F545" i="4"/>
  <c r="I544" i="3"/>
  <c r="G544" i="3"/>
  <c r="F545" i="3"/>
  <c r="I545" i="4" l="1"/>
  <c r="G545" i="4"/>
  <c r="F546" i="4"/>
  <c r="G545" i="3"/>
  <c r="I545" i="3"/>
  <c r="F546" i="3"/>
  <c r="G546" i="4" l="1"/>
  <c r="I546" i="4"/>
  <c r="F547" i="4"/>
  <c r="I546" i="3"/>
  <c r="G546" i="3"/>
  <c r="F547" i="3"/>
  <c r="I547" i="4" l="1"/>
  <c r="G547" i="4"/>
  <c r="F548" i="4"/>
  <c r="G547" i="3"/>
  <c r="I547" i="3"/>
  <c r="F548" i="3"/>
  <c r="G548" i="4" l="1"/>
  <c r="I548" i="4"/>
  <c r="F549" i="4"/>
  <c r="I548" i="3"/>
  <c r="G548" i="3"/>
  <c r="F549" i="3"/>
  <c r="I549" i="4" l="1"/>
  <c r="G549" i="4"/>
  <c r="F550" i="4"/>
  <c r="G549" i="3"/>
  <c r="I549" i="3"/>
  <c r="F550" i="3"/>
  <c r="G550" i="4" l="1"/>
  <c r="I550" i="4"/>
  <c r="F551" i="4"/>
  <c r="I550" i="3"/>
  <c r="G550" i="3"/>
  <c r="F551" i="3"/>
  <c r="I551" i="4" l="1"/>
  <c r="G551" i="4"/>
  <c r="F552" i="4"/>
  <c r="G551" i="3"/>
  <c r="I551" i="3"/>
  <c r="F552" i="3"/>
  <c r="G552" i="4" l="1"/>
  <c r="I552" i="4"/>
  <c r="F553" i="4"/>
  <c r="I552" i="3"/>
  <c r="G552" i="3"/>
  <c r="F553" i="3"/>
  <c r="I553" i="4" l="1"/>
  <c r="G553" i="4"/>
  <c r="F554" i="4"/>
  <c r="G553" i="3"/>
  <c r="I553" i="3"/>
  <c r="F554" i="3"/>
  <c r="G554" i="4" l="1"/>
  <c r="I554" i="4"/>
  <c r="F555" i="4"/>
  <c r="I554" i="3"/>
  <c r="G554" i="3"/>
  <c r="F555" i="3"/>
  <c r="I555" i="4" l="1"/>
  <c r="G555" i="4"/>
  <c r="F556" i="4"/>
  <c r="G555" i="3"/>
  <c r="I555" i="3"/>
  <c r="F556" i="3"/>
  <c r="G556" i="4" l="1"/>
  <c r="I556" i="4"/>
  <c r="F557" i="4"/>
  <c r="I556" i="3"/>
  <c r="G556" i="3"/>
  <c r="F557" i="3"/>
  <c r="I557" i="4" l="1"/>
  <c r="G557" i="4"/>
  <c r="F558" i="4"/>
  <c r="G557" i="3"/>
  <c r="I557" i="3"/>
  <c r="F558" i="3"/>
  <c r="G558" i="4" l="1"/>
  <c r="I558" i="4"/>
  <c r="F559" i="4"/>
  <c r="I558" i="3"/>
  <c r="G558" i="3"/>
  <c r="F559" i="3"/>
  <c r="I559" i="4" l="1"/>
  <c r="G559" i="4"/>
  <c r="F560" i="4"/>
  <c r="G559" i="3"/>
  <c r="I559" i="3"/>
  <c r="F560" i="3"/>
  <c r="G560" i="4" l="1"/>
  <c r="I560" i="4"/>
  <c r="F561" i="4"/>
  <c r="I560" i="3"/>
  <c r="G560" i="3"/>
  <c r="F561" i="3"/>
  <c r="I561" i="4" l="1"/>
  <c r="G561" i="4"/>
  <c r="F562" i="4"/>
  <c r="G561" i="3"/>
  <c r="I561" i="3"/>
  <c r="F562" i="3"/>
  <c r="G562" i="4" l="1"/>
  <c r="I562" i="4"/>
  <c r="F563" i="4"/>
  <c r="I562" i="3"/>
  <c r="G562" i="3"/>
  <c r="F563" i="3"/>
  <c r="I563" i="4" l="1"/>
  <c r="G563" i="4"/>
  <c r="F564" i="4"/>
  <c r="I563" i="3"/>
  <c r="G563" i="3"/>
  <c r="F564" i="3"/>
  <c r="G564" i="4" l="1"/>
  <c r="I564" i="4"/>
  <c r="F565" i="4"/>
  <c r="G564" i="3"/>
  <c r="I564" i="3"/>
  <c r="F565" i="3"/>
  <c r="I565" i="4" l="1"/>
  <c r="G565" i="4"/>
  <c r="F566" i="4"/>
  <c r="I565" i="3"/>
  <c r="G565" i="3"/>
  <c r="F566" i="3"/>
  <c r="G566" i="4" l="1"/>
  <c r="I566" i="4"/>
  <c r="F567" i="4"/>
  <c r="G566" i="3"/>
  <c r="I566" i="3"/>
  <c r="F567" i="3"/>
  <c r="I567" i="4" l="1"/>
  <c r="G567" i="4"/>
  <c r="F568" i="4"/>
  <c r="I567" i="3"/>
  <c r="G567" i="3"/>
  <c r="F568" i="3"/>
  <c r="G568" i="4" l="1"/>
  <c r="I568" i="4"/>
  <c r="F569" i="4"/>
  <c r="G568" i="3"/>
  <c r="I568" i="3"/>
  <c r="F569" i="3"/>
  <c r="I569" i="4" l="1"/>
  <c r="G569" i="4"/>
  <c r="F570" i="4"/>
  <c r="I569" i="3"/>
  <c r="G569" i="3"/>
  <c r="F570" i="3"/>
  <c r="G570" i="4" l="1"/>
  <c r="I570" i="4"/>
  <c r="F571" i="4"/>
  <c r="G570" i="3"/>
  <c r="I570" i="3"/>
  <c r="F571" i="3"/>
  <c r="I571" i="4" l="1"/>
  <c r="G571" i="4"/>
  <c r="F572" i="4"/>
  <c r="I571" i="3"/>
  <c r="G571" i="3"/>
  <c r="F572" i="3"/>
  <c r="G572" i="4" l="1"/>
  <c r="I572" i="4"/>
  <c r="F573" i="4"/>
  <c r="G572" i="3"/>
  <c r="I572" i="3"/>
  <c r="F573" i="3"/>
  <c r="I573" i="4" l="1"/>
  <c r="G573" i="4"/>
  <c r="F574" i="4"/>
  <c r="I573" i="3"/>
  <c r="G573" i="3"/>
  <c r="F574" i="3"/>
  <c r="G574" i="4" l="1"/>
  <c r="I574" i="4"/>
  <c r="F575" i="4"/>
  <c r="G574" i="3"/>
  <c r="I574" i="3"/>
  <c r="F575" i="3"/>
  <c r="I575" i="4" l="1"/>
  <c r="G575" i="4"/>
  <c r="F576" i="4"/>
  <c r="I575" i="3"/>
  <c r="G575" i="3"/>
  <c r="F576" i="3"/>
  <c r="G576" i="4" l="1"/>
  <c r="I576" i="4"/>
  <c r="F577" i="4"/>
  <c r="G576" i="3"/>
  <c r="I576" i="3"/>
  <c r="F577" i="3"/>
  <c r="I577" i="4" l="1"/>
  <c r="G577" i="4"/>
  <c r="F578" i="4"/>
  <c r="I577" i="3"/>
  <c r="G577" i="3"/>
  <c r="F578" i="3"/>
  <c r="G578" i="4" l="1"/>
  <c r="I578" i="4"/>
  <c r="F579" i="4"/>
  <c r="G578" i="3"/>
  <c r="I578" i="3"/>
  <c r="F579" i="3"/>
  <c r="I579" i="4" l="1"/>
  <c r="G579" i="4"/>
  <c r="F580" i="4"/>
  <c r="I579" i="3"/>
  <c r="G579" i="3"/>
  <c r="F580" i="3"/>
  <c r="G580" i="4" l="1"/>
  <c r="I580" i="4"/>
  <c r="F581" i="4"/>
  <c r="G580" i="3"/>
  <c r="I580" i="3"/>
  <c r="F581" i="3"/>
  <c r="I581" i="4" l="1"/>
  <c r="G581" i="4"/>
  <c r="F582" i="4"/>
  <c r="I581" i="3"/>
  <c r="G581" i="3"/>
  <c r="F582" i="3"/>
  <c r="G582" i="4" l="1"/>
  <c r="I582" i="4"/>
  <c r="F583" i="4"/>
  <c r="G582" i="3"/>
  <c r="F583" i="3"/>
  <c r="I582" i="3"/>
  <c r="I583" i="4" l="1"/>
  <c r="G583" i="4"/>
  <c r="F584" i="4"/>
  <c r="I583" i="3"/>
  <c r="G583" i="3"/>
  <c r="F584" i="3"/>
  <c r="G584" i="4" l="1"/>
  <c r="I584" i="4"/>
  <c r="F585" i="4"/>
  <c r="G584" i="3"/>
  <c r="I584" i="3"/>
  <c r="F585" i="3"/>
  <c r="I585" i="4" l="1"/>
  <c r="G585" i="4"/>
  <c r="F586" i="4"/>
  <c r="I585" i="3"/>
  <c r="G585" i="3"/>
  <c r="F586" i="3"/>
  <c r="G586" i="4" l="1"/>
  <c r="I586" i="4"/>
  <c r="F587" i="4"/>
  <c r="G586" i="3"/>
  <c r="I586" i="3"/>
  <c r="F587" i="3"/>
  <c r="I587" i="4" l="1"/>
  <c r="G587" i="4"/>
  <c r="F588" i="4"/>
  <c r="I587" i="3"/>
  <c r="G587" i="3"/>
  <c r="F588" i="3"/>
  <c r="G588" i="4" l="1"/>
  <c r="I588" i="4"/>
  <c r="F589" i="4"/>
  <c r="G588" i="3"/>
  <c r="I588" i="3"/>
  <c r="F589" i="3"/>
  <c r="I589" i="4" l="1"/>
  <c r="G589" i="4"/>
  <c r="F590" i="4"/>
  <c r="I589" i="3"/>
  <c r="G589" i="3"/>
  <c r="F590" i="3"/>
  <c r="G590" i="4" l="1"/>
  <c r="I590" i="4"/>
  <c r="F591" i="4"/>
  <c r="G590" i="3"/>
  <c r="I590" i="3"/>
  <c r="F591" i="3"/>
  <c r="I591" i="4" l="1"/>
  <c r="G591" i="4"/>
  <c r="F592" i="4"/>
  <c r="I591" i="3"/>
  <c r="G591" i="3"/>
  <c r="F592" i="3"/>
  <c r="G592" i="4" l="1"/>
  <c r="I592" i="4"/>
  <c r="F593" i="4"/>
  <c r="G592" i="3"/>
  <c r="I592" i="3"/>
  <c r="F593" i="3"/>
  <c r="I593" i="4" l="1"/>
  <c r="G593" i="4"/>
  <c r="F594" i="4"/>
  <c r="I593" i="3"/>
  <c r="G593" i="3"/>
  <c r="F594" i="3"/>
  <c r="G594" i="4" l="1"/>
  <c r="I594" i="4"/>
  <c r="F595" i="4"/>
  <c r="G594" i="3"/>
  <c r="I594" i="3"/>
  <c r="F595" i="3"/>
  <c r="I595" i="4" l="1"/>
  <c r="G595" i="4"/>
  <c r="F596" i="4"/>
  <c r="I595" i="3"/>
  <c r="G595" i="3"/>
  <c r="F596" i="3"/>
  <c r="G596" i="4" l="1"/>
  <c r="I596" i="4"/>
  <c r="F597" i="4"/>
  <c r="G596" i="3"/>
  <c r="I596" i="3"/>
  <c r="F597" i="3"/>
  <c r="I597" i="4" l="1"/>
  <c r="G597" i="4"/>
  <c r="F598" i="4"/>
  <c r="I597" i="3"/>
  <c r="G597" i="3"/>
  <c r="F598" i="3"/>
  <c r="G598" i="4" l="1"/>
  <c r="I598" i="4"/>
  <c r="F599" i="4"/>
  <c r="G598" i="3"/>
  <c r="I598" i="3"/>
  <c r="F599" i="3"/>
  <c r="I599" i="4" l="1"/>
  <c r="G599" i="4"/>
  <c r="F600" i="4"/>
  <c r="I599" i="3"/>
  <c r="G599" i="3"/>
  <c r="F600" i="3"/>
  <c r="G600" i="4" l="1"/>
  <c r="I600" i="4"/>
  <c r="F601" i="4"/>
  <c r="G600" i="3"/>
  <c r="I600" i="3"/>
  <c r="F601" i="3"/>
  <c r="I601" i="4" l="1"/>
  <c r="G601" i="4"/>
  <c r="F602" i="4"/>
  <c r="I601" i="3"/>
  <c r="G601" i="3"/>
  <c r="F602" i="3"/>
  <c r="G602" i="4" l="1"/>
  <c r="I602" i="4"/>
  <c r="F603" i="4"/>
  <c r="G602" i="3"/>
  <c r="I602" i="3"/>
  <c r="F603" i="3"/>
  <c r="I603" i="4" l="1"/>
  <c r="G603" i="4"/>
  <c r="F604" i="4"/>
  <c r="I603" i="3"/>
  <c r="G603" i="3"/>
  <c r="F604" i="3"/>
  <c r="G604" i="4" l="1"/>
  <c r="I604" i="4"/>
  <c r="F605" i="4"/>
  <c r="G604" i="3"/>
  <c r="I604" i="3"/>
  <c r="F605" i="3"/>
  <c r="I605" i="4" l="1"/>
  <c r="G605" i="4"/>
  <c r="F606" i="4"/>
  <c r="I605" i="3"/>
  <c r="G605" i="3"/>
  <c r="F606" i="3"/>
  <c r="G606" i="4" l="1"/>
  <c r="I606" i="4"/>
  <c r="F607" i="4"/>
  <c r="G606" i="3"/>
  <c r="I606" i="3"/>
  <c r="F607" i="3"/>
  <c r="I607" i="4" l="1"/>
  <c r="G607" i="4"/>
  <c r="F608" i="4"/>
  <c r="I607" i="3"/>
  <c r="G607" i="3"/>
  <c r="F608" i="3"/>
  <c r="G608" i="4" l="1"/>
  <c r="I608" i="4"/>
  <c r="F609" i="4"/>
  <c r="G608" i="3"/>
  <c r="I608" i="3"/>
  <c r="F609" i="3"/>
  <c r="I609" i="4" l="1"/>
  <c r="G609" i="4"/>
  <c r="F610" i="4"/>
  <c r="I609" i="3"/>
  <c r="G609" i="3"/>
  <c r="F610" i="3"/>
  <c r="G610" i="4" l="1"/>
  <c r="I610" i="4"/>
  <c r="F611" i="4"/>
  <c r="G610" i="3"/>
  <c r="I610" i="3"/>
  <c r="F611" i="3"/>
  <c r="I611" i="4" l="1"/>
  <c r="G611" i="4"/>
  <c r="F612" i="4"/>
  <c r="I611" i="3"/>
  <c r="G611" i="3"/>
  <c r="F612" i="3"/>
  <c r="G612" i="4" l="1"/>
  <c r="I612" i="4"/>
  <c r="F613" i="4"/>
  <c r="G612" i="3"/>
  <c r="I612" i="3"/>
  <c r="F613" i="3"/>
  <c r="I613" i="4" l="1"/>
  <c r="G613" i="4"/>
  <c r="F614" i="4"/>
  <c r="I613" i="3"/>
  <c r="G613" i="3"/>
  <c r="F614" i="3"/>
  <c r="G614" i="4" l="1"/>
  <c r="I614" i="4"/>
  <c r="F615" i="4"/>
  <c r="G614" i="3"/>
  <c r="I614" i="3"/>
  <c r="F615" i="3"/>
  <c r="I615" i="4" l="1"/>
  <c r="G615" i="4"/>
  <c r="F616" i="4"/>
  <c r="I615" i="3"/>
  <c r="G615" i="3"/>
  <c r="F616" i="3"/>
  <c r="G616" i="4" l="1"/>
  <c r="I616" i="4"/>
  <c r="F617" i="4"/>
  <c r="G616" i="3"/>
  <c r="I616" i="3"/>
  <c r="F617" i="3"/>
  <c r="I617" i="4" l="1"/>
  <c r="G617" i="4"/>
  <c r="F618" i="4"/>
  <c r="I617" i="3"/>
  <c r="G617" i="3"/>
  <c r="F618" i="3"/>
  <c r="G618" i="4" l="1"/>
  <c r="I618" i="4"/>
  <c r="F619" i="4"/>
  <c r="G618" i="3"/>
  <c r="I618" i="3"/>
  <c r="F619" i="3"/>
  <c r="I619" i="4" l="1"/>
  <c r="G619" i="4"/>
  <c r="F620" i="4"/>
  <c r="I619" i="3"/>
  <c r="G619" i="3"/>
  <c r="F620" i="3"/>
  <c r="G620" i="4" l="1"/>
  <c r="I620" i="4"/>
  <c r="F621" i="4"/>
  <c r="G620" i="3"/>
  <c r="I620" i="3"/>
  <c r="F621" i="3"/>
  <c r="I621" i="4" l="1"/>
  <c r="G621" i="4"/>
  <c r="F622" i="4"/>
  <c r="I621" i="3"/>
  <c r="G621" i="3"/>
  <c r="F622" i="3"/>
  <c r="G622" i="4" l="1"/>
  <c r="I622" i="4"/>
  <c r="F623" i="4"/>
  <c r="G622" i="3"/>
  <c r="I622" i="3"/>
  <c r="F623" i="3"/>
  <c r="I623" i="4" l="1"/>
  <c r="G623" i="4"/>
  <c r="F624" i="4"/>
  <c r="I623" i="3"/>
  <c r="G623" i="3"/>
  <c r="F624" i="3"/>
  <c r="G624" i="4" l="1"/>
  <c r="I624" i="4"/>
  <c r="F625" i="4"/>
  <c r="G624" i="3"/>
  <c r="I624" i="3"/>
  <c r="F625" i="3"/>
  <c r="I625" i="4" l="1"/>
  <c r="G625" i="4"/>
  <c r="F626" i="4"/>
  <c r="I625" i="3"/>
  <c r="G625" i="3"/>
  <c r="F626" i="3"/>
  <c r="G626" i="4" l="1"/>
  <c r="I626" i="4"/>
  <c r="F627" i="4"/>
  <c r="G626" i="3"/>
  <c r="I626" i="3"/>
  <c r="F627" i="3"/>
  <c r="I627" i="4" l="1"/>
  <c r="G627" i="4"/>
  <c r="F628" i="4"/>
  <c r="I627" i="3"/>
  <c r="G627" i="3"/>
  <c r="F628" i="3"/>
  <c r="G628" i="4" l="1"/>
  <c r="I628" i="4"/>
  <c r="F629" i="4"/>
  <c r="G628" i="3"/>
  <c r="I628" i="3"/>
  <c r="F629" i="3"/>
  <c r="I629" i="4" l="1"/>
  <c r="G629" i="4"/>
  <c r="F630" i="4"/>
  <c r="I629" i="3"/>
  <c r="G629" i="3"/>
  <c r="F630" i="3"/>
  <c r="G630" i="4" l="1"/>
  <c r="I630" i="4"/>
  <c r="F631" i="4"/>
  <c r="G630" i="3"/>
  <c r="I630" i="3"/>
  <c r="F631" i="3"/>
  <c r="I631" i="4" l="1"/>
  <c r="G631" i="4"/>
  <c r="F632" i="4"/>
  <c r="I631" i="3"/>
  <c r="G631" i="3"/>
  <c r="F632" i="3"/>
  <c r="G632" i="4" l="1"/>
  <c r="I632" i="4"/>
  <c r="F633" i="4"/>
  <c r="G632" i="3"/>
  <c r="I632" i="3"/>
  <c r="F633" i="3"/>
  <c r="I633" i="4" l="1"/>
  <c r="G633" i="4"/>
  <c r="F634" i="4"/>
  <c r="I633" i="3"/>
  <c r="G633" i="3"/>
  <c r="F634" i="3"/>
  <c r="G634" i="4" l="1"/>
  <c r="I634" i="4"/>
  <c r="F635" i="4"/>
  <c r="G634" i="3"/>
  <c r="I634" i="3"/>
  <c r="F635" i="3"/>
  <c r="I635" i="4" l="1"/>
  <c r="G635" i="4"/>
  <c r="F636" i="4"/>
  <c r="I635" i="3"/>
  <c r="G635" i="3"/>
  <c r="F636" i="3"/>
  <c r="G636" i="4" l="1"/>
  <c r="I636" i="4"/>
  <c r="F637" i="4"/>
  <c r="G636" i="3"/>
  <c r="I636" i="3"/>
  <c r="F637" i="3"/>
  <c r="I637" i="4" l="1"/>
  <c r="G637" i="4"/>
  <c r="F638" i="4"/>
  <c r="I637" i="3"/>
  <c r="G637" i="3"/>
  <c r="F638" i="3"/>
  <c r="G638" i="4" l="1"/>
  <c r="I638" i="4"/>
  <c r="F639" i="4"/>
  <c r="G638" i="3"/>
  <c r="I638" i="3"/>
  <c r="F639" i="3"/>
  <c r="I639" i="4" l="1"/>
  <c r="G639" i="4"/>
  <c r="F640" i="4"/>
  <c r="I639" i="3"/>
  <c r="G639" i="3"/>
  <c r="F640" i="3"/>
  <c r="G640" i="4" l="1"/>
  <c r="I640" i="4"/>
  <c r="F641" i="4"/>
  <c r="G640" i="3"/>
  <c r="I640" i="3"/>
  <c r="F641" i="3"/>
  <c r="I641" i="4" l="1"/>
  <c r="G641" i="4"/>
  <c r="F642" i="4"/>
  <c r="I641" i="3"/>
  <c r="G641" i="3"/>
  <c r="F642" i="3"/>
  <c r="G642" i="4" l="1"/>
  <c r="I642" i="4"/>
  <c r="F643" i="4"/>
  <c r="G642" i="3"/>
  <c r="I642" i="3"/>
  <c r="F643" i="3"/>
  <c r="I643" i="4" l="1"/>
  <c r="G643" i="4"/>
  <c r="F644" i="4"/>
  <c r="I643" i="3"/>
  <c r="G643" i="3"/>
  <c r="F644" i="3"/>
  <c r="G644" i="4" l="1"/>
  <c r="I644" i="4"/>
  <c r="F645" i="4"/>
  <c r="G644" i="3"/>
  <c r="I644" i="3"/>
  <c r="F645" i="3"/>
  <c r="I645" i="4" l="1"/>
  <c r="G645" i="4"/>
  <c r="F646" i="4"/>
  <c r="I645" i="3"/>
  <c r="G645" i="3"/>
  <c r="F646" i="3"/>
  <c r="G646" i="4" l="1"/>
  <c r="I646" i="4"/>
  <c r="F647" i="4"/>
  <c r="G646" i="3"/>
  <c r="I646" i="3"/>
  <c r="F647" i="3"/>
  <c r="I647" i="4" l="1"/>
  <c r="G647" i="4"/>
  <c r="F648" i="4"/>
  <c r="I647" i="3"/>
  <c r="G647" i="3"/>
  <c r="F648" i="3"/>
  <c r="G648" i="4" l="1"/>
  <c r="I648" i="4"/>
  <c r="F649" i="4"/>
  <c r="G648" i="3"/>
  <c r="I648" i="3"/>
  <c r="F649" i="3"/>
  <c r="I649" i="4" l="1"/>
  <c r="G649" i="4"/>
  <c r="F650" i="4"/>
  <c r="I649" i="3"/>
  <c r="G649" i="3"/>
  <c r="F650" i="3"/>
  <c r="G650" i="4" l="1"/>
  <c r="I650" i="4"/>
  <c r="F651" i="4"/>
  <c r="G650" i="3"/>
  <c r="I650" i="3"/>
  <c r="F651" i="3"/>
  <c r="I651" i="4" l="1"/>
  <c r="G651" i="4"/>
  <c r="F652" i="4"/>
  <c r="I651" i="3"/>
  <c r="G651" i="3"/>
  <c r="F652" i="3"/>
  <c r="G652" i="4" l="1"/>
  <c r="I652" i="4"/>
  <c r="F653" i="4"/>
  <c r="G652" i="3"/>
  <c r="I652" i="3"/>
  <c r="F653" i="3"/>
  <c r="I653" i="4" l="1"/>
  <c r="G653" i="4"/>
  <c r="F654" i="4"/>
  <c r="I653" i="3"/>
  <c r="G653" i="3"/>
  <c r="F654" i="3"/>
  <c r="G654" i="4" l="1"/>
  <c r="I654" i="4"/>
  <c r="F655" i="4"/>
  <c r="G654" i="3"/>
  <c r="I654" i="3"/>
  <c r="F655" i="3"/>
  <c r="I655" i="4" l="1"/>
  <c r="G655" i="4"/>
  <c r="F656" i="4"/>
  <c r="I655" i="3"/>
  <c r="G655" i="3"/>
  <c r="F656" i="3"/>
  <c r="G656" i="4" l="1"/>
  <c r="I656" i="4"/>
  <c r="F657" i="4"/>
  <c r="G656" i="3"/>
  <c r="I656" i="3"/>
  <c r="F657" i="3"/>
  <c r="I657" i="4" l="1"/>
  <c r="G657" i="4"/>
  <c r="F658" i="4"/>
  <c r="I657" i="3"/>
  <c r="G657" i="3"/>
  <c r="F658" i="3"/>
  <c r="G658" i="4" l="1"/>
  <c r="I658" i="4"/>
  <c r="F659" i="4"/>
  <c r="G658" i="3"/>
  <c r="I658" i="3"/>
  <c r="F659" i="3"/>
  <c r="I659" i="4" l="1"/>
  <c r="G659" i="4"/>
  <c r="F660" i="4"/>
  <c r="I659" i="3"/>
  <c r="G659" i="3"/>
  <c r="F660" i="3"/>
  <c r="G660" i="4" l="1"/>
  <c r="I660" i="4"/>
  <c r="F661" i="4"/>
  <c r="G660" i="3"/>
  <c r="I660" i="3"/>
  <c r="F661" i="3"/>
  <c r="I661" i="4" l="1"/>
  <c r="G661" i="4"/>
  <c r="F662" i="4"/>
  <c r="I661" i="3"/>
  <c r="G661" i="3"/>
  <c r="F662" i="3"/>
  <c r="G662" i="4" l="1"/>
  <c r="I662" i="4"/>
  <c r="F663" i="4"/>
  <c r="G662" i="3"/>
  <c r="I662" i="3"/>
  <c r="F663" i="3"/>
  <c r="I663" i="4" l="1"/>
  <c r="G663" i="4"/>
  <c r="F664" i="4"/>
  <c r="I663" i="3"/>
  <c r="G663" i="3"/>
  <c r="F664" i="3"/>
  <c r="G664" i="4" l="1"/>
  <c r="I664" i="4"/>
  <c r="F665" i="4"/>
  <c r="G664" i="3"/>
  <c r="I664" i="3"/>
  <c r="F665" i="3"/>
  <c r="I665" i="4" l="1"/>
  <c r="G665" i="4"/>
  <c r="F666" i="4"/>
  <c r="I665" i="3"/>
  <c r="G665" i="3"/>
  <c r="F666" i="3"/>
  <c r="G666" i="4" l="1"/>
  <c r="I666" i="4"/>
  <c r="F667" i="4"/>
  <c r="G666" i="3"/>
  <c r="I666" i="3"/>
  <c r="F667" i="3"/>
  <c r="I667" i="4" l="1"/>
  <c r="G667" i="4"/>
  <c r="F668" i="4"/>
  <c r="I667" i="3"/>
  <c r="G667" i="3"/>
  <c r="F668" i="3"/>
  <c r="G668" i="4" l="1"/>
  <c r="I668" i="4"/>
  <c r="F669" i="4"/>
  <c r="G668" i="3"/>
  <c r="I668" i="3"/>
  <c r="F669" i="3"/>
  <c r="I669" i="4" l="1"/>
  <c r="G669" i="4"/>
  <c r="F670" i="4"/>
  <c r="I669" i="3"/>
  <c r="G669" i="3"/>
  <c r="F670" i="3"/>
  <c r="G670" i="4" l="1"/>
  <c r="I670" i="4"/>
  <c r="F671" i="4"/>
  <c r="G670" i="3"/>
  <c r="I670" i="3"/>
  <c r="F671" i="3"/>
  <c r="I671" i="4" l="1"/>
  <c r="G671" i="4"/>
  <c r="F672" i="4"/>
  <c r="I671" i="3"/>
  <c r="G671" i="3"/>
  <c r="F672" i="3"/>
  <c r="G672" i="4" l="1"/>
  <c r="I672" i="4"/>
  <c r="F673" i="4"/>
  <c r="G672" i="3"/>
  <c r="I672" i="3"/>
  <c r="F673" i="3"/>
  <c r="I673" i="4" l="1"/>
  <c r="G673" i="4"/>
  <c r="F674" i="4"/>
  <c r="I673" i="3"/>
  <c r="G673" i="3"/>
  <c r="F674" i="3"/>
  <c r="G674" i="4" l="1"/>
  <c r="I674" i="4"/>
  <c r="F675" i="4"/>
  <c r="G674" i="3"/>
  <c r="I674" i="3"/>
  <c r="F675" i="3"/>
  <c r="I675" i="4" l="1"/>
  <c r="G675" i="4"/>
  <c r="F676" i="4"/>
  <c r="I675" i="3"/>
  <c r="G675" i="3"/>
  <c r="F676" i="3"/>
  <c r="G676" i="4" l="1"/>
  <c r="I676" i="4"/>
  <c r="F677" i="4"/>
  <c r="G676" i="3"/>
  <c r="I676" i="3"/>
  <c r="F677" i="3"/>
  <c r="I677" i="4" l="1"/>
  <c r="G677" i="4"/>
  <c r="F678" i="4"/>
  <c r="I677" i="3"/>
  <c r="G677" i="3"/>
  <c r="F678" i="3"/>
  <c r="G678" i="4" l="1"/>
  <c r="I678" i="4"/>
  <c r="F679" i="4"/>
  <c r="G678" i="3"/>
  <c r="I678" i="3"/>
  <c r="F679" i="3"/>
  <c r="I679" i="4" l="1"/>
  <c r="G679" i="4"/>
  <c r="F680" i="4"/>
  <c r="I679" i="3"/>
  <c r="G679" i="3"/>
  <c r="F680" i="3"/>
  <c r="G680" i="4" l="1"/>
  <c r="I680" i="4"/>
  <c r="F681" i="4"/>
  <c r="G680" i="3"/>
  <c r="I680" i="3"/>
  <c r="F681" i="3"/>
  <c r="I681" i="4" l="1"/>
  <c r="G681" i="4"/>
  <c r="F682" i="4"/>
  <c r="I681" i="3"/>
  <c r="G681" i="3"/>
  <c r="F682" i="3"/>
  <c r="G682" i="4" l="1"/>
  <c r="I682" i="4"/>
  <c r="F683" i="4"/>
  <c r="G682" i="3"/>
  <c r="I682" i="3"/>
  <c r="F683" i="3"/>
  <c r="I683" i="4" l="1"/>
  <c r="G683" i="4"/>
  <c r="F684" i="4"/>
  <c r="I683" i="3"/>
  <c r="G683" i="3"/>
  <c r="F684" i="3"/>
  <c r="G684" i="4" l="1"/>
  <c r="I684" i="4"/>
  <c r="F685" i="4"/>
  <c r="G684" i="3"/>
  <c r="I684" i="3"/>
  <c r="F685" i="3"/>
  <c r="I685" i="4" l="1"/>
  <c r="G685" i="4"/>
  <c r="F686" i="4"/>
  <c r="I685" i="3"/>
  <c r="G685" i="3"/>
  <c r="F686" i="3"/>
  <c r="G686" i="4" l="1"/>
  <c r="I686" i="4"/>
  <c r="F687" i="4"/>
  <c r="G686" i="3"/>
  <c r="I686" i="3"/>
  <c r="F687" i="3"/>
  <c r="I687" i="4" l="1"/>
  <c r="G687" i="4"/>
  <c r="F688" i="4"/>
  <c r="I687" i="3"/>
  <c r="G687" i="3"/>
  <c r="F688" i="3"/>
  <c r="G688" i="4" l="1"/>
  <c r="I688" i="4"/>
  <c r="F689" i="4"/>
  <c r="G688" i="3"/>
  <c r="I688" i="3"/>
  <c r="F689" i="3"/>
  <c r="I689" i="4" l="1"/>
  <c r="G689" i="4"/>
  <c r="F690" i="4"/>
  <c r="I689" i="3"/>
  <c r="G689" i="3"/>
  <c r="F690" i="3"/>
  <c r="G690" i="4" l="1"/>
  <c r="I690" i="4"/>
  <c r="F691" i="4"/>
  <c r="G690" i="3"/>
  <c r="I690" i="3"/>
  <c r="F691" i="3"/>
  <c r="I691" i="4" l="1"/>
  <c r="G691" i="4"/>
  <c r="F692" i="4"/>
  <c r="I691" i="3"/>
  <c r="G691" i="3"/>
  <c r="F692" i="3"/>
  <c r="G692" i="4" l="1"/>
  <c r="I692" i="4"/>
  <c r="F693" i="4"/>
  <c r="G692" i="3"/>
  <c r="I692" i="3"/>
  <c r="F693" i="3"/>
  <c r="I693" i="4" l="1"/>
  <c r="G693" i="4"/>
  <c r="F694" i="4"/>
  <c r="I693" i="3"/>
  <c r="G693" i="3"/>
  <c r="F694" i="3"/>
  <c r="G694" i="4" l="1"/>
  <c r="I694" i="4"/>
  <c r="F695" i="4"/>
  <c r="G694" i="3"/>
  <c r="I694" i="3"/>
  <c r="F695" i="3"/>
  <c r="I695" i="4" l="1"/>
  <c r="G695" i="4"/>
  <c r="F696" i="4"/>
  <c r="I695" i="3"/>
  <c r="G695" i="3"/>
  <c r="F696" i="3"/>
  <c r="G696" i="4" l="1"/>
  <c r="I696" i="4"/>
  <c r="F697" i="4"/>
  <c r="G696" i="3"/>
  <c r="I696" i="3"/>
  <c r="F697" i="3"/>
  <c r="I697" i="4" l="1"/>
  <c r="G697" i="4"/>
  <c r="F698" i="4"/>
  <c r="I697" i="3"/>
  <c r="G697" i="3"/>
  <c r="F698" i="3"/>
  <c r="G698" i="4" l="1"/>
  <c r="I698" i="4"/>
  <c r="F699" i="4"/>
  <c r="G698" i="3"/>
  <c r="I698" i="3"/>
  <c r="F699" i="3"/>
  <c r="I699" i="4" l="1"/>
  <c r="G699" i="4"/>
  <c r="F700" i="4"/>
  <c r="I699" i="3"/>
  <c r="G699" i="3"/>
  <c r="F700" i="3"/>
  <c r="G700" i="4" l="1"/>
  <c r="I700" i="4"/>
  <c r="F701" i="4"/>
  <c r="G700" i="3"/>
  <c r="I700" i="3"/>
  <c r="F701" i="3"/>
  <c r="I701" i="4" l="1"/>
  <c r="G701" i="4"/>
  <c r="F702" i="4"/>
  <c r="I701" i="3"/>
  <c r="G701" i="3"/>
  <c r="F702" i="3"/>
  <c r="G702" i="4" l="1"/>
  <c r="I702" i="4"/>
  <c r="F703" i="4"/>
  <c r="G702" i="3"/>
  <c r="I702" i="3"/>
  <c r="F703" i="3"/>
  <c r="I703" i="4" l="1"/>
  <c r="G703" i="4"/>
  <c r="F704" i="4"/>
  <c r="I703" i="3"/>
  <c r="G703" i="3"/>
  <c r="F704" i="3"/>
  <c r="G704" i="4" l="1"/>
  <c r="I704" i="4"/>
  <c r="F705" i="4"/>
  <c r="G704" i="3"/>
  <c r="I704" i="3"/>
  <c r="F705" i="3"/>
  <c r="I705" i="4" l="1"/>
  <c r="G705" i="4"/>
  <c r="F706" i="4"/>
  <c r="I705" i="3"/>
  <c r="G705" i="3"/>
  <c r="F706" i="3"/>
  <c r="G706" i="4" l="1"/>
  <c r="I706" i="4"/>
  <c r="F707" i="4"/>
  <c r="G706" i="3"/>
  <c r="I706" i="3"/>
  <c r="F707" i="3"/>
  <c r="I707" i="4" l="1"/>
  <c r="G707" i="4"/>
  <c r="F708" i="4"/>
  <c r="I707" i="3"/>
  <c r="G707" i="3"/>
  <c r="F708" i="3"/>
  <c r="G708" i="4" l="1"/>
  <c r="I708" i="4"/>
  <c r="F709" i="4"/>
  <c r="G708" i="3"/>
  <c r="I708" i="3"/>
  <c r="F709" i="3"/>
  <c r="I709" i="4" l="1"/>
  <c r="G709" i="4"/>
  <c r="F710" i="4"/>
  <c r="I709" i="3"/>
  <c r="G709" i="3"/>
  <c r="F710" i="3"/>
  <c r="G710" i="4" l="1"/>
  <c r="I710" i="4"/>
  <c r="F711" i="4"/>
  <c r="G710" i="3"/>
  <c r="I710" i="3"/>
  <c r="F711" i="3"/>
  <c r="I711" i="4" l="1"/>
  <c r="G711" i="4"/>
  <c r="F712" i="4"/>
  <c r="I711" i="3"/>
  <c r="G711" i="3"/>
  <c r="F712" i="3"/>
  <c r="G712" i="4" l="1"/>
  <c r="I712" i="4"/>
  <c r="F713" i="4"/>
  <c r="G712" i="3"/>
  <c r="I712" i="3"/>
  <c r="F713" i="3"/>
  <c r="I713" i="4" l="1"/>
  <c r="G713" i="4"/>
  <c r="F714" i="4"/>
  <c r="I713" i="3"/>
  <c r="G713" i="3"/>
  <c r="F714" i="3"/>
  <c r="G714" i="4" l="1"/>
  <c r="I714" i="4"/>
  <c r="F715" i="4"/>
  <c r="G714" i="3"/>
  <c r="I714" i="3"/>
  <c r="F715" i="3"/>
  <c r="I715" i="4" l="1"/>
  <c r="G715" i="4"/>
  <c r="F716" i="4"/>
  <c r="I715" i="3"/>
  <c r="G715" i="3"/>
  <c r="F716" i="3"/>
  <c r="G716" i="4" l="1"/>
  <c r="I716" i="4"/>
  <c r="F717" i="4"/>
  <c r="G716" i="3"/>
  <c r="I716" i="3"/>
  <c r="F717" i="3"/>
  <c r="I717" i="4" l="1"/>
  <c r="G717" i="4"/>
  <c r="F718" i="4"/>
  <c r="I717" i="3"/>
  <c r="G717" i="3"/>
  <c r="F718" i="3"/>
  <c r="G718" i="4" l="1"/>
  <c r="I718" i="4"/>
  <c r="F719" i="4"/>
  <c r="G718" i="3"/>
  <c r="I718" i="3"/>
  <c r="F719" i="3"/>
  <c r="I719" i="4" l="1"/>
  <c r="G719" i="4"/>
  <c r="F720" i="4"/>
  <c r="I719" i="3"/>
  <c r="G719" i="3"/>
  <c r="F720" i="3"/>
  <c r="G720" i="4" l="1"/>
  <c r="I720" i="4"/>
  <c r="F721" i="4"/>
  <c r="G720" i="3"/>
  <c r="I720" i="3"/>
  <c r="F721" i="3"/>
  <c r="I721" i="4" l="1"/>
  <c r="G721" i="4"/>
  <c r="F722" i="4"/>
  <c r="I721" i="3"/>
  <c r="G721" i="3"/>
  <c r="F722" i="3"/>
  <c r="G722" i="4" l="1"/>
  <c r="I722" i="4"/>
  <c r="F723" i="4"/>
  <c r="G722" i="3"/>
  <c r="I722" i="3"/>
  <c r="F723" i="3"/>
  <c r="I723" i="4" l="1"/>
  <c r="G723" i="4"/>
  <c r="F724" i="4"/>
  <c r="I723" i="3"/>
  <c r="G723" i="3"/>
  <c r="F724" i="3"/>
  <c r="G724" i="4" l="1"/>
  <c r="I724" i="4"/>
  <c r="F725" i="4"/>
  <c r="G724" i="3"/>
  <c r="I724" i="3"/>
  <c r="F725" i="3"/>
  <c r="I725" i="4" l="1"/>
  <c r="G725" i="4"/>
  <c r="F726" i="4"/>
  <c r="I725" i="3"/>
  <c r="G725" i="3"/>
  <c r="F726" i="3"/>
  <c r="G726" i="4" l="1"/>
  <c r="I726" i="4"/>
  <c r="F727" i="4"/>
  <c r="G726" i="3"/>
  <c r="I726" i="3"/>
  <c r="F727" i="3"/>
  <c r="I727" i="4" l="1"/>
  <c r="G727" i="4"/>
  <c r="F728" i="4"/>
  <c r="I727" i="3"/>
  <c r="G727" i="3"/>
  <c r="F728" i="3"/>
  <c r="G728" i="4" l="1"/>
  <c r="I728" i="4"/>
  <c r="F729" i="4"/>
  <c r="G728" i="3"/>
  <c r="I728" i="3"/>
  <c r="F729" i="3"/>
  <c r="I729" i="4" l="1"/>
  <c r="G729" i="4"/>
  <c r="F730" i="4"/>
  <c r="I729" i="3"/>
  <c r="G729" i="3"/>
  <c r="F730" i="3"/>
  <c r="G730" i="4" l="1"/>
  <c r="I730" i="4"/>
  <c r="F731" i="4"/>
  <c r="G730" i="3"/>
  <c r="I730" i="3"/>
  <c r="F731" i="3"/>
  <c r="I731" i="4" l="1"/>
  <c r="G731" i="4"/>
  <c r="F732" i="4"/>
  <c r="I731" i="3"/>
  <c r="G731" i="3"/>
  <c r="F732" i="3"/>
  <c r="G732" i="4" l="1"/>
  <c r="I732" i="4"/>
  <c r="F733" i="4"/>
  <c r="G732" i="3"/>
  <c r="I732" i="3"/>
  <c r="F733" i="3"/>
  <c r="I733" i="4" l="1"/>
  <c r="G733" i="4"/>
  <c r="F734" i="4"/>
  <c r="I733" i="3"/>
  <c r="G733" i="3"/>
  <c r="F734" i="3"/>
  <c r="G734" i="4" l="1"/>
  <c r="I734" i="4"/>
  <c r="F735" i="4"/>
  <c r="G734" i="3"/>
  <c r="I734" i="3"/>
  <c r="F735" i="3"/>
  <c r="I735" i="4" l="1"/>
  <c r="G735" i="4"/>
  <c r="F736" i="4"/>
  <c r="I735" i="3"/>
  <c r="G735" i="3"/>
  <c r="F736" i="3"/>
  <c r="G736" i="4" l="1"/>
  <c r="I736" i="4"/>
  <c r="F737" i="4"/>
  <c r="G736" i="3"/>
  <c r="I736" i="3"/>
  <c r="F737" i="3"/>
  <c r="I737" i="4" l="1"/>
  <c r="G737" i="4"/>
  <c r="F738" i="4"/>
  <c r="I737" i="3"/>
  <c r="G737" i="3"/>
  <c r="F738" i="3"/>
  <c r="G738" i="4" l="1"/>
  <c r="I738" i="4"/>
  <c r="F739" i="4"/>
  <c r="G738" i="3"/>
  <c r="I738" i="3"/>
  <c r="F739" i="3"/>
  <c r="I739" i="4" l="1"/>
  <c r="G739" i="4"/>
  <c r="F740" i="4"/>
  <c r="I739" i="3"/>
  <c r="G739" i="3"/>
  <c r="F740" i="3"/>
  <c r="G740" i="4" l="1"/>
  <c r="I740" i="4"/>
  <c r="F741" i="4"/>
  <c r="G740" i="3"/>
  <c r="I740" i="3"/>
  <c r="F741" i="3"/>
  <c r="I741" i="4" l="1"/>
  <c r="G741" i="4"/>
  <c r="F742" i="4"/>
  <c r="I741" i="3"/>
  <c r="G741" i="3"/>
  <c r="F742" i="3"/>
  <c r="G742" i="4" l="1"/>
  <c r="I742" i="4"/>
  <c r="F743" i="4"/>
  <c r="G742" i="3"/>
  <c r="I742" i="3"/>
  <c r="F743" i="3"/>
  <c r="I743" i="4" l="1"/>
  <c r="G743" i="4"/>
  <c r="F744" i="4"/>
  <c r="I743" i="3"/>
  <c r="G743" i="3"/>
  <c r="F744" i="3"/>
  <c r="G744" i="4" l="1"/>
  <c r="I744" i="4"/>
  <c r="F745" i="4"/>
  <c r="G744" i="3"/>
  <c r="I744" i="3"/>
  <c r="F745" i="3"/>
  <c r="I745" i="4" l="1"/>
  <c r="G745" i="4"/>
  <c r="F746" i="4"/>
  <c r="I745" i="3"/>
  <c r="G745" i="3"/>
  <c r="F746" i="3"/>
  <c r="G746" i="4" l="1"/>
  <c r="I746" i="4"/>
  <c r="F747" i="4"/>
  <c r="G746" i="3"/>
  <c r="I746" i="3"/>
  <c r="F747" i="3"/>
  <c r="I747" i="4" l="1"/>
  <c r="G747" i="4"/>
  <c r="F748" i="4"/>
  <c r="I747" i="3"/>
  <c r="G747" i="3"/>
  <c r="F748" i="3"/>
  <c r="G748" i="4" l="1"/>
  <c r="I748" i="4"/>
  <c r="F749" i="4"/>
  <c r="G748" i="3"/>
  <c r="I748" i="3"/>
  <c r="F749" i="3"/>
  <c r="I749" i="4" l="1"/>
  <c r="G749" i="4"/>
  <c r="F750" i="4"/>
  <c r="I749" i="3"/>
  <c r="G749" i="3"/>
  <c r="F750" i="3"/>
  <c r="G750" i="4" l="1"/>
  <c r="I750" i="4"/>
  <c r="F751" i="4"/>
  <c r="G750" i="3"/>
  <c r="I750" i="3"/>
  <c r="F751" i="3"/>
  <c r="I751" i="4" l="1"/>
  <c r="G751" i="4"/>
  <c r="F752" i="4"/>
  <c r="I751" i="3"/>
  <c r="G751" i="3"/>
  <c r="F752" i="3"/>
  <c r="G752" i="4" l="1"/>
  <c r="I752" i="4"/>
  <c r="F753" i="4"/>
  <c r="G752" i="3"/>
  <c r="I752" i="3"/>
  <c r="F753" i="3"/>
  <c r="I753" i="4" l="1"/>
  <c r="G753" i="4"/>
  <c r="F754" i="4"/>
  <c r="I753" i="3"/>
  <c r="G753" i="3"/>
  <c r="F754" i="3"/>
  <c r="G754" i="4" l="1"/>
  <c r="I754" i="4"/>
  <c r="F755" i="4"/>
  <c r="G754" i="3"/>
  <c r="I754" i="3"/>
  <c r="F755" i="3"/>
  <c r="I755" i="4" l="1"/>
  <c r="G755" i="4"/>
  <c r="F756" i="4"/>
  <c r="I755" i="3"/>
  <c r="G755" i="3"/>
  <c r="F756" i="3"/>
  <c r="G756" i="4" l="1"/>
  <c r="I756" i="4"/>
  <c r="F757" i="4"/>
  <c r="G756" i="3"/>
  <c r="I756" i="3"/>
  <c r="F757" i="3"/>
  <c r="I757" i="4" l="1"/>
  <c r="G757" i="4"/>
  <c r="F758" i="4"/>
  <c r="I757" i="3"/>
  <c r="G757" i="3"/>
  <c r="F758" i="3"/>
  <c r="G758" i="4" l="1"/>
  <c r="I758" i="4"/>
  <c r="F759" i="4"/>
  <c r="G758" i="3"/>
  <c r="I758" i="3"/>
  <c r="F759" i="3"/>
  <c r="I759" i="4" l="1"/>
  <c r="G759" i="4"/>
  <c r="F760" i="4"/>
  <c r="I759" i="3"/>
  <c r="G759" i="3"/>
  <c r="F760" i="3"/>
  <c r="G760" i="4" l="1"/>
  <c r="I760" i="4"/>
  <c r="F761" i="4"/>
  <c r="G760" i="3"/>
  <c r="I760" i="3"/>
  <c r="F761" i="3"/>
  <c r="I761" i="4" l="1"/>
  <c r="G761" i="4"/>
  <c r="F762" i="4"/>
  <c r="I761" i="3"/>
  <c r="G761" i="3"/>
  <c r="F762" i="3"/>
  <c r="G762" i="4" l="1"/>
  <c r="I762" i="4"/>
  <c r="F763" i="4"/>
  <c r="G762" i="3"/>
  <c r="I762" i="3"/>
  <c r="F763" i="3"/>
  <c r="I763" i="4" l="1"/>
  <c r="G763" i="4"/>
  <c r="F764" i="4"/>
  <c r="I763" i="3"/>
  <c r="G763" i="3"/>
  <c r="F764" i="3"/>
  <c r="G764" i="4" l="1"/>
  <c r="I764" i="4"/>
  <c r="F765" i="4"/>
  <c r="G764" i="3"/>
  <c r="I764" i="3"/>
  <c r="F765" i="3"/>
  <c r="I765" i="4" l="1"/>
  <c r="G765" i="4"/>
  <c r="F766" i="4"/>
  <c r="I765" i="3"/>
  <c r="G765" i="3"/>
  <c r="F766" i="3"/>
  <c r="G766" i="4" l="1"/>
  <c r="I766" i="4"/>
  <c r="F767" i="4"/>
  <c r="G766" i="3"/>
  <c r="I766" i="3"/>
  <c r="F767" i="3"/>
  <c r="I767" i="4" l="1"/>
  <c r="G767" i="4"/>
  <c r="F768" i="4"/>
  <c r="I767" i="3"/>
  <c r="G767" i="3"/>
  <c r="F768" i="3"/>
  <c r="G768" i="4" l="1"/>
  <c r="I768" i="4"/>
  <c r="F769" i="4"/>
  <c r="G768" i="3"/>
  <c r="I768" i="3"/>
  <c r="F769" i="3"/>
  <c r="I769" i="4" l="1"/>
  <c r="G769" i="4"/>
  <c r="F770" i="4"/>
  <c r="I769" i="3"/>
  <c r="G769" i="3"/>
  <c r="F770" i="3"/>
  <c r="G770" i="4" l="1"/>
  <c r="I770" i="4"/>
  <c r="F771" i="4"/>
  <c r="G770" i="3"/>
  <c r="I770" i="3"/>
  <c r="F771" i="3"/>
  <c r="I771" i="4" l="1"/>
  <c r="G771" i="4"/>
  <c r="F772" i="4"/>
  <c r="I771" i="3"/>
  <c r="G771" i="3"/>
  <c r="F772" i="3"/>
  <c r="G772" i="4" l="1"/>
  <c r="I772" i="4"/>
  <c r="F773" i="4"/>
  <c r="G772" i="3"/>
  <c r="I772" i="3"/>
  <c r="F773" i="3"/>
  <c r="I773" i="4" l="1"/>
  <c r="G773" i="4"/>
  <c r="F774" i="4"/>
  <c r="I773" i="3"/>
  <c r="G773" i="3"/>
  <c r="F774" i="3"/>
  <c r="G774" i="4" l="1"/>
  <c r="I774" i="4"/>
  <c r="F775" i="4"/>
  <c r="G774" i="3"/>
  <c r="I774" i="3"/>
  <c r="F775" i="3"/>
  <c r="I775" i="4" l="1"/>
  <c r="G775" i="4"/>
  <c r="F776" i="4"/>
  <c r="I775" i="3"/>
  <c r="G775" i="3"/>
  <c r="F776" i="3"/>
  <c r="G776" i="4" l="1"/>
  <c r="I776" i="4"/>
  <c r="F777" i="4"/>
  <c r="G776" i="3"/>
  <c r="I776" i="3"/>
  <c r="F777" i="3"/>
  <c r="I777" i="4" l="1"/>
  <c r="G777" i="4"/>
  <c r="F778" i="4"/>
  <c r="I777" i="3"/>
  <c r="G777" i="3"/>
  <c r="F778" i="3"/>
  <c r="G778" i="4" l="1"/>
  <c r="I778" i="4"/>
  <c r="F779" i="4"/>
  <c r="G778" i="3"/>
  <c r="I778" i="3"/>
  <c r="F779" i="3"/>
  <c r="I779" i="4" l="1"/>
  <c r="G779" i="4"/>
  <c r="F780" i="4"/>
  <c r="I779" i="3"/>
  <c r="G779" i="3"/>
  <c r="F780" i="3"/>
  <c r="G780" i="4" l="1"/>
  <c r="I780" i="4"/>
  <c r="F781" i="4"/>
  <c r="G780" i="3"/>
  <c r="I780" i="3"/>
  <c r="F781" i="3"/>
  <c r="I781" i="4" l="1"/>
  <c r="G781" i="4"/>
  <c r="F782" i="4"/>
  <c r="I781" i="3"/>
  <c r="G781" i="3"/>
  <c r="F782" i="3"/>
  <c r="G782" i="4" l="1"/>
  <c r="I782" i="4"/>
  <c r="F783" i="4"/>
  <c r="G782" i="3"/>
  <c r="I782" i="3"/>
  <c r="F783" i="3"/>
  <c r="I783" i="4" l="1"/>
  <c r="G783" i="4"/>
  <c r="F784" i="4"/>
  <c r="I783" i="3"/>
  <c r="G783" i="3"/>
  <c r="F784" i="3"/>
  <c r="G784" i="4" l="1"/>
  <c r="I784" i="4"/>
  <c r="F785" i="4"/>
  <c r="G784" i="3"/>
  <c r="I784" i="3"/>
  <c r="F785" i="3"/>
  <c r="I785" i="4" l="1"/>
  <c r="G785" i="4"/>
  <c r="F786" i="4"/>
  <c r="I785" i="3"/>
  <c r="G785" i="3"/>
  <c r="F786" i="3"/>
  <c r="G786" i="4" l="1"/>
  <c r="I786" i="4"/>
  <c r="F787" i="4"/>
  <c r="G786" i="3"/>
  <c r="I786" i="3"/>
  <c r="F787" i="3"/>
  <c r="I787" i="4" l="1"/>
  <c r="G787" i="4"/>
  <c r="F788" i="4"/>
  <c r="I787" i="3"/>
  <c r="G787" i="3"/>
  <c r="F788" i="3"/>
  <c r="G788" i="4" l="1"/>
  <c r="I788" i="4"/>
  <c r="F789" i="4"/>
  <c r="G788" i="3"/>
  <c r="I788" i="3"/>
  <c r="F789" i="3"/>
  <c r="I789" i="4" l="1"/>
  <c r="G789" i="4"/>
  <c r="F790" i="4"/>
  <c r="I789" i="3"/>
  <c r="G789" i="3"/>
  <c r="F790" i="3"/>
  <c r="G790" i="4" l="1"/>
  <c r="I790" i="4"/>
  <c r="F791" i="4"/>
  <c r="G790" i="3"/>
  <c r="I790" i="3"/>
  <c r="F791" i="3"/>
  <c r="I791" i="4" l="1"/>
  <c r="G791" i="4"/>
  <c r="F792" i="4"/>
  <c r="I791" i="3"/>
  <c r="G791" i="3"/>
  <c r="F792" i="3"/>
  <c r="G792" i="4" l="1"/>
  <c r="I792" i="4"/>
  <c r="F793" i="4"/>
  <c r="G792" i="3"/>
  <c r="I792" i="3"/>
  <c r="F793" i="3"/>
  <c r="I793" i="4" l="1"/>
  <c r="G793" i="4"/>
  <c r="F794" i="4"/>
  <c r="I793" i="3"/>
  <c r="G793" i="3"/>
  <c r="F794" i="3"/>
  <c r="G794" i="4" l="1"/>
  <c r="I794" i="4"/>
  <c r="F795" i="4"/>
  <c r="G794" i="3"/>
  <c r="I794" i="3"/>
  <c r="F795" i="3"/>
  <c r="I795" i="4" l="1"/>
  <c r="G795" i="4"/>
  <c r="F796" i="4"/>
  <c r="I795" i="3"/>
  <c r="G795" i="3"/>
  <c r="F796" i="3"/>
  <c r="G796" i="4" l="1"/>
  <c r="I796" i="4"/>
  <c r="F797" i="4"/>
  <c r="G796" i="3"/>
  <c r="I796" i="3"/>
  <c r="F797" i="3"/>
  <c r="I797" i="4" l="1"/>
  <c r="G797" i="4"/>
  <c r="F798" i="4"/>
  <c r="I797" i="3"/>
  <c r="G797" i="3"/>
  <c r="F798" i="3"/>
  <c r="G798" i="4" l="1"/>
  <c r="I798" i="4"/>
  <c r="F799" i="4"/>
  <c r="G798" i="3"/>
  <c r="I798" i="3"/>
  <c r="F799" i="3"/>
  <c r="I799" i="4" l="1"/>
  <c r="G799" i="4"/>
  <c r="F800" i="4"/>
  <c r="I799" i="3"/>
  <c r="G799" i="3"/>
  <c r="F800" i="3"/>
  <c r="G800" i="4" l="1"/>
  <c r="I800" i="4"/>
  <c r="F801" i="4"/>
  <c r="G800" i="3"/>
  <c r="I800" i="3"/>
  <c r="F801" i="3"/>
  <c r="I801" i="4" l="1"/>
  <c r="G801" i="4"/>
  <c r="F802" i="4"/>
  <c r="I801" i="3"/>
  <c r="G801" i="3"/>
  <c r="F802" i="3"/>
  <c r="G802" i="4" l="1"/>
  <c r="I802" i="4"/>
  <c r="F803" i="4"/>
  <c r="G802" i="3"/>
  <c r="I802" i="3"/>
  <c r="F803" i="3"/>
  <c r="I803" i="4" l="1"/>
  <c r="G803" i="4"/>
  <c r="F804" i="4"/>
  <c r="I803" i="3"/>
  <c r="G803" i="3"/>
  <c r="F804" i="3"/>
  <c r="G804" i="4" l="1"/>
  <c r="I804" i="4"/>
  <c r="F805" i="4"/>
  <c r="G804" i="3"/>
  <c r="I804" i="3"/>
  <c r="F805" i="3"/>
  <c r="I805" i="4" l="1"/>
  <c r="G805" i="4"/>
  <c r="F806" i="4"/>
  <c r="I805" i="3"/>
  <c r="G805" i="3"/>
  <c r="F806" i="3"/>
  <c r="G806" i="4" l="1"/>
  <c r="I806" i="4"/>
  <c r="F807" i="4"/>
  <c r="G806" i="3"/>
  <c r="I806" i="3"/>
  <c r="F807" i="3"/>
  <c r="I807" i="4" l="1"/>
  <c r="G807" i="4"/>
  <c r="F808" i="4"/>
  <c r="I807" i="3"/>
  <c r="G807" i="3"/>
  <c r="F808" i="3"/>
  <c r="G808" i="4" l="1"/>
  <c r="I808" i="4"/>
  <c r="F809" i="4"/>
  <c r="G808" i="3"/>
  <c r="I808" i="3"/>
  <c r="F809" i="3"/>
  <c r="I809" i="4" l="1"/>
  <c r="G809" i="4"/>
  <c r="F810" i="4"/>
  <c r="I809" i="3"/>
  <c r="G809" i="3"/>
  <c r="F810" i="3"/>
  <c r="G810" i="4" l="1"/>
  <c r="I810" i="4"/>
  <c r="F811" i="4"/>
  <c r="G810" i="3"/>
  <c r="I810" i="3"/>
  <c r="F811" i="3"/>
  <c r="I811" i="4" l="1"/>
  <c r="G811" i="4"/>
  <c r="F812" i="4"/>
  <c r="I811" i="3"/>
  <c r="G811" i="3"/>
  <c r="F812" i="3"/>
  <c r="G812" i="4" l="1"/>
  <c r="I812" i="4"/>
  <c r="F813" i="4"/>
  <c r="G812" i="3"/>
  <c r="I812" i="3"/>
  <c r="F813" i="3"/>
  <c r="I813" i="4" l="1"/>
  <c r="G813" i="4"/>
  <c r="F814" i="4"/>
  <c r="I813" i="3"/>
  <c r="G813" i="3"/>
  <c r="F814" i="3"/>
  <c r="G814" i="4" l="1"/>
  <c r="I814" i="4"/>
  <c r="F815" i="4"/>
  <c r="G814" i="3"/>
  <c r="I814" i="3"/>
  <c r="F815" i="3"/>
  <c r="I815" i="4" l="1"/>
  <c r="G815" i="4"/>
  <c r="F816" i="4"/>
  <c r="I815" i="3"/>
  <c r="G815" i="3"/>
  <c r="F816" i="3"/>
  <c r="G816" i="4" l="1"/>
  <c r="I816" i="4"/>
  <c r="F817" i="4"/>
  <c r="G816" i="3"/>
  <c r="I816" i="3"/>
  <c r="F817" i="3"/>
  <c r="I817" i="4" l="1"/>
  <c r="G817" i="4"/>
  <c r="F818" i="4"/>
  <c r="I817" i="3"/>
  <c r="G817" i="3"/>
  <c r="F818" i="3"/>
  <c r="G818" i="4" l="1"/>
  <c r="I818" i="4"/>
  <c r="F819" i="4"/>
  <c r="G818" i="3"/>
  <c r="I818" i="3"/>
  <c r="F819" i="3"/>
  <c r="G819" i="4" l="1"/>
  <c r="I819" i="4"/>
  <c r="F820" i="4"/>
  <c r="I819" i="3"/>
  <c r="G819" i="3"/>
  <c r="F820" i="3"/>
  <c r="I820" i="4" l="1"/>
  <c r="G820" i="4"/>
  <c r="F821" i="4"/>
  <c r="G820" i="3"/>
  <c r="I820" i="3"/>
  <c r="F821" i="3"/>
  <c r="G821" i="4" l="1"/>
  <c r="I821" i="4"/>
  <c r="F822" i="4"/>
  <c r="I821" i="3"/>
  <c r="G821" i="3"/>
  <c r="F822" i="3"/>
  <c r="I822" i="4" l="1"/>
  <c r="G822" i="4"/>
  <c r="F823" i="4"/>
  <c r="G822" i="3"/>
  <c r="I822" i="3"/>
  <c r="F823" i="3"/>
  <c r="G823" i="4" l="1"/>
  <c r="I823" i="4"/>
  <c r="F824" i="4"/>
  <c r="I823" i="3"/>
  <c r="G823" i="3"/>
  <c r="F824" i="3"/>
  <c r="I824" i="4" l="1"/>
  <c r="G824" i="4"/>
  <c r="F825" i="4"/>
  <c r="G824" i="3"/>
  <c r="I824" i="3"/>
  <c r="F825" i="3"/>
  <c r="G825" i="4" l="1"/>
  <c r="I825" i="4"/>
  <c r="F826" i="4"/>
  <c r="I825" i="3"/>
  <c r="G825" i="3"/>
  <c r="F826" i="3"/>
  <c r="I826" i="4" l="1"/>
  <c r="G826" i="4"/>
  <c r="F827" i="4"/>
  <c r="G826" i="3"/>
  <c r="I826" i="3"/>
  <c r="F827" i="3"/>
  <c r="G827" i="4" l="1"/>
  <c r="I827" i="4"/>
  <c r="F828" i="4"/>
  <c r="I827" i="3"/>
  <c r="G827" i="3"/>
  <c r="F828" i="3"/>
  <c r="I828" i="4" l="1"/>
  <c r="G828" i="4"/>
  <c r="F829" i="4"/>
  <c r="G828" i="3"/>
  <c r="I828" i="3"/>
  <c r="F829" i="3"/>
  <c r="G829" i="4" l="1"/>
  <c r="I829" i="4"/>
  <c r="F830" i="4"/>
  <c r="I829" i="3"/>
  <c r="G829" i="3"/>
  <c r="F830" i="3"/>
  <c r="I830" i="4" l="1"/>
  <c r="G830" i="4"/>
  <c r="F831" i="4"/>
  <c r="G830" i="3"/>
  <c r="I830" i="3"/>
  <c r="F831" i="3"/>
  <c r="G831" i="4" l="1"/>
  <c r="I831" i="4"/>
  <c r="F832" i="4"/>
  <c r="I831" i="3"/>
  <c r="G831" i="3"/>
  <c r="F832" i="3"/>
  <c r="I832" i="4" l="1"/>
  <c r="G832" i="4"/>
  <c r="F833" i="4"/>
  <c r="G832" i="3"/>
  <c r="I832" i="3"/>
  <c r="F833" i="3"/>
  <c r="G833" i="4" l="1"/>
  <c r="I833" i="4"/>
  <c r="F834" i="4"/>
  <c r="I833" i="3"/>
  <c r="G833" i="3"/>
  <c r="F834" i="3"/>
  <c r="I834" i="4" l="1"/>
  <c r="G834" i="4"/>
  <c r="F835" i="4"/>
  <c r="G834" i="3"/>
  <c r="I834" i="3"/>
  <c r="F835" i="3"/>
  <c r="G835" i="4" l="1"/>
  <c r="I835" i="4"/>
  <c r="F836" i="4"/>
  <c r="I835" i="3"/>
  <c r="G835" i="3"/>
  <c r="F836" i="3"/>
  <c r="I836" i="4" l="1"/>
  <c r="G836" i="4"/>
  <c r="F837" i="4"/>
  <c r="G836" i="3"/>
  <c r="I836" i="3"/>
  <c r="F837" i="3"/>
  <c r="G837" i="4" l="1"/>
  <c r="I837" i="4"/>
  <c r="F838" i="4"/>
  <c r="I837" i="3"/>
  <c r="G837" i="3"/>
  <c r="F838" i="3"/>
  <c r="I838" i="4" l="1"/>
  <c r="G838" i="4"/>
  <c r="F839" i="4"/>
  <c r="G838" i="3"/>
  <c r="I838" i="3"/>
  <c r="F839" i="3"/>
  <c r="G839" i="4" l="1"/>
  <c r="I839" i="4"/>
  <c r="F840" i="4"/>
  <c r="I839" i="3"/>
  <c r="G839" i="3"/>
  <c r="F840" i="3"/>
  <c r="I840" i="4" l="1"/>
  <c r="G840" i="4"/>
  <c r="F841" i="4"/>
  <c r="G840" i="3"/>
  <c r="I840" i="3"/>
  <c r="F841" i="3"/>
  <c r="G841" i="4" l="1"/>
  <c r="I841" i="4"/>
  <c r="F842" i="4"/>
  <c r="I841" i="3"/>
  <c r="G841" i="3"/>
  <c r="F842" i="3"/>
  <c r="I842" i="4" l="1"/>
  <c r="G842" i="4"/>
  <c r="F843" i="4"/>
  <c r="G842" i="3"/>
  <c r="I842" i="3"/>
  <c r="F843" i="3"/>
  <c r="G843" i="4" l="1"/>
  <c r="I843" i="4"/>
  <c r="F844" i="4"/>
  <c r="I843" i="3"/>
  <c r="G843" i="3"/>
  <c r="F844" i="3"/>
  <c r="I844" i="4" l="1"/>
  <c r="G844" i="4"/>
  <c r="F845" i="4"/>
  <c r="G844" i="3"/>
  <c r="I844" i="3"/>
  <c r="F845" i="3"/>
  <c r="G845" i="4" l="1"/>
  <c r="I845" i="4"/>
  <c r="F846" i="4"/>
  <c r="I845" i="3"/>
  <c r="G845" i="3"/>
  <c r="F846" i="3"/>
  <c r="I846" i="4" l="1"/>
  <c r="G846" i="4"/>
  <c r="F847" i="4"/>
  <c r="G846" i="3"/>
  <c r="I846" i="3"/>
  <c r="F847" i="3"/>
  <c r="G847" i="4" l="1"/>
  <c r="I847" i="4"/>
  <c r="F848" i="4"/>
  <c r="I847" i="3"/>
  <c r="G847" i="3"/>
  <c r="F848" i="3"/>
  <c r="I848" i="4" l="1"/>
  <c r="G848" i="4"/>
  <c r="F849" i="4"/>
  <c r="G848" i="3"/>
  <c r="I848" i="3"/>
  <c r="F849" i="3"/>
  <c r="G849" i="4" l="1"/>
  <c r="I849" i="4"/>
  <c r="F850" i="4"/>
  <c r="I849" i="3"/>
  <c r="G849" i="3"/>
  <c r="F850" i="3"/>
  <c r="I850" i="4" l="1"/>
  <c r="G850" i="4"/>
  <c r="F851" i="4"/>
  <c r="G850" i="3"/>
  <c r="I850" i="3"/>
  <c r="F851" i="3"/>
  <c r="G851" i="4" l="1"/>
  <c r="I851" i="4"/>
  <c r="F852" i="4"/>
  <c r="I851" i="3"/>
  <c r="G851" i="3"/>
  <c r="F852" i="3"/>
  <c r="I852" i="4" l="1"/>
  <c r="G852" i="4"/>
  <c r="F853" i="4"/>
  <c r="G852" i="3"/>
  <c r="I852" i="3"/>
  <c r="F853" i="3"/>
  <c r="G853" i="4" l="1"/>
  <c r="I853" i="4"/>
  <c r="F854" i="4"/>
  <c r="I853" i="3"/>
  <c r="G853" i="3"/>
  <c r="F854" i="3"/>
  <c r="I854" i="4" l="1"/>
  <c r="G854" i="4"/>
  <c r="F855" i="4"/>
  <c r="G854" i="3"/>
  <c r="I854" i="3"/>
  <c r="F855" i="3"/>
  <c r="G855" i="4" l="1"/>
  <c r="I855" i="4"/>
  <c r="F856" i="4"/>
  <c r="I855" i="3"/>
  <c r="G855" i="3"/>
  <c r="F856" i="3"/>
  <c r="I856" i="4" l="1"/>
  <c r="G856" i="4"/>
  <c r="F857" i="4"/>
  <c r="G856" i="3"/>
  <c r="I856" i="3"/>
  <c r="F857" i="3"/>
  <c r="G857" i="4" l="1"/>
  <c r="I857" i="4"/>
  <c r="F858" i="4"/>
  <c r="I857" i="3"/>
  <c r="G857" i="3"/>
  <c r="F858" i="3"/>
  <c r="I858" i="4" l="1"/>
  <c r="G858" i="4"/>
  <c r="F859" i="4"/>
  <c r="G858" i="3"/>
  <c r="I858" i="3"/>
  <c r="F859" i="3"/>
  <c r="G859" i="4" l="1"/>
  <c r="I859" i="4"/>
  <c r="F860" i="4"/>
  <c r="I859" i="3"/>
  <c r="G859" i="3"/>
  <c r="F860" i="3"/>
  <c r="I860" i="4" l="1"/>
  <c r="G860" i="4"/>
  <c r="F861" i="4"/>
  <c r="G860" i="3"/>
  <c r="I860" i="3"/>
  <c r="F861" i="3"/>
  <c r="G861" i="4" l="1"/>
  <c r="I861" i="4"/>
  <c r="F862" i="4"/>
  <c r="I861" i="3"/>
  <c r="G861" i="3"/>
  <c r="F862" i="3"/>
  <c r="I862" i="4" l="1"/>
  <c r="G862" i="4"/>
  <c r="F863" i="4"/>
  <c r="G862" i="3"/>
  <c r="I862" i="3"/>
  <c r="F863" i="3"/>
  <c r="G863" i="4" l="1"/>
  <c r="I863" i="4"/>
  <c r="F864" i="4"/>
  <c r="I863" i="3"/>
  <c r="G863" i="3"/>
  <c r="F864" i="3"/>
  <c r="I864" i="4" l="1"/>
  <c r="G864" i="4"/>
  <c r="F865" i="4"/>
  <c r="G864" i="3"/>
  <c r="I864" i="3"/>
  <c r="F865" i="3"/>
  <c r="G865" i="4" l="1"/>
  <c r="I865" i="4"/>
  <c r="F866" i="4"/>
  <c r="G865" i="3"/>
  <c r="I865" i="3"/>
  <c r="F866" i="3"/>
  <c r="I866" i="4" l="1"/>
  <c r="G866" i="4"/>
  <c r="F867" i="4"/>
  <c r="I866" i="3"/>
  <c r="G866" i="3"/>
  <c r="F867" i="3"/>
  <c r="G867" i="4" l="1"/>
  <c r="I867" i="4"/>
  <c r="F868" i="4"/>
  <c r="G867" i="3"/>
  <c r="I867" i="3"/>
  <c r="F868" i="3"/>
  <c r="I868" i="4" l="1"/>
  <c r="G868" i="4"/>
  <c r="F869" i="4"/>
  <c r="I868" i="3"/>
  <c r="G868" i="3"/>
  <c r="F869" i="3"/>
  <c r="G869" i="4" l="1"/>
  <c r="I869" i="4"/>
  <c r="F870" i="4"/>
  <c r="G869" i="3"/>
  <c r="I869" i="3"/>
  <c r="F870" i="3"/>
  <c r="I870" i="4" l="1"/>
  <c r="G870" i="4"/>
  <c r="F871" i="4"/>
  <c r="I870" i="3"/>
  <c r="G870" i="3"/>
  <c r="F871" i="3"/>
  <c r="G871" i="4" l="1"/>
  <c r="I871" i="4"/>
  <c r="F872" i="4"/>
  <c r="G871" i="3"/>
  <c r="I871" i="3"/>
  <c r="F872" i="3"/>
  <c r="I872" i="4" l="1"/>
  <c r="G872" i="4"/>
  <c r="F873" i="4"/>
  <c r="I872" i="3"/>
  <c r="G872" i="3"/>
  <c r="F873" i="3"/>
  <c r="G873" i="4" l="1"/>
  <c r="I873" i="4"/>
  <c r="F874" i="4"/>
  <c r="G873" i="3"/>
  <c r="I873" i="3"/>
  <c r="F874" i="3"/>
  <c r="I874" i="4" l="1"/>
  <c r="G874" i="4"/>
  <c r="F875" i="4"/>
  <c r="I874" i="3"/>
  <c r="G874" i="3"/>
  <c r="F875" i="3"/>
  <c r="G875" i="4" l="1"/>
  <c r="I875" i="4"/>
  <c r="F876" i="4"/>
  <c r="G875" i="3"/>
  <c r="I875" i="3"/>
  <c r="F876" i="3"/>
  <c r="I876" i="4" l="1"/>
  <c r="G876" i="4"/>
  <c r="F877" i="4"/>
  <c r="I876" i="3"/>
  <c r="G876" i="3"/>
  <c r="F877" i="3"/>
  <c r="G877" i="4" l="1"/>
  <c r="I877" i="4"/>
  <c r="F878" i="4"/>
  <c r="G877" i="3"/>
  <c r="I877" i="3"/>
  <c r="F878" i="3"/>
  <c r="I878" i="4" l="1"/>
  <c r="G878" i="4"/>
  <c r="F879" i="4"/>
  <c r="I878" i="3"/>
  <c r="G878" i="3"/>
  <c r="F879" i="3"/>
  <c r="G879" i="4" l="1"/>
  <c r="I879" i="4"/>
  <c r="F880" i="4"/>
  <c r="G879" i="3"/>
  <c r="I879" i="3"/>
  <c r="F880" i="3"/>
  <c r="I880" i="4" l="1"/>
  <c r="G880" i="4"/>
  <c r="F881" i="4"/>
  <c r="I880" i="3"/>
  <c r="G880" i="3"/>
  <c r="F881" i="3"/>
  <c r="G881" i="4" l="1"/>
  <c r="I881" i="4"/>
  <c r="F882" i="4"/>
  <c r="G881" i="3"/>
  <c r="I881" i="3"/>
  <c r="F882" i="3"/>
  <c r="I882" i="4" l="1"/>
  <c r="G882" i="4"/>
  <c r="F883" i="4"/>
  <c r="I882" i="3"/>
  <c r="G882" i="3"/>
  <c r="F883" i="3"/>
  <c r="G883" i="4" l="1"/>
  <c r="I883" i="4"/>
  <c r="F884" i="4"/>
  <c r="G883" i="3"/>
  <c r="I883" i="3"/>
  <c r="F884" i="3"/>
  <c r="I884" i="4" l="1"/>
  <c r="G884" i="4"/>
  <c r="F885" i="4"/>
  <c r="I884" i="3"/>
  <c r="G884" i="3"/>
  <c r="F885" i="3"/>
  <c r="G885" i="4" l="1"/>
  <c r="I885" i="4"/>
  <c r="F886" i="4"/>
  <c r="G885" i="3"/>
  <c r="I885" i="3"/>
  <c r="F886" i="3"/>
  <c r="I886" i="4" l="1"/>
  <c r="G886" i="4"/>
  <c r="F887" i="4"/>
  <c r="I886" i="3"/>
  <c r="G886" i="3"/>
  <c r="F887" i="3"/>
  <c r="G887" i="4" l="1"/>
  <c r="I887" i="4"/>
  <c r="F888" i="4"/>
  <c r="G887" i="3"/>
  <c r="I887" i="3"/>
  <c r="F888" i="3"/>
  <c r="I888" i="4" l="1"/>
  <c r="G888" i="4"/>
  <c r="F889" i="4"/>
  <c r="I888" i="3"/>
  <c r="G888" i="3"/>
  <c r="F889" i="3"/>
  <c r="G889" i="4" l="1"/>
  <c r="I889" i="4"/>
  <c r="F890" i="4"/>
  <c r="G889" i="3"/>
  <c r="I889" i="3"/>
  <c r="F890" i="3"/>
  <c r="I890" i="4" l="1"/>
  <c r="G890" i="4"/>
  <c r="F891" i="4"/>
  <c r="I890" i="3"/>
  <c r="G890" i="3"/>
  <c r="F891" i="3"/>
  <c r="G891" i="4" l="1"/>
  <c r="I891" i="4"/>
  <c r="F892" i="4"/>
  <c r="G891" i="3"/>
  <c r="I891" i="3"/>
  <c r="F892" i="3"/>
  <c r="I892" i="4" l="1"/>
  <c r="G892" i="4"/>
  <c r="F893" i="4"/>
  <c r="I892" i="3"/>
  <c r="G892" i="3"/>
  <c r="F893" i="3"/>
  <c r="G893" i="4" l="1"/>
  <c r="I893" i="4"/>
  <c r="F894" i="4"/>
  <c r="G893" i="3"/>
  <c r="I893" i="3"/>
  <c r="F894" i="3"/>
  <c r="I894" i="4" l="1"/>
  <c r="G894" i="4"/>
  <c r="F895" i="4"/>
  <c r="I894" i="3"/>
  <c r="G894" i="3"/>
  <c r="F895" i="3"/>
  <c r="G895" i="4" l="1"/>
  <c r="I895" i="4"/>
  <c r="F896" i="4"/>
  <c r="G895" i="3"/>
  <c r="I895" i="3"/>
  <c r="F896" i="3"/>
  <c r="I896" i="4" l="1"/>
  <c r="G896" i="4"/>
  <c r="F897" i="4"/>
  <c r="I896" i="3"/>
  <c r="G896" i="3"/>
  <c r="F897" i="3"/>
  <c r="G897" i="4" l="1"/>
  <c r="I897" i="4"/>
  <c r="F898" i="4"/>
  <c r="G897" i="3"/>
  <c r="I897" i="3"/>
  <c r="F898" i="3"/>
  <c r="I898" i="4" l="1"/>
  <c r="G898" i="4"/>
  <c r="F899" i="4"/>
  <c r="I898" i="3"/>
  <c r="G898" i="3"/>
  <c r="F899" i="3"/>
  <c r="G899" i="4" l="1"/>
  <c r="I899" i="4"/>
  <c r="F900" i="4"/>
  <c r="G899" i="3"/>
  <c r="I899" i="3"/>
  <c r="F900" i="3"/>
  <c r="I900" i="4" l="1"/>
  <c r="G900" i="4"/>
  <c r="F901" i="4"/>
  <c r="I900" i="3"/>
  <c r="G900" i="3"/>
  <c r="F901" i="3"/>
  <c r="G901" i="4" l="1"/>
  <c r="I901" i="4"/>
  <c r="F902" i="4"/>
  <c r="G901" i="3"/>
  <c r="I901" i="3"/>
  <c r="F902" i="3"/>
  <c r="I902" i="4" l="1"/>
  <c r="G902" i="4"/>
  <c r="F903" i="4"/>
  <c r="I902" i="3"/>
  <c r="G902" i="3"/>
  <c r="F903" i="3"/>
  <c r="G903" i="4" l="1"/>
  <c r="I903" i="4"/>
  <c r="F904" i="4"/>
  <c r="G903" i="3"/>
  <c r="I903" i="3"/>
  <c r="F904" i="3"/>
  <c r="I904" i="4" l="1"/>
  <c r="G904" i="4"/>
  <c r="F905" i="4"/>
  <c r="I904" i="3"/>
  <c r="G904" i="3"/>
  <c r="F905" i="3"/>
  <c r="G905" i="4" l="1"/>
  <c r="I905" i="4"/>
  <c r="F906" i="4"/>
  <c r="G905" i="3"/>
  <c r="I905" i="3"/>
  <c r="F906" i="3"/>
  <c r="I906" i="4" l="1"/>
  <c r="G906" i="4"/>
  <c r="F907" i="4"/>
  <c r="I906" i="3"/>
  <c r="G906" i="3"/>
  <c r="F907" i="3"/>
  <c r="G907" i="4" l="1"/>
  <c r="I907" i="4"/>
  <c r="F908" i="4"/>
  <c r="G907" i="3"/>
  <c r="I907" i="3"/>
  <c r="F908" i="3"/>
  <c r="I908" i="4" l="1"/>
  <c r="G908" i="4"/>
  <c r="F909" i="4"/>
  <c r="I908" i="3"/>
  <c r="G908" i="3"/>
  <c r="F909" i="3"/>
  <c r="G909" i="4" l="1"/>
  <c r="I909" i="4"/>
  <c r="F910" i="4"/>
  <c r="G909" i="3"/>
  <c r="I909" i="3"/>
  <c r="F910" i="3"/>
  <c r="I910" i="4" l="1"/>
  <c r="G910" i="4"/>
  <c r="F911" i="4"/>
  <c r="I910" i="3"/>
  <c r="G910" i="3"/>
  <c r="F911" i="3"/>
  <c r="G911" i="4" l="1"/>
  <c r="I911" i="4"/>
  <c r="F912" i="4"/>
  <c r="G911" i="3"/>
  <c r="I911" i="3"/>
  <c r="F912" i="3"/>
  <c r="I912" i="4" l="1"/>
  <c r="G912" i="4"/>
  <c r="F913" i="4"/>
  <c r="I912" i="3"/>
  <c r="G912" i="3"/>
  <c r="F913" i="3"/>
  <c r="G913" i="4" l="1"/>
  <c r="I913" i="4"/>
  <c r="F914" i="4"/>
  <c r="G913" i="3"/>
  <c r="I913" i="3"/>
  <c r="F914" i="3"/>
  <c r="I914" i="4" l="1"/>
  <c r="G914" i="4"/>
  <c r="F915" i="4"/>
  <c r="I914" i="3"/>
  <c r="G914" i="3"/>
  <c r="F915" i="3"/>
  <c r="G915" i="4" l="1"/>
  <c r="I915" i="4"/>
  <c r="F916" i="4"/>
  <c r="G915" i="3"/>
  <c r="I915" i="3"/>
  <c r="F916" i="3"/>
  <c r="I916" i="4" l="1"/>
  <c r="G916" i="4"/>
  <c r="F917" i="4"/>
  <c r="I916" i="3"/>
  <c r="G916" i="3"/>
  <c r="F917" i="3"/>
  <c r="G917" i="4" l="1"/>
  <c r="I917" i="4"/>
  <c r="F918" i="4"/>
  <c r="G917" i="3"/>
  <c r="I917" i="3"/>
  <c r="F918" i="3"/>
  <c r="I918" i="4" l="1"/>
  <c r="G918" i="4"/>
  <c r="F919" i="4"/>
  <c r="I918" i="3"/>
  <c r="G918" i="3"/>
  <c r="F919" i="3"/>
  <c r="G919" i="4" l="1"/>
  <c r="I919" i="4"/>
  <c r="F920" i="4"/>
  <c r="G919" i="3"/>
  <c r="I919" i="3"/>
  <c r="F920" i="3"/>
  <c r="I920" i="4" l="1"/>
  <c r="G920" i="4"/>
  <c r="F921" i="4"/>
  <c r="I920" i="3"/>
  <c r="G920" i="3"/>
  <c r="F921" i="3"/>
  <c r="G921" i="4" l="1"/>
  <c r="I921" i="4"/>
  <c r="F922" i="4"/>
  <c r="G921" i="3"/>
  <c r="I921" i="3"/>
  <c r="F922" i="3"/>
  <c r="I922" i="4" l="1"/>
  <c r="G922" i="4"/>
  <c r="F923" i="4"/>
  <c r="I922" i="3"/>
  <c r="G922" i="3"/>
  <c r="F923" i="3"/>
  <c r="G923" i="4" l="1"/>
  <c r="I923" i="4"/>
  <c r="F924" i="4"/>
  <c r="G923" i="3"/>
  <c r="I923" i="3"/>
  <c r="F924" i="3"/>
  <c r="I924" i="4" l="1"/>
  <c r="G924" i="4"/>
  <c r="F925" i="4"/>
  <c r="I924" i="3"/>
  <c r="G924" i="3"/>
  <c r="F925" i="3"/>
  <c r="G925" i="4" l="1"/>
  <c r="I925" i="4"/>
  <c r="F926" i="4"/>
  <c r="G925" i="3"/>
  <c r="I925" i="3"/>
  <c r="F926" i="3"/>
  <c r="I926" i="4" l="1"/>
  <c r="G926" i="4"/>
  <c r="F927" i="4"/>
  <c r="I926" i="3"/>
  <c r="G926" i="3"/>
  <c r="F927" i="3"/>
  <c r="G927" i="4" l="1"/>
  <c r="I927" i="4"/>
  <c r="F928" i="4"/>
  <c r="G927" i="3"/>
  <c r="I927" i="3"/>
  <c r="F928" i="3"/>
  <c r="I928" i="4" l="1"/>
  <c r="G928" i="4"/>
  <c r="F929" i="4"/>
  <c r="I928" i="3"/>
  <c r="G928" i="3"/>
  <c r="F929" i="3"/>
  <c r="G929" i="4" l="1"/>
  <c r="I929" i="4"/>
  <c r="F930" i="4"/>
  <c r="G929" i="3"/>
  <c r="I929" i="3"/>
  <c r="F930" i="3"/>
  <c r="I930" i="4" l="1"/>
  <c r="G930" i="4"/>
  <c r="F931" i="4"/>
  <c r="I930" i="3"/>
  <c r="G930" i="3"/>
  <c r="F931" i="3"/>
  <c r="G931" i="4" l="1"/>
  <c r="I931" i="4"/>
  <c r="F932" i="4"/>
  <c r="G931" i="3"/>
  <c r="I931" i="3"/>
  <c r="F932" i="3"/>
  <c r="I932" i="4" l="1"/>
  <c r="G932" i="4"/>
  <c r="F933" i="4"/>
  <c r="I932" i="3"/>
  <c r="G932" i="3"/>
  <c r="F933" i="3"/>
  <c r="G933" i="4" l="1"/>
  <c r="I933" i="4"/>
  <c r="F934" i="4"/>
  <c r="G933" i="3"/>
  <c r="I933" i="3"/>
  <c r="F934" i="3"/>
  <c r="I934" i="4" l="1"/>
  <c r="G934" i="4"/>
  <c r="F935" i="4"/>
  <c r="G934" i="3"/>
  <c r="I934" i="3"/>
  <c r="F935" i="3"/>
  <c r="G935" i="4" l="1"/>
  <c r="I935" i="4"/>
  <c r="F936" i="4"/>
  <c r="I935" i="3"/>
  <c r="G935" i="3"/>
  <c r="F936" i="3"/>
  <c r="I936" i="4" l="1"/>
  <c r="G936" i="4"/>
  <c r="F937" i="4"/>
  <c r="G936" i="3"/>
  <c r="I936" i="3"/>
  <c r="F937" i="3"/>
  <c r="G937" i="4" l="1"/>
  <c r="I937" i="4"/>
  <c r="F938" i="4"/>
  <c r="I937" i="3"/>
  <c r="G937" i="3"/>
  <c r="F938" i="3"/>
  <c r="I938" i="4" l="1"/>
  <c r="G938" i="4"/>
  <c r="F939" i="4"/>
  <c r="G938" i="3"/>
  <c r="I938" i="3"/>
  <c r="F939" i="3"/>
  <c r="G939" i="4" l="1"/>
  <c r="I939" i="4"/>
  <c r="F940" i="4"/>
  <c r="I939" i="3"/>
  <c r="G939" i="3"/>
  <c r="F940" i="3"/>
  <c r="I940" i="4" l="1"/>
  <c r="G940" i="4"/>
  <c r="F941" i="4"/>
  <c r="G940" i="3"/>
  <c r="I940" i="3"/>
  <c r="F941" i="3"/>
  <c r="G941" i="4" l="1"/>
  <c r="I941" i="4"/>
  <c r="F942" i="4"/>
  <c r="I941" i="3"/>
  <c r="G941" i="3"/>
  <c r="F942" i="3"/>
  <c r="I942" i="4" l="1"/>
  <c r="G942" i="4"/>
  <c r="F943" i="4"/>
  <c r="G942" i="3"/>
  <c r="I942" i="3"/>
  <c r="F943" i="3"/>
  <c r="G943" i="4" l="1"/>
  <c r="I943" i="4"/>
  <c r="F944" i="4"/>
  <c r="I943" i="3"/>
  <c r="G943" i="3"/>
  <c r="F944" i="3"/>
  <c r="I944" i="4" l="1"/>
  <c r="G944" i="4"/>
  <c r="F945" i="4"/>
  <c r="G944" i="3"/>
  <c r="I944" i="3"/>
  <c r="F945" i="3"/>
  <c r="G945" i="4" l="1"/>
  <c r="I945" i="4"/>
  <c r="F946" i="4"/>
  <c r="I945" i="3"/>
  <c r="G945" i="3"/>
  <c r="F946" i="3"/>
  <c r="I946" i="4" l="1"/>
  <c r="G946" i="4"/>
  <c r="F947" i="4"/>
  <c r="G946" i="3"/>
  <c r="I946" i="3"/>
  <c r="F947" i="3"/>
  <c r="G947" i="4" l="1"/>
  <c r="I947" i="4"/>
  <c r="F948" i="4"/>
  <c r="I947" i="3"/>
  <c r="G947" i="3"/>
  <c r="F948" i="3"/>
  <c r="I948" i="4" l="1"/>
  <c r="G948" i="4"/>
  <c r="F949" i="4"/>
  <c r="G948" i="3"/>
  <c r="I948" i="3"/>
  <c r="F949" i="3"/>
  <c r="G949" i="4" l="1"/>
  <c r="I949" i="4"/>
  <c r="F950" i="4"/>
  <c r="I949" i="3"/>
  <c r="G949" i="3"/>
  <c r="F950" i="3"/>
  <c r="I950" i="4" l="1"/>
  <c r="G950" i="4"/>
  <c r="F951" i="4"/>
  <c r="G950" i="3"/>
  <c r="I950" i="3"/>
  <c r="F951" i="3"/>
  <c r="G951" i="4" l="1"/>
  <c r="I951" i="4"/>
  <c r="F952" i="4"/>
  <c r="I951" i="3"/>
  <c r="G951" i="3"/>
  <c r="F952" i="3"/>
  <c r="I952" i="4" l="1"/>
  <c r="G952" i="4"/>
  <c r="F953" i="4"/>
  <c r="G952" i="3"/>
  <c r="I952" i="3"/>
  <c r="F953" i="3"/>
  <c r="G953" i="4" l="1"/>
  <c r="I953" i="4"/>
  <c r="F954" i="4"/>
  <c r="I953" i="3"/>
  <c r="G953" i="3"/>
  <c r="F954" i="3"/>
  <c r="I954" i="4" l="1"/>
  <c r="G954" i="4"/>
  <c r="F955" i="4"/>
  <c r="G954" i="3"/>
  <c r="I954" i="3"/>
  <c r="F955" i="3"/>
  <c r="G955" i="4" l="1"/>
  <c r="I955" i="4"/>
  <c r="F956" i="4"/>
  <c r="I955" i="3"/>
  <c r="G955" i="3"/>
  <c r="F956" i="3"/>
  <c r="I956" i="4" l="1"/>
  <c r="G956" i="4"/>
  <c r="F957" i="4"/>
  <c r="G956" i="3"/>
  <c r="I956" i="3"/>
  <c r="F957" i="3"/>
  <c r="G957" i="4" l="1"/>
  <c r="I957" i="4"/>
  <c r="F958" i="4"/>
  <c r="I957" i="3"/>
  <c r="G957" i="3"/>
  <c r="F958" i="3"/>
  <c r="I958" i="4" l="1"/>
  <c r="G958" i="4"/>
  <c r="F959" i="4"/>
  <c r="G958" i="3"/>
  <c r="I958" i="3"/>
  <c r="F959" i="3"/>
  <c r="G959" i="4" l="1"/>
  <c r="I959" i="4"/>
  <c r="F960" i="4"/>
  <c r="I959" i="3"/>
  <c r="G959" i="3"/>
  <c r="F960" i="3"/>
  <c r="I960" i="4" l="1"/>
  <c r="G960" i="4"/>
  <c r="F961" i="4"/>
  <c r="G960" i="3"/>
  <c r="I960" i="3"/>
  <c r="F961" i="3"/>
  <c r="G961" i="4" l="1"/>
  <c r="I961" i="4"/>
  <c r="F962" i="4"/>
  <c r="I961" i="3"/>
  <c r="G961" i="3"/>
  <c r="F962" i="3"/>
  <c r="I962" i="4" l="1"/>
  <c r="G962" i="4"/>
  <c r="F963" i="4"/>
  <c r="G962" i="3"/>
  <c r="I962" i="3"/>
  <c r="F963" i="3"/>
  <c r="G963" i="4" l="1"/>
  <c r="I963" i="4"/>
  <c r="F964" i="4"/>
  <c r="I963" i="3"/>
  <c r="G963" i="3"/>
  <c r="F964" i="3"/>
  <c r="I964" i="4" l="1"/>
  <c r="G964" i="4"/>
  <c r="F965" i="4"/>
  <c r="G964" i="3"/>
  <c r="I964" i="3"/>
  <c r="F965" i="3"/>
  <c r="G965" i="4" l="1"/>
  <c r="I965" i="4"/>
  <c r="F966" i="4"/>
  <c r="I965" i="3"/>
  <c r="G965" i="3"/>
  <c r="F966" i="3"/>
  <c r="I966" i="4" l="1"/>
  <c r="G966" i="4"/>
  <c r="F967" i="4"/>
  <c r="G966" i="3"/>
  <c r="I966" i="3"/>
  <c r="F967" i="3"/>
  <c r="G967" i="4" l="1"/>
  <c r="I967" i="4"/>
  <c r="F968" i="4"/>
  <c r="I967" i="3"/>
  <c r="G967" i="3"/>
  <c r="F968" i="3"/>
  <c r="I968" i="4" l="1"/>
  <c r="G968" i="4"/>
  <c r="F969" i="4"/>
  <c r="G968" i="3"/>
  <c r="I968" i="3"/>
  <c r="F969" i="3"/>
  <c r="G969" i="4" l="1"/>
  <c r="I969" i="4"/>
  <c r="F970" i="4"/>
  <c r="I969" i="3"/>
  <c r="G969" i="3"/>
  <c r="F970" i="3"/>
  <c r="I970" i="4" l="1"/>
  <c r="G970" i="4"/>
  <c r="F971" i="4"/>
  <c r="G970" i="3"/>
  <c r="I970" i="3"/>
  <c r="F971" i="3"/>
  <c r="G971" i="4" l="1"/>
  <c r="I971" i="4"/>
  <c r="F972" i="4"/>
  <c r="I971" i="3"/>
  <c r="G971" i="3"/>
  <c r="F972" i="3"/>
  <c r="I972" i="4" l="1"/>
  <c r="G972" i="4"/>
  <c r="F973" i="4"/>
  <c r="G972" i="3"/>
  <c r="I972" i="3"/>
  <c r="F973" i="3"/>
  <c r="G973" i="4" l="1"/>
  <c r="I973" i="4"/>
  <c r="F974" i="4"/>
  <c r="I973" i="3"/>
  <c r="G973" i="3"/>
  <c r="F974" i="3"/>
  <c r="I974" i="4" l="1"/>
  <c r="G974" i="4"/>
  <c r="F975" i="4"/>
  <c r="G974" i="3"/>
  <c r="I974" i="3"/>
  <c r="F975" i="3"/>
  <c r="G975" i="4" l="1"/>
  <c r="I975" i="4"/>
  <c r="F976" i="4"/>
  <c r="I975" i="3"/>
  <c r="G975" i="3"/>
  <c r="F976" i="3"/>
  <c r="I976" i="4" l="1"/>
  <c r="G976" i="4"/>
  <c r="F977" i="4"/>
  <c r="G976" i="3"/>
  <c r="I976" i="3"/>
  <c r="F977" i="3"/>
  <c r="G977" i="4" l="1"/>
  <c r="I977" i="4"/>
  <c r="F978" i="4"/>
  <c r="I977" i="3"/>
  <c r="G977" i="3"/>
  <c r="F978" i="3"/>
  <c r="I978" i="4" l="1"/>
  <c r="G978" i="4"/>
  <c r="F979" i="4"/>
  <c r="G978" i="3"/>
  <c r="I978" i="3"/>
  <c r="F979" i="3"/>
  <c r="G979" i="4" l="1"/>
  <c r="I979" i="4"/>
  <c r="F980" i="4"/>
  <c r="I979" i="3"/>
  <c r="G979" i="3"/>
  <c r="F980" i="3"/>
  <c r="I980" i="4" l="1"/>
  <c r="G980" i="4"/>
  <c r="F981" i="4"/>
  <c r="G980" i="3"/>
  <c r="I980" i="3"/>
  <c r="F981" i="3"/>
  <c r="G981" i="4" l="1"/>
  <c r="I981" i="4"/>
  <c r="F982" i="4"/>
  <c r="I981" i="3"/>
  <c r="G981" i="3"/>
  <c r="F982" i="3"/>
  <c r="I982" i="4" l="1"/>
  <c r="G982" i="4"/>
  <c r="F983" i="4"/>
  <c r="G982" i="3"/>
  <c r="I982" i="3"/>
  <c r="F983" i="3"/>
  <c r="G983" i="4" l="1"/>
  <c r="I983" i="4"/>
  <c r="F984" i="4"/>
  <c r="I983" i="3"/>
  <c r="G983" i="3"/>
  <c r="F984" i="3"/>
  <c r="I984" i="4" l="1"/>
  <c r="G984" i="4"/>
  <c r="F985" i="4"/>
  <c r="G984" i="3"/>
  <c r="I984" i="3"/>
  <c r="F985" i="3"/>
  <c r="G985" i="4" l="1"/>
  <c r="I985" i="4"/>
  <c r="F986" i="4"/>
  <c r="I985" i="3"/>
  <c r="G985" i="3"/>
  <c r="F986" i="3"/>
  <c r="I986" i="4" l="1"/>
  <c r="G986" i="4"/>
  <c r="F987" i="4"/>
  <c r="G986" i="3"/>
  <c r="I986" i="3"/>
  <c r="F987" i="3"/>
  <c r="G987" i="4" l="1"/>
  <c r="I987" i="4"/>
  <c r="F988" i="4"/>
  <c r="I987" i="3"/>
  <c r="G987" i="3"/>
  <c r="F988" i="3"/>
  <c r="I988" i="4" l="1"/>
  <c r="G988" i="4"/>
  <c r="F989" i="4"/>
  <c r="G988" i="3"/>
  <c r="I988" i="3"/>
  <c r="F989" i="3"/>
  <c r="G989" i="4" l="1"/>
  <c r="I989" i="4"/>
  <c r="F990" i="4"/>
  <c r="I989" i="3"/>
  <c r="G989" i="3"/>
  <c r="F990" i="3"/>
  <c r="I990" i="4" l="1"/>
  <c r="G990" i="4"/>
  <c r="F991" i="4"/>
  <c r="G990" i="3"/>
  <c r="I990" i="3"/>
  <c r="F991" i="3"/>
  <c r="G991" i="4" l="1"/>
  <c r="I991" i="4"/>
  <c r="F992" i="4"/>
  <c r="I991" i="3"/>
  <c r="G991" i="3"/>
  <c r="F992" i="3"/>
  <c r="I992" i="4" l="1"/>
  <c r="G992" i="4"/>
  <c r="F993" i="4"/>
  <c r="G992" i="3"/>
  <c r="I992" i="3"/>
  <c r="F993" i="3"/>
  <c r="G993" i="4" l="1"/>
  <c r="I993" i="4"/>
  <c r="F994" i="4"/>
  <c r="I993" i="3"/>
  <c r="G993" i="3"/>
  <c r="F994" i="3"/>
  <c r="I994" i="4" l="1"/>
  <c r="G994" i="4"/>
  <c r="F995" i="4"/>
  <c r="G994" i="3"/>
  <c r="I994" i="3"/>
  <c r="F995" i="3"/>
  <c r="G995" i="4" l="1"/>
  <c r="I995" i="4"/>
  <c r="F996" i="4"/>
  <c r="I995" i="3"/>
  <c r="G995" i="3"/>
  <c r="F996" i="3"/>
  <c r="I996" i="4" l="1"/>
  <c r="G996" i="4"/>
  <c r="F997" i="4"/>
  <c r="G996" i="3"/>
  <c r="I996" i="3"/>
  <c r="F997" i="3"/>
  <c r="G997" i="4" l="1"/>
  <c r="I997" i="4"/>
  <c r="F998" i="4"/>
  <c r="I997" i="3"/>
  <c r="G997" i="3"/>
  <c r="F998" i="3"/>
  <c r="I998" i="4" l="1"/>
  <c r="G998" i="4"/>
  <c r="F999" i="4"/>
  <c r="G998" i="3"/>
  <c r="I998" i="3"/>
  <c r="F999" i="3"/>
  <c r="G999" i="4" l="1"/>
  <c r="I999" i="4"/>
  <c r="F1000" i="4"/>
  <c r="I999" i="3"/>
  <c r="G999" i="3"/>
  <c r="F1000" i="3"/>
  <c r="I1000" i="4" l="1"/>
  <c r="G1000" i="4"/>
  <c r="F1001" i="4"/>
  <c r="G1000" i="3"/>
  <c r="I1000" i="3"/>
  <c r="F1001" i="3"/>
  <c r="G1001" i="4" l="1"/>
  <c r="I1001" i="4"/>
  <c r="F1002" i="4"/>
  <c r="I1001" i="3"/>
  <c r="G1001" i="3"/>
  <c r="F1002" i="3"/>
  <c r="I1002" i="4" l="1"/>
  <c r="G1002" i="4"/>
  <c r="F1003" i="4"/>
  <c r="G1002" i="3"/>
  <c r="I1002" i="3"/>
  <c r="F1003" i="3"/>
  <c r="G1003" i="4" l="1"/>
  <c r="I1003" i="4"/>
  <c r="F1004" i="4"/>
  <c r="I1003" i="3"/>
  <c r="G1003" i="3"/>
  <c r="F1004" i="3"/>
  <c r="I1004" i="4" l="1"/>
  <c r="G1004" i="4"/>
  <c r="F1005" i="4"/>
  <c r="G1004" i="3"/>
  <c r="I1004" i="3"/>
  <c r="F1005" i="3"/>
  <c r="G1005" i="4" l="1"/>
  <c r="I1005" i="4"/>
  <c r="F1006" i="4"/>
  <c r="I1005" i="3"/>
  <c r="G1005" i="3"/>
  <c r="F1006" i="3"/>
  <c r="I1006" i="4" l="1"/>
  <c r="G1006" i="4"/>
  <c r="F1007" i="4"/>
  <c r="G1006" i="3"/>
  <c r="I1006" i="3"/>
  <c r="F1007" i="3"/>
  <c r="G1007" i="4" l="1"/>
  <c r="I1007" i="4"/>
  <c r="F1008" i="4"/>
  <c r="I1007" i="3"/>
  <c r="G1007" i="3"/>
  <c r="F1008" i="3"/>
  <c r="I1008" i="4" l="1"/>
  <c r="G1008" i="4"/>
  <c r="F1009" i="4"/>
  <c r="G1008" i="3"/>
  <c r="I1008" i="3"/>
  <c r="F1009" i="3"/>
  <c r="G1009" i="4" l="1"/>
  <c r="I1009" i="4"/>
  <c r="F1010" i="4"/>
  <c r="I1009" i="3"/>
  <c r="G1009" i="3"/>
  <c r="F1010" i="3"/>
  <c r="I1010" i="4" l="1"/>
  <c r="G1010" i="4"/>
  <c r="F1011" i="4"/>
  <c r="G1010" i="3"/>
  <c r="I1010" i="3"/>
  <c r="F1011" i="3"/>
  <c r="G1011" i="4" l="1"/>
  <c r="I1011" i="4"/>
  <c r="F1012" i="4"/>
  <c r="I1011" i="3"/>
  <c r="G1011" i="3"/>
  <c r="F1012" i="3"/>
  <c r="I1012" i="4" l="1"/>
  <c r="G1012" i="4"/>
  <c r="F1013" i="4"/>
  <c r="G1012" i="3"/>
  <c r="I1012" i="3"/>
  <c r="F1013" i="3"/>
  <c r="G1013" i="4" l="1"/>
  <c r="I1013" i="4"/>
  <c r="F1014" i="4"/>
  <c r="I1013" i="3"/>
  <c r="G1013" i="3"/>
  <c r="F1014" i="3"/>
  <c r="I1014" i="4" l="1"/>
  <c r="G1014" i="4"/>
  <c r="F1015" i="4"/>
  <c r="G1014" i="3"/>
  <c r="I1014" i="3"/>
  <c r="F1015" i="3"/>
  <c r="G1015" i="4" l="1"/>
  <c r="I1015" i="4"/>
  <c r="F1016" i="4"/>
  <c r="I1015" i="3"/>
  <c r="G1015" i="3"/>
  <c r="F1016" i="3"/>
  <c r="I1016" i="4" l="1"/>
  <c r="G1016" i="4"/>
  <c r="F1017" i="4"/>
  <c r="G1016" i="3"/>
  <c r="I1016" i="3"/>
  <c r="F1017" i="3"/>
  <c r="G1017" i="4" l="1"/>
  <c r="I1017" i="4"/>
  <c r="F1018" i="4"/>
  <c r="I1017" i="3"/>
  <c r="G1017" i="3"/>
  <c r="F1018" i="3"/>
  <c r="I1018" i="4" l="1"/>
  <c r="G1018" i="4"/>
  <c r="F1019" i="4"/>
  <c r="G1018" i="3"/>
  <c r="I1018" i="3"/>
  <c r="F1019" i="3"/>
  <c r="G1019" i="4" l="1"/>
  <c r="I1019" i="4"/>
  <c r="F1020" i="4"/>
  <c r="I1019" i="3"/>
  <c r="G1019" i="3"/>
  <c r="F1020" i="3"/>
  <c r="I1020" i="4" l="1"/>
  <c r="G1020" i="4"/>
  <c r="F1021" i="4"/>
  <c r="G1020" i="3"/>
  <c r="I1020" i="3"/>
  <c r="F1021" i="3"/>
  <c r="G1021" i="4" l="1"/>
  <c r="I1021" i="4"/>
  <c r="F1022" i="4"/>
  <c r="I1021" i="3"/>
  <c r="G1021" i="3"/>
  <c r="F1022" i="3"/>
  <c r="I1022" i="4" l="1"/>
  <c r="G1022" i="4"/>
  <c r="F1023" i="4"/>
  <c r="G1022" i="3"/>
  <c r="I1022" i="3"/>
  <c r="F1023" i="3"/>
  <c r="G1023" i="4" l="1"/>
  <c r="I1023" i="4"/>
  <c r="F1024" i="4"/>
  <c r="I1023" i="3"/>
  <c r="G1023" i="3"/>
  <c r="F1024" i="3"/>
  <c r="I1024" i="4" l="1"/>
  <c r="G1024" i="4"/>
  <c r="F1025" i="4"/>
  <c r="G1024" i="3"/>
  <c r="I1024" i="3"/>
  <c r="F1025" i="3"/>
  <c r="G1025" i="4" l="1"/>
  <c r="I1025" i="4"/>
  <c r="F1026" i="4"/>
  <c r="I1025" i="3"/>
  <c r="G1025" i="3"/>
  <c r="F1026" i="3"/>
  <c r="I1026" i="4" l="1"/>
  <c r="G1026" i="4"/>
  <c r="F1027" i="4"/>
  <c r="G1026" i="3"/>
  <c r="I1026" i="3"/>
  <c r="F1027" i="3"/>
  <c r="G1027" i="4" l="1"/>
  <c r="I1027" i="4"/>
  <c r="F1028" i="4"/>
  <c r="I1027" i="3"/>
  <c r="G1027" i="3"/>
  <c r="F1028" i="3"/>
  <c r="I1028" i="4" l="1"/>
  <c r="G1028" i="4"/>
  <c r="F1029" i="4"/>
  <c r="G1028" i="3"/>
  <c r="I1028" i="3"/>
  <c r="F1029" i="3"/>
  <c r="G1029" i="4" l="1"/>
  <c r="I1029" i="4"/>
  <c r="F1030" i="4"/>
  <c r="I1029" i="3"/>
  <c r="G1029" i="3"/>
  <c r="F1030" i="3"/>
  <c r="I1030" i="4" l="1"/>
  <c r="G1030" i="4"/>
  <c r="F1031" i="4"/>
  <c r="G1030" i="3"/>
  <c r="I1030" i="3"/>
  <c r="F1031" i="3"/>
  <c r="G1031" i="4" l="1"/>
  <c r="I1031" i="4"/>
  <c r="F1032" i="4"/>
  <c r="I1031" i="3"/>
  <c r="G1031" i="3"/>
  <c r="F1032" i="3"/>
  <c r="I1032" i="4" l="1"/>
  <c r="G1032" i="4"/>
  <c r="F1033" i="4"/>
  <c r="G1032" i="3"/>
  <c r="I1032" i="3"/>
  <c r="F1033" i="3"/>
  <c r="G1033" i="4" l="1"/>
  <c r="I1033" i="4"/>
  <c r="F1034" i="4"/>
  <c r="I1033" i="3"/>
  <c r="G1033" i="3"/>
  <c r="F1034" i="3"/>
  <c r="I1034" i="4" l="1"/>
  <c r="G1034" i="4"/>
  <c r="F1035" i="4"/>
  <c r="G1034" i="3"/>
  <c r="I1034" i="3"/>
  <c r="F1035" i="3"/>
  <c r="G1035" i="4" l="1"/>
  <c r="I1035" i="4"/>
  <c r="F1036" i="4"/>
  <c r="I1035" i="3"/>
  <c r="G1035" i="3"/>
  <c r="F1036" i="3"/>
  <c r="I1036" i="4" l="1"/>
  <c r="G1036" i="4"/>
  <c r="F1037" i="4"/>
  <c r="G1036" i="3"/>
  <c r="I1036" i="3"/>
  <c r="F1037" i="3"/>
  <c r="G1037" i="4" l="1"/>
  <c r="I1037" i="4"/>
  <c r="F1038" i="4"/>
  <c r="I1037" i="3"/>
  <c r="G1037" i="3"/>
  <c r="F1038" i="3"/>
  <c r="I1038" i="4" l="1"/>
  <c r="G1038" i="4"/>
  <c r="F1039" i="4"/>
  <c r="G1038" i="3"/>
  <c r="I1038" i="3"/>
  <c r="F1039" i="3"/>
  <c r="G1039" i="4" l="1"/>
  <c r="I1039" i="4"/>
  <c r="F1040" i="4"/>
  <c r="I1039" i="3"/>
  <c r="G1039" i="3"/>
  <c r="F1040" i="3"/>
  <c r="I1040" i="4" l="1"/>
  <c r="G1040" i="4"/>
  <c r="F1041" i="4"/>
  <c r="G1040" i="3"/>
  <c r="I1040" i="3"/>
  <c r="F1041" i="3"/>
  <c r="G1041" i="4" l="1"/>
  <c r="I1041" i="4"/>
  <c r="F1042" i="4"/>
  <c r="I1041" i="3"/>
  <c r="G1041" i="3"/>
  <c r="F1042" i="3"/>
  <c r="I1042" i="4" l="1"/>
  <c r="G1042" i="4"/>
  <c r="F1043" i="4"/>
  <c r="G1042" i="3"/>
  <c r="I1042" i="3"/>
  <c r="F1043" i="3"/>
  <c r="G1043" i="4" l="1"/>
  <c r="I1043" i="4"/>
  <c r="F1044" i="4"/>
  <c r="I1043" i="3"/>
  <c r="G1043" i="3"/>
  <c r="F1044" i="3"/>
  <c r="I1044" i="4" l="1"/>
  <c r="G1044" i="4"/>
  <c r="F1045" i="4"/>
  <c r="G1044" i="3"/>
  <c r="I1044" i="3"/>
  <c r="F1045" i="3"/>
  <c r="G1045" i="4" l="1"/>
  <c r="I1045" i="4"/>
  <c r="F1046" i="4"/>
  <c r="I1045" i="3"/>
  <c r="G1045" i="3"/>
  <c r="F1046" i="3"/>
  <c r="I1046" i="4" l="1"/>
  <c r="G1046" i="4"/>
  <c r="F1047" i="4"/>
  <c r="G1046" i="3"/>
  <c r="I1046" i="3"/>
  <c r="F1047" i="3"/>
  <c r="G1047" i="4" l="1"/>
  <c r="I1047" i="4"/>
  <c r="F1048" i="4"/>
  <c r="I1047" i="3"/>
  <c r="G1047" i="3"/>
  <c r="F1048" i="3"/>
  <c r="I1048" i="4" l="1"/>
  <c r="G1048" i="4"/>
  <c r="F1049" i="4"/>
  <c r="G1048" i="3"/>
  <c r="I1048" i="3"/>
  <c r="F1049" i="3"/>
  <c r="G1049" i="4" l="1"/>
  <c r="I1049" i="4"/>
  <c r="F1050" i="4"/>
  <c r="I1049" i="3"/>
  <c r="G1049" i="3"/>
  <c r="F1050" i="3"/>
  <c r="I1050" i="4" l="1"/>
  <c r="G1050" i="4"/>
  <c r="F1051" i="4"/>
  <c r="G1050" i="3"/>
  <c r="I1050" i="3"/>
  <c r="F1051" i="3"/>
  <c r="G1051" i="4" l="1"/>
  <c r="I1051" i="4"/>
  <c r="F1052" i="4"/>
  <c r="I1051" i="3"/>
  <c r="G1051" i="3"/>
  <c r="F1052" i="3"/>
  <c r="I1052" i="4" l="1"/>
  <c r="G1052" i="4"/>
  <c r="F1053" i="4"/>
  <c r="G1052" i="3"/>
  <c r="I1052" i="3"/>
  <c r="F1053" i="3"/>
  <c r="G1053" i="4" l="1"/>
  <c r="I1053" i="4"/>
  <c r="F1054" i="4"/>
  <c r="I1053" i="3"/>
  <c r="G1053" i="3"/>
  <c r="F1054" i="3"/>
  <c r="I1054" i="4" l="1"/>
  <c r="G1054" i="4"/>
  <c r="F1055" i="4"/>
  <c r="G1054" i="3"/>
  <c r="I1054" i="3"/>
  <c r="F1055" i="3"/>
  <c r="G1055" i="4" l="1"/>
  <c r="I1055" i="4"/>
  <c r="F1056" i="4"/>
  <c r="I1055" i="3"/>
  <c r="G1055" i="3"/>
  <c r="F1056" i="3"/>
  <c r="I1056" i="4" l="1"/>
  <c r="G1056" i="4"/>
  <c r="F1057" i="4"/>
  <c r="G1056" i="3"/>
  <c r="I1056" i="3"/>
  <c r="F1057" i="3"/>
  <c r="G1057" i="4" l="1"/>
  <c r="I1057" i="4"/>
  <c r="F1058" i="4"/>
  <c r="I1057" i="3"/>
  <c r="G1057" i="3"/>
  <c r="F1058" i="3"/>
  <c r="I1058" i="4" l="1"/>
  <c r="G1058" i="4"/>
  <c r="F1059" i="4"/>
  <c r="G1058" i="3"/>
  <c r="I1058" i="3"/>
  <c r="F1059" i="3"/>
  <c r="G1059" i="4" l="1"/>
  <c r="I1059" i="4"/>
  <c r="F1060" i="4"/>
  <c r="I1059" i="3"/>
  <c r="G1059" i="3"/>
  <c r="F1060" i="3"/>
  <c r="I1060" i="4" l="1"/>
  <c r="G1060" i="4"/>
  <c r="F1061" i="4"/>
  <c r="G1060" i="3"/>
  <c r="I1060" i="3"/>
  <c r="F1061" i="3"/>
  <c r="G1061" i="4" l="1"/>
  <c r="I1061" i="4"/>
  <c r="F1062" i="4"/>
  <c r="I1061" i="3"/>
  <c r="G1061" i="3"/>
  <c r="F1062" i="3"/>
  <c r="I1062" i="4" l="1"/>
  <c r="G1062" i="4"/>
  <c r="F1063" i="4"/>
  <c r="G1062" i="3"/>
  <c r="I1062" i="3"/>
  <c r="F1063" i="3"/>
  <c r="G1063" i="4" l="1"/>
  <c r="I1063" i="4"/>
  <c r="F1064" i="4"/>
  <c r="I1063" i="3"/>
  <c r="G1063" i="3"/>
  <c r="F1064" i="3"/>
  <c r="I1064" i="4" l="1"/>
  <c r="G1064" i="4"/>
  <c r="F1065" i="4"/>
  <c r="G1064" i="3"/>
  <c r="I1064" i="3"/>
  <c r="F1065" i="3"/>
  <c r="G1065" i="4" l="1"/>
  <c r="I1065" i="4"/>
  <c r="F1066" i="4"/>
  <c r="I1065" i="3"/>
  <c r="G1065" i="3"/>
  <c r="F1066" i="3"/>
  <c r="I1066" i="4" l="1"/>
  <c r="G1066" i="4"/>
  <c r="F1067" i="4"/>
  <c r="G1066" i="3"/>
  <c r="I1066" i="3"/>
  <c r="F1067" i="3"/>
  <c r="G1067" i="4" l="1"/>
  <c r="I1067" i="4"/>
  <c r="F1068" i="4"/>
  <c r="I1067" i="3"/>
  <c r="G1067" i="3"/>
  <c r="F1068" i="3"/>
  <c r="I1068" i="4" l="1"/>
  <c r="G1068" i="4"/>
  <c r="F1069" i="4"/>
  <c r="G1068" i="3"/>
  <c r="I1068" i="3"/>
  <c r="F1069" i="3"/>
  <c r="G1069" i="4" l="1"/>
  <c r="I1069" i="4"/>
  <c r="F1070" i="4"/>
  <c r="I1069" i="3"/>
  <c r="G1069" i="3"/>
  <c r="F1070" i="3"/>
  <c r="I1070" i="4" l="1"/>
  <c r="G1070" i="4"/>
  <c r="F1071" i="4"/>
  <c r="G1070" i="3"/>
  <c r="I1070" i="3"/>
  <c r="F1071" i="3"/>
  <c r="G1071" i="4" l="1"/>
  <c r="I1071" i="4"/>
  <c r="F1072" i="4"/>
  <c r="I1071" i="3"/>
  <c r="G1071" i="3"/>
  <c r="F1072" i="3"/>
  <c r="I1072" i="4" l="1"/>
  <c r="G1072" i="4"/>
  <c r="F1073" i="4"/>
  <c r="G1072" i="3"/>
  <c r="I1072" i="3"/>
  <c r="F1073" i="3"/>
  <c r="G1073" i="4" l="1"/>
  <c r="I1073" i="4"/>
  <c r="F1074" i="4"/>
  <c r="I1073" i="3"/>
  <c r="G1073" i="3"/>
  <c r="F1074" i="3"/>
  <c r="I1074" i="4" l="1"/>
  <c r="G1074" i="4"/>
  <c r="F1075" i="4"/>
  <c r="G1074" i="3"/>
  <c r="I1074" i="3"/>
  <c r="F1075" i="3"/>
  <c r="G1075" i="4" l="1"/>
  <c r="I1075" i="4"/>
  <c r="F1076" i="4"/>
  <c r="I1075" i="3"/>
  <c r="G1075" i="3"/>
  <c r="F1076" i="3"/>
  <c r="I1076" i="4" l="1"/>
  <c r="G1076" i="4"/>
  <c r="F1077" i="4"/>
  <c r="G1076" i="3"/>
  <c r="I1076" i="3"/>
  <c r="F1077" i="3"/>
  <c r="G1077" i="4" l="1"/>
  <c r="I1077" i="4"/>
  <c r="F1078" i="4"/>
  <c r="I1077" i="3"/>
  <c r="G1077" i="3"/>
  <c r="F1078" i="3"/>
  <c r="I1078" i="4" l="1"/>
  <c r="G1078" i="4"/>
  <c r="F1079" i="4"/>
  <c r="G1078" i="3"/>
  <c r="I1078" i="3"/>
  <c r="F1079" i="3"/>
  <c r="G1079" i="4" l="1"/>
  <c r="I1079" i="4"/>
  <c r="F1080" i="4"/>
  <c r="I1079" i="3"/>
  <c r="G1079" i="3"/>
  <c r="F1080" i="3"/>
  <c r="I1080" i="4" l="1"/>
  <c r="G1080" i="4"/>
  <c r="F1081" i="4"/>
  <c r="G1080" i="3"/>
  <c r="I1080" i="3"/>
  <c r="F1081" i="3"/>
  <c r="G1081" i="4" l="1"/>
  <c r="I1081" i="4"/>
  <c r="F1082" i="4"/>
  <c r="I1081" i="3"/>
  <c r="G1081" i="3"/>
  <c r="F1082" i="3"/>
  <c r="I1082" i="4" l="1"/>
  <c r="G1082" i="4"/>
  <c r="F1083" i="4"/>
  <c r="G1082" i="3"/>
  <c r="I1082" i="3"/>
  <c r="F1083" i="3"/>
  <c r="G1083" i="4" l="1"/>
  <c r="I1083" i="4"/>
  <c r="F1084" i="4"/>
  <c r="I1083" i="3"/>
  <c r="G1083" i="3"/>
  <c r="F1084" i="3"/>
  <c r="I1084" i="4" l="1"/>
  <c r="G1084" i="4"/>
  <c r="F1085" i="4"/>
  <c r="G1084" i="3"/>
  <c r="I1084" i="3"/>
  <c r="F1085" i="3"/>
  <c r="G1085" i="4" l="1"/>
  <c r="I1085" i="4"/>
  <c r="F1086" i="4"/>
  <c r="I1085" i="3"/>
  <c r="G1085" i="3"/>
  <c r="F1086" i="3"/>
  <c r="I1086" i="4" l="1"/>
  <c r="G1086" i="4"/>
  <c r="F1087" i="4"/>
  <c r="G1086" i="3"/>
  <c r="I1086" i="3"/>
  <c r="F1087" i="3"/>
  <c r="G1087" i="4" l="1"/>
  <c r="I1087" i="4"/>
  <c r="F1088" i="4"/>
  <c r="I1087" i="3"/>
  <c r="G1087" i="3"/>
  <c r="F1088" i="3"/>
  <c r="I1088" i="4" l="1"/>
  <c r="G1088" i="4"/>
  <c r="F1089" i="4"/>
  <c r="G1088" i="3"/>
  <c r="I1088" i="3"/>
  <c r="F1089" i="3"/>
  <c r="G1089" i="4" l="1"/>
  <c r="I1089" i="4"/>
  <c r="F1090" i="4"/>
  <c r="I1089" i="3"/>
  <c r="G1089" i="3"/>
  <c r="F1090" i="3"/>
  <c r="I1090" i="4" l="1"/>
  <c r="G1090" i="4"/>
  <c r="F1091" i="4"/>
  <c r="G1090" i="3"/>
  <c r="I1090" i="3"/>
  <c r="F1091" i="3"/>
  <c r="G1091" i="4" l="1"/>
  <c r="I1091" i="4"/>
  <c r="F1092" i="4"/>
  <c r="I1091" i="3"/>
  <c r="G1091" i="3"/>
  <c r="F1092" i="3"/>
  <c r="I1092" i="4" l="1"/>
  <c r="G1092" i="4"/>
  <c r="F1093" i="4"/>
  <c r="G1092" i="3"/>
  <c r="I1092" i="3"/>
  <c r="F1093" i="3"/>
  <c r="G1093" i="4" l="1"/>
  <c r="I1093" i="4"/>
  <c r="F1094" i="4"/>
  <c r="I1093" i="3"/>
  <c r="G1093" i="3"/>
  <c r="F1094" i="3"/>
  <c r="I1094" i="4" l="1"/>
  <c r="G1094" i="4"/>
  <c r="F1095" i="4"/>
  <c r="G1094" i="3"/>
  <c r="I1094" i="3"/>
  <c r="F1095" i="3"/>
  <c r="G1095" i="4" l="1"/>
  <c r="I1095" i="4"/>
  <c r="F1096" i="4"/>
  <c r="I1095" i="3"/>
  <c r="G1095" i="3"/>
  <c r="F1096" i="3"/>
  <c r="I1096" i="4" l="1"/>
  <c r="G1096" i="4"/>
  <c r="F1097" i="4"/>
  <c r="G1096" i="3"/>
  <c r="I1096" i="3"/>
  <c r="F1097" i="3"/>
  <c r="G1097" i="4" l="1"/>
  <c r="I1097" i="4"/>
  <c r="F1098" i="4"/>
  <c r="I1097" i="3"/>
  <c r="G1097" i="3"/>
  <c r="F1098" i="3"/>
  <c r="I1098" i="4" l="1"/>
  <c r="G1098" i="4"/>
  <c r="F1099" i="4"/>
  <c r="G1098" i="3"/>
  <c r="I1098" i="3"/>
  <c r="F1099" i="3"/>
  <c r="G1099" i="4" l="1"/>
  <c r="I1099" i="4"/>
  <c r="F1100" i="4"/>
  <c r="I1099" i="3"/>
  <c r="G1099" i="3"/>
  <c r="F1100" i="3"/>
  <c r="I1100" i="4" l="1"/>
  <c r="G1100" i="4"/>
  <c r="F1101" i="4"/>
  <c r="G1100" i="3"/>
  <c r="I1100" i="3"/>
  <c r="F1101" i="3"/>
  <c r="G1101" i="4" l="1"/>
  <c r="I1101" i="4"/>
  <c r="F1102" i="4"/>
  <c r="I1101" i="3"/>
  <c r="G1101" i="3"/>
  <c r="F1102" i="3"/>
  <c r="I1102" i="4" l="1"/>
  <c r="G1102" i="4"/>
  <c r="F1103" i="4"/>
  <c r="G1102" i="3"/>
  <c r="I1102" i="3"/>
  <c r="F1103" i="3"/>
  <c r="G1103" i="4" l="1"/>
  <c r="I1103" i="4"/>
  <c r="F1104" i="4"/>
  <c r="I1103" i="3"/>
  <c r="G1103" i="3"/>
  <c r="F1104" i="3"/>
  <c r="I1104" i="4" l="1"/>
  <c r="G1104" i="4"/>
  <c r="F1105" i="4"/>
  <c r="G1104" i="3"/>
  <c r="I1104" i="3"/>
  <c r="F1105" i="3"/>
  <c r="G1105" i="4" l="1"/>
  <c r="I1105" i="4"/>
  <c r="F1106" i="4"/>
  <c r="I1105" i="3"/>
  <c r="G1105" i="3"/>
  <c r="F1106" i="3"/>
  <c r="I1106" i="4" l="1"/>
  <c r="G1106" i="4"/>
  <c r="F1107" i="4"/>
  <c r="G1106" i="3"/>
  <c r="I1106" i="3"/>
  <c r="F1107" i="3"/>
  <c r="G1107" i="4" l="1"/>
  <c r="I1107" i="4"/>
  <c r="F1108" i="4"/>
  <c r="I1107" i="3"/>
  <c r="G1107" i="3"/>
  <c r="F1108" i="3"/>
  <c r="I1108" i="4" l="1"/>
  <c r="G1108" i="4"/>
  <c r="F1109" i="4"/>
  <c r="G1108" i="3"/>
  <c r="I1108" i="3"/>
  <c r="F1109" i="3"/>
  <c r="G1109" i="4" l="1"/>
  <c r="I1109" i="4"/>
  <c r="F1110" i="4"/>
  <c r="I1109" i="3"/>
  <c r="G1109" i="3"/>
  <c r="F1110" i="3"/>
  <c r="I1110" i="4" l="1"/>
  <c r="G1110" i="4"/>
  <c r="F1111" i="4"/>
  <c r="G1110" i="3"/>
  <c r="I1110" i="3"/>
  <c r="F1111" i="3"/>
  <c r="G1111" i="4" l="1"/>
  <c r="I1111" i="4"/>
  <c r="F1112" i="4"/>
  <c r="I1111" i="3"/>
  <c r="G1111" i="3"/>
  <c r="F1112" i="3"/>
  <c r="I1112" i="4" l="1"/>
  <c r="G1112" i="4"/>
  <c r="F1113" i="4"/>
  <c r="G1112" i="3"/>
  <c r="I1112" i="3"/>
  <c r="F1113" i="3"/>
  <c r="G1113" i="4" l="1"/>
  <c r="I1113" i="4"/>
  <c r="F1114" i="4"/>
  <c r="I1113" i="3"/>
  <c r="G1113" i="3"/>
  <c r="F1114" i="3"/>
  <c r="I1114" i="4" l="1"/>
  <c r="G1114" i="4"/>
  <c r="F1115" i="4"/>
  <c r="G1114" i="3"/>
  <c r="I1114" i="3"/>
  <c r="F1115" i="3"/>
  <c r="G1115" i="4" l="1"/>
  <c r="I1115" i="4"/>
  <c r="F1116" i="4"/>
  <c r="I1115" i="3"/>
  <c r="G1115" i="3"/>
  <c r="F1116" i="3"/>
  <c r="I1116" i="4" l="1"/>
  <c r="G1116" i="4"/>
  <c r="F1117" i="4"/>
  <c r="G1116" i="3"/>
  <c r="I1116" i="3"/>
  <c r="F1117" i="3"/>
  <c r="G1117" i="4" l="1"/>
  <c r="I1117" i="4"/>
  <c r="F1118" i="4"/>
  <c r="I1117" i="3"/>
  <c r="G1117" i="3"/>
  <c r="F1118" i="3"/>
  <c r="I1118" i="4" l="1"/>
  <c r="G1118" i="4"/>
  <c r="F1119" i="4"/>
  <c r="G1118" i="3"/>
  <c r="I1118" i="3"/>
  <c r="F1119" i="3"/>
  <c r="G1119" i="4" l="1"/>
  <c r="I1119" i="4"/>
  <c r="F1120" i="4"/>
  <c r="I1119" i="3"/>
  <c r="G1119" i="3"/>
  <c r="F1120" i="3"/>
  <c r="I1120" i="4" l="1"/>
  <c r="G1120" i="4"/>
  <c r="F1121" i="4"/>
  <c r="G1120" i="3"/>
  <c r="I1120" i="3"/>
  <c r="F1121" i="3"/>
  <c r="G1121" i="4" l="1"/>
  <c r="I1121" i="4"/>
  <c r="F1122" i="4"/>
  <c r="I1121" i="3"/>
  <c r="G1121" i="3"/>
  <c r="F1122" i="3"/>
  <c r="I1122" i="4" l="1"/>
  <c r="G1122" i="4"/>
  <c r="F1123" i="4"/>
  <c r="G1122" i="3"/>
  <c r="I1122" i="3"/>
  <c r="F1123" i="3"/>
  <c r="G1123" i="4" l="1"/>
  <c r="I1123" i="4"/>
  <c r="F1124" i="4"/>
  <c r="I1123" i="3"/>
  <c r="G1123" i="3"/>
  <c r="F1124" i="3"/>
  <c r="I1124" i="4" l="1"/>
  <c r="G1124" i="4"/>
  <c r="F1125" i="4"/>
  <c r="G1124" i="3"/>
  <c r="I1124" i="3"/>
  <c r="F1125" i="3"/>
  <c r="G1125" i="4" l="1"/>
  <c r="I1125" i="4"/>
  <c r="F1126" i="4"/>
  <c r="I1125" i="3"/>
  <c r="G1125" i="3"/>
  <c r="F1126" i="3"/>
  <c r="I1126" i="4" l="1"/>
  <c r="G1126" i="4"/>
  <c r="F1127" i="4"/>
  <c r="G1126" i="3"/>
  <c r="I1126" i="3"/>
  <c r="F1127" i="3"/>
  <c r="G1127" i="4" l="1"/>
  <c r="I1127" i="4"/>
  <c r="F1128" i="4"/>
  <c r="I1127" i="3"/>
  <c r="G1127" i="3"/>
  <c r="F1128" i="3"/>
  <c r="I1128" i="4" l="1"/>
  <c r="G1128" i="4"/>
  <c r="F1129" i="4"/>
  <c r="G1128" i="3"/>
  <c r="I1128" i="3"/>
  <c r="F1129" i="3"/>
  <c r="G1129" i="4" l="1"/>
  <c r="I1129" i="4"/>
  <c r="F1130" i="4"/>
  <c r="I1129" i="3"/>
  <c r="G1129" i="3"/>
  <c r="F1130" i="3"/>
  <c r="I1130" i="4" l="1"/>
  <c r="G1130" i="4"/>
  <c r="F1131" i="4"/>
  <c r="G1130" i="3"/>
  <c r="I1130" i="3"/>
  <c r="F1131" i="3"/>
  <c r="G1131" i="4" l="1"/>
  <c r="I1131" i="4"/>
  <c r="F1132" i="4"/>
  <c r="I1131" i="3"/>
  <c r="G1131" i="3"/>
  <c r="F1132" i="3"/>
  <c r="I1132" i="4" l="1"/>
  <c r="G1132" i="4"/>
  <c r="F1133" i="4"/>
  <c r="G1132" i="3"/>
  <c r="I1132" i="3"/>
  <c r="F1133" i="3"/>
  <c r="G1133" i="4" l="1"/>
  <c r="I1133" i="4"/>
  <c r="F1134" i="4"/>
  <c r="I1133" i="3"/>
  <c r="G1133" i="3"/>
  <c r="F1134" i="3"/>
  <c r="I1134" i="4" l="1"/>
  <c r="G1134" i="4"/>
  <c r="F1135" i="4"/>
  <c r="G1134" i="3"/>
  <c r="I1134" i="3"/>
  <c r="F1135" i="3"/>
  <c r="G1135" i="4" l="1"/>
  <c r="I1135" i="4"/>
  <c r="F1136" i="4"/>
  <c r="I1135" i="3"/>
  <c r="G1135" i="3"/>
  <c r="F1136" i="3"/>
  <c r="I1136" i="4" l="1"/>
  <c r="G1136" i="4"/>
  <c r="F1137" i="4"/>
  <c r="G1136" i="3"/>
  <c r="I1136" i="3"/>
  <c r="F1137" i="3"/>
  <c r="G1137" i="4" l="1"/>
  <c r="I1137" i="4"/>
  <c r="F1138" i="4"/>
  <c r="I1137" i="3"/>
  <c r="G1137" i="3"/>
  <c r="F1138" i="3"/>
  <c r="I1138" i="4" l="1"/>
  <c r="G1138" i="4"/>
  <c r="F1139" i="4"/>
  <c r="G1138" i="3"/>
  <c r="I1138" i="3"/>
  <c r="F1139" i="3"/>
  <c r="G1139" i="4" l="1"/>
  <c r="I1139" i="4"/>
  <c r="F1140" i="4"/>
  <c r="I1139" i="3"/>
  <c r="G1139" i="3"/>
  <c r="F1140" i="3"/>
  <c r="I1140" i="4" l="1"/>
  <c r="G1140" i="4"/>
  <c r="F1141" i="4"/>
  <c r="G1140" i="3"/>
  <c r="I1140" i="3"/>
  <c r="F1141" i="3"/>
  <c r="G1141" i="4" l="1"/>
  <c r="I1141" i="4"/>
  <c r="F1142" i="4"/>
  <c r="I1141" i="3"/>
  <c r="G1141" i="3"/>
  <c r="F1142" i="3"/>
  <c r="I1142" i="4" l="1"/>
  <c r="G1142" i="4"/>
  <c r="F1143" i="4"/>
  <c r="G1142" i="3"/>
  <c r="I1142" i="3"/>
  <c r="F1143" i="3"/>
  <c r="G1143" i="4" l="1"/>
  <c r="I1143" i="4"/>
  <c r="F1144" i="4"/>
  <c r="I1143" i="3"/>
  <c r="G1143" i="3"/>
  <c r="F1144" i="3"/>
  <c r="I1144" i="4" l="1"/>
  <c r="G1144" i="4"/>
  <c r="F1145" i="4"/>
  <c r="G1144" i="3"/>
  <c r="I1144" i="3"/>
  <c r="F1145" i="3"/>
  <c r="G1145" i="4" l="1"/>
  <c r="I1145" i="4"/>
  <c r="F1146" i="4"/>
  <c r="I1145" i="3"/>
  <c r="G1145" i="3"/>
  <c r="F1146" i="3"/>
  <c r="I1146" i="4" l="1"/>
  <c r="G1146" i="4"/>
  <c r="F1147" i="4"/>
  <c r="G1146" i="3"/>
  <c r="I1146" i="3"/>
  <c r="F1147" i="3"/>
  <c r="G1147" i="4" l="1"/>
  <c r="I1147" i="4"/>
  <c r="F1148" i="4"/>
  <c r="I1147" i="3"/>
  <c r="G1147" i="3"/>
  <c r="F1148" i="3"/>
  <c r="I1148" i="4" l="1"/>
  <c r="G1148" i="4"/>
  <c r="F1149" i="4"/>
  <c r="G1148" i="3"/>
  <c r="I1148" i="3"/>
  <c r="F1149" i="3"/>
  <c r="G1149" i="4" l="1"/>
  <c r="I1149" i="4"/>
  <c r="F1150" i="4"/>
  <c r="I1149" i="3"/>
  <c r="G1149" i="3"/>
  <c r="F1150" i="3"/>
  <c r="I1150" i="4" l="1"/>
  <c r="G1150" i="4"/>
  <c r="F1151" i="4"/>
  <c r="G1150" i="3"/>
  <c r="I1150" i="3"/>
  <c r="F1151" i="3"/>
  <c r="G1151" i="4" l="1"/>
  <c r="I1151" i="4"/>
  <c r="F1152" i="4"/>
  <c r="I1151" i="3"/>
  <c r="G1151" i="3"/>
  <c r="F1152" i="3"/>
  <c r="I1152" i="4" l="1"/>
  <c r="G1152" i="4"/>
  <c r="F1153" i="4"/>
  <c r="G1152" i="3"/>
  <c r="I1152" i="3"/>
  <c r="F1153" i="3"/>
  <c r="G1153" i="4" l="1"/>
  <c r="I1153" i="4"/>
  <c r="F1154" i="4"/>
  <c r="I1153" i="3"/>
  <c r="G1153" i="3"/>
  <c r="F1154" i="3"/>
  <c r="I1154" i="4" l="1"/>
  <c r="G1154" i="4"/>
  <c r="F1155" i="4"/>
  <c r="G1154" i="3"/>
  <c r="I1154" i="3"/>
  <c r="F1155" i="3"/>
  <c r="G1155" i="4" l="1"/>
  <c r="I1155" i="4"/>
  <c r="F1156" i="4"/>
  <c r="I1155" i="3"/>
  <c r="G1155" i="3"/>
  <c r="F1156" i="3"/>
  <c r="I1156" i="4" l="1"/>
  <c r="G1156" i="4"/>
  <c r="F1157" i="4"/>
  <c r="G1156" i="3"/>
  <c r="I1156" i="3"/>
  <c r="F1157" i="3"/>
  <c r="G1157" i="4" l="1"/>
  <c r="I1157" i="4"/>
  <c r="F1158" i="4"/>
  <c r="I1157" i="3"/>
  <c r="G1157" i="3"/>
  <c r="F1158" i="3"/>
  <c r="I1158" i="4" l="1"/>
  <c r="G1158" i="4"/>
  <c r="F1159" i="4"/>
  <c r="G1158" i="3"/>
  <c r="I1158" i="3"/>
  <c r="F1159" i="3"/>
  <c r="G1159" i="4" l="1"/>
  <c r="I1159" i="4"/>
  <c r="F1160" i="4"/>
  <c r="I1159" i="3"/>
  <c r="G1159" i="3"/>
  <c r="F1160" i="3"/>
  <c r="I1160" i="4" l="1"/>
  <c r="G1160" i="4"/>
  <c r="F1161" i="4"/>
  <c r="G1160" i="3"/>
  <c r="I1160" i="3"/>
  <c r="F1161" i="3"/>
  <c r="G1161" i="4" l="1"/>
  <c r="I1161" i="4"/>
  <c r="F1162" i="4"/>
  <c r="I1161" i="3"/>
  <c r="G1161" i="3"/>
  <c r="F1162" i="3"/>
  <c r="I1162" i="4" l="1"/>
  <c r="G1162" i="4"/>
  <c r="F1163" i="4"/>
  <c r="G1162" i="3"/>
  <c r="I1162" i="3"/>
  <c r="F1163" i="3"/>
  <c r="G1163" i="4" l="1"/>
  <c r="I1163" i="4"/>
  <c r="F1164" i="4"/>
  <c r="I1163" i="3"/>
  <c r="G1163" i="3"/>
  <c r="F1164" i="3"/>
  <c r="I1164" i="4" l="1"/>
  <c r="G1164" i="4"/>
  <c r="F1165" i="4"/>
  <c r="G1164" i="3"/>
  <c r="I1164" i="3"/>
  <c r="F1165" i="3"/>
  <c r="G1165" i="4" l="1"/>
  <c r="I1165" i="4"/>
  <c r="F1166" i="4"/>
  <c r="I1165" i="3"/>
  <c r="G1165" i="3"/>
  <c r="F1166" i="3"/>
  <c r="I1166" i="4" l="1"/>
  <c r="G1166" i="4"/>
  <c r="F1167" i="4"/>
  <c r="G1166" i="3"/>
  <c r="I1166" i="3"/>
  <c r="F1167" i="3"/>
  <c r="G1167" i="4" l="1"/>
  <c r="I1167" i="4"/>
  <c r="F1168" i="4"/>
  <c r="I1167" i="3"/>
  <c r="G1167" i="3"/>
  <c r="F1168" i="3"/>
  <c r="I1168" i="4" l="1"/>
  <c r="G1168" i="4"/>
  <c r="F1169" i="4"/>
  <c r="G1168" i="3"/>
  <c r="I1168" i="3"/>
  <c r="F1169" i="3"/>
  <c r="G1169" i="4" l="1"/>
  <c r="I1169" i="4"/>
  <c r="F1170" i="4"/>
  <c r="I1169" i="3"/>
  <c r="G1169" i="3"/>
  <c r="F1170" i="3"/>
  <c r="I1170" i="4" l="1"/>
  <c r="G1170" i="4"/>
  <c r="F1171" i="4"/>
  <c r="G1170" i="3"/>
  <c r="I1170" i="3"/>
  <c r="F1171" i="3"/>
  <c r="G1171" i="4" l="1"/>
  <c r="I1171" i="4"/>
  <c r="F1172" i="4"/>
  <c r="I1171" i="3"/>
  <c r="G1171" i="3"/>
  <c r="F1172" i="3"/>
  <c r="I1172" i="4" l="1"/>
  <c r="G1172" i="4"/>
  <c r="F1173" i="4"/>
  <c r="G1172" i="3"/>
  <c r="I1172" i="3"/>
  <c r="F1173" i="3"/>
  <c r="G1173" i="4" l="1"/>
  <c r="I1173" i="4"/>
  <c r="F1174" i="4"/>
  <c r="I1173" i="3"/>
  <c r="G1173" i="3"/>
  <c r="F1174" i="3"/>
  <c r="I1174" i="4" l="1"/>
  <c r="G1174" i="4"/>
  <c r="F1175" i="4"/>
  <c r="G1174" i="3"/>
  <c r="I1174" i="3"/>
  <c r="F1175" i="3"/>
  <c r="G1175" i="4" l="1"/>
  <c r="I1175" i="4"/>
  <c r="F1176" i="4"/>
  <c r="I1175" i="3"/>
  <c r="G1175" i="3"/>
  <c r="F1176" i="3"/>
  <c r="I1176" i="4" l="1"/>
  <c r="G1176" i="4"/>
  <c r="F1177" i="4"/>
  <c r="G1176" i="3"/>
  <c r="I1176" i="3"/>
  <c r="F1177" i="3"/>
  <c r="G1177" i="4" l="1"/>
  <c r="I1177" i="4"/>
  <c r="F1178" i="4"/>
  <c r="I1177" i="3"/>
  <c r="G1177" i="3"/>
  <c r="F1178" i="3"/>
  <c r="I1178" i="4" l="1"/>
  <c r="G1178" i="4"/>
  <c r="F1179" i="4"/>
  <c r="G1178" i="3"/>
  <c r="I1178" i="3"/>
  <c r="F1179" i="3"/>
  <c r="G1179" i="4" l="1"/>
  <c r="I1179" i="4"/>
  <c r="F1180" i="4"/>
  <c r="I1179" i="3"/>
  <c r="G1179" i="3"/>
  <c r="F1180" i="3"/>
  <c r="I1180" i="4" l="1"/>
  <c r="G1180" i="4"/>
  <c r="F1181" i="4"/>
  <c r="G1180" i="3"/>
  <c r="I1180" i="3"/>
  <c r="F1181" i="3"/>
  <c r="G1181" i="4" l="1"/>
  <c r="I1181" i="4"/>
  <c r="F1182" i="4"/>
  <c r="I1181" i="3"/>
  <c r="G1181" i="3"/>
  <c r="F1182" i="3"/>
  <c r="I1182" i="4" l="1"/>
  <c r="G1182" i="4"/>
  <c r="F1183" i="4"/>
  <c r="G1182" i="3"/>
  <c r="I1182" i="3"/>
  <c r="F1183" i="3"/>
  <c r="G1183" i="4" l="1"/>
  <c r="I1183" i="4"/>
  <c r="F1184" i="4"/>
  <c r="I1183" i="3"/>
  <c r="G1183" i="3"/>
  <c r="F1184" i="3"/>
  <c r="I1184" i="4" l="1"/>
  <c r="G1184" i="4"/>
  <c r="F1185" i="4"/>
  <c r="G1184" i="3"/>
  <c r="I1184" i="3"/>
  <c r="F1185" i="3"/>
  <c r="G1185" i="4" l="1"/>
  <c r="I1185" i="4"/>
  <c r="F1186" i="4"/>
  <c r="I1185" i="3"/>
  <c r="G1185" i="3"/>
  <c r="F1186" i="3"/>
  <c r="I1186" i="4" l="1"/>
  <c r="G1186" i="4"/>
  <c r="F1187" i="4"/>
  <c r="G1186" i="3"/>
  <c r="I1186" i="3"/>
  <c r="F1187" i="3"/>
  <c r="G1187" i="4" l="1"/>
  <c r="I1187" i="4"/>
  <c r="F1188" i="4"/>
  <c r="I1187" i="3"/>
  <c r="G1187" i="3"/>
  <c r="F1188" i="3"/>
  <c r="I1188" i="4" l="1"/>
  <c r="G1188" i="4"/>
  <c r="F1189" i="4"/>
  <c r="G1188" i="3"/>
  <c r="I1188" i="3"/>
  <c r="F1189" i="3"/>
  <c r="G1189" i="4" l="1"/>
  <c r="I1189" i="4"/>
  <c r="F1190" i="4"/>
  <c r="I1189" i="3"/>
  <c r="G1189" i="3"/>
  <c r="F1190" i="3"/>
  <c r="I1190" i="4" l="1"/>
  <c r="G1190" i="4"/>
  <c r="F1191" i="4"/>
  <c r="G1190" i="3"/>
  <c r="I1190" i="3"/>
  <c r="F1191" i="3"/>
  <c r="G1191" i="4" l="1"/>
  <c r="I1191" i="4"/>
  <c r="F1192" i="4"/>
  <c r="I1191" i="3"/>
  <c r="G1191" i="3"/>
  <c r="F1192" i="3"/>
  <c r="G1192" i="4" l="1"/>
  <c r="I1192" i="4"/>
  <c r="F1193" i="4"/>
  <c r="G1192" i="3"/>
  <c r="I1192" i="3"/>
  <c r="F1193" i="3"/>
  <c r="I1193" i="4" l="1"/>
  <c r="G1193" i="4"/>
  <c r="F1194" i="4"/>
  <c r="I1193" i="3"/>
  <c r="G1193" i="3"/>
  <c r="F1194" i="3"/>
  <c r="G1194" i="4" l="1"/>
  <c r="I1194" i="4"/>
  <c r="F1195" i="4"/>
  <c r="G1194" i="3"/>
  <c r="I1194" i="3"/>
  <c r="F1195" i="3"/>
  <c r="I1195" i="4" l="1"/>
  <c r="G1195" i="4"/>
  <c r="F1196" i="4"/>
  <c r="I1195" i="3"/>
  <c r="G1195" i="3"/>
  <c r="F1196" i="3"/>
  <c r="G1196" i="4" l="1"/>
  <c r="I1196" i="4"/>
  <c r="F1197" i="4"/>
  <c r="G1196" i="3"/>
  <c r="I1196" i="3"/>
  <c r="F1197" i="3"/>
  <c r="I1197" i="4" l="1"/>
  <c r="G1197" i="4"/>
  <c r="F1198" i="4"/>
  <c r="I1197" i="3"/>
  <c r="G1197" i="3"/>
  <c r="F1198" i="3"/>
  <c r="G1198" i="4" l="1"/>
  <c r="I1198" i="4"/>
  <c r="F1199" i="4"/>
  <c r="G1198" i="3"/>
  <c r="I1198" i="3"/>
  <c r="F1199" i="3"/>
  <c r="I1199" i="4" l="1"/>
  <c r="G1199" i="4"/>
  <c r="F1200" i="4"/>
  <c r="I1199" i="3"/>
  <c r="G1199" i="3"/>
  <c r="F1200" i="3"/>
  <c r="G1200" i="4" l="1"/>
  <c r="I1200" i="4"/>
  <c r="F1201" i="4"/>
  <c r="G1200" i="3"/>
  <c r="I1200" i="3"/>
  <c r="F1201" i="3"/>
  <c r="I1201" i="4" l="1"/>
  <c r="G1201" i="4"/>
  <c r="F1202" i="4"/>
  <c r="I1201" i="3"/>
  <c r="G1201" i="3"/>
  <c r="F1202" i="3"/>
  <c r="G1202" i="4" l="1"/>
  <c r="I1202" i="4"/>
  <c r="F1203" i="4"/>
  <c r="G1202" i="3"/>
  <c r="I1202" i="3"/>
  <c r="F1203" i="3"/>
  <c r="I1203" i="4" l="1"/>
  <c r="G1203" i="4"/>
  <c r="F1204" i="4"/>
  <c r="I1203" i="3"/>
  <c r="G1203" i="3"/>
  <c r="F1204" i="3"/>
  <c r="G1204" i="4" l="1"/>
  <c r="I1204" i="4"/>
  <c r="F1205" i="4"/>
  <c r="G1204" i="3"/>
  <c r="I1204" i="3"/>
  <c r="F1205" i="3"/>
  <c r="I1205" i="4" l="1"/>
  <c r="G1205" i="4"/>
  <c r="F1206" i="4"/>
  <c r="I1205" i="3"/>
  <c r="G1205" i="3"/>
  <c r="F1206" i="3"/>
  <c r="G1206" i="4" l="1"/>
  <c r="I1206" i="4"/>
  <c r="F1207" i="4"/>
  <c r="G1206" i="3"/>
  <c r="I1206" i="3"/>
  <c r="F1207" i="3"/>
  <c r="I1207" i="4" l="1"/>
  <c r="G1207" i="4"/>
  <c r="F1208" i="4"/>
  <c r="I1207" i="3"/>
  <c r="G1207" i="3"/>
  <c r="F1208" i="3"/>
  <c r="G1208" i="4" l="1"/>
  <c r="I1208" i="4"/>
  <c r="F1209" i="4"/>
  <c r="G1208" i="3"/>
  <c r="I1208" i="3"/>
  <c r="F1209" i="3"/>
  <c r="I1209" i="4" l="1"/>
  <c r="G1209" i="4"/>
  <c r="F1210" i="4"/>
  <c r="I1209" i="3"/>
  <c r="G1209" i="3"/>
  <c r="F1210" i="3"/>
  <c r="G1210" i="4" l="1"/>
  <c r="I1210" i="4"/>
  <c r="F1211" i="4"/>
  <c r="G1210" i="3"/>
  <c r="I1210" i="3"/>
  <c r="F1211" i="3"/>
  <c r="I1211" i="4" l="1"/>
  <c r="G1211" i="4"/>
  <c r="F1212" i="4"/>
  <c r="I1211" i="3"/>
  <c r="G1211" i="3"/>
  <c r="F1212" i="3"/>
  <c r="G1212" i="4" l="1"/>
  <c r="I1212" i="4"/>
  <c r="F1213" i="4"/>
  <c r="G1212" i="3"/>
  <c r="I1212" i="3"/>
  <c r="F1213" i="3"/>
  <c r="I1213" i="4" l="1"/>
  <c r="G1213" i="4"/>
  <c r="F1214" i="4"/>
  <c r="I1213" i="3"/>
  <c r="G1213" i="3"/>
  <c r="F1214" i="3"/>
  <c r="G1214" i="4" l="1"/>
  <c r="I1214" i="4"/>
  <c r="F1215" i="4"/>
  <c r="G1214" i="3"/>
  <c r="I1214" i="3"/>
  <c r="F1215" i="3"/>
  <c r="I1215" i="4" l="1"/>
  <c r="G1215" i="4"/>
  <c r="F1216" i="4"/>
  <c r="I1215" i="3"/>
  <c r="G1215" i="3"/>
  <c r="F1216" i="3"/>
  <c r="G1216" i="4" l="1"/>
  <c r="I1216" i="4"/>
  <c r="F1217" i="4"/>
  <c r="G1216" i="3"/>
  <c r="I1216" i="3"/>
  <c r="F1217" i="3"/>
  <c r="I1217" i="4" l="1"/>
  <c r="G1217" i="4"/>
  <c r="F1218" i="4"/>
  <c r="I1217" i="3"/>
  <c r="G1217" i="3"/>
  <c r="F1218" i="3"/>
  <c r="G1218" i="4" l="1"/>
  <c r="I1218" i="4"/>
  <c r="F1219" i="4"/>
  <c r="G1218" i="3"/>
  <c r="I1218" i="3"/>
  <c r="F1219" i="3"/>
  <c r="I1219" i="4" l="1"/>
  <c r="G1219" i="4"/>
  <c r="F1220" i="4"/>
  <c r="I1219" i="3"/>
  <c r="G1219" i="3"/>
  <c r="F1220" i="3"/>
  <c r="G1220" i="4" l="1"/>
  <c r="I1220" i="4"/>
  <c r="F1221" i="4"/>
  <c r="G1220" i="3"/>
  <c r="I1220" i="3"/>
  <c r="F1221" i="3"/>
  <c r="I1221" i="4" l="1"/>
  <c r="G1221" i="4"/>
  <c r="F1222" i="4"/>
  <c r="I1221" i="3"/>
  <c r="G1221" i="3"/>
  <c r="F1222" i="3"/>
  <c r="G1222" i="4" l="1"/>
  <c r="I1222" i="4"/>
  <c r="F1223" i="4"/>
  <c r="G1222" i="3"/>
  <c r="I1222" i="3"/>
  <c r="F1223" i="3"/>
  <c r="I1223" i="4" l="1"/>
  <c r="G1223" i="4"/>
  <c r="F1224" i="4"/>
  <c r="I1223" i="3"/>
  <c r="G1223" i="3"/>
  <c r="F1224" i="3"/>
  <c r="G1224" i="4" l="1"/>
  <c r="I1224" i="4"/>
  <c r="F1225" i="4"/>
  <c r="G1224" i="3"/>
  <c r="I1224" i="3"/>
  <c r="F1225" i="3"/>
  <c r="I1225" i="4" l="1"/>
  <c r="G1225" i="4"/>
  <c r="F1226" i="4"/>
  <c r="I1225" i="3"/>
  <c r="G1225" i="3"/>
  <c r="F1226" i="3"/>
  <c r="G1226" i="4" l="1"/>
  <c r="I1226" i="4"/>
  <c r="F1227" i="4"/>
  <c r="G1226" i="3"/>
  <c r="I1226" i="3"/>
  <c r="F1227" i="3"/>
  <c r="I1227" i="4" l="1"/>
  <c r="G1227" i="4"/>
  <c r="F1228" i="4"/>
  <c r="I1227" i="3"/>
  <c r="G1227" i="3"/>
  <c r="F1228" i="3"/>
  <c r="G1228" i="4" l="1"/>
  <c r="I1228" i="4"/>
  <c r="F1229" i="4"/>
  <c r="G1228" i="3"/>
  <c r="I1228" i="3"/>
  <c r="F1229" i="3"/>
  <c r="I1229" i="4" l="1"/>
  <c r="G1229" i="4"/>
  <c r="F1230" i="4"/>
  <c r="I1229" i="3"/>
  <c r="G1229" i="3"/>
  <c r="F1230" i="3"/>
  <c r="G1230" i="4" l="1"/>
  <c r="I1230" i="4"/>
  <c r="F1231" i="4"/>
  <c r="G1230" i="3"/>
  <c r="I1230" i="3"/>
  <c r="F1231" i="3"/>
  <c r="I1231" i="4" l="1"/>
  <c r="G1231" i="4"/>
  <c r="F1232" i="4"/>
  <c r="I1231" i="3"/>
  <c r="G1231" i="3"/>
  <c r="F1232" i="3"/>
  <c r="G1232" i="4" l="1"/>
  <c r="I1232" i="4"/>
  <c r="F1233" i="4"/>
  <c r="G1232" i="3"/>
  <c r="I1232" i="3"/>
  <c r="F1233" i="3"/>
  <c r="I1233" i="4" l="1"/>
  <c r="G1233" i="4"/>
  <c r="F1234" i="4"/>
  <c r="I1233" i="3"/>
  <c r="G1233" i="3"/>
  <c r="F1234" i="3"/>
  <c r="G1234" i="4" l="1"/>
  <c r="I1234" i="4"/>
  <c r="F1235" i="4"/>
  <c r="G1234" i="3"/>
  <c r="I1234" i="3"/>
  <c r="F1235" i="3"/>
  <c r="I1235" i="4" l="1"/>
  <c r="G1235" i="4"/>
  <c r="F1236" i="4"/>
  <c r="I1235" i="3"/>
  <c r="G1235" i="3"/>
  <c r="F1236" i="3"/>
  <c r="G1236" i="4" l="1"/>
  <c r="I1236" i="4"/>
  <c r="F1237" i="4"/>
  <c r="G1236" i="3"/>
  <c r="I1236" i="3"/>
  <c r="F1237" i="3"/>
  <c r="I1237" i="4" l="1"/>
  <c r="G1237" i="4"/>
  <c r="F1238" i="4"/>
  <c r="I1237" i="3"/>
  <c r="G1237" i="3"/>
  <c r="F1238" i="3"/>
  <c r="G1238" i="4" l="1"/>
  <c r="I1238" i="4"/>
  <c r="F1239" i="4"/>
  <c r="G1238" i="3"/>
  <c r="I1238" i="3"/>
  <c r="F1239" i="3"/>
  <c r="I1239" i="4" l="1"/>
  <c r="G1239" i="4"/>
  <c r="F1240" i="4"/>
  <c r="I1239" i="3"/>
  <c r="G1239" i="3"/>
  <c r="F1240" i="3"/>
  <c r="G1240" i="4" l="1"/>
  <c r="I1240" i="4"/>
  <c r="F1241" i="4"/>
  <c r="G1240" i="3"/>
  <c r="I1240" i="3"/>
  <c r="F1241" i="3"/>
  <c r="I1241" i="4" l="1"/>
  <c r="G1241" i="4"/>
  <c r="F1242" i="4"/>
  <c r="I1241" i="3"/>
  <c r="G1241" i="3"/>
  <c r="F1242" i="3"/>
  <c r="G1242" i="4" l="1"/>
  <c r="I1242" i="4"/>
  <c r="F1243" i="4"/>
  <c r="G1242" i="3"/>
  <c r="I1242" i="3"/>
  <c r="F1243" i="3"/>
  <c r="I1243" i="4" l="1"/>
  <c r="G1243" i="4"/>
  <c r="F1244" i="4"/>
  <c r="I1243" i="3"/>
  <c r="G1243" i="3"/>
  <c r="F1244" i="3"/>
  <c r="G1244" i="4" l="1"/>
  <c r="I1244" i="4"/>
  <c r="F1245" i="4"/>
  <c r="G1244" i="3"/>
  <c r="I1244" i="3"/>
  <c r="F1245" i="3"/>
  <c r="I1245" i="4" l="1"/>
  <c r="G1245" i="4"/>
  <c r="F1246" i="4"/>
  <c r="I1245" i="3"/>
  <c r="G1245" i="3"/>
  <c r="F1246" i="3"/>
  <c r="G1246" i="4" l="1"/>
  <c r="I1246" i="4"/>
  <c r="F1247" i="4"/>
  <c r="G1246" i="3"/>
  <c r="I1246" i="3"/>
  <c r="F1247" i="3"/>
  <c r="I1247" i="4" l="1"/>
  <c r="G1247" i="4"/>
  <c r="F1248" i="4"/>
  <c r="I1247" i="3"/>
  <c r="G1247" i="3"/>
  <c r="F1248" i="3"/>
  <c r="G1248" i="4" l="1"/>
  <c r="I1248" i="4"/>
  <c r="F1249" i="4"/>
  <c r="G1248" i="3"/>
  <c r="I1248" i="3"/>
  <c r="F1249" i="3"/>
  <c r="I1249" i="4" l="1"/>
  <c r="G1249" i="4"/>
  <c r="F1250" i="4"/>
  <c r="I1249" i="3"/>
  <c r="G1249" i="3"/>
  <c r="F1250" i="3"/>
  <c r="G1250" i="4" l="1"/>
  <c r="I1250" i="4"/>
  <c r="F1251" i="4"/>
  <c r="G1250" i="3"/>
  <c r="I1250" i="3"/>
  <c r="F1251" i="3"/>
  <c r="I1251" i="4" l="1"/>
  <c r="G1251" i="4"/>
  <c r="F1252" i="4"/>
  <c r="I1251" i="3"/>
  <c r="G1251" i="3"/>
  <c r="F1252" i="3"/>
  <c r="G1252" i="4" l="1"/>
  <c r="I1252" i="4"/>
  <c r="F1253" i="4"/>
  <c r="G1252" i="3"/>
  <c r="I1252" i="3"/>
  <c r="F1253" i="3"/>
  <c r="I1253" i="4" l="1"/>
  <c r="G1253" i="4"/>
  <c r="F1254" i="4"/>
  <c r="I1253" i="3"/>
  <c r="G1253" i="3"/>
  <c r="F1254" i="3"/>
  <c r="G1254" i="4" l="1"/>
  <c r="I1254" i="4"/>
  <c r="F1255" i="4"/>
  <c r="G1254" i="3"/>
  <c r="I1254" i="3"/>
  <c r="F1255" i="3"/>
  <c r="I1255" i="4" l="1"/>
  <c r="G1255" i="4"/>
  <c r="F1256" i="4"/>
  <c r="I1255" i="3"/>
  <c r="G1255" i="3"/>
  <c r="F1256" i="3"/>
  <c r="G1256" i="4" l="1"/>
  <c r="I1256" i="4"/>
  <c r="F1257" i="4"/>
  <c r="G1256" i="3"/>
  <c r="I1256" i="3"/>
  <c r="F1257" i="3"/>
  <c r="I1257" i="4" l="1"/>
  <c r="G1257" i="4"/>
  <c r="F1258" i="4"/>
  <c r="I1257" i="3"/>
  <c r="G1257" i="3"/>
  <c r="F1258" i="3"/>
  <c r="G1258" i="4" l="1"/>
  <c r="I1258" i="4"/>
  <c r="F1259" i="4"/>
  <c r="G1258" i="3"/>
  <c r="I1258" i="3"/>
  <c r="F1259" i="3"/>
  <c r="I1259" i="4" l="1"/>
  <c r="G1259" i="4"/>
  <c r="F1260" i="4"/>
  <c r="I1259" i="3"/>
  <c r="G1259" i="3"/>
  <c r="F1260" i="3"/>
  <c r="G1260" i="4" l="1"/>
  <c r="I1260" i="4"/>
  <c r="F1261" i="4"/>
  <c r="G1260" i="3"/>
  <c r="I1260" i="3"/>
  <c r="F1261" i="3"/>
  <c r="I1261" i="4" l="1"/>
  <c r="G1261" i="4"/>
  <c r="F1262" i="4"/>
  <c r="I1261" i="3"/>
  <c r="G1261" i="3"/>
  <c r="F1262" i="3"/>
  <c r="G1262" i="4" l="1"/>
  <c r="I1262" i="4"/>
  <c r="F1263" i="4"/>
  <c r="G1262" i="3"/>
  <c r="I1262" i="3"/>
  <c r="F1263" i="3"/>
  <c r="I1263" i="4" l="1"/>
  <c r="G1263" i="4"/>
  <c r="F1264" i="4"/>
  <c r="I1263" i="3"/>
  <c r="G1263" i="3"/>
  <c r="F1264" i="3"/>
  <c r="G1264" i="4" l="1"/>
  <c r="I1264" i="4"/>
  <c r="F1265" i="4"/>
  <c r="G1264" i="3"/>
  <c r="I1264" i="3"/>
  <c r="F1265" i="3"/>
  <c r="I1265" i="4" l="1"/>
  <c r="G1265" i="4"/>
  <c r="F1266" i="4"/>
  <c r="I1265" i="3"/>
  <c r="G1265" i="3"/>
  <c r="F1266" i="3"/>
  <c r="G1266" i="4" l="1"/>
  <c r="I1266" i="4"/>
  <c r="F1267" i="4"/>
  <c r="G1266" i="3"/>
  <c r="I1266" i="3"/>
  <c r="F1267" i="3"/>
  <c r="I1267" i="4" l="1"/>
  <c r="G1267" i="4"/>
  <c r="F1268" i="4"/>
  <c r="I1267" i="3"/>
  <c r="G1267" i="3"/>
  <c r="F1268" i="3"/>
  <c r="G1268" i="4" l="1"/>
  <c r="I1268" i="4"/>
  <c r="F1269" i="4"/>
  <c r="G1268" i="3"/>
  <c r="I1268" i="3"/>
  <c r="F1269" i="3"/>
  <c r="I1269" i="4" l="1"/>
  <c r="G1269" i="4"/>
  <c r="F1270" i="4"/>
  <c r="I1269" i="3"/>
  <c r="G1269" i="3"/>
  <c r="F1270" i="3"/>
  <c r="G1270" i="4" l="1"/>
  <c r="I1270" i="4"/>
  <c r="F1271" i="4"/>
  <c r="G1270" i="3"/>
  <c r="I1270" i="3"/>
  <c r="F1271" i="3"/>
  <c r="I1271" i="4" l="1"/>
  <c r="G1271" i="4"/>
  <c r="F1272" i="4"/>
  <c r="I1271" i="3"/>
  <c r="G1271" i="3"/>
  <c r="F1272" i="3"/>
  <c r="G1272" i="4" l="1"/>
  <c r="I1272" i="4"/>
  <c r="F1273" i="4"/>
  <c r="G1272" i="3"/>
  <c r="I1272" i="3"/>
  <c r="F1273" i="3"/>
  <c r="I1273" i="4" l="1"/>
  <c r="G1273" i="4"/>
  <c r="F1274" i="4"/>
  <c r="I1273" i="3"/>
  <c r="G1273" i="3"/>
  <c r="F1274" i="3"/>
  <c r="G1274" i="4" l="1"/>
  <c r="I1274" i="4"/>
  <c r="F1275" i="4"/>
  <c r="G1274" i="3"/>
  <c r="I1274" i="3"/>
  <c r="F1275" i="3"/>
  <c r="I1275" i="4" l="1"/>
  <c r="G1275" i="4"/>
  <c r="F1276" i="4"/>
  <c r="I1275" i="3"/>
  <c r="G1275" i="3"/>
  <c r="F1276" i="3"/>
  <c r="G1276" i="4" l="1"/>
  <c r="I1276" i="4"/>
  <c r="F1277" i="4"/>
  <c r="G1276" i="3"/>
  <c r="I1276" i="3"/>
  <c r="F1277" i="3"/>
  <c r="I1277" i="4" l="1"/>
  <c r="G1277" i="4"/>
  <c r="F1278" i="4"/>
  <c r="I1277" i="3"/>
  <c r="G1277" i="3"/>
  <c r="F1278" i="3"/>
  <c r="G1278" i="4" l="1"/>
  <c r="I1278" i="4"/>
  <c r="F1279" i="4"/>
  <c r="G1278" i="3"/>
  <c r="I1278" i="3"/>
  <c r="F1279" i="3"/>
  <c r="I1279" i="4" l="1"/>
  <c r="G1279" i="4"/>
  <c r="F1280" i="4"/>
  <c r="I1279" i="3"/>
  <c r="G1279" i="3"/>
  <c r="F1280" i="3"/>
  <c r="G1280" i="4" l="1"/>
  <c r="I1280" i="4"/>
  <c r="F1281" i="4"/>
  <c r="G1280" i="3"/>
  <c r="I1280" i="3"/>
  <c r="F1281" i="3"/>
  <c r="I1281" i="4" l="1"/>
  <c r="G1281" i="4"/>
  <c r="F1282" i="4"/>
  <c r="I1281" i="3"/>
  <c r="G1281" i="3"/>
  <c r="F1282" i="3"/>
  <c r="G1282" i="4" l="1"/>
  <c r="I1282" i="4"/>
  <c r="F1283" i="4"/>
  <c r="G1282" i="3"/>
  <c r="I1282" i="3"/>
  <c r="F1283" i="3"/>
  <c r="I1283" i="4" l="1"/>
  <c r="G1283" i="4"/>
  <c r="F1284" i="4"/>
  <c r="I1283" i="3"/>
  <c r="G1283" i="3"/>
  <c r="F1284" i="3"/>
  <c r="G1284" i="4" l="1"/>
  <c r="I1284" i="4"/>
  <c r="F1285" i="4"/>
  <c r="G1284" i="3"/>
  <c r="I1284" i="3"/>
  <c r="F1285" i="3"/>
  <c r="I1285" i="4" l="1"/>
  <c r="G1285" i="4"/>
  <c r="F1286" i="4"/>
  <c r="I1285" i="3"/>
  <c r="G1285" i="3"/>
  <c r="F1286" i="3"/>
  <c r="G1286" i="4" l="1"/>
  <c r="I1286" i="4"/>
  <c r="F1287" i="4"/>
  <c r="G1286" i="3"/>
  <c r="I1286" i="3"/>
  <c r="F1287" i="3"/>
  <c r="I1287" i="4" l="1"/>
  <c r="G1287" i="4"/>
  <c r="F1288" i="4"/>
  <c r="I1287" i="3"/>
  <c r="G1287" i="3"/>
  <c r="F1288" i="3"/>
  <c r="G1288" i="4" l="1"/>
  <c r="I1288" i="4"/>
  <c r="F1289" i="4"/>
  <c r="G1288" i="3"/>
  <c r="I1288" i="3"/>
  <c r="F1289" i="3"/>
  <c r="G1289" i="4" l="1"/>
  <c r="I1289" i="4"/>
  <c r="F1290" i="4"/>
  <c r="I1289" i="3"/>
  <c r="G1289" i="3"/>
  <c r="F1290" i="3"/>
  <c r="I1290" i="4" l="1"/>
  <c r="G1290" i="4"/>
  <c r="F1291" i="4"/>
  <c r="G1290" i="3"/>
  <c r="I1290" i="3"/>
  <c r="F1291" i="3"/>
  <c r="G1291" i="4" l="1"/>
  <c r="I1291" i="4"/>
  <c r="F1292" i="4"/>
  <c r="I1291" i="3"/>
  <c r="G1291" i="3"/>
  <c r="F1292" i="3"/>
  <c r="I1292" i="4" l="1"/>
  <c r="G1292" i="4"/>
  <c r="F1293" i="4"/>
  <c r="G1292" i="3"/>
  <c r="I1292" i="3"/>
  <c r="F1293" i="3"/>
  <c r="G1293" i="4" l="1"/>
  <c r="I1293" i="4"/>
  <c r="F1294" i="4"/>
  <c r="I1293" i="3"/>
  <c r="G1293" i="3"/>
  <c r="F1294" i="3"/>
  <c r="I1294" i="4" l="1"/>
  <c r="G1294" i="4"/>
  <c r="F1295" i="4"/>
  <c r="G1294" i="3"/>
  <c r="I1294" i="3"/>
  <c r="F1295" i="3"/>
  <c r="G1295" i="4" l="1"/>
  <c r="I1295" i="4"/>
  <c r="F1296" i="4"/>
  <c r="I1295" i="3"/>
  <c r="G1295" i="3"/>
  <c r="F1296" i="3"/>
  <c r="I1296" i="4" l="1"/>
  <c r="G1296" i="4"/>
  <c r="F1297" i="4"/>
  <c r="G1296" i="3"/>
  <c r="I1296" i="3"/>
  <c r="F1297" i="3"/>
  <c r="G1297" i="4" l="1"/>
  <c r="I1297" i="4"/>
  <c r="F1298" i="4"/>
  <c r="I1297" i="3"/>
  <c r="G1297" i="3"/>
  <c r="F1298" i="3"/>
  <c r="I1298" i="4" l="1"/>
  <c r="G1298" i="4"/>
  <c r="F1299" i="4"/>
  <c r="G1298" i="3"/>
  <c r="I1298" i="3"/>
  <c r="F1299" i="3"/>
  <c r="G1299" i="4" l="1"/>
  <c r="I1299" i="4"/>
  <c r="F1300" i="4"/>
  <c r="I1299" i="3"/>
  <c r="G1299" i="3"/>
  <c r="F1300" i="3"/>
  <c r="I1300" i="4" l="1"/>
  <c r="G1300" i="4"/>
  <c r="F1301" i="4"/>
  <c r="G1300" i="3"/>
  <c r="I1300" i="3"/>
  <c r="F1301" i="3"/>
  <c r="G1301" i="4" l="1"/>
  <c r="I1301" i="4"/>
  <c r="F1302" i="4"/>
  <c r="I1301" i="3"/>
  <c r="G1301" i="3"/>
  <c r="F1302" i="3"/>
  <c r="I1302" i="4" l="1"/>
  <c r="G1302" i="4"/>
  <c r="F1303" i="4"/>
  <c r="G1302" i="3"/>
  <c r="I1302" i="3"/>
  <c r="F1303" i="3"/>
  <c r="G1303" i="4" l="1"/>
  <c r="I1303" i="4"/>
  <c r="F1304" i="4"/>
  <c r="I1303" i="3"/>
  <c r="G1303" i="3"/>
  <c r="F1304" i="3"/>
  <c r="I1304" i="4" l="1"/>
  <c r="G1304" i="4"/>
  <c r="F1305" i="4"/>
  <c r="G1304" i="3"/>
  <c r="I1304" i="3"/>
  <c r="F1305" i="3"/>
  <c r="G1305" i="4" l="1"/>
  <c r="I1305" i="4"/>
  <c r="F1306" i="4"/>
  <c r="I1305" i="3"/>
  <c r="G1305" i="3"/>
  <c r="F1306" i="3"/>
  <c r="I1306" i="4" l="1"/>
  <c r="G1306" i="4"/>
  <c r="F1307" i="4"/>
  <c r="G1306" i="3"/>
  <c r="I1306" i="3"/>
  <c r="F1307" i="3"/>
  <c r="G1307" i="4" l="1"/>
  <c r="I1307" i="4"/>
  <c r="F1308" i="4"/>
  <c r="I1307" i="3"/>
  <c r="G1307" i="3"/>
  <c r="F1308" i="3"/>
  <c r="I1308" i="4" l="1"/>
  <c r="G1308" i="4"/>
  <c r="F1309" i="4"/>
  <c r="I1308" i="3"/>
  <c r="G1308" i="3"/>
  <c r="F1309" i="3"/>
  <c r="G1309" i="4" l="1"/>
  <c r="I1309" i="4"/>
  <c r="F1310" i="4"/>
  <c r="G1309" i="3"/>
  <c r="I1309" i="3"/>
  <c r="F1310" i="3"/>
  <c r="I1310" i="4" l="1"/>
  <c r="G1310" i="4"/>
  <c r="F1311" i="4"/>
  <c r="I1310" i="3"/>
  <c r="G1310" i="3"/>
  <c r="F1311" i="3"/>
  <c r="G1311" i="4" l="1"/>
  <c r="I1311" i="4"/>
  <c r="F1312" i="4"/>
  <c r="G1311" i="3"/>
  <c r="I1311" i="3"/>
  <c r="F1312" i="3"/>
  <c r="I1312" i="4" l="1"/>
  <c r="G1312" i="4"/>
  <c r="F1313" i="4"/>
  <c r="I1312" i="3"/>
  <c r="G1312" i="3"/>
  <c r="F1313" i="3"/>
  <c r="G1313" i="4" l="1"/>
  <c r="I1313" i="4"/>
  <c r="F1314" i="4"/>
  <c r="G1313" i="3"/>
  <c r="I1313" i="3"/>
  <c r="F1314" i="3"/>
  <c r="I1314" i="4" l="1"/>
  <c r="G1314" i="4"/>
  <c r="F1315" i="4"/>
  <c r="I1314" i="3"/>
  <c r="G1314" i="3"/>
  <c r="F1315" i="3"/>
  <c r="G1315" i="4" l="1"/>
  <c r="I1315" i="4"/>
  <c r="F1316" i="4"/>
  <c r="G1315" i="3"/>
  <c r="I1315" i="3"/>
  <c r="F1316" i="3"/>
  <c r="I1316" i="4" l="1"/>
  <c r="G1316" i="4"/>
  <c r="K1" i="4" s="1"/>
  <c r="I1316" i="3"/>
  <c r="G1316" i="3"/>
  <c r="F1317" i="3"/>
  <c r="G1317" i="3" l="1"/>
  <c r="I1317" i="3"/>
  <c r="F1318" i="3"/>
  <c r="I1318" i="3" l="1"/>
  <c r="G1318" i="3"/>
  <c r="F1319" i="3"/>
  <c r="G1319" i="3" l="1"/>
  <c r="I1319" i="3"/>
  <c r="F1320" i="3"/>
  <c r="I1320" i="3" l="1"/>
  <c r="G1320" i="3"/>
  <c r="F1321" i="3"/>
  <c r="G1321" i="3" l="1"/>
  <c r="I1321" i="3"/>
  <c r="F1322" i="3"/>
  <c r="I1322" i="3" l="1"/>
  <c r="G1322" i="3"/>
  <c r="F1323" i="3"/>
  <c r="G1323" i="3" l="1"/>
  <c r="I1323" i="3"/>
  <c r="F1324" i="3"/>
  <c r="I1324" i="3" l="1"/>
  <c r="G1324" i="3"/>
  <c r="F1325" i="3"/>
  <c r="G1325" i="3" l="1"/>
  <c r="I1325" i="3"/>
  <c r="F1326" i="3"/>
  <c r="I1326" i="3" l="1"/>
  <c r="G1326" i="3"/>
  <c r="F1327" i="3"/>
  <c r="G1327" i="3" l="1"/>
  <c r="I1327" i="3"/>
  <c r="F1328" i="3"/>
  <c r="I1328" i="3" l="1"/>
  <c r="G1328" i="3"/>
  <c r="F1329" i="3"/>
  <c r="G1329" i="3" l="1"/>
  <c r="I1329" i="3"/>
  <c r="F1330" i="3"/>
  <c r="I1330" i="3" l="1"/>
  <c r="G1330" i="3"/>
  <c r="F1331" i="3"/>
  <c r="G1331" i="3" l="1"/>
  <c r="I1331" i="3"/>
  <c r="F1332" i="3"/>
  <c r="I1332" i="3" l="1"/>
  <c r="G1332" i="3"/>
  <c r="F1333" i="3"/>
  <c r="G1333" i="3" l="1"/>
  <c r="I1333" i="3"/>
  <c r="F1334" i="3"/>
  <c r="I1334" i="3" l="1"/>
  <c r="G1334" i="3"/>
  <c r="F1335" i="3"/>
  <c r="G1335" i="3" l="1"/>
  <c r="I1335" i="3"/>
  <c r="F1336" i="3"/>
  <c r="I1336" i="3" l="1"/>
  <c r="G1336" i="3"/>
  <c r="F1337" i="3"/>
  <c r="G1337" i="3" l="1"/>
  <c r="I1337" i="3"/>
  <c r="F1338" i="3"/>
  <c r="I1338" i="3" l="1"/>
  <c r="G1338" i="3"/>
  <c r="F1339" i="3"/>
  <c r="G1339" i="3" l="1"/>
  <c r="I1339" i="3"/>
  <c r="F1340" i="3"/>
  <c r="I1340" i="3" l="1"/>
  <c r="G1340" i="3"/>
  <c r="F1341" i="3"/>
  <c r="G1341" i="3" l="1"/>
  <c r="I1341" i="3"/>
  <c r="F1342" i="3"/>
  <c r="I1342" i="3" l="1"/>
  <c r="G1342" i="3"/>
  <c r="F1343" i="3"/>
  <c r="G1343" i="3" l="1"/>
  <c r="I1343" i="3"/>
  <c r="F1344" i="3"/>
  <c r="I1344" i="3" l="1"/>
  <c r="G1344" i="3"/>
  <c r="F1345" i="3"/>
  <c r="G1345" i="3" l="1"/>
  <c r="I1345" i="3"/>
  <c r="F1346" i="3"/>
  <c r="I1346" i="3" l="1"/>
  <c r="G1346" i="3"/>
  <c r="F1347" i="3"/>
  <c r="G1347" i="3" l="1"/>
  <c r="I1347" i="3"/>
  <c r="F1348" i="3"/>
  <c r="I1348" i="3" l="1"/>
  <c r="G1348" i="3"/>
  <c r="F1349" i="3"/>
  <c r="G1349" i="3" l="1"/>
  <c r="I1349" i="3"/>
  <c r="F1350" i="3"/>
  <c r="I1350" i="3" l="1"/>
  <c r="G1350" i="3"/>
  <c r="F1351" i="3"/>
  <c r="G1351" i="3" l="1"/>
  <c r="I1351" i="3"/>
  <c r="F1352" i="3"/>
  <c r="I1352" i="3" l="1"/>
  <c r="G1352" i="3"/>
  <c r="F1353" i="3"/>
  <c r="G1353" i="3" l="1"/>
  <c r="I1353" i="3"/>
  <c r="F1354" i="3"/>
  <c r="I1354" i="3" l="1"/>
  <c r="G1354" i="3"/>
  <c r="F1355" i="3"/>
  <c r="G1355" i="3" l="1"/>
  <c r="I1355" i="3"/>
  <c r="F1356" i="3"/>
  <c r="I1356" i="3" l="1"/>
  <c r="G1356" i="3"/>
  <c r="F1357" i="3"/>
  <c r="G1357" i="3" l="1"/>
  <c r="I1357" i="3"/>
  <c r="F1358" i="3"/>
  <c r="I1358" i="3" l="1"/>
  <c r="G1358" i="3"/>
  <c r="F1359" i="3"/>
  <c r="G1359" i="3" l="1"/>
  <c r="I1359" i="3"/>
  <c r="F1360" i="3"/>
  <c r="I1360" i="3" l="1"/>
  <c r="G1360" i="3"/>
  <c r="F1361" i="3"/>
  <c r="G1361" i="3" l="1"/>
  <c r="I1361" i="3"/>
  <c r="F1362" i="3"/>
  <c r="I1362" i="3" l="1"/>
  <c r="G1362" i="3"/>
  <c r="F1363" i="3"/>
  <c r="G1363" i="3" l="1"/>
  <c r="I1363" i="3"/>
  <c r="F1364" i="3"/>
  <c r="I1364" i="3" l="1"/>
  <c r="G1364" i="3"/>
  <c r="F1365" i="3"/>
  <c r="G1365" i="3" l="1"/>
  <c r="I1365" i="3"/>
  <c r="F1366" i="3"/>
  <c r="I1366" i="3" l="1"/>
  <c r="G1366" i="3"/>
  <c r="F1367" i="3"/>
  <c r="G1367" i="3" l="1"/>
  <c r="I1367" i="3"/>
  <c r="F1368" i="3"/>
  <c r="I1368" i="3" l="1"/>
  <c r="G1368" i="3"/>
  <c r="F1369" i="3"/>
  <c r="G1369" i="3" l="1"/>
  <c r="I1369" i="3"/>
  <c r="F1370" i="3"/>
  <c r="I1370" i="3" l="1"/>
  <c r="G1370" i="3"/>
  <c r="F1371" i="3"/>
  <c r="G1371" i="3" l="1"/>
  <c r="I1371" i="3"/>
  <c r="F1372" i="3"/>
  <c r="I1372" i="3" l="1"/>
  <c r="G1372" i="3"/>
  <c r="F1373" i="3"/>
  <c r="G1373" i="3" l="1"/>
  <c r="I1373" i="3"/>
  <c r="F1374" i="3"/>
  <c r="I1374" i="3" l="1"/>
  <c r="G1374" i="3"/>
  <c r="F1375" i="3"/>
  <c r="G1375" i="3" l="1"/>
  <c r="I1375" i="3"/>
  <c r="F1376" i="3"/>
  <c r="I1376" i="3" l="1"/>
  <c r="G1376" i="3"/>
  <c r="F1377" i="3"/>
  <c r="G1377" i="3" l="1"/>
  <c r="I1377" i="3"/>
  <c r="F1378" i="3"/>
  <c r="I1378" i="3" l="1"/>
  <c r="G1378" i="3"/>
  <c r="F1379" i="3"/>
  <c r="G1379" i="3" l="1"/>
  <c r="I1379" i="3"/>
  <c r="F1380" i="3"/>
  <c r="I1380" i="3" l="1"/>
  <c r="G1380" i="3"/>
  <c r="F1381" i="3"/>
  <c r="G1381" i="3" l="1"/>
  <c r="I1381" i="3"/>
  <c r="F1382" i="3"/>
  <c r="I1382" i="3" l="1"/>
  <c r="G1382" i="3"/>
  <c r="F1383" i="3"/>
  <c r="G1383" i="3" l="1"/>
  <c r="I1383" i="3"/>
  <c r="F1384" i="3"/>
  <c r="I1384" i="3" l="1"/>
  <c r="G1384" i="3"/>
  <c r="F1385" i="3"/>
  <c r="G1385" i="3" l="1"/>
  <c r="I1385" i="3"/>
  <c r="F1386" i="3"/>
  <c r="I1386" i="3" l="1"/>
  <c r="G1386" i="3"/>
  <c r="F1387" i="3"/>
  <c r="G1387" i="3" l="1"/>
  <c r="I1387" i="3"/>
  <c r="F1388" i="3"/>
  <c r="I1388" i="3" l="1"/>
  <c r="G1388" i="3"/>
  <c r="F1389" i="3"/>
  <c r="G1389" i="3" l="1"/>
  <c r="I1389" i="3"/>
  <c r="F1390" i="3"/>
  <c r="I1390" i="3" l="1"/>
  <c r="G1390" i="3"/>
  <c r="F1391" i="3"/>
  <c r="G1391" i="3" l="1"/>
  <c r="I1391" i="3"/>
  <c r="F1392" i="3"/>
  <c r="I1392" i="3" l="1"/>
  <c r="G1392" i="3"/>
  <c r="F1393" i="3"/>
  <c r="G1393" i="3" l="1"/>
  <c r="I1393" i="3"/>
  <c r="F1394" i="3"/>
  <c r="I1394" i="3" l="1"/>
  <c r="G1394" i="3"/>
  <c r="F1395" i="3"/>
  <c r="G1395" i="3" l="1"/>
  <c r="I1395" i="3"/>
  <c r="F1396" i="3"/>
  <c r="I1396" i="3" l="1"/>
  <c r="G1396" i="3"/>
  <c r="F1397" i="3"/>
  <c r="G1397" i="3" l="1"/>
  <c r="I1397" i="3"/>
  <c r="F1398" i="3"/>
  <c r="I1398" i="3" l="1"/>
  <c r="G1398" i="3"/>
  <c r="F1399" i="3"/>
  <c r="G1399" i="3" l="1"/>
  <c r="I1399" i="3"/>
  <c r="F1400" i="3"/>
  <c r="I1400" i="3" l="1"/>
  <c r="G1400" i="3"/>
  <c r="F1401" i="3"/>
  <c r="G1401" i="3" l="1"/>
  <c r="I1401" i="3"/>
  <c r="F1402" i="3"/>
  <c r="I1402" i="3" l="1"/>
  <c r="G1402" i="3"/>
  <c r="F1403" i="3"/>
  <c r="G1403" i="3" l="1"/>
  <c r="I1403" i="3"/>
  <c r="F1404" i="3"/>
  <c r="I1404" i="3" l="1"/>
  <c r="G1404" i="3"/>
  <c r="F1405" i="3"/>
  <c r="G1405" i="3" l="1"/>
  <c r="I1405" i="3"/>
  <c r="F1406" i="3"/>
  <c r="I1406" i="3" l="1"/>
  <c r="G1406" i="3"/>
  <c r="F1407" i="3"/>
  <c r="G1407" i="3" l="1"/>
  <c r="I1407" i="3"/>
  <c r="F1408" i="3"/>
  <c r="I1408" i="3" l="1"/>
  <c r="G1408" i="3"/>
  <c r="F1409" i="3"/>
  <c r="G1409" i="3" l="1"/>
  <c r="I1409" i="3"/>
  <c r="F1410" i="3"/>
  <c r="I1410" i="3" l="1"/>
  <c r="G1410" i="3"/>
  <c r="F1411" i="3"/>
  <c r="G1411" i="3" l="1"/>
  <c r="I1411" i="3"/>
  <c r="F1412" i="3"/>
  <c r="I1412" i="3" l="1"/>
  <c r="G1412" i="3"/>
  <c r="F1413" i="3"/>
  <c r="G1413" i="3" l="1"/>
  <c r="I1413" i="3"/>
  <c r="F1414" i="3"/>
  <c r="I1414" i="3" l="1"/>
  <c r="G1414" i="3"/>
  <c r="F1415" i="3"/>
  <c r="G1415" i="3" l="1"/>
  <c r="I1415" i="3"/>
  <c r="F1416" i="3"/>
  <c r="I1416" i="3" l="1"/>
  <c r="G1416" i="3"/>
  <c r="F1417" i="3"/>
  <c r="G1417" i="3" l="1"/>
  <c r="I1417" i="3"/>
  <c r="F1418" i="3"/>
  <c r="I1418" i="3" l="1"/>
  <c r="G1418" i="3"/>
  <c r="F1419" i="3"/>
  <c r="G1419" i="3" l="1"/>
  <c r="I1419" i="3"/>
  <c r="F1420" i="3"/>
  <c r="I1420" i="3" l="1"/>
  <c r="G1420" i="3"/>
  <c r="F1421" i="3"/>
  <c r="G1421" i="3" l="1"/>
  <c r="I1421" i="3"/>
  <c r="F1422" i="3"/>
  <c r="I1422" i="3" l="1"/>
  <c r="G1422" i="3"/>
  <c r="F1423" i="3"/>
  <c r="G1423" i="3" l="1"/>
  <c r="I1423" i="3"/>
  <c r="F1424" i="3"/>
  <c r="I1424" i="3" l="1"/>
  <c r="G1424" i="3"/>
  <c r="F1425" i="3"/>
  <c r="G1425" i="3" l="1"/>
  <c r="I1425" i="3"/>
  <c r="F1426" i="3"/>
  <c r="I1426" i="3" l="1"/>
  <c r="G1426" i="3"/>
  <c r="F1427" i="3"/>
  <c r="G1427" i="3" l="1"/>
  <c r="I1427" i="3"/>
  <c r="F1428" i="3"/>
  <c r="I1428" i="3" l="1"/>
  <c r="G1428" i="3"/>
  <c r="F1429" i="3"/>
  <c r="G1429" i="3" l="1"/>
  <c r="I1429" i="3"/>
  <c r="F1430" i="3"/>
  <c r="I1430" i="3" l="1"/>
  <c r="G1430" i="3"/>
  <c r="F1431" i="3"/>
  <c r="G1431" i="3" l="1"/>
  <c r="I1431" i="3"/>
  <c r="F1432" i="3"/>
  <c r="I1432" i="3" l="1"/>
  <c r="G1432" i="3"/>
  <c r="F1433" i="3"/>
  <c r="G1433" i="3" l="1"/>
  <c r="I1433" i="3"/>
  <c r="F1434" i="3"/>
  <c r="I1434" i="3" l="1"/>
  <c r="G1434" i="3"/>
  <c r="F1435" i="3"/>
  <c r="G1435" i="3" l="1"/>
  <c r="I1435" i="3"/>
  <c r="F1436" i="3"/>
  <c r="I1436" i="3" l="1"/>
  <c r="G1436" i="3"/>
  <c r="F1437" i="3"/>
  <c r="G1437" i="3" l="1"/>
  <c r="I1437" i="3"/>
  <c r="F1438" i="3"/>
  <c r="I1438" i="3" l="1"/>
  <c r="G1438" i="3"/>
  <c r="F1439" i="3"/>
  <c r="G1439" i="3" l="1"/>
  <c r="I1439" i="3"/>
  <c r="F1440" i="3"/>
  <c r="I1440" i="3" l="1"/>
  <c r="G1440" i="3"/>
  <c r="F1441" i="3"/>
  <c r="G1441" i="3" l="1"/>
  <c r="I1441" i="3"/>
  <c r="F1442" i="3"/>
  <c r="I1442" i="3" l="1"/>
  <c r="G1442" i="3"/>
  <c r="F1443" i="3"/>
  <c r="G1443" i="3" l="1"/>
  <c r="I1443" i="3"/>
  <c r="F1444" i="3"/>
  <c r="I1444" i="3" l="1"/>
  <c r="G1444" i="3"/>
  <c r="F1445" i="3"/>
  <c r="G1445" i="3" l="1"/>
  <c r="I1445" i="3"/>
  <c r="F1446" i="3"/>
  <c r="I1446" i="3" l="1"/>
  <c r="G1446" i="3"/>
  <c r="F1447" i="3"/>
  <c r="G1447" i="3" l="1"/>
  <c r="I1447" i="3"/>
  <c r="F1448" i="3"/>
  <c r="I1448" i="3" l="1"/>
  <c r="G1448" i="3"/>
  <c r="F1449" i="3"/>
  <c r="G1449" i="3" l="1"/>
  <c r="I1449" i="3"/>
  <c r="F1450" i="3"/>
  <c r="I1450" i="3" l="1"/>
  <c r="G1450" i="3"/>
  <c r="F1451" i="3"/>
  <c r="G1451" i="3" l="1"/>
  <c r="I1451" i="3"/>
  <c r="F1452" i="3"/>
  <c r="I1452" i="3" l="1"/>
  <c r="G1452" i="3"/>
  <c r="F1453" i="3"/>
  <c r="G1453" i="3" l="1"/>
  <c r="I1453" i="3"/>
  <c r="F1454" i="3"/>
  <c r="I1454" i="3" l="1"/>
  <c r="G1454" i="3"/>
  <c r="F1455" i="3"/>
  <c r="G1455" i="3" l="1"/>
  <c r="I1455" i="3"/>
  <c r="F1456" i="3"/>
  <c r="I1456" i="3" l="1"/>
  <c r="G1456" i="3"/>
  <c r="F1457" i="3"/>
  <c r="G1457" i="3" l="1"/>
  <c r="I1457" i="3"/>
  <c r="F1458" i="3"/>
  <c r="I1458" i="3" l="1"/>
  <c r="G1458" i="3"/>
  <c r="F1459" i="3"/>
  <c r="G1459" i="3" l="1"/>
  <c r="I1459" i="3"/>
  <c r="F1460" i="3"/>
  <c r="I1460" i="3" l="1"/>
  <c r="G1460" i="3"/>
  <c r="F1461" i="3"/>
  <c r="G1461" i="3" l="1"/>
  <c r="I1461" i="3"/>
  <c r="F1462" i="3"/>
  <c r="I1462" i="3" l="1"/>
  <c r="G1462" i="3"/>
  <c r="F1463" i="3"/>
  <c r="G1463" i="3" l="1"/>
  <c r="I1463" i="3"/>
  <c r="F1464" i="3"/>
  <c r="I1464" i="3" l="1"/>
  <c r="G1464" i="3"/>
  <c r="F1465" i="3"/>
  <c r="G1465" i="3" l="1"/>
  <c r="I1465" i="3"/>
  <c r="F1466" i="3"/>
  <c r="I1466" i="3" l="1"/>
  <c r="G1466" i="3"/>
  <c r="F1467" i="3"/>
  <c r="G1467" i="3" l="1"/>
  <c r="I1467" i="3"/>
  <c r="F1468" i="3"/>
  <c r="I1468" i="3" l="1"/>
  <c r="G1468" i="3"/>
  <c r="F1469" i="3"/>
  <c r="G1469" i="3" l="1"/>
  <c r="I1469" i="3"/>
  <c r="F1470" i="3"/>
  <c r="I1470" i="3" l="1"/>
  <c r="G1470" i="3"/>
  <c r="F1471" i="3"/>
  <c r="G1471" i="3" l="1"/>
  <c r="I1471" i="3"/>
  <c r="F1472" i="3"/>
  <c r="I1472" i="3" l="1"/>
  <c r="G1472" i="3"/>
  <c r="F1473" i="3"/>
  <c r="G1473" i="3" l="1"/>
  <c r="I1473" i="3"/>
  <c r="F1474" i="3"/>
  <c r="I1474" i="3" l="1"/>
  <c r="G1474" i="3"/>
  <c r="F1475" i="3"/>
  <c r="G1475" i="3" l="1"/>
  <c r="I1475" i="3"/>
  <c r="F1476" i="3"/>
  <c r="I1476" i="3" l="1"/>
  <c r="G1476" i="3"/>
  <c r="F1477" i="3"/>
  <c r="G1477" i="3" l="1"/>
  <c r="I1477" i="3"/>
  <c r="F1478" i="3"/>
  <c r="I1478" i="3" l="1"/>
  <c r="G1478" i="3"/>
  <c r="F1479" i="3"/>
  <c r="G1479" i="3" l="1"/>
  <c r="I1479" i="3"/>
  <c r="F1480" i="3"/>
  <c r="I1480" i="3" l="1"/>
  <c r="G1480" i="3"/>
  <c r="F1481" i="3"/>
  <c r="G1481" i="3" l="1"/>
  <c r="I1481" i="3"/>
  <c r="F1482" i="3"/>
  <c r="I1482" i="3" l="1"/>
  <c r="G1482" i="3"/>
  <c r="F1483" i="3"/>
  <c r="G1483" i="3" l="1"/>
  <c r="I1483" i="3"/>
  <c r="F1484" i="3"/>
  <c r="I1484" i="3" l="1"/>
  <c r="G1484" i="3"/>
  <c r="F1485" i="3"/>
  <c r="G1485" i="3" l="1"/>
  <c r="I1485" i="3"/>
  <c r="F1486" i="3"/>
  <c r="I1486" i="3" l="1"/>
  <c r="G1486" i="3"/>
  <c r="F1487" i="3"/>
  <c r="G1487" i="3" l="1"/>
  <c r="I1487" i="3"/>
  <c r="F1488" i="3"/>
  <c r="I1488" i="3" l="1"/>
  <c r="G1488" i="3"/>
  <c r="F1489" i="3"/>
  <c r="G1489" i="3" l="1"/>
  <c r="I1489" i="3"/>
  <c r="F1490" i="3"/>
  <c r="I1490" i="3" l="1"/>
  <c r="G1490" i="3"/>
  <c r="F1491" i="3"/>
  <c r="G1491" i="3" l="1"/>
  <c r="I1491" i="3"/>
  <c r="F1492" i="3"/>
  <c r="I1492" i="3" l="1"/>
  <c r="G1492" i="3"/>
  <c r="F1493" i="3"/>
  <c r="G1493" i="3" l="1"/>
  <c r="I1493" i="3"/>
  <c r="F1494" i="3"/>
  <c r="I1494" i="3" l="1"/>
  <c r="G1494" i="3"/>
  <c r="F1495" i="3"/>
  <c r="G1495" i="3" l="1"/>
  <c r="I1495" i="3"/>
  <c r="F1496" i="3"/>
  <c r="I1496" i="3" l="1"/>
  <c r="G1496" i="3"/>
  <c r="F1497" i="3"/>
  <c r="G1497" i="3" l="1"/>
  <c r="I1497" i="3"/>
  <c r="F1498" i="3"/>
  <c r="I1498" i="3" l="1"/>
  <c r="G1498" i="3"/>
  <c r="F1499" i="3"/>
  <c r="G1499" i="3" l="1"/>
  <c r="I1499" i="3"/>
  <c r="F1500" i="3"/>
  <c r="I1500" i="3" l="1"/>
  <c r="G1500" i="3"/>
  <c r="F1501" i="3"/>
  <c r="G1501" i="3" l="1"/>
  <c r="I1501" i="3"/>
  <c r="F1502" i="3"/>
  <c r="I1502" i="3" l="1"/>
  <c r="G1502" i="3"/>
  <c r="F1503" i="3"/>
  <c r="G1503" i="3" l="1"/>
  <c r="I1503" i="3"/>
  <c r="F1504" i="3"/>
  <c r="I1504" i="3" l="1"/>
  <c r="G1504" i="3"/>
  <c r="F1505" i="3"/>
  <c r="G1505" i="3" l="1"/>
  <c r="I1505" i="3"/>
  <c r="F1506" i="3"/>
  <c r="I1506" i="3" l="1"/>
  <c r="G1506" i="3"/>
  <c r="F1507" i="3"/>
  <c r="G1507" i="3" l="1"/>
  <c r="I1507" i="3"/>
  <c r="F1508" i="3"/>
  <c r="I1508" i="3" l="1"/>
  <c r="G1508" i="3"/>
  <c r="F1509" i="3"/>
  <c r="G1509" i="3" l="1"/>
  <c r="I1509" i="3"/>
  <c r="F1510" i="3"/>
  <c r="I1510" i="3" l="1"/>
  <c r="G1510" i="3"/>
  <c r="F1511" i="3"/>
  <c r="G1511" i="3" l="1"/>
  <c r="I1511" i="3"/>
  <c r="F1512" i="3"/>
  <c r="I1512" i="3" l="1"/>
  <c r="G1512" i="3"/>
  <c r="F1513" i="3"/>
  <c r="G1513" i="3" l="1"/>
  <c r="I1513" i="3"/>
  <c r="F1514" i="3"/>
  <c r="I1514" i="3" l="1"/>
  <c r="G1514" i="3"/>
  <c r="F1515" i="3"/>
  <c r="G1515" i="3" l="1"/>
  <c r="I1515" i="3"/>
  <c r="F1516" i="3"/>
  <c r="I1516" i="3" l="1"/>
  <c r="G1516" i="3"/>
  <c r="F1517" i="3"/>
  <c r="G1517" i="3" l="1"/>
  <c r="I1517" i="3"/>
  <c r="F1518" i="3"/>
  <c r="I1518" i="3" l="1"/>
  <c r="G1518" i="3"/>
  <c r="F1519" i="3"/>
  <c r="G1519" i="3" l="1"/>
  <c r="I1519" i="3"/>
  <c r="F1520" i="3"/>
  <c r="I1520" i="3" l="1"/>
  <c r="G1520" i="3"/>
  <c r="F1521" i="3"/>
  <c r="G1521" i="3" l="1"/>
  <c r="I1521" i="3"/>
  <c r="F1522" i="3"/>
  <c r="I1522" i="3" l="1"/>
  <c r="G1522" i="3"/>
  <c r="F1523" i="3"/>
  <c r="G1523" i="3" l="1"/>
  <c r="I1523" i="3"/>
  <c r="F1524" i="3"/>
  <c r="I1524" i="3" l="1"/>
  <c r="G1524" i="3"/>
  <c r="F1525" i="3"/>
  <c r="G1525" i="3" l="1"/>
  <c r="I1525" i="3"/>
  <c r="F1526" i="3"/>
  <c r="I1526" i="3" l="1"/>
  <c r="G1526" i="3"/>
  <c r="F1527" i="3"/>
  <c r="G1527" i="3" l="1"/>
  <c r="I1527" i="3"/>
  <c r="F1528" i="3"/>
  <c r="I1528" i="3" l="1"/>
  <c r="G1528" i="3"/>
  <c r="F1529" i="3"/>
  <c r="G1529" i="3" l="1"/>
  <c r="I1529" i="3"/>
  <c r="F1530" i="3"/>
  <c r="I1530" i="3" l="1"/>
  <c r="G1530" i="3"/>
  <c r="F1531" i="3"/>
  <c r="G1531" i="3" l="1"/>
  <c r="I1531" i="3"/>
  <c r="F1532" i="3"/>
  <c r="I1532" i="3" l="1"/>
  <c r="G1532" i="3"/>
  <c r="F1533" i="3"/>
  <c r="G1533" i="3" l="1"/>
  <c r="I1533" i="3"/>
  <c r="F1534" i="3"/>
  <c r="I1534" i="3" l="1"/>
  <c r="G1534" i="3"/>
  <c r="F1535" i="3"/>
  <c r="G1535" i="3" l="1"/>
  <c r="I1535" i="3"/>
  <c r="F1536" i="3"/>
  <c r="I1536" i="3" l="1"/>
  <c r="G1536" i="3"/>
  <c r="F1537" i="3"/>
  <c r="G1537" i="3" l="1"/>
  <c r="I1537" i="3"/>
  <c r="F1538" i="3"/>
  <c r="I1538" i="3" l="1"/>
  <c r="G1538" i="3"/>
  <c r="F1539" i="3"/>
  <c r="G1539" i="3" l="1"/>
  <c r="I1539" i="3"/>
  <c r="F1540" i="3"/>
  <c r="I1540" i="3" l="1"/>
  <c r="G1540" i="3"/>
  <c r="F1541" i="3"/>
  <c r="G1541" i="3" l="1"/>
  <c r="I1541" i="3"/>
  <c r="F1542" i="3"/>
  <c r="I1542" i="3" l="1"/>
  <c r="G1542" i="3"/>
  <c r="F1543" i="3"/>
  <c r="G1543" i="3" l="1"/>
  <c r="I1543" i="3"/>
  <c r="F1544" i="3"/>
  <c r="I1544" i="3" l="1"/>
  <c r="G1544" i="3"/>
  <c r="F1545" i="3"/>
  <c r="G1545" i="3" l="1"/>
  <c r="I1545" i="3"/>
  <c r="F1546" i="3"/>
  <c r="I1546" i="3" l="1"/>
  <c r="G1546" i="3"/>
  <c r="F1547" i="3"/>
  <c r="G1547" i="3" l="1"/>
  <c r="I1547" i="3"/>
  <c r="F1548" i="3"/>
  <c r="I1548" i="3" l="1"/>
  <c r="G1548" i="3"/>
  <c r="F1549" i="3"/>
  <c r="G1549" i="3" l="1"/>
  <c r="I1549" i="3"/>
  <c r="F1550" i="3"/>
  <c r="I1550" i="3" l="1"/>
  <c r="G1550" i="3"/>
  <c r="F1551" i="3"/>
  <c r="G1551" i="3" l="1"/>
  <c r="I1551" i="3"/>
  <c r="F1552" i="3"/>
  <c r="I1552" i="3" l="1"/>
  <c r="G1552" i="3"/>
  <c r="F1553" i="3"/>
  <c r="G1553" i="3" l="1"/>
  <c r="I1553" i="3"/>
  <c r="F1554" i="3"/>
  <c r="I1554" i="3" l="1"/>
  <c r="G1554" i="3"/>
  <c r="F1555" i="3"/>
  <c r="G1555" i="3" l="1"/>
  <c r="I1555" i="3"/>
  <c r="F1556" i="3"/>
  <c r="I1556" i="3" l="1"/>
  <c r="G1556" i="3"/>
  <c r="F1557" i="3"/>
  <c r="G1557" i="3" l="1"/>
  <c r="I1557" i="3"/>
  <c r="F1558" i="3"/>
  <c r="I1558" i="3" l="1"/>
  <c r="G1558" i="3"/>
  <c r="F1559" i="3"/>
  <c r="G1559" i="3" l="1"/>
  <c r="I1559" i="3"/>
  <c r="F1560" i="3"/>
  <c r="I1560" i="3" l="1"/>
  <c r="G1560" i="3"/>
  <c r="F1561" i="3"/>
  <c r="G1561" i="3" l="1"/>
  <c r="I1561" i="3"/>
  <c r="F1562" i="3"/>
  <c r="I1562" i="3" l="1"/>
  <c r="G1562" i="3"/>
  <c r="F1563" i="3"/>
  <c r="G1563" i="3" l="1"/>
  <c r="I1563" i="3"/>
  <c r="F1564" i="3"/>
  <c r="I1564" i="3" l="1"/>
  <c r="G1564" i="3"/>
  <c r="F1565" i="3"/>
  <c r="G1565" i="3" l="1"/>
  <c r="I1565" i="3"/>
  <c r="F1566" i="3"/>
  <c r="I1566" i="3" l="1"/>
  <c r="G1566" i="3"/>
  <c r="F1567" i="3"/>
  <c r="G1567" i="3" l="1"/>
  <c r="I1567" i="3"/>
  <c r="F1568" i="3"/>
  <c r="I1568" i="3" l="1"/>
  <c r="G1568" i="3"/>
  <c r="F1569" i="3"/>
  <c r="G1569" i="3" l="1"/>
  <c r="I1569" i="3"/>
  <c r="F1570" i="3"/>
  <c r="I1570" i="3" l="1"/>
  <c r="G1570" i="3"/>
  <c r="F1571" i="3"/>
  <c r="G1571" i="3" l="1"/>
  <c r="I1571" i="3"/>
  <c r="F1572" i="3"/>
  <c r="I1572" i="3" l="1"/>
  <c r="G1572" i="3"/>
  <c r="F1573" i="3"/>
  <c r="G1573" i="3" l="1"/>
  <c r="I1573" i="3"/>
  <c r="F1574" i="3"/>
  <c r="I1574" i="3" l="1"/>
  <c r="G1574" i="3"/>
  <c r="F1575" i="3"/>
  <c r="G1575" i="3" l="1"/>
  <c r="I1575" i="3"/>
  <c r="F1576" i="3"/>
  <c r="I1576" i="3" l="1"/>
  <c r="G1576" i="3"/>
  <c r="F1577" i="3"/>
  <c r="G1577" i="3" l="1"/>
  <c r="I1577" i="3"/>
  <c r="F1578" i="3"/>
  <c r="I1578" i="3" l="1"/>
  <c r="G1578" i="3"/>
  <c r="F1579" i="3"/>
  <c r="G1579" i="3" l="1"/>
  <c r="I1579" i="3"/>
  <c r="F1580" i="3"/>
  <c r="I1580" i="3" l="1"/>
  <c r="G1580" i="3"/>
  <c r="F1581" i="3"/>
  <c r="G1581" i="3" l="1"/>
  <c r="I1581" i="3"/>
  <c r="F1582" i="3"/>
  <c r="I1582" i="3" l="1"/>
  <c r="G1582" i="3"/>
  <c r="F1583" i="3"/>
  <c r="G1583" i="3" l="1"/>
  <c r="I1583" i="3"/>
  <c r="F1584" i="3"/>
  <c r="I1584" i="3" l="1"/>
  <c r="G1584" i="3"/>
  <c r="F1585" i="3"/>
  <c r="G1585" i="3" l="1"/>
  <c r="I1585" i="3"/>
  <c r="F1586" i="3"/>
  <c r="I1586" i="3" l="1"/>
  <c r="G1586" i="3"/>
  <c r="F1587" i="3"/>
  <c r="G1587" i="3" l="1"/>
  <c r="I1587" i="3"/>
  <c r="F1588" i="3"/>
  <c r="I1588" i="3" l="1"/>
  <c r="G1588" i="3"/>
  <c r="F1589" i="3"/>
  <c r="G1589" i="3" l="1"/>
  <c r="I1589" i="3"/>
  <c r="F1590" i="3"/>
  <c r="I1590" i="3" l="1"/>
  <c r="G1590" i="3"/>
  <c r="F1591" i="3"/>
  <c r="G1591" i="3" l="1"/>
  <c r="I1591" i="3"/>
  <c r="F1592" i="3"/>
  <c r="I1592" i="3" l="1"/>
  <c r="G1592" i="3"/>
  <c r="F1593" i="3"/>
  <c r="G1593" i="3" l="1"/>
  <c r="I1593" i="3"/>
  <c r="F1594" i="3"/>
  <c r="I1594" i="3" l="1"/>
  <c r="G1594" i="3"/>
  <c r="F1595" i="3"/>
  <c r="G1595" i="3" l="1"/>
  <c r="I1595" i="3"/>
  <c r="F1596" i="3"/>
  <c r="I1596" i="3" l="1"/>
  <c r="G1596" i="3"/>
  <c r="F1597" i="3"/>
  <c r="G1597" i="3" l="1"/>
  <c r="I1597" i="3"/>
  <c r="F1598" i="3"/>
  <c r="I1598" i="3" l="1"/>
  <c r="G1598" i="3"/>
  <c r="F1599" i="3"/>
  <c r="G1599" i="3" l="1"/>
  <c r="I1599" i="3"/>
  <c r="F1600" i="3"/>
  <c r="I1600" i="3" l="1"/>
  <c r="G1600" i="3"/>
  <c r="F1601" i="3"/>
  <c r="G1601" i="3" l="1"/>
  <c r="I1601" i="3"/>
  <c r="F1602" i="3"/>
  <c r="I1602" i="3" l="1"/>
  <c r="G1602" i="3"/>
  <c r="F1603" i="3"/>
  <c r="G1603" i="3" l="1"/>
  <c r="I1603" i="3"/>
  <c r="F1604" i="3"/>
  <c r="I1604" i="3" l="1"/>
  <c r="G1604" i="3"/>
  <c r="F1605" i="3"/>
  <c r="G1605" i="3" l="1"/>
  <c r="I1605" i="3"/>
  <c r="F1606" i="3"/>
  <c r="I1606" i="3" l="1"/>
  <c r="G1606" i="3"/>
  <c r="F1607" i="3"/>
  <c r="G1607" i="3" l="1"/>
  <c r="I1607" i="3"/>
  <c r="F1608" i="3"/>
  <c r="I1608" i="3" l="1"/>
  <c r="G1608" i="3"/>
  <c r="F1609" i="3"/>
  <c r="G1609" i="3" l="1"/>
  <c r="I1609" i="3"/>
  <c r="F1610" i="3"/>
  <c r="I1610" i="3" l="1"/>
  <c r="G1610" i="3"/>
  <c r="F1611" i="3"/>
  <c r="G1611" i="3" l="1"/>
  <c r="I1611" i="3"/>
  <c r="F1612" i="3"/>
  <c r="I1612" i="3" l="1"/>
  <c r="G1612" i="3"/>
  <c r="F1613" i="3"/>
  <c r="G1613" i="3" l="1"/>
  <c r="I1613" i="3"/>
  <c r="F1614" i="3"/>
  <c r="I1614" i="3" l="1"/>
  <c r="G1614" i="3"/>
  <c r="F1615" i="3"/>
  <c r="G1615" i="3" l="1"/>
  <c r="I1615" i="3"/>
  <c r="F1616" i="3"/>
  <c r="I1616" i="3" l="1"/>
  <c r="G1616" i="3"/>
  <c r="F1617" i="3"/>
  <c r="G1617" i="3" l="1"/>
  <c r="I1617" i="3"/>
  <c r="F1618" i="3"/>
  <c r="I1618" i="3" l="1"/>
  <c r="G1618" i="3"/>
  <c r="F1619" i="3"/>
  <c r="G1619" i="3" l="1"/>
  <c r="I1619" i="3"/>
  <c r="F1620" i="3"/>
  <c r="I1620" i="3" l="1"/>
  <c r="G1620" i="3"/>
  <c r="F1621" i="3"/>
  <c r="G1621" i="3" l="1"/>
  <c r="I1621" i="3"/>
  <c r="F1622" i="3"/>
  <c r="I1622" i="3" l="1"/>
  <c r="G1622" i="3"/>
  <c r="F1623" i="3"/>
  <c r="G1623" i="3" l="1"/>
  <c r="I1623" i="3"/>
  <c r="F1624" i="3"/>
  <c r="I1624" i="3" l="1"/>
  <c r="G1624" i="3"/>
  <c r="F1625" i="3"/>
  <c r="G1625" i="3" l="1"/>
  <c r="I1625" i="3"/>
  <c r="F1626" i="3"/>
  <c r="I1626" i="3" l="1"/>
  <c r="G1626" i="3"/>
  <c r="F1627" i="3"/>
  <c r="G1627" i="3" l="1"/>
  <c r="I1627" i="3"/>
  <c r="F1628" i="3"/>
  <c r="I1628" i="3" l="1"/>
  <c r="G1628" i="3"/>
  <c r="F1629" i="3"/>
  <c r="G1629" i="3" l="1"/>
  <c r="I1629" i="3"/>
  <c r="F1630" i="3"/>
  <c r="I1630" i="3" l="1"/>
  <c r="G1630" i="3"/>
  <c r="F1631" i="3"/>
  <c r="G1631" i="3" l="1"/>
  <c r="I1631" i="3"/>
  <c r="F1632" i="3"/>
  <c r="I1632" i="3" l="1"/>
  <c r="G1632" i="3"/>
  <c r="F1633" i="3"/>
  <c r="G1633" i="3" l="1"/>
  <c r="I1633" i="3"/>
  <c r="F1634" i="3"/>
  <c r="I1634" i="3" l="1"/>
  <c r="G1634" i="3"/>
  <c r="F1635" i="3"/>
  <c r="G1635" i="3" l="1"/>
  <c r="I1635" i="3"/>
  <c r="F1636" i="3"/>
  <c r="I1636" i="3" l="1"/>
  <c r="G1636" i="3"/>
  <c r="F1637" i="3"/>
  <c r="G1637" i="3" l="1"/>
  <c r="I1637" i="3"/>
  <c r="F1638" i="3"/>
  <c r="I1638" i="3" l="1"/>
  <c r="G1638" i="3"/>
  <c r="F1639" i="3"/>
  <c r="G1639" i="3" l="1"/>
  <c r="I1639" i="3"/>
  <c r="F1640" i="3"/>
  <c r="I1640" i="3" l="1"/>
  <c r="G1640" i="3"/>
  <c r="F1641" i="3"/>
  <c r="G1641" i="3" l="1"/>
  <c r="I1641" i="3"/>
  <c r="F1642" i="3"/>
  <c r="I1642" i="3" l="1"/>
  <c r="G1642" i="3"/>
  <c r="F1643" i="3"/>
  <c r="G1643" i="3" l="1"/>
  <c r="I1643" i="3"/>
  <c r="F1644" i="3"/>
  <c r="I1644" i="3" l="1"/>
  <c r="G1644" i="3"/>
  <c r="F1645" i="3"/>
  <c r="G1645" i="3" l="1"/>
  <c r="I1645" i="3"/>
  <c r="F1646" i="3"/>
  <c r="I1646" i="3" l="1"/>
  <c r="G1646" i="3"/>
  <c r="F1647" i="3"/>
  <c r="G1647" i="3" l="1"/>
  <c r="I1647" i="3"/>
  <c r="F1648" i="3"/>
  <c r="I1648" i="3" l="1"/>
  <c r="G1648" i="3"/>
  <c r="F1649" i="3"/>
  <c r="G1649" i="3" l="1"/>
  <c r="I1649" i="3"/>
  <c r="F1650" i="3"/>
  <c r="I1650" i="3" l="1"/>
  <c r="G1650" i="3"/>
  <c r="F1651" i="3"/>
  <c r="G1651" i="3" l="1"/>
  <c r="I1651" i="3"/>
  <c r="F1652" i="3"/>
  <c r="I1652" i="3" l="1"/>
  <c r="G1652" i="3"/>
  <c r="F1653" i="3"/>
  <c r="G1653" i="3" l="1"/>
  <c r="I1653" i="3"/>
  <c r="F1654" i="3"/>
  <c r="I1654" i="3" l="1"/>
  <c r="G1654" i="3"/>
  <c r="F1655" i="3"/>
  <c r="G1655" i="3" l="1"/>
  <c r="I1655" i="3"/>
  <c r="F1656" i="3"/>
  <c r="I1656" i="3" l="1"/>
  <c r="G1656" i="3"/>
  <c r="F1657" i="3"/>
  <c r="G1657" i="3" l="1"/>
  <c r="I1657" i="3"/>
  <c r="F1658" i="3"/>
  <c r="I1658" i="3" l="1"/>
  <c r="G1658" i="3"/>
  <c r="F1659" i="3"/>
  <c r="G1659" i="3" l="1"/>
  <c r="I1659" i="3"/>
  <c r="F1660" i="3"/>
  <c r="I1660" i="3" l="1"/>
  <c r="G1660" i="3"/>
  <c r="F1661" i="3"/>
  <c r="G1661" i="3" l="1"/>
  <c r="I1661" i="3"/>
  <c r="F1662" i="3"/>
  <c r="I1662" i="3" l="1"/>
  <c r="G1662" i="3"/>
  <c r="F1663" i="3"/>
  <c r="G1663" i="3" l="1"/>
  <c r="I1663" i="3"/>
  <c r="F1664" i="3"/>
  <c r="I1664" i="3" l="1"/>
  <c r="G1664" i="3"/>
  <c r="F1665" i="3"/>
  <c r="G1665" i="3" l="1"/>
  <c r="I1665" i="3"/>
  <c r="F1666" i="3"/>
  <c r="I1666" i="3" l="1"/>
  <c r="G1666" i="3"/>
  <c r="F1667" i="3"/>
  <c r="G1667" i="3" l="1"/>
  <c r="I1667" i="3"/>
  <c r="F1668" i="3"/>
  <c r="I1668" i="3" l="1"/>
  <c r="G1668" i="3"/>
  <c r="F1669" i="3"/>
  <c r="G1669" i="3" l="1"/>
  <c r="I1669" i="3"/>
  <c r="F1670" i="3"/>
  <c r="I1670" i="3" l="1"/>
  <c r="G1670" i="3"/>
  <c r="F1671" i="3"/>
  <c r="G1671" i="3" l="1"/>
  <c r="I1671" i="3"/>
  <c r="F1672" i="3"/>
  <c r="I1672" i="3" l="1"/>
  <c r="G1672" i="3"/>
  <c r="F1673" i="3"/>
  <c r="G1673" i="3" l="1"/>
  <c r="I1673" i="3"/>
  <c r="F1674" i="3"/>
  <c r="I1674" i="3" l="1"/>
  <c r="G1674" i="3"/>
  <c r="F1675" i="3"/>
  <c r="G1675" i="3" l="1"/>
  <c r="I1675" i="3"/>
  <c r="F1676" i="3"/>
  <c r="I1676" i="3" l="1"/>
  <c r="G1676" i="3"/>
  <c r="F1677" i="3"/>
  <c r="G1677" i="3" l="1"/>
  <c r="I1677" i="3"/>
  <c r="F1678" i="3"/>
  <c r="I1678" i="3" l="1"/>
  <c r="G1678" i="3"/>
  <c r="F1679" i="3"/>
  <c r="G1679" i="3" l="1"/>
  <c r="I1679" i="3"/>
  <c r="F1680" i="3"/>
  <c r="I1680" i="3" l="1"/>
  <c r="G1680" i="3"/>
  <c r="F1681" i="3"/>
  <c r="G1681" i="3" l="1"/>
  <c r="I1681" i="3"/>
  <c r="F1682" i="3"/>
  <c r="I1682" i="3" l="1"/>
  <c r="G1682" i="3"/>
  <c r="F1683" i="3"/>
  <c r="G1683" i="3" l="1"/>
  <c r="I1683" i="3"/>
  <c r="F1684" i="3"/>
  <c r="I1684" i="3" l="1"/>
  <c r="G1684" i="3"/>
  <c r="F1685" i="3"/>
  <c r="G1685" i="3" l="1"/>
  <c r="I1685" i="3"/>
  <c r="F1686" i="3"/>
  <c r="I1686" i="3" l="1"/>
  <c r="G1686" i="3"/>
  <c r="F1687" i="3"/>
  <c r="G1687" i="3" l="1"/>
  <c r="I1687" i="3"/>
  <c r="F1688" i="3"/>
  <c r="I1688" i="3" l="1"/>
  <c r="G1688" i="3"/>
  <c r="F1689" i="3"/>
  <c r="G1689" i="3" l="1"/>
  <c r="I1689" i="3"/>
  <c r="F1690" i="3"/>
  <c r="I1690" i="3" l="1"/>
  <c r="G1690" i="3"/>
  <c r="F1691" i="3"/>
  <c r="G1691" i="3" l="1"/>
  <c r="I1691" i="3"/>
  <c r="F1692" i="3"/>
  <c r="I1692" i="3" l="1"/>
  <c r="G1692" i="3"/>
  <c r="F1693" i="3"/>
  <c r="G1693" i="3" l="1"/>
  <c r="I1693" i="3"/>
  <c r="F1694" i="3"/>
  <c r="I1694" i="3" l="1"/>
  <c r="G1694" i="3"/>
  <c r="F1695" i="3"/>
  <c r="G1695" i="3" l="1"/>
  <c r="I1695" i="3"/>
  <c r="F1696" i="3"/>
  <c r="I1696" i="3" l="1"/>
  <c r="G1696" i="3"/>
  <c r="F1697" i="3"/>
  <c r="G1697" i="3" l="1"/>
  <c r="I1697" i="3"/>
  <c r="F1698" i="3"/>
  <c r="I1698" i="3" l="1"/>
  <c r="G1698" i="3"/>
  <c r="F1699" i="3"/>
  <c r="G1699" i="3" l="1"/>
  <c r="I1699" i="3"/>
  <c r="F1700" i="3"/>
  <c r="I1700" i="3" l="1"/>
  <c r="G1700" i="3"/>
  <c r="F1701" i="3"/>
  <c r="G1701" i="3" l="1"/>
  <c r="I1701" i="3"/>
  <c r="F1702" i="3"/>
  <c r="I1702" i="3" l="1"/>
  <c r="G1702" i="3"/>
  <c r="F1703" i="3"/>
  <c r="G1703" i="3" l="1"/>
  <c r="I1703" i="3"/>
  <c r="F1704" i="3"/>
  <c r="I1704" i="3" l="1"/>
  <c r="G1704" i="3"/>
  <c r="F1705" i="3"/>
  <c r="G1705" i="3" l="1"/>
  <c r="I1705" i="3"/>
  <c r="F1706" i="3"/>
  <c r="I1706" i="3" l="1"/>
  <c r="G1706" i="3"/>
  <c r="F1707" i="3"/>
  <c r="G1707" i="3" l="1"/>
  <c r="I1707" i="3"/>
  <c r="F1708" i="3"/>
  <c r="I1708" i="3" l="1"/>
  <c r="G1708" i="3"/>
  <c r="F1709" i="3"/>
  <c r="G1709" i="3" l="1"/>
  <c r="I1709" i="3"/>
  <c r="F1710" i="3"/>
  <c r="I1710" i="3" l="1"/>
  <c r="G1710" i="3"/>
  <c r="F1711" i="3"/>
  <c r="G1711" i="3" l="1"/>
  <c r="I1711" i="3"/>
  <c r="F1712" i="3"/>
  <c r="I1712" i="3" l="1"/>
  <c r="G1712" i="3"/>
  <c r="F1713" i="3"/>
  <c r="G1713" i="3" l="1"/>
  <c r="I1713" i="3"/>
  <c r="F1714" i="3"/>
  <c r="I1714" i="3" l="1"/>
  <c r="G1714" i="3"/>
  <c r="F1715" i="3"/>
  <c r="G1715" i="3" l="1"/>
  <c r="I1715" i="3"/>
  <c r="F1716" i="3"/>
  <c r="I1716" i="3" l="1"/>
  <c r="G1716" i="3"/>
  <c r="F1717" i="3"/>
  <c r="G1717" i="3" l="1"/>
  <c r="I1717" i="3"/>
  <c r="F1718" i="3"/>
  <c r="I1718" i="3" l="1"/>
  <c r="G1718" i="3"/>
  <c r="F1719" i="3"/>
  <c r="G1719" i="3" l="1"/>
  <c r="I1719" i="3"/>
  <c r="F1720" i="3"/>
  <c r="I1720" i="3" l="1"/>
  <c r="G1720" i="3"/>
  <c r="F1721" i="3"/>
  <c r="G1721" i="3" l="1"/>
  <c r="I1721" i="3"/>
  <c r="F1722" i="3"/>
  <c r="I1722" i="3" l="1"/>
  <c r="G1722" i="3"/>
  <c r="F1723" i="3"/>
  <c r="G1723" i="3" l="1"/>
  <c r="I1723" i="3"/>
  <c r="F1724" i="3"/>
  <c r="I1724" i="3" l="1"/>
  <c r="G1724" i="3"/>
  <c r="F1725" i="3"/>
  <c r="G1725" i="3" l="1"/>
  <c r="I1725" i="3"/>
  <c r="F1726" i="3"/>
  <c r="I1726" i="3" l="1"/>
  <c r="G1726" i="3"/>
  <c r="F1727" i="3"/>
  <c r="G1727" i="3" l="1"/>
  <c r="I1727" i="3"/>
  <c r="F1728" i="3"/>
  <c r="I1728" i="3" l="1"/>
  <c r="G1728" i="3"/>
  <c r="F1729" i="3"/>
  <c r="G1729" i="3" l="1"/>
  <c r="I1729" i="3"/>
  <c r="F1730" i="3"/>
  <c r="I1730" i="3" l="1"/>
  <c r="G1730" i="3"/>
  <c r="F1731" i="3"/>
  <c r="G1731" i="3" l="1"/>
  <c r="I1731" i="3"/>
  <c r="F1732" i="3"/>
  <c r="I1732" i="3" l="1"/>
  <c r="G1732" i="3"/>
  <c r="F1733" i="3"/>
  <c r="G1733" i="3" l="1"/>
  <c r="I1733" i="3"/>
  <c r="F1734" i="3"/>
  <c r="I1734" i="3" l="1"/>
  <c r="G1734" i="3"/>
  <c r="F1735" i="3"/>
  <c r="G1735" i="3" l="1"/>
  <c r="I1735" i="3"/>
  <c r="F1736" i="3"/>
  <c r="I1736" i="3" l="1"/>
  <c r="G1736" i="3"/>
  <c r="F1737" i="3"/>
  <c r="G1737" i="3" l="1"/>
  <c r="I1737" i="3"/>
  <c r="F1738" i="3"/>
  <c r="I1738" i="3" l="1"/>
  <c r="G1738" i="3"/>
  <c r="F1739" i="3"/>
  <c r="G1739" i="3" l="1"/>
  <c r="I1739" i="3"/>
  <c r="F1740" i="3"/>
  <c r="I1740" i="3" l="1"/>
  <c r="G1740" i="3"/>
  <c r="F1741" i="3"/>
  <c r="G1741" i="3" l="1"/>
  <c r="I1741" i="3"/>
  <c r="F1742" i="3"/>
  <c r="I1742" i="3" l="1"/>
  <c r="G1742" i="3"/>
  <c r="F1743" i="3"/>
  <c r="G1743" i="3" l="1"/>
  <c r="I1743" i="3"/>
  <c r="F1744" i="3"/>
  <c r="I1744" i="3" l="1"/>
  <c r="G1744" i="3"/>
  <c r="F1745" i="3"/>
  <c r="G1745" i="3" l="1"/>
  <c r="I1745" i="3"/>
  <c r="F1746" i="3"/>
  <c r="I1746" i="3" l="1"/>
  <c r="G1746" i="3"/>
  <c r="F1747" i="3"/>
  <c r="G1747" i="3" l="1"/>
  <c r="I1747" i="3"/>
  <c r="F1748" i="3"/>
  <c r="I1748" i="3" l="1"/>
  <c r="G1748" i="3"/>
  <c r="F1749" i="3"/>
  <c r="G1749" i="3" l="1"/>
  <c r="I1749" i="3"/>
  <c r="F1750" i="3"/>
  <c r="I1750" i="3" l="1"/>
  <c r="G1750" i="3"/>
  <c r="F1751" i="3"/>
  <c r="G1751" i="3" l="1"/>
  <c r="I1751" i="3"/>
  <c r="F1752" i="3"/>
  <c r="I1752" i="3" l="1"/>
  <c r="G1752" i="3"/>
  <c r="F1753" i="3"/>
  <c r="G1753" i="3" l="1"/>
  <c r="I1753" i="3"/>
  <c r="F1754" i="3"/>
  <c r="I1754" i="3" l="1"/>
  <c r="G1754" i="3"/>
  <c r="F1755" i="3"/>
  <c r="G1755" i="3" l="1"/>
  <c r="I1755" i="3"/>
  <c r="F1756" i="3"/>
  <c r="I1756" i="3" l="1"/>
  <c r="G1756" i="3"/>
  <c r="F1757" i="3"/>
  <c r="G1757" i="3" l="1"/>
  <c r="I1757" i="3"/>
  <c r="F1758" i="3"/>
  <c r="I1758" i="3" l="1"/>
  <c r="G1758" i="3"/>
  <c r="F1759" i="3"/>
  <c r="G1759" i="3" l="1"/>
  <c r="I1759" i="3"/>
  <c r="F1760" i="3"/>
  <c r="I1760" i="3" l="1"/>
  <c r="G1760" i="3"/>
  <c r="F1761" i="3"/>
  <c r="G1761" i="3" l="1"/>
  <c r="I1761" i="3"/>
  <c r="F1762" i="3"/>
  <c r="I1762" i="3" l="1"/>
  <c r="G1762" i="3"/>
  <c r="F1763" i="3"/>
  <c r="G1763" i="3" l="1"/>
  <c r="I1763" i="3"/>
  <c r="F1764" i="3"/>
  <c r="I1764" i="3" l="1"/>
  <c r="G1764" i="3"/>
  <c r="F1765" i="3"/>
  <c r="G1765" i="3" l="1"/>
  <c r="I1765" i="3"/>
  <c r="F1766" i="3"/>
  <c r="I1766" i="3" l="1"/>
  <c r="G1766" i="3"/>
  <c r="F1767" i="3"/>
  <c r="G1767" i="3" l="1"/>
  <c r="I1767" i="3"/>
  <c r="F1768" i="3"/>
  <c r="I1768" i="3" l="1"/>
  <c r="G1768" i="3"/>
  <c r="F1769" i="3"/>
  <c r="G1769" i="3" l="1"/>
  <c r="I1769" i="3"/>
  <c r="F1770" i="3"/>
  <c r="I1770" i="3" l="1"/>
  <c r="G1770" i="3"/>
  <c r="F1771" i="3"/>
  <c r="G1771" i="3" l="1"/>
  <c r="I1771" i="3"/>
  <c r="F1772" i="3"/>
  <c r="I1772" i="3" l="1"/>
  <c r="G1772" i="3"/>
  <c r="F1773" i="3"/>
  <c r="G1773" i="3" l="1"/>
  <c r="I1773" i="3"/>
  <c r="F1774" i="3"/>
  <c r="I1774" i="3" l="1"/>
  <c r="G1774" i="3"/>
  <c r="F1775" i="3"/>
  <c r="G1775" i="3" l="1"/>
  <c r="I1775" i="3"/>
  <c r="F1776" i="3"/>
  <c r="I1776" i="3" l="1"/>
  <c r="G1776" i="3"/>
  <c r="F1777" i="3"/>
  <c r="G1777" i="3" l="1"/>
  <c r="I1777" i="3"/>
  <c r="F1778" i="3"/>
  <c r="I1778" i="3" l="1"/>
  <c r="G1778" i="3"/>
  <c r="F1779" i="3"/>
  <c r="G1779" i="3" l="1"/>
  <c r="I1779" i="3"/>
  <c r="F1780" i="3"/>
  <c r="I1780" i="3" l="1"/>
  <c r="G1780" i="3"/>
  <c r="F1781" i="3"/>
  <c r="G1781" i="3" l="1"/>
  <c r="I1781" i="3"/>
  <c r="F1782" i="3"/>
  <c r="I1782" i="3" l="1"/>
  <c r="G1782" i="3"/>
  <c r="F1783" i="3"/>
  <c r="G1783" i="3" l="1"/>
  <c r="I1783" i="3"/>
  <c r="F1784" i="3"/>
  <c r="I1784" i="3" l="1"/>
  <c r="G1784" i="3"/>
  <c r="F1785" i="3"/>
  <c r="G1785" i="3" l="1"/>
  <c r="I1785" i="3"/>
  <c r="F1786" i="3"/>
  <c r="I1786" i="3" l="1"/>
  <c r="G1786" i="3"/>
  <c r="F1787" i="3"/>
  <c r="G1787" i="3" l="1"/>
  <c r="I1787" i="3"/>
  <c r="F1788" i="3"/>
  <c r="I1788" i="3" l="1"/>
  <c r="G1788" i="3"/>
  <c r="F1789" i="3"/>
  <c r="G1789" i="3" l="1"/>
  <c r="I1789" i="3"/>
  <c r="F1790" i="3"/>
  <c r="I1790" i="3" l="1"/>
  <c r="G1790" i="3"/>
  <c r="F1791" i="3"/>
  <c r="G1791" i="3" l="1"/>
  <c r="I1791" i="3"/>
  <c r="F1792" i="3"/>
  <c r="I1792" i="3" l="1"/>
  <c r="G1792" i="3"/>
  <c r="F1793" i="3"/>
  <c r="G1793" i="3" l="1"/>
  <c r="I1793" i="3"/>
  <c r="F1794" i="3"/>
  <c r="I1794" i="3" l="1"/>
  <c r="G1794" i="3"/>
  <c r="F1795" i="3"/>
  <c r="G1795" i="3" l="1"/>
  <c r="I1795" i="3"/>
  <c r="F1796" i="3"/>
  <c r="I1796" i="3" l="1"/>
  <c r="G1796" i="3"/>
  <c r="F1797" i="3"/>
  <c r="G1797" i="3" l="1"/>
  <c r="I1797" i="3"/>
  <c r="F1798" i="3"/>
  <c r="I1798" i="3" l="1"/>
  <c r="G1798" i="3"/>
  <c r="F1799" i="3"/>
  <c r="G1799" i="3" l="1"/>
  <c r="I1799" i="3"/>
  <c r="F1800" i="3"/>
  <c r="I1800" i="3" l="1"/>
  <c r="G1800" i="3"/>
  <c r="F1801" i="3"/>
  <c r="G1801" i="3" l="1"/>
  <c r="I1801" i="3"/>
  <c r="F1802" i="3"/>
  <c r="I1802" i="3" l="1"/>
  <c r="G1802" i="3"/>
  <c r="F1803" i="3"/>
  <c r="G1803" i="3" l="1"/>
  <c r="I1803" i="3"/>
  <c r="F1804" i="3"/>
  <c r="I1804" i="3" l="1"/>
  <c r="G1804" i="3"/>
  <c r="F1805" i="3"/>
  <c r="G1805" i="3" l="1"/>
  <c r="I1805" i="3"/>
  <c r="F1806" i="3"/>
  <c r="I1806" i="3" l="1"/>
  <c r="G1806" i="3"/>
  <c r="F1807" i="3"/>
  <c r="G1807" i="3" l="1"/>
  <c r="I1807" i="3"/>
  <c r="F1808" i="3"/>
  <c r="I1808" i="3" l="1"/>
  <c r="G1808" i="3"/>
  <c r="F1809" i="3"/>
  <c r="G1809" i="3" l="1"/>
  <c r="I1809" i="3"/>
  <c r="F1810" i="3"/>
  <c r="I1810" i="3" l="1"/>
  <c r="G1810" i="3"/>
  <c r="F1811" i="3"/>
  <c r="G1811" i="3" l="1"/>
  <c r="I1811" i="3"/>
  <c r="F1812" i="3"/>
  <c r="I1812" i="3" l="1"/>
  <c r="G1812" i="3"/>
  <c r="F1813" i="3"/>
  <c r="G1813" i="3" l="1"/>
  <c r="I1813" i="3"/>
  <c r="F1814" i="3"/>
  <c r="I1814" i="3" l="1"/>
  <c r="G1814" i="3"/>
  <c r="F1815" i="3"/>
  <c r="G1815" i="3" l="1"/>
  <c r="I1815" i="3"/>
  <c r="F1816" i="3"/>
  <c r="I1816" i="3" l="1"/>
  <c r="G1816" i="3"/>
  <c r="F1817" i="3"/>
  <c r="G1817" i="3" l="1"/>
  <c r="I1817" i="3"/>
  <c r="F1818" i="3"/>
  <c r="I1818" i="3" l="1"/>
  <c r="G1818" i="3"/>
  <c r="K1" i="3" s="1"/>
</calcChain>
</file>

<file path=xl/sharedStrings.xml><?xml version="1.0" encoding="utf-8"?>
<sst xmlns="http://schemas.openxmlformats.org/spreadsheetml/2006/main" count="286" uniqueCount="138">
  <si>
    <t>Valeurs interpolées</t>
  </si>
  <si>
    <t>X</t>
  </si>
  <si>
    <t>Taux</t>
  </si>
  <si>
    <t>Tenor</t>
  </si>
  <si>
    <t>no time weight</t>
  </si>
  <si>
    <t>time weighted</t>
  </si>
  <si>
    <t>Deviation</t>
  </si>
  <si>
    <t>Function</t>
  </si>
  <si>
    <t>Change</t>
  </si>
  <si>
    <t>Standard</t>
  </si>
  <si>
    <t>Likelihood</t>
  </si>
  <si>
    <t>Variance</t>
  </si>
  <si>
    <t>Squared</t>
  </si>
  <si>
    <t>Residual</t>
  </si>
  <si>
    <t>Unconditional</t>
  </si>
  <si>
    <t>Conditional</t>
  </si>
  <si>
    <t>Log</t>
  </si>
  <si>
    <t>Lagged</t>
  </si>
  <si>
    <t>Rate</t>
  </si>
  <si>
    <t>Date</t>
  </si>
  <si>
    <t>β</t>
  </si>
  <si>
    <t>α</t>
  </si>
  <si>
    <t>Vérification</t>
  </si>
  <si>
    <t>ω</t>
  </si>
  <si>
    <t>Unconditional Variance</t>
  </si>
  <si>
    <t>LOG L</t>
  </si>
  <si>
    <t>Cumulative Normal(-D2)</t>
  </si>
  <si>
    <t>Cumulative Normal(-D1)</t>
  </si>
  <si>
    <t>Normal PDF(D2)</t>
  </si>
  <si>
    <t>Normal PDF(D1)</t>
  </si>
  <si>
    <t>Cumulative Normal(D2)</t>
  </si>
  <si>
    <t>Cumulative Normal(D1)</t>
  </si>
  <si>
    <t>Black-Scholes D2</t>
  </si>
  <si>
    <t>Black-Scholes D1</t>
  </si>
  <si>
    <t>Required Expressions</t>
  </si>
  <si>
    <t>per change in Vol of 1% p.a.</t>
  </si>
  <si>
    <t>Derivative of delta wrt volatility</t>
  </si>
  <si>
    <t>Vanna</t>
  </si>
  <si>
    <t>per 1% change in Spot</t>
  </si>
  <si>
    <t>Elasticity of option price wrt the spot rate</t>
  </si>
  <si>
    <t>Omega or Lambda</t>
  </si>
  <si>
    <t xml:space="preserve">per change in i(FC) of 100 bp </t>
  </si>
  <si>
    <t>Derivativeof price wrt to the foreign interest rate</t>
  </si>
  <si>
    <t>Rho foreign</t>
  </si>
  <si>
    <t xml:space="preserve">per change in i(DC) of 100 bp </t>
  </si>
  <si>
    <t>Derivative of price wrt to the domestic interest rate</t>
  </si>
  <si>
    <t>Rho domestic</t>
  </si>
  <si>
    <t>per 1 day increase</t>
  </si>
  <si>
    <t>Derivative of price wrt time measured in days</t>
  </si>
  <si>
    <t>Theta</t>
  </si>
  <si>
    <t>per 1 unit change in spot</t>
  </si>
  <si>
    <t>Derivative of delta wrt spot rate</t>
  </si>
  <si>
    <t>Gamma</t>
  </si>
  <si>
    <t>Derivative of price wrt volatility</t>
  </si>
  <si>
    <t>Vega</t>
  </si>
  <si>
    <t>Derivative of price wrt spot rate</t>
  </si>
  <si>
    <t>Delta</t>
  </si>
  <si>
    <t>Option Prices</t>
  </si>
  <si>
    <t>Put</t>
  </si>
  <si>
    <t>Call</t>
  </si>
  <si>
    <t>Inputs</t>
  </si>
  <si>
    <t>Option Price</t>
  </si>
  <si>
    <t>Stock Price</t>
  </si>
  <si>
    <t>Time</t>
  </si>
  <si>
    <t>Step</t>
  </si>
  <si>
    <t>Discount Factor</t>
  </si>
  <si>
    <t>Up probability</t>
  </si>
  <si>
    <t>d = 1/u</t>
  </si>
  <si>
    <t>Down movement</t>
  </si>
  <si>
    <t>u</t>
  </si>
  <si>
    <t>Up movement</t>
  </si>
  <si>
    <t>Time Interval</t>
  </si>
  <si>
    <t>Calculations</t>
  </si>
  <si>
    <t>Dividend Yield</t>
  </si>
  <si>
    <t>Number of Steps</t>
  </si>
  <si>
    <t>Time to Maturity</t>
  </si>
  <si>
    <t>Volatility</t>
  </si>
  <si>
    <t>Interest Rate r</t>
  </si>
  <si>
    <t>Value</t>
  </si>
  <si>
    <t>Exercise Price X</t>
  </si>
  <si>
    <t>n_dash_d1</t>
  </si>
  <si>
    <t>nd2</t>
  </si>
  <si>
    <t>nd1</t>
  </si>
  <si>
    <t>d2</t>
  </si>
  <si>
    <t>d1</t>
  </si>
  <si>
    <t>BS Analytical</t>
  </si>
  <si>
    <t>Binomial</t>
  </si>
  <si>
    <r>
      <t>Stock Price S</t>
    </r>
    <r>
      <rPr>
        <vertAlign val="subscript"/>
        <sz val="11"/>
        <color theme="1"/>
        <rFont val="Calibri"/>
        <family val="2"/>
        <scheme val="minor"/>
      </rPr>
      <t>0</t>
    </r>
  </si>
  <si>
    <t>Calculations (Black Scholes analytical solution)</t>
  </si>
  <si>
    <t>Results</t>
  </si>
  <si>
    <t>Parameters</t>
  </si>
  <si>
    <t>Pricing (Modèle de Garman-Kohlhagen)</t>
  </si>
  <si>
    <t>Pricing : Arbres Binomiaux</t>
  </si>
  <si>
    <t>EURTND</t>
  </si>
  <si>
    <t>USDTND</t>
  </si>
  <si>
    <t>EURUSD</t>
  </si>
  <si>
    <t>Last Price</t>
  </si>
  <si>
    <t>1m</t>
  </si>
  <si>
    <t>3m</t>
  </si>
  <si>
    <t>6m</t>
  </si>
  <si>
    <t>9m</t>
  </si>
  <si>
    <t>12m</t>
  </si>
  <si>
    <t>Ask Price</t>
  </si>
  <si>
    <t>3m +0,10%</t>
  </si>
  <si>
    <t>6m+0,15%</t>
  </si>
  <si>
    <t>9m +0,20%</t>
  </si>
  <si>
    <t>12m +0,35%</t>
  </si>
  <si>
    <t>Mid Price</t>
  </si>
  <si>
    <t xml:space="preserve">GARCH(1,1) Euro </t>
  </si>
  <si>
    <t>GARCH(1,1) Dollar</t>
  </si>
  <si>
    <t>Spot rate</t>
  </si>
  <si>
    <t>Strike</t>
  </si>
  <si>
    <t>Volatilité (Annualisée)</t>
  </si>
  <si>
    <t>Taux d'intérêt local (Annualisé)</t>
  </si>
  <si>
    <t>Taux d'intérêt devise (Annualisé)</t>
  </si>
  <si>
    <t>Maturité (En Jours)</t>
  </si>
  <si>
    <t>Maturité (En Année)</t>
  </si>
  <si>
    <t>Montant</t>
  </si>
  <si>
    <t>Prix de la position</t>
  </si>
  <si>
    <t>Option Put</t>
  </si>
  <si>
    <t>Option Call</t>
  </si>
  <si>
    <t>(TND)</t>
  </si>
  <si>
    <t>(USD)</t>
  </si>
  <si>
    <t>Forward (USD/TND)</t>
  </si>
  <si>
    <t>Prix du Call =</t>
  </si>
  <si>
    <t>Prix du Put</t>
  </si>
  <si>
    <t>European</t>
  </si>
  <si>
    <t>American</t>
  </si>
  <si>
    <t>Prix du sous-jacent</t>
  </si>
  <si>
    <t>Maturité T</t>
  </si>
  <si>
    <t>Taux d'intérêt local rd</t>
  </si>
  <si>
    <r>
      <t xml:space="preserve">Volatilité  </t>
    </r>
    <r>
      <rPr>
        <sz val="10"/>
        <rFont val="Symbol"/>
        <family val="1"/>
        <charset val="2"/>
      </rPr>
      <t>s</t>
    </r>
    <r>
      <rPr>
        <b/>
        <sz val="10"/>
        <rFont val="Geneva"/>
      </rPr>
      <t xml:space="preserve"> </t>
    </r>
  </si>
  <si>
    <t>Nombre d'itérations</t>
  </si>
  <si>
    <t>Prix de l'option (en %)</t>
  </si>
  <si>
    <t>Prix de l'option</t>
  </si>
  <si>
    <t>rd-rf</t>
  </si>
  <si>
    <t>Test interpolation</t>
  </si>
  <si>
    <t>ecriture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</si>
</sst>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_(* #,##0.00_);_(* \(#,##0.00\);_(* &quot;-&quot;??_);_(@_)"/>
    <numFmt numFmtId="165" formatCode="0.0000"/>
    <numFmt numFmtId="166" formatCode="0.0000000000"/>
    <numFmt numFmtId="167" formatCode="0.000000"/>
    <numFmt numFmtId="168" formatCode="0.00000000"/>
    <numFmt numFmtId="169" formatCode="0.0000%"/>
    <numFmt numFmtId="170" formatCode="_(* #,##0.0000_);_(* \(#,##0.0000\);_(* &quot;-&quot;??_);_(@_)"/>
    <numFmt numFmtId="171" formatCode="0.000%"/>
    <numFmt numFmtId="172" formatCode="0.00000"/>
  </numFmts>
  <fonts count="30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b/>
      <i/>
      <sz val="14"/>
      <color rgb="FFFF0000"/>
      <name val="Calibri"/>
      <family val="2"/>
      <scheme val="minor"/>
    </font>
    <font>
      <b/>
      <sz val="14"/>
      <color rgb="FFFF000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u/>
      <sz val="10"/>
      <color theme="10"/>
      <name val="Arial"/>
      <family val="2"/>
    </font>
    <font>
      <b/>
      <sz val="24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1"/>
      <color rgb="FF000000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24"/>
      <color theme="1"/>
      <name val="Arial"/>
      <family val="2"/>
    </font>
    <font>
      <b/>
      <i/>
      <sz val="11"/>
      <color rgb="FFFF0000"/>
      <name val="Calibri"/>
      <family val="2"/>
      <scheme val="minor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b/>
      <sz val="11"/>
      <color rgb="FFFF0000"/>
      <name val="Arial"/>
      <family val="2"/>
    </font>
    <font>
      <sz val="10"/>
      <name val="Verdana"/>
      <family val="2"/>
    </font>
    <font>
      <b/>
      <sz val="12"/>
      <name val="Geneva"/>
    </font>
    <font>
      <sz val="10"/>
      <name val="Geneva"/>
    </font>
    <font>
      <b/>
      <sz val="10"/>
      <name val="Geneva"/>
    </font>
    <font>
      <b/>
      <sz val="10"/>
      <color indexed="12"/>
      <name val="Geneva"/>
    </font>
    <font>
      <sz val="10"/>
      <name val="Symbol"/>
      <family val="1"/>
      <charset val="2"/>
    </font>
    <font>
      <b/>
      <sz val="10"/>
      <color indexed="10"/>
      <name val="Geneva"/>
    </font>
    <font>
      <b/>
      <sz val="11"/>
      <name val="Calibri"/>
      <family val="2"/>
      <scheme val="minor"/>
    </font>
    <font>
      <b/>
      <sz val="11"/>
      <name val="Calibri   "/>
    </font>
  </fonts>
  <fills count="15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39997558519241921"/>
        <bgColor indexed="64"/>
      </patternFill>
    </fill>
  </fills>
  <borders count="16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9">
    <xf numFmtId="0" fontId="0" fillId="0" borderId="0"/>
    <xf numFmtId="0" fontId="3" fillId="0" borderId="0"/>
    <xf numFmtId="0" fontId="7" fillId="0" borderId="0"/>
    <xf numFmtId="0" fontId="9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21" fillId="0" borderId="0"/>
    <xf numFmtId="0" fontId="23" fillId="0" borderId="0"/>
    <xf numFmtId="9" fontId="21" fillId="0" borderId="0" applyFont="0" applyFill="0" applyBorder="0" applyAlignment="0" applyProtection="0"/>
    <xf numFmtId="164" fontId="21" fillId="0" borderId="0" applyFont="0" applyFill="0" applyBorder="0" applyAlignment="0" applyProtection="0"/>
  </cellStyleXfs>
  <cellXfs count="159">
    <xf numFmtId="0" fontId="0" fillId="0" borderId="0" xfId="0"/>
    <xf numFmtId="10" fontId="0" fillId="0" borderId="0" xfId="0" applyNumberFormat="1"/>
    <xf numFmtId="0" fontId="0" fillId="0" borderId="0" xfId="0" applyFill="1"/>
    <xf numFmtId="10" fontId="4" fillId="0" borderId="1" xfId="1" applyNumberFormat="1" applyFont="1" applyFill="1" applyBorder="1" applyAlignment="1">
      <alignment horizontal="right" wrapText="1"/>
    </xf>
    <xf numFmtId="0" fontId="4" fillId="0" borderId="1" xfId="1" applyFont="1" applyFill="1" applyBorder="1" applyAlignment="1">
      <alignment horizontal="right" wrapText="1"/>
    </xf>
    <xf numFmtId="10" fontId="4" fillId="0" borderId="0" xfId="1" applyNumberFormat="1" applyFont="1" applyFill="1" applyBorder="1" applyAlignment="1">
      <alignment horizontal="right" wrapText="1"/>
    </xf>
    <xf numFmtId="0" fontId="4" fillId="0" borderId="0" xfId="1" applyFont="1" applyFill="1" applyBorder="1" applyAlignment="1">
      <alignment horizontal="right" wrapText="1"/>
    </xf>
    <xf numFmtId="0" fontId="1" fillId="0" borderId="0" xfId="0" applyFont="1"/>
    <xf numFmtId="10" fontId="5" fillId="0" borderId="0" xfId="0" applyNumberFormat="1" applyFont="1"/>
    <xf numFmtId="0" fontId="6" fillId="0" borderId="0" xfId="0" applyFont="1" applyFill="1" applyAlignment="1">
      <alignment horizontal="right"/>
    </xf>
    <xf numFmtId="0" fontId="5" fillId="0" borderId="0" xfId="0" applyFont="1"/>
    <xf numFmtId="0" fontId="7" fillId="0" borderId="0" xfId="2"/>
    <xf numFmtId="165" fontId="7" fillId="0" borderId="0" xfId="2" applyNumberFormat="1"/>
    <xf numFmtId="2" fontId="7" fillId="0" borderId="0" xfId="2" applyNumberFormat="1"/>
    <xf numFmtId="1" fontId="7" fillId="0" borderId="0" xfId="2" applyNumberFormat="1"/>
    <xf numFmtId="14" fontId="7" fillId="0" borderId="0" xfId="2" applyNumberFormat="1"/>
    <xf numFmtId="165" fontId="7" fillId="0" borderId="0" xfId="2" applyNumberFormat="1" applyFont="1"/>
    <xf numFmtId="0" fontId="8" fillId="0" borderId="0" xfId="2" applyFont="1" applyAlignment="1">
      <alignment horizontal="center"/>
    </xf>
    <xf numFmtId="0" fontId="8" fillId="2" borderId="2" xfId="2" applyFont="1" applyFill="1" applyBorder="1" applyAlignment="1"/>
    <xf numFmtId="0" fontId="8" fillId="2" borderId="3" xfId="2" applyFont="1" applyFill="1" applyBorder="1" applyAlignment="1">
      <alignment horizontal="left"/>
    </xf>
    <xf numFmtId="0" fontId="8" fillId="2" borderId="3" xfId="2" applyFont="1" applyFill="1" applyBorder="1" applyAlignment="1">
      <alignment horizontal="center"/>
    </xf>
    <xf numFmtId="165" fontId="8" fillId="2" borderId="3" xfId="2" applyNumberFormat="1" applyFont="1" applyFill="1" applyBorder="1" applyAlignment="1">
      <alignment horizontal="center"/>
    </xf>
    <xf numFmtId="2" fontId="8" fillId="2" borderId="3" xfId="2" applyNumberFormat="1" applyFont="1" applyFill="1" applyBorder="1" applyAlignment="1">
      <alignment horizontal="center"/>
    </xf>
    <xf numFmtId="1" fontId="8" fillId="2" borderId="4" xfId="2" applyNumberFormat="1" applyFont="1" applyFill="1" applyBorder="1" applyAlignment="1">
      <alignment horizontal="center"/>
    </xf>
    <xf numFmtId="0" fontId="8" fillId="2" borderId="5" xfId="2" applyFont="1" applyFill="1" applyBorder="1" applyAlignment="1">
      <alignment horizontal="center"/>
    </xf>
    <xf numFmtId="0" fontId="8" fillId="2" borderId="0" xfId="2" applyFont="1" applyFill="1" applyBorder="1" applyAlignment="1">
      <alignment horizontal="center"/>
    </xf>
    <xf numFmtId="165" fontId="8" fillId="2" borderId="0" xfId="2" applyNumberFormat="1" applyFont="1" applyFill="1" applyBorder="1" applyAlignment="1">
      <alignment horizontal="center"/>
    </xf>
    <xf numFmtId="2" fontId="8" fillId="2" borderId="0" xfId="2" applyNumberFormat="1" applyFont="1" applyFill="1" applyBorder="1" applyAlignment="1">
      <alignment horizontal="center"/>
    </xf>
    <xf numFmtId="1" fontId="8" fillId="2" borderId="6" xfId="2" applyNumberFormat="1" applyFont="1" applyFill="1" applyBorder="1" applyAlignment="1">
      <alignment horizontal="center"/>
    </xf>
    <xf numFmtId="0" fontId="8" fillId="2" borderId="7" xfId="2" applyFont="1" applyFill="1" applyBorder="1" applyAlignment="1">
      <alignment horizontal="center"/>
    </xf>
    <xf numFmtId="0" fontId="8" fillId="2" borderId="8" xfId="2" applyFont="1" applyFill="1" applyBorder="1" applyAlignment="1">
      <alignment horizontal="center"/>
    </xf>
    <xf numFmtId="165" fontId="8" fillId="2" borderId="8" xfId="2" applyNumberFormat="1" applyFont="1" applyFill="1" applyBorder="1" applyAlignment="1">
      <alignment horizontal="center"/>
    </xf>
    <xf numFmtId="2" fontId="8" fillId="2" borderId="8" xfId="2" applyNumberFormat="1" applyFont="1" applyFill="1" applyBorder="1" applyAlignment="1">
      <alignment horizontal="center"/>
    </xf>
    <xf numFmtId="1" fontId="8" fillId="2" borderId="9" xfId="2" applyNumberFormat="1" applyFont="1" applyFill="1" applyBorder="1" applyAlignment="1">
      <alignment horizontal="center"/>
    </xf>
    <xf numFmtId="165" fontId="8" fillId="3" borderId="0" xfId="2" applyNumberFormat="1" applyFont="1" applyFill="1"/>
    <xf numFmtId="1" fontId="8" fillId="0" borderId="0" xfId="2" applyNumberFormat="1" applyFont="1"/>
    <xf numFmtId="166" fontId="7" fillId="4" borderId="2" xfId="2" applyNumberFormat="1" applyFont="1" applyFill="1" applyBorder="1"/>
    <xf numFmtId="1" fontId="8" fillId="4" borderId="4" xfId="2" applyNumberFormat="1" applyFont="1" applyFill="1" applyBorder="1"/>
    <xf numFmtId="165" fontId="8" fillId="0" borderId="0" xfId="2" applyNumberFormat="1" applyFont="1"/>
    <xf numFmtId="166" fontId="7" fillId="4" borderId="5" xfId="2" applyNumberFormat="1" applyFont="1" applyFill="1" applyBorder="1"/>
    <xf numFmtId="1" fontId="8" fillId="4" borderId="6" xfId="2" applyNumberFormat="1" applyFont="1" applyFill="1" applyBorder="1"/>
    <xf numFmtId="167" fontId="7" fillId="0" borderId="0" xfId="2" applyNumberFormat="1"/>
    <xf numFmtId="166" fontId="7" fillId="4" borderId="7" xfId="2" applyNumberFormat="1" applyFont="1" applyFill="1" applyBorder="1"/>
    <xf numFmtId="0" fontId="8" fillId="4" borderId="9" xfId="2" applyNumberFormat="1" applyFont="1" applyFill="1" applyBorder="1" applyAlignment="1">
      <alignment wrapText="1"/>
    </xf>
    <xf numFmtId="1" fontId="9" fillId="0" borderId="0" xfId="3" applyNumberFormat="1"/>
    <xf numFmtId="1" fontId="10" fillId="0" borderId="0" xfId="2" applyNumberFormat="1" applyFont="1"/>
    <xf numFmtId="14" fontId="7" fillId="0" borderId="0" xfId="2" applyNumberFormat="1" applyAlignment="1">
      <alignment wrapText="1"/>
    </xf>
    <xf numFmtId="168" fontId="7" fillId="4" borderId="2" xfId="2" applyNumberFormat="1" applyFont="1" applyFill="1" applyBorder="1"/>
    <xf numFmtId="168" fontId="7" fillId="4" borderId="5" xfId="2" applyNumberFormat="1" applyFont="1" applyFill="1" applyBorder="1"/>
    <xf numFmtId="168" fontId="7" fillId="4" borderId="7" xfId="2" applyNumberFormat="1" applyFont="1" applyFill="1" applyBorder="1"/>
    <xf numFmtId="10" fontId="7" fillId="0" borderId="0" xfId="2" applyNumberFormat="1"/>
    <xf numFmtId="0" fontId="8" fillId="0" borderId="0" xfId="2" applyFont="1"/>
    <xf numFmtId="4" fontId="7" fillId="0" borderId="0" xfId="2" applyNumberFormat="1"/>
    <xf numFmtId="0" fontId="7" fillId="0" borderId="0" xfId="2" applyFont="1"/>
    <xf numFmtId="0" fontId="7" fillId="0" borderId="0" xfId="2" applyAlignment="1">
      <alignment horizontal="center"/>
    </xf>
    <xf numFmtId="2" fontId="7" fillId="3" borderId="0" xfId="2" applyNumberFormat="1" applyFont="1" applyFill="1"/>
    <xf numFmtId="0" fontId="11" fillId="0" borderId="0" xfId="2" applyFont="1" applyAlignment="1">
      <alignment horizontal="center"/>
    </xf>
    <xf numFmtId="0" fontId="12" fillId="0" borderId="0" xfId="2" applyFont="1"/>
    <xf numFmtId="0" fontId="0" fillId="5" borderId="2" xfId="0" applyFill="1" applyBorder="1"/>
    <xf numFmtId="0" fontId="0" fillId="5" borderId="3" xfId="0" applyFill="1" applyBorder="1"/>
    <xf numFmtId="0" fontId="0" fillId="5" borderId="4" xfId="0" applyFill="1" applyBorder="1"/>
    <xf numFmtId="0" fontId="0" fillId="5" borderId="5" xfId="0" applyFill="1" applyBorder="1"/>
    <xf numFmtId="0" fontId="0" fillId="5" borderId="0" xfId="0" applyFill="1" applyBorder="1"/>
    <xf numFmtId="0" fontId="0" fillId="5" borderId="6" xfId="0" applyFill="1" applyBorder="1"/>
    <xf numFmtId="0" fontId="2" fillId="5" borderId="6" xfId="0" applyFont="1" applyFill="1" applyBorder="1"/>
    <xf numFmtId="0" fontId="0" fillId="0" borderId="0" xfId="0" applyBorder="1"/>
    <xf numFmtId="0" fontId="13" fillId="5" borderId="0" xfId="0" applyFont="1" applyFill="1" applyBorder="1"/>
    <xf numFmtId="0" fontId="7" fillId="0" borderId="0" xfId="0" applyFont="1" applyBorder="1"/>
    <xf numFmtId="0" fontId="0" fillId="5" borderId="0" xfId="0" applyFill="1" applyBorder="1" applyAlignment="1">
      <alignment horizontal="center"/>
    </xf>
    <xf numFmtId="0" fontId="0" fillId="5" borderId="7" xfId="0" applyFill="1" applyBorder="1"/>
    <xf numFmtId="0" fontId="0" fillId="5" borderId="8" xfId="0" applyFill="1" applyBorder="1"/>
    <xf numFmtId="0" fontId="2" fillId="5" borderId="9" xfId="0" applyFont="1" applyFill="1" applyBorder="1"/>
    <xf numFmtId="0" fontId="8" fillId="0" borderId="0" xfId="0" applyFont="1" applyBorder="1"/>
    <xf numFmtId="0" fontId="7" fillId="0" borderId="0" xfId="0" applyFont="1" applyBorder="1" applyAlignment="1">
      <alignment horizontal="right" vertical="top"/>
    </xf>
    <xf numFmtId="0" fontId="0" fillId="0" borderId="0" xfId="0" applyBorder="1" applyAlignment="1">
      <alignment horizontal="center"/>
    </xf>
    <xf numFmtId="0" fontId="0" fillId="6" borderId="2" xfId="0" applyFill="1" applyBorder="1"/>
    <xf numFmtId="0" fontId="0" fillId="6" borderId="4" xfId="0" applyFill="1" applyBorder="1"/>
    <xf numFmtId="0" fontId="7" fillId="0" borderId="0" xfId="0" applyFont="1" applyBorder="1" applyAlignment="1">
      <alignment horizontal="center"/>
    </xf>
    <xf numFmtId="0" fontId="8" fillId="5" borderId="4" xfId="0" applyFont="1" applyFill="1" applyBorder="1"/>
    <xf numFmtId="0" fontId="0" fillId="6" borderId="5" xfId="0" applyFill="1" applyBorder="1"/>
    <xf numFmtId="0" fontId="0" fillId="6" borderId="6" xfId="0" applyFill="1" applyBorder="1"/>
    <xf numFmtId="0" fontId="8" fillId="5" borderId="6" xfId="0" applyFont="1" applyFill="1" applyBorder="1"/>
    <xf numFmtId="0" fontId="0" fillId="7" borderId="2" xfId="0" applyFill="1" applyBorder="1"/>
    <xf numFmtId="0" fontId="0" fillId="7" borderId="3" xfId="0" applyFill="1" applyBorder="1"/>
    <xf numFmtId="0" fontId="2" fillId="7" borderId="4" xfId="0" applyFont="1" applyFill="1" applyBorder="1"/>
    <xf numFmtId="0" fontId="0" fillId="5" borderId="5" xfId="0" applyFill="1" applyBorder="1" applyAlignment="1">
      <alignment horizontal="center"/>
    </xf>
    <xf numFmtId="0" fontId="0" fillId="7" borderId="5" xfId="0" applyFill="1" applyBorder="1"/>
    <xf numFmtId="0" fontId="0" fillId="7" borderId="0" xfId="0" applyFill="1" applyBorder="1"/>
    <xf numFmtId="0" fontId="2" fillId="7" borderId="6" xfId="0" applyFont="1" applyFill="1" applyBorder="1"/>
    <xf numFmtId="0" fontId="7" fillId="5" borderId="5" xfId="0" applyFont="1" applyFill="1" applyBorder="1" applyAlignment="1">
      <alignment horizontal="center"/>
    </xf>
    <xf numFmtId="0" fontId="7" fillId="5" borderId="0" xfId="0" applyFont="1" applyFill="1" applyBorder="1" applyAlignment="1">
      <alignment horizontal="center"/>
    </xf>
    <xf numFmtId="0" fontId="8" fillId="5" borderId="0" xfId="0" applyFont="1" applyFill="1" applyBorder="1"/>
    <xf numFmtId="0" fontId="2" fillId="7" borderId="5" xfId="0" applyFont="1" applyFill="1" applyBorder="1"/>
    <xf numFmtId="0" fontId="2" fillId="7" borderId="0" xfId="0" applyFont="1" applyFill="1" applyBorder="1"/>
    <xf numFmtId="0" fontId="0" fillId="7" borderId="6" xfId="0" applyFill="1" applyBorder="1"/>
    <xf numFmtId="0" fontId="8" fillId="5" borderId="8" xfId="0" applyFont="1" applyFill="1" applyBorder="1"/>
    <xf numFmtId="0" fontId="0" fillId="5" borderId="9" xfId="0" applyFill="1" applyBorder="1"/>
    <xf numFmtId="0" fontId="0" fillId="7" borderId="7" xfId="0" applyFill="1" applyBorder="1"/>
    <xf numFmtId="0" fontId="2" fillId="7" borderId="8" xfId="0" applyFont="1" applyFill="1" applyBorder="1" applyAlignment="1">
      <alignment horizontal="right"/>
    </xf>
    <xf numFmtId="0" fontId="0" fillId="7" borderId="9" xfId="0" applyFill="1" applyBorder="1"/>
    <xf numFmtId="0" fontId="0" fillId="6" borderId="7" xfId="0" applyFill="1" applyBorder="1"/>
    <xf numFmtId="0" fontId="2" fillId="6" borderId="9" xfId="0" applyFont="1" applyFill="1" applyBorder="1"/>
    <xf numFmtId="0" fontId="15" fillId="0" borderId="0" xfId="4"/>
    <xf numFmtId="0" fontId="16" fillId="0" borderId="0" xfId="0" applyFont="1"/>
    <xf numFmtId="0" fontId="0" fillId="0" borderId="0" xfId="0" applyAlignment="1">
      <alignment wrapText="1"/>
    </xf>
    <xf numFmtId="14" fontId="0" fillId="0" borderId="0" xfId="0" applyNumberFormat="1"/>
    <xf numFmtId="14" fontId="0" fillId="0" borderId="0" xfId="0" applyNumberFormat="1" applyAlignment="1">
      <alignment wrapText="1"/>
    </xf>
    <xf numFmtId="0" fontId="17" fillId="0" borderId="0" xfId="0" applyFont="1"/>
    <xf numFmtId="0" fontId="17" fillId="0" borderId="0" xfId="0" applyFont="1" applyAlignment="1">
      <alignment wrapText="1"/>
    </xf>
    <xf numFmtId="10" fontId="0" fillId="6" borderId="5" xfId="0" applyNumberFormat="1" applyFill="1" applyBorder="1"/>
    <xf numFmtId="9" fontId="0" fillId="6" borderId="5" xfId="0" applyNumberFormat="1" applyFill="1" applyBorder="1"/>
    <xf numFmtId="169" fontId="7" fillId="0" borderId="0" xfId="2" applyNumberFormat="1"/>
    <xf numFmtId="0" fontId="7" fillId="8" borderId="0" xfId="2" applyFont="1" applyFill="1"/>
    <xf numFmtId="0" fontId="7" fillId="8" borderId="0" xfId="2" applyFill="1"/>
    <xf numFmtId="10" fontId="7" fillId="8" borderId="0" xfId="2" applyNumberFormat="1" applyFill="1"/>
    <xf numFmtId="165" fontId="7" fillId="8" borderId="0" xfId="2" applyNumberFormat="1" applyFill="1"/>
    <xf numFmtId="0" fontId="7" fillId="9" borderId="0" xfId="2" applyFill="1"/>
    <xf numFmtId="165" fontId="7" fillId="9" borderId="0" xfId="2" applyNumberFormat="1" applyFill="1"/>
    <xf numFmtId="0" fontId="20" fillId="0" borderId="0" xfId="2" applyFont="1"/>
    <xf numFmtId="0" fontId="19" fillId="0" borderId="0" xfId="2" applyFont="1" applyAlignment="1">
      <alignment horizontal="center"/>
    </xf>
    <xf numFmtId="0" fontId="18" fillId="0" borderId="0" xfId="2" applyFont="1" applyAlignment="1">
      <alignment horizontal="center"/>
    </xf>
    <xf numFmtId="0" fontId="7" fillId="0" borderId="0" xfId="2" applyFill="1"/>
    <xf numFmtId="0" fontId="7" fillId="0" borderId="0" xfId="2" applyFont="1" applyFill="1"/>
    <xf numFmtId="0" fontId="22" fillId="0" borderId="0" xfId="5" applyFont="1"/>
    <xf numFmtId="0" fontId="21" fillId="0" borderId="0" xfId="5"/>
    <xf numFmtId="0" fontId="23" fillId="0" borderId="0" xfId="5" applyFont="1"/>
    <xf numFmtId="0" fontId="24" fillId="0" borderId="10" xfId="5" applyFont="1" applyBorder="1" applyAlignment="1">
      <alignment horizontal="left"/>
    </xf>
    <xf numFmtId="2" fontId="25" fillId="0" borderId="11" xfId="6" applyNumberFormat="1" applyFont="1" applyBorder="1"/>
    <xf numFmtId="0" fontId="25" fillId="11" borderId="10" xfId="5" applyFont="1" applyFill="1" applyBorder="1" applyAlignment="1">
      <alignment horizontal="center"/>
    </xf>
    <xf numFmtId="0" fontId="25" fillId="11" borderId="11" xfId="5" applyFont="1" applyFill="1" applyBorder="1" applyAlignment="1">
      <alignment horizontal="center"/>
    </xf>
    <xf numFmtId="0" fontId="24" fillId="0" borderId="12" xfId="5" applyFont="1" applyBorder="1" applyAlignment="1">
      <alignment horizontal="left"/>
    </xf>
    <xf numFmtId="2" fontId="25" fillId="0" borderId="13" xfId="6" applyNumberFormat="1" applyFont="1" applyBorder="1"/>
    <xf numFmtId="0" fontId="23" fillId="11" borderId="12" xfId="5" applyFont="1" applyFill="1" applyBorder="1" applyAlignment="1">
      <alignment horizontal="center"/>
    </xf>
    <xf numFmtId="0" fontId="23" fillId="11" borderId="13" xfId="5" applyFont="1" applyFill="1" applyBorder="1" applyAlignment="1">
      <alignment horizontal="center"/>
    </xf>
    <xf numFmtId="0" fontId="23" fillId="11" borderId="12" xfId="6" applyFont="1" applyFill="1" applyBorder="1" applyAlignment="1">
      <alignment horizontal="center"/>
    </xf>
    <xf numFmtId="10" fontId="25" fillId="0" borderId="13" xfId="7" applyNumberFormat="1" applyFont="1" applyBorder="1"/>
    <xf numFmtId="0" fontId="23" fillId="11" borderId="14" xfId="6" applyFont="1" applyFill="1" applyBorder="1" applyAlignment="1">
      <alignment horizontal="center"/>
    </xf>
    <xf numFmtId="0" fontId="23" fillId="11" borderId="15" xfId="5" applyFont="1" applyFill="1" applyBorder="1" applyAlignment="1">
      <alignment horizontal="center"/>
    </xf>
    <xf numFmtId="0" fontId="24" fillId="0" borderId="12" xfId="6" applyFont="1" applyBorder="1" applyAlignment="1">
      <alignment horizontal="left"/>
    </xf>
    <xf numFmtId="1" fontId="25" fillId="0" borderId="13" xfId="6" applyNumberFormat="1" applyFont="1" applyBorder="1"/>
    <xf numFmtId="0" fontId="24" fillId="12" borderId="9" xfId="5" applyFont="1" applyFill="1" applyBorder="1"/>
    <xf numFmtId="10" fontId="27" fillId="12" borderId="5" xfId="7" applyNumberFormat="1" applyFont="1" applyFill="1" applyBorder="1"/>
    <xf numFmtId="165" fontId="27" fillId="12" borderId="2" xfId="5" applyNumberFormat="1" applyFont="1" applyFill="1" applyBorder="1"/>
    <xf numFmtId="165" fontId="21" fillId="0" borderId="0" xfId="5" applyNumberFormat="1"/>
    <xf numFmtId="0" fontId="24" fillId="12" borderId="6" xfId="5" applyFont="1" applyFill="1" applyBorder="1"/>
    <xf numFmtId="0" fontId="24" fillId="12" borderId="4" xfId="5" applyFont="1" applyFill="1" applyBorder="1"/>
    <xf numFmtId="170" fontId="21" fillId="0" borderId="0" xfId="8" applyNumberFormat="1"/>
    <xf numFmtId="0" fontId="29" fillId="10" borderId="0" xfId="5" applyFont="1" applyFill="1"/>
    <xf numFmtId="169" fontId="27" fillId="12" borderId="12" xfId="5" applyNumberFormat="1" applyFont="1" applyFill="1" applyBorder="1"/>
    <xf numFmtId="0" fontId="28" fillId="13" borderId="0" xfId="5" applyFont="1" applyFill="1" applyAlignment="1">
      <alignment horizontal="right"/>
    </xf>
    <xf numFmtId="0" fontId="28" fillId="13" borderId="0" xfId="5" applyFont="1" applyFill="1"/>
    <xf numFmtId="171" fontId="0" fillId="5" borderId="0" xfId="0" applyNumberFormat="1" applyFill="1" applyBorder="1"/>
    <xf numFmtId="0" fontId="2" fillId="14" borderId="0" xfId="0" applyFont="1" applyFill="1"/>
    <xf numFmtId="0" fontId="0" fillId="14" borderId="0" xfId="0" applyFill="1"/>
    <xf numFmtId="10" fontId="2" fillId="14" borderId="0" xfId="0" applyNumberFormat="1" applyFont="1" applyFill="1"/>
    <xf numFmtId="0" fontId="8" fillId="0" borderId="0" xfId="2" applyFont="1" applyAlignment="1">
      <alignment horizontal="center"/>
    </xf>
    <xf numFmtId="172" fontId="0" fillId="0" borderId="0" xfId="0" applyNumberFormat="1"/>
    <xf numFmtId="0" fontId="8" fillId="0" borderId="0" xfId="2" applyFont="1" applyAlignment="1">
      <alignment horizontal="center"/>
    </xf>
    <xf numFmtId="3" fontId="7" fillId="10" borderId="0" xfId="2" applyNumberFormat="1" applyFill="1" applyAlignment="1">
      <alignment horizontal="center"/>
    </xf>
  </cellXfs>
  <cellStyles count="9">
    <cellStyle name="Lien hypertexte" xfId="3" builtinId="8"/>
    <cellStyle name="Lien hypertexte 2" xfId="4"/>
    <cellStyle name="Milliers 2" xfId="8"/>
    <cellStyle name="Normal" xfId="0" builtinId="0"/>
    <cellStyle name="Normal 2" xfId="2"/>
    <cellStyle name="Normal 3" xfId="5"/>
    <cellStyle name="Normal_Feuil1" xfId="1"/>
    <cellStyle name="Normal_Sheet1" xfId="6"/>
    <cellStyle name="Pourcentage 2" xfId="7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5942004044523352E-2"/>
          <c:y val="2.9145236019307796E-2"/>
          <c:w val="0.93760085168789775"/>
          <c:h val="0.9356646559557128"/>
        </c:manualLayout>
      </c:layout>
      <c:scatterChart>
        <c:scatterStyle val="smoothMarker"/>
        <c:varyColors val="0"/>
        <c:ser>
          <c:idx val="1"/>
          <c:order val="1"/>
          <c:tx>
            <c:v>pts interpolés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Interpolation!$D$2:$D$31</c:f>
              <c:numCache>
                <c:formatCode>General</c:formatCode>
                <c:ptCount val="30"/>
                <c:pt idx="0">
                  <c:v>1</c:v>
                </c:pt>
                <c:pt idx="1">
                  <c:v>7</c:v>
                </c:pt>
                <c:pt idx="2">
                  <c:v>30</c:v>
                </c:pt>
                <c:pt idx="3">
                  <c:v>60</c:v>
                </c:pt>
                <c:pt idx="4">
                  <c:v>90</c:v>
                </c:pt>
                <c:pt idx="5">
                  <c:v>180</c:v>
                </c:pt>
                <c:pt idx="6">
                  <c:v>270</c:v>
                </c:pt>
                <c:pt idx="7">
                  <c:v>365</c:v>
                </c:pt>
                <c:pt idx="8">
                  <c:v>730</c:v>
                </c:pt>
                <c:pt idx="9">
                  <c:v>1095</c:v>
                </c:pt>
                <c:pt idx="10">
                  <c:v>1460</c:v>
                </c:pt>
                <c:pt idx="11">
                  <c:v>1825</c:v>
                </c:pt>
                <c:pt idx="12">
                  <c:v>2190</c:v>
                </c:pt>
                <c:pt idx="13">
                  <c:v>2555</c:v>
                </c:pt>
                <c:pt idx="14">
                  <c:v>2920</c:v>
                </c:pt>
                <c:pt idx="15">
                  <c:v>3285</c:v>
                </c:pt>
                <c:pt idx="16">
                  <c:v>3650</c:v>
                </c:pt>
                <c:pt idx="17">
                  <c:v>4015</c:v>
                </c:pt>
                <c:pt idx="18">
                  <c:v>4380</c:v>
                </c:pt>
                <c:pt idx="19">
                  <c:v>4745</c:v>
                </c:pt>
                <c:pt idx="20">
                  <c:v>5110</c:v>
                </c:pt>
                <c:pt idx="21">
                  <c:v>5475</c:v>
                </c:pt>
                <c:pt idx="22">
                  <c:v>5840</c:v>
                </c:pt>
                <c:pt idx="23">
                  <c:v>6205</c:v>
                </c:pt>
                <c:pt idx="24">
                  <c:v>6570</c:v>
                </c:pt>
                <c:pt idx="25">
                  <c:v>6935</c:v>
                </c:pt>
                <c:pt idx="26">
                  <c:v>7300</c:v>
                </c:pt>
                <c:pt idx="27">
                  <c:v>7665</c:v>
                </c:pt>
                <c:pt idx="28">
                  <c:v>8030</c:v>
                </c:pt>
                <c:pt idx="29">
                  <c:v>8395</c:v>
                </c:pt>
              </c:numCache>
            </c:numRef>
          </c:xVal>
          <c:yVal>
            <c:numRef>
              <c:f>Interpolation!$E$2:$E$31</c:f>
              <c:numCache>
                <c:formatCode>0.00%</c:formatCode>
                <c:ptCount val="30"/>
                <c:pt idx="0">
                  <c:v>4.7649999999999998E-2</c:v>
                </c:pt>
                <c:pt idx="1">
                  <c:v>4.7674420000000002E-2</c:v>
                </c:pt>
                <c:pt idx="2">
                  <c:v>4.77636848913972E-2</c:v>
                </c:pt>
                <c:pt idx="3">
                  <c:v>4.7876187355185784E-2</c:v>
                </c:pt>
                <c:pt idx="4">
                  <c:v>4.8000419254658387E-2</c:v>
                </c:pt>
                <c:pt idx="5">
                  <c:v>4.8356485165931912E-2</c:v>
                </c:pt>
                <c:pt idx="6">
                  <c:v>4.8714712333050983E-2</c:v>
                </c:pt>
                <c:pt idx="7">
                  <c:v>4.9274472451517379E-2</c:v>
                </c:pt>
                <c:pt idx="8">
                  <c:v>5.2488904423077798E-2</c:v>
                </c:pt>
                <c:pt idx="9">
                  <c:v>5.5623476197514538E-2</c:v>
                </c:pt>
                <c:pt idx="10">
                  <c:v>5.827798385998658E-2</c:v>
                </c:pt>
                <c:pt idx="11">
                  <c:v>6.0139516709996461E-2</c:v>
                </c:pt>
                <c:pt idx="12">
                  <c:v>6.2108277528703924E-2</c:v>
                </c:pt>
                <c:pt idx="13">
                  <c:v>6.3174967685322422E-2</c:v>
                </c:pt>
                <c:pt idx="14">
                  <c:v>6.3768839093106336E-2</c:v>
                </c:pt>
                <c:pt idx="15">
                  <c:v>6.4428829787234007E-2</c:v>
                </c:pt>
                <c:pt idx="16">
                  <c:v>6.5088936170212691E-2</c:v>
                </c:pt>
                <c:pt idx="17">
                  <c:v>6.5749042553191375E-2</c:v>
                </c:pt>
                <c:pt idx="18">
                  <c:v>6.6409148936170059E-2</c:v>
                </c:pt>
                <c:pt idx="19">
                  <c:v>6.7069255319148743E-2</c:v>
                </c:pt>
                <c:pt idx="20">
                  <c:v>6.7729361702127414E-2</c:v>
                </c:pt>
                <c:pt idx="21">
                  <c:v>6.8389468085106098E-2</c:v>
                </c:pt>
                <c:pt idx="22">
                  <c:v>6.9049574468084782E-2</c:v>
                </c:pt>
                <c:pt idx="23">
                  <c:v>6.9709680851063466E-2</c:v>
                </c:pt>
                <c:pt idx="24">
                  <c:v>7.036978723404215E-2</c:v>
                </c:pt>
                <c:pt idx="25">
                  <c:v>7.1029893617020834E-2</c:v>
                </c:pt>
                <c:pt idx="26">
                  <c:v>7.1689999999999518E-2</c:v>
                </c:pt>
                <c:pt idx="27">
                  <c:v>7.2350106382978202E-2</c:v>
                </c:pt>
                <c:pt idx="28">
                  <c:v>7.3010212765956886E-2</c:v>
                </c:pt>
                <c:pt idx="29">
                  <c:v>7.367031914893557E-2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740992"/>
        <c:axId val="92784128"/>
      </c:scatterChar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Interpolation!$A$2:$A$27</c:f>
              <c:numCache>
                <c:formatCode>General</c:formatCode>
                <c:ptCount val="26"/>
                <c:pt idx="0">
                  <c:v>1</c:v>
                </c:pt>
                <c:pt idx="1">
                  <c:v>21</c:v>
                </c:pt>
                <c:pt idx="2">
                  <c:v>48</c:v>
                </c:pt>
                <c:pt idx="3">
                  <c:v>76</c:v>
                </c:pt>
                <c:pt idx="4">
                  <c:v>104</c:v>
                </c:pt>
                <c:pt idx="5">
                  <c:v>139</c:v>
                </c:pt>
                <c:pt idx="6">
                  <c:v>167</c:v>
                </c:pt>
                <c:pt idx="7">
                  <c:v>188</c:v>
                </c:pt>
                <c:pt idx="8">
                  <c:v>224</c:v>
                </c:pt>
                <c:pt idx="9">
                  <c:v>236</c:v>
                </c:pt>
                <c:pt idx="10">
                  <c:v>251</c:v>
                </c:pt>
                <c:pt idx="11">
                  <c:v>279</c:v>
                </c:pt>
                <c:pt idx="12">
                  <c:v>307</c:v>
                </c:pt>
                <c:pt idx="13">
                  <c:v>481</c:v>
                </c:pt>
                <c:pt idx="14">
                  <c:v>632</c:v>
                </c:pt>
                <c:pt idx="15">
                  <c:v>846</c:v>
                </c:pt>
                <c:pt idx="16">
                  <c:v>908</c:v>
                </c:pt>
                <c:pt idx="17">
                  <c:v>1119</c:v>
                </c:pt>
                <c:pt idx="18">
                  <c:v>1307</c:v>
                </c:pt>
                <c:pt idx="19">
                  <c:v>1577</c:v>
                </c:pt>
                <c:pt idx="20">
                  <c:v>1636</c:v>
                </c:pt>
                <c:pt idx="21">
                  <c:v>1727</c:v>
                </c:pt>
                <c:pt idx="22">
                  <c:v>2065</c:v>
                </c:pt>
                <c:pt idx="23">
                  <c:v>2311</c:v>
                </c:pt>
                <c:pt idx="24">
                  <c:v>2882</c:v>
                </c:pt>
                <c:pt idx="25">
                  <c:v>2976</c:v>
                </c:pt>
              </c:numCache>
            </c:numRef>
          </c:xVal>
          <c:yVal>
            <c:numRef>
              <c:f>Interpolation!$B$2:$B$27</c:f>
              <c:numCache>
                <c:formatCode>0.00%</c:formatCode>
                <c:ptCount val="26"/>
                <c:pt idx="0">
                  <c:v>4.7649999999999998E-2</c:v>
                </c:pt>
                <c:pt idx="1">
                  <c:v>4.7730000000000002E-2</c:v>
                </c:pt>
                <c:pt idx="2">
                  <c:v>4.7829999999999998E-2</c:v>
                </c:pt>
                <c:pt idx="3">
                  <c:v>4.7940000000000003E-2</c:v>
                </c:pt>
                <c:pt idx="4">
                  <c:v>4.8059999999999999E-2</c:v>
                </c:pt>
                <c:pt idx="5">
                  <c:v>4.8189999999999997E-2</c:v>
                </c:pt>
                <c:pt idx="6">
                  <c:v>4.8300000000000003E-2</c:v>
                </c:pt>
                <c:pt idx="7">
                  <c:v>4.8390000000000002E-2</c:v>
                </c:pt>
                <c:pt idx="8">
                  <c:v>4.8520000000000001E-2</c:v>
                </c:pt>
                <c:pt idx="9">
                  <c:v>4.8579999999999998E-2</c:v>
                </c:pt>
                <c:pt idx="10">
                  <c:v>4.8640000000000003E-2</c:v>
                </c:pt>
                <c:pt idx="11">
                  <c:v>4.8750000000000002E-2</c:v>
                </c:pt>
                <c:pt idx="12">
                  <c:v>4.8860000000000001E-2</c:v>
                </c:pt>
                <c:pt idx="13">
                  <c:v>5.0349999999999999E-2</c:v>
                </c:pt>
                <c:pt idx="14">
                  <c:v>5.1650000000000001E-2</c:v>
                </c:pt>
                <c:pt idx="15">
                  <c:v>5.348E-2</c:v>
                </c:pt>
                <c:pt idx="16">
                  <c:v>5.4010000000000002E-2</c:v>
                </c:pt>
                <c:pt idx="17">
                  <c:v>5.5829999999999998E-2</c:v>
                </c:pt>
                <c:pt idx="18">
                  <c:v>5.7439999999999998E-2</c:v>
                </c:pt>
                <c:pt idx="19">
                  <c:v>5.885E-2</c:v>
                </c:pt>
                <c:pt idx="20">
                  <c:v>5.9150000000000001E-2</c:v>
                </c:pt>
                <c:pt idx="21">
                  <c:v>5.9630000000000002E-2</c:v>
                </c:pt>
                <c:pt idx="22">
                  <c:v>6.1379999999999997E-2</c:v>
                </c:pt>
                <c:pt idx="23">
                  <c:v>6.2659999999999993E-2</c:v>
                </c:pt>
                <c:pt idx="24">
                  <c:v>6.3700000000000007E-2</c:v>
                </c:pt>
                <c:pt idx="25">
                  <c:v>6.3869999999999996E-2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740992"/>
        <c:axId val="92784128"/>
      </c:scatterChart>
      <c:valAx>
        <c:axId val="927409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2784128"/>
        <c:crosses val="autoZero"/>
        <c:crossBetween val="midCat"/>
      </c:valAx>
      <c:valAx>
        <c:axId val="92784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27409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1270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fr-FR"/>
              <a:t>Conditional and Unconditional Exchange Rate Volatility</a:t>
            </a:r>
          </a:p>
        </c:rich>
      </c:tx>
      <c:layout>
        <c:manualLayout>
          <c:xMode val="edge"/>
          <c:yMode val="edge"/>
          <c:x val="0.13004348337054883"/>
          <c:y val="3.606571905784504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565552699228792"/>
          <c:y val="0.19672131147540983"/>
          <c:w val="0.71456843455665298"/>
          <c:h val="0.52786885245901638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cat>
            <c:numRef>
              <c:f>'Garch(1,1) Euro'!$A$15:$A$1818</c:f>
              <c:numCache>
                <c:formatCode>m/d/yyyy</c:formatCode>
                <c:ptCount val="1804"/>
                <c:pt idx="0">
                  <c:v>40279</c:v>
                </c:pt>
                <c:pt idx="1">
                  <c:v>40280</c:v>
                </c:pt>
                <c:pt idx="2">
                  <c:v>40281</c:v>
                </c:pt>
                <c:pt idx="3">
                  <c:v>40282</c:v>
                </c:pt>
                <c:pt idx="4">
                  <c:v>40283</c:v>
                </c:pt>
                <c:pt idx="5">
                  <c:v>40284</c:v>
                </c:pt>
                <c:pt idx="6">
                  <c:v>40285</c:v>
                </c:pt>
                <c:pt idx="7">
                  <c:v>40286</c:v>
                </c:pt>
                <c:pt idx="8">
                  <c:v>40287</c:v>
                </c:pt>
                <c:pt idx="9">
                  <c:v>40288</c:v>
                </c:pt>
                <c:pt idx="10">
                  <c:v>40289</c:v>
                </c:pt>
                <c:pt idx="11">
                  <c:v>40290</c:v>
                </c:pt>
                <c:pt idx="12">
                  <c:v>40291</c:v>
                </c:pt>
                <c:pt idx="13">
                  <c:v>40292</c:v>
                </c:pt>
                <c:pt idx="14">
                  <c:v>40293</c:v>
                </c:pt>
                <c:pt idx="15">
                  <c:v>40294</c:v>
                </c:pt>
                <c:pt idx="16">
                  <c:v>40295</c:v>
                </c:pt>
                <c:pt idx="17">
                  <c:v>40296</c:v>
                </c:pt>
                <c:pt idx="18">
                  <c:v>40297</c:v>
                </c:pt>
                <c:pt idx="19">
                  <c:v>40298</c:v>
                </c:pt>
                <c:pt idx="20">
                  <c:v>40299</c:v>
                </c:pt>
                <c:pt idx="21">
                  <c:v>40300</c:v>
                </c:pt>
                <c:pt idx="22">
                  <c:v>40301</c:v>
                </c:pt>
                <c:pt idx="23">
                  <c:v>40302</c:v>
                </c:pt>
                <c:pt idx="24">
                  <c:v>40303</c:v>
                </c:pt>
                <c:pt idx="25">
                  <c:v>40304</c:v>
                </c:pt>
                <c:pt idx="26">
                  <c:v>40305</c:v>
                </c:pt>
                <c:pt idx="27">
                  <c:v>40306</c:v>
                </c:pt>
                <c:pt idx="28">
                  <c:v>40307</c:v>
                </c:pt>
                <c:pt idx="29">
                  <c:v>40308</c:v>
                </c:pt>
                <c:pt idx="30">
                  <c:v>40309</c:v>
                </c:pt>
                <c:pt idx="31">
                  <c:v>40310</c:v>
                </c:pt>
                <c:pt idx="32">
                  <c:v>40311</c:v>
                </c:pt>
                <c:pt idx="33">
                  <c:v>40312</c:v>
                </c:pt>
                <c:pt idx="34">
                  <c:v>40313</c:v>
                </c:pt>
                <c:pt idx="35">
                  <c:v>40314</c:v>
                </c:pt>
                <c:pt idx="36">
                  <c:v>40315</c:v>
                </c:pt>
                <c:pt idx="37">
                  <c:v>40316</c:v>
                </c:pt>
                <c:pt idx="38">
                  <c:v>40317</c:v>
                </c:pt>
                <c:pt idx="39">
                  <c:v>40318</c:v>
                </c:pt>
                <c:pt idx="40">
                  <c:v>40319</c:v>
                </c:pt>
                <c:pt idx="41">
                  <c:v>40320</c:v>
                </c:pt>
                <c:pt idx="42">
                  <c:v>40321</c:v>
                </c:pt>
                <c:pt idx="43">
                  <c:v>40322</c:v>
                </c:pt>
                <c:pt idx="44">
                  <c:v>40323</c:v>
                </c:pt>
                <c:pt idx="45">
                  <c:v>40324</c:v>
                </c:pt>
                <c:pt idx="46">
                  <c:v>40325</c:v>
                </c:pt>
                <c:pt idx="47">
                  <c:v>40326</c:v>
                </c:pt>
                <c:pt idx="48">
                  <c:v>40327</c:v>
                </c:pt>
                <c:pt idx="49">
                  <c:v>40328</c:v>
                </c:pt>
                <c:pt idx="50">
                  <c:v>40329</c:v>
                </c:pt>
                <c:pt idx="51">
                  <c:v>40330</c:v>
                </c:pt>
                <c:pt idx="52">
                  <c:v>40331</c:v>
                </c:pt>
                <c:pt idx="53">
                  <c:v>40332</c:v>
                </c:pt>
                <c:pt idx="54">
                  <c:v>40333</c:v>
                </c:pt>
                <c:pt idx="55">
                  <c:v>40334</c:v>
                </c:pt>
                <c:pt idx="56">
                  <c:v>40335</c:v>
                </c:pt>
                <c:pt idx="57">
                  <c:v>40336</c:v>
                </c:pt>
                <c:pt idx="58">
                  <c:v>40337</c:v>
                </c:pt>
                <c:pt idx="59">
                  <c:v>40338</c:v>
                </c:pt>
                <c:pt idx="60">
                  <c:v>40339</c:v>
                </c:pt>
                <c:pt idx="61">
                  <c:v>40340</c:v>
                </c:pt>
                <c:pt idx="62">
                  <c:v>40341</c:v>
                </c:pt>
                <c:pt idx="63">
                  <c:v>40342</c:v>
                </c:pt>
                <c:pt idx="64">
                  <c:v>40343</c:v>
                </c:pt>
                <c:pt idx="65">
                  <c:v>40344</c:v>
                </c:pt>
                <c:pt idx="66">
                  <c:v>40345</c:v>
                </c:pt>
                <c:pt idx="67">
                  <c:v>40346</c:v>
                </c:pt>
                <c:pt idx="68">
                  <c:v>40347</c:v>
                </c:pt>
                <c:pt idx="69">
                  <c:v>40348</c:v>
                </c:pt>
                <c:pt idx="70">
                  <c:v>40349</c:v>
                </c:pt>
                <c:pt idx="71">
                  <c:v>40350</c:v>
                </c:pt>
                <c:pt idx="72">
                  <c:v>40351</c:v>
                </c:pt>
                <c:pt idx="73">
                  <c:v>40352</c:v>
                </c:pt>
                <c:pt idx="74">
                  <c:v>40353</c:v>
                </c:pt>
                <c:pt idx="75">
                  <c:v>40354</c:v>
                </c:pt>
                <c:pt idx="76">
                  <c:v>40355</c:v>
                </c:pt>
                <c:pt idx="77">
                  <c:v>40356</c:v>
                </c:pt>
                <c:pt idx="78">
                  <c:v>40357</c:v>
                </c:pt>
                <c:pt idx="79">
                  <c:v>40358</c:v>
                </c:pt>
                <c:pt idx="80">
                  <c:v>40359</c:v>
                </c:pt>
                <c:pt idx="81">
                  <c:v>40360</c:v>
                </c:pt>
                <c:pt idx="82">
                  <c:v>40361</c:v>
                </c:pt>
                <c:pt idx="83">
                  <c:v>40362</c:v>
                </c:pt>
                <c:pt idx="84">
                  <c:v>40363</c:v>
                </c:pt>
                <c:pt idx="85">
                  <c:v>40364</c:v>
                </c:pt>
                <c:pt idx="86">
                  <c:v>40365</c:v>
                </c:pt>
                <c:pt idx="87">
                  <c:v>40366</c:v>
                </c:pt>
                <c:pt idx="88">
                  <c:v>40367</c:v>
                </c:pt>
                <c:pt idx="89">
                  <c:v>40368</c:v>
                </c:pt>
                <c:pt idx="90">
                  <c:v>40369</c:v>
                </c:pt>
                <c:pt idx="91">
                  <c:v>40370</c:v>
                </c:pt>
                <c:pt idx="92">
                  <c:v>40371</c:v>
                </c:pt>
                <c:pt idx="93">
                  <c:v>40372</c:v>
                </c:pt>
                <c:pt idx="94">
                  <c:v>40373</c:v>
                </c:pt>
                <c:pt idx="95">
                  <c:v>40374</c:v>
                </c:pt>
                <c:pt idx="96">
                  <c:v>40375</c:v>
                </c:pt>
                <c:pt idx="97">
                  <c:v>40376</c:v>
                </c:pt>
                <c:pt idx="98">
                  <c:v>40377</c:v>
                </c:pt>
                <c:pt idx="99">
                  <c:v>40378</c:v>
                </c:pt>
                <c:pt idx="100">
                  <c:v>40379</c:v>
                </c:pt>
                <c:pt idx="101">
                  <c:v>40380</c:v>
                </c:pt>
                <c:pt idx="102">
                  <c:v>40381</c:v>
                </c:pt>
                <c:pt idx="103">
                  <c:v>40382</c:v>
                </c:pt>
                <c:pt idx="104">
                  <c:v>40383</c:v>
                </c:pt>
                <c:pt idx="105">
                  <c:v>40384</c:v>
                </c:pt>
                <c:pt idx="106">
                  <c:v>40385</c:v>
                </c:pt>
                <c:pt idx="107">
                  <c:v>40386</c:v>
                </c:pt>
                <c:pt idx="108">
                  <c:v>40387</c:v>
                </c:pt>
                <c:pt idx="109">
                  <c:v>40388</c:v>
                </c:pt>
                <c:pt idx="110">
                  <c:v>40389</c:v>
                </c:pt>
                <c:pt idx="111">
                  <c:v>40390</c:v>
                </c:pt>
                <c:pt idx="112">
                  <c:v>40391</c:v>
                </c:pt>
                <c:pt idx="113">
                  <c:v>40392</c:v>
                </c:pt>
                <c:pt idx="114">
                  <c:v>40393</c:v>
                </c:pt>
                <c:pt idx="115">
                  <c:v>40394</c:v>
                </c:pt>
                <c:pt idx="116">
                  <c:v>40395</c:v>
                </c:pt>
                <c:pt idx="117">
                  <c:v>40396</c:v>
                </c:pt>
                <c:pt idx="118">
                  <c:v>40397</c:v>
                </c:pt>
                <c:pt idx="119">
                  <c:v>40398</c:v>
                </c:pt>
                <c:pt idx="120">
                  <c:v>40399</c:v>
                </c:pt>
                <c:pt idx="121">
                  <c:v>40400</c:v>
                </c:pt>
                <c:pt idx="122">
                  <c:v>40401</c:v>
                </c:pt>
                <c:pt idx="123">
                  <c:v>40402</c:v>
                </c:pt>
                <c:pt idx="124">
                  <c:v>40403</c:v>
                </c:pt>
                <c:pt idx="125">
                  <c:v>40404</c:v>
                </c:pt>
                <c:pt idx="126">
                  <c:v>40405</c:v>
                </c:pt>
                <c:pt idx="127">
                  <c:v>40406</c:v>
                </c:pt>
                <c:pt idx="128">
                  <c:v>40407</c:v>
                </c:pt>
                <c:pt idx="129">
                  <c:v>40408</c:v>
                </c:pt>
                <c:pt idx="130">
                  <c:v>40409</c:v>
                </c:pt>
                <c:pt idx="131">
                  <c:v>40410</c:v>
                </c:pt>
                <c:pt idx="132">
                  <c:v>40411</c:v>
                </c:pt>
                <c:pt idx="133">
                  <c:v>40412</c:v>
                </c:pt>
                <c:pt idx="134">
                  <c:v>40413</c:v>
                </c:pt>
                <c:pt idx="135">
                  <c:v>40414</c:v>
                </c:pt>
                <c:pt idx="136">
                  <c:v>40415</c:v>
                </c:pt>
                <c:pt idx="137">
                  <c:v>40416</c:v>
                </c:pt>
                <c:pt idx="138">
                  <c:v>40417</c:v>
                </c:pt>
                <c:pt idx="139">
                  <c:v>40418</c:v>
                </c:pt>
                <c:pt idx="140">
                  <c:v>40419</c:v>
                </c:pt>
                <c:pt idx="141">
                  <c:v>40420</c:v>
                </c:pt>
                <c:pt idx="142">
                  <c:v>40421</c:v>
                </c:pt>
                <c:pt idx="143">
                  <c:v>40422</c:v>
                </c:pt>
                <c:pt idx="144">
                  <c:v>40423</c:v>
                </c:pt>
                <c:pt idx="145">
                  <c:v>40424</c:v>
                </c:pt>
                <c:pt idx="146">
                  <c:v>40425</c:v>
                </c:pt>
                <c:pt idx="147">
                  <c:v>40426</c:v>
                </c:pt>
                <c:pt idx="148">
                  <c:v>40427</c:v>
                </c:pt>
                <c:pt idx="149">
                  <c:v>40428</c:v>
                </c:pt>
                <c:pt idx="150">
                  <c:v>40429</c:v>
                </c:pt>
                <c:pt idx="151">
                  <c:v>40430</c:v>
                </c:pt>
                <c:pt idx="152">
                  <c:v>40431</c:v>
                </c:pt>
                <c:pt idx="153">
                  <c:v>40432</c:v>
                </c:pt>
                <c:pt idx="154">
                  <c:v>40433</c:v>
                </c:pt>
                <c:pt idx="155">
                  <c:v>40434</c:v>
                </c:pt>
                <c:pt idx="156">
                  <c:v>40435</c:v>
                </c:pt>
                <c:pt idx="157">
                  <c:v>40436</c:v>
                </c:pt>
                <c:pt idx="158">
                  <c:v>40437</c:v>
                </c:pt>
                <c:pt idx="159">
                  <c:v>40438</c:v>
                </c:pt>
                <c:pt idx="160">
                  <c:v>40439</c:v>
                </c:pt>
                <c:pt idx="161">
                  <c:v>40440</c:v>
                </c:pt>
                <c:pt idx="162">
                  <c:v>40441</c:v>
                </c:pt>
                <c:pt idx="163">
                  <c:v>40442</c:v>
                </c:pt>
                <c:pt idx="164">
                  <c:v>40443</c:v>
                </c:pt>
                <c:pt idx="165">
                  <c:v>40444</c:v>
                </c:pt>
                <c:pt idx="166">
                  <c:v>40445</c:v>
                </c:pt>
                <c:pt idx="167">
                  <c:v>40446</c:v>
                </c:pt>
                <c:pt idx="168">
                  <c:v>40447</c:v>
                </c:pt>
                <c:pt idx="169">
                  <c:v>40448</c:v>
                </c:pt>
                <c:pt idx="170">
                  <c:v>40449</c:v>
                </c:pt>
                <c:pt idx="171">
                  <c:v>40450</c:v>
                </c:pt>
                <c:pt idx="172">
                  <c:v>40451</c:v>
                </c:pt>
                <c:pt idx="173">
                  <c:v>40452</c:v>
                </c:pt>
                <c:pt idx="174">
                  <c:v>40453</c:v>
                </c:pt>
                <c:pt idx="175">
                  <c:v>40454</c:v>
                </c:pt>
                <c:pt idx="176">
                  <c:v>40455</c:v>
                </c:pt>
                <c:pt idx="177">
                  <c:v>40456</c:v>
                </c:pt>
                <c:pt idx="178">
                  <c:v>40457</c:v>
                </c:pt>
                <c:pt idx="179">
                  <c:v>40458</c:v>
                </c:pt>
                <c:pt idx="180">
                  <c:v>40459</c:v>
                </c:pt>
                <c:pt idx="181">
                  <c:v>40461</c:v>
                </c:pt>
                <c:pt idx="182">
                  <c:v>40462</c:v>
                </c:pt>
                <c:pt idx="183">
                  <c:v>40463</c:v>
                </c:pt>
                <c:pt idx="184">
                  <c:v>40464</c:v>
                </c:pt>
                <c:pt idx="185">
                  <c:v>40465</c:v>
                </c:pt>
                <c:pt idx="186">
                  <c:v>40466</c:v>
                </c:pt>
                <c:pt idx="187">
                  <c:v>40467</c:v>
                </c:pt>
                <c:pt idx="188">
                  <c:v>40468</c:v>
                </c:pt>
                <c:pt idx="189">
                  <c:v>40469</c:v>
                </c:pt>
                <c:pt idx="190">
                  <c:v>40470</c:v>
                </c:pt>
                <c:pt idx="191">
                  <c:v>40471</c:v>
                </c:pt>
                <c:pt idx="192">
                  <c:v>40472</c:v>
                </c:pt>
                <c:pt idx="193">
                  <c:v>40473</c:v>
                </c:pt>
                <c:pt idx="194">
                  <c:v>40474</c:v>
                </c:pt>
                <c:pt idx="195">
                  <c:v>40475</c:v>
                </c:pt>
                <c:pt idx="196">
                  <c:v>40476</c:v>
                </c:pt>
                <c:pt idx="197">
                  <c:v>40477</c:v>
                </c:pt>
                <c:pt idx="198">
                  <c:v>40478</c:v>
                </c:pt>
                <c:pt idx="199">
                  <c:v>40479</c:v>
                </c:pt>
                <c:pt idx="200">
                  <c:v>40480</c:v>
                </c:pt>
                <c:pt idx="201">
                  <c:v>40481</c:v>
                </c:pt>
                <c:pt idx="202">
                  <c:v>40482</c:v>
                </c:pt>
                <c:pt idx="203">
                  <c:v>40483</c:v>
                </c:pt>
                <c:pt idx="204">
                  <c:v>40484</c:v>
                </c:pt>
                <c:pt idx="205">
                  <c:v>40485</c:v>
                </c:pt>
                <c:pt idx="206">
                  <c:v>40486</c:v>
                </c:pt>
                <c:pt idx="207">
                  <c:v>40487</c:v>
                </c:pt>
                <c:pt idx="208">
                  <c:v>40488</c:v>
                </c:pt>
                <c:pt idx="209">
                  <c:v>40489</c:v>
                </c:pt>
                <c:pt idx="210">
                  <c:v>40490</c:v>
                </c:pt>
                <c:pt idx="211">
                  <c:v>40491</c:v>
                </c:pt>
                <c:pt idx="212">
                  <c:v>40492</c:v>
                </c:pt>
                <c:pt idx="213">
                  <c:v>40493</c:v>
                </c:pt>
                <c:pt idx="214">
                  <c:v>40494</c:v>
                </c:pt>
                <c:pt idx="215">
                  <c:v>40495</c:v>
                </c:pt>
                <c:pt idx="216">
                  <c:v>40496</c:v>
                </c:pt>
                <c:pt idx="217">
                  <c:v>40497</c:v>
                </c:pt>
                <c:pt idx="218">
                  <c:v>40498</c:v>
                </c:pt>
                <c:pt idx="219">
                  <c:v>40499</c:v>
                </c:pt>
                <c:pt idx="220">
                  <c:v>40500</c:v>
                </c:pt>
                <c:pt idx="221">
                  <c:v>40501</c:v>
                </c:pt>
                <c:pt idx="222">
                  <c:v>40502</c:v>
                </c:pt>
                <c:pt idx="223">
                  <c:v>40504</c:v>
                </c:pt>
                <c:pt idx="224">
                  <c:v>40505</c:v>
                </c:pt>
                <c:pt idx="225">
                  <c:v>40506</c:v>
                </c:pt>
                <c:pt idx="226">
                  <c:v>40507</c:v>
                </c:pt>
                <c:pt idx="227">
                  <c:v>40508</c:v>
                </c:pt>
                <c:pt idx="228">
                  <c:v>40509</c:v>
                </c:pt>
                <c:pt idx="229">
                  <c:v>40510</c:v>
                </c:pt>
                <c:pt idx="230">
                  <c:v>40511</c:v>
                </c:pt>
                <c:pt idx="231">
                  <c:v>40512</c:v>
                </c:pt>
                <c:pt idx="232">
                  <c:v>40513</c:v>
                </c:pt>
                <c:pt idx="233">
                  <c:v>40514</c:v>
                </c:pt>
                <c:pt idx="234">
                  <c:v>40515</c:v>
                </c:pt>
                <c:pt idx="235">
                  <c:v>40517</c:v>
                </c:pt>
                <c:pt idx="236">
                  <c:v>40518</c:v>
                </c:pt>
                <c:pt idx="237">
                  <c:v>40519</c:v>
                </c:pt>
                <c:pt idx="238">
                  <c:v>40520</c:v>
                </c:pt>
                <c:pt idx="239">
                  <c:v>40521</c:v>
                </c:pt>
                <c:pt idx="240">
                  <c:v>40522</c:v>
                </c:pt>
                <c:pt idx="241">
                  <c:v>40523</c:v>
                </c:pt>
                <c:pt idx="242">
                  <c:v>40524</c:v>
                </c:pt>
                <c:pt idx="243">
                  <c:v>40525</c:v>
                </c:pt>
                <c:pt idx="244">
                  <c:v>40526</c:v>
                </c:pt>
                <c:pt idx="245">
                  <c:v>40527</c:v>
                </c:pt>
                <c:pt idx="246">
                  <c:v>40528</c:v>
                </c:pt>
                <c:pt idx="247">
                  <c:v>40529</c:v>
                </c:pt>
                <c:pt idx="248">
                  <c:v>40530</c:v>
                </c:pt>
                <c:pt idx="249">
                  <c:v>40531</c:v>
                </c:pt>
                <c:pt idx="250">
                  <c:v>40532</c:v>
                </c:pt>
                <c:pt idx="251">
                  <c:v>40533</c:v>
                </c:pt>
                <c:pt idx="252">
                  <c:v>40534</c:v>
                </c:pt>
                <c:pt idx="253">
                  <c:v>40535</c:v>
                </c:pt>
                <c:pt idx="254">
                  <c:v>40536</c:v>
                </c:pt>
                <c:pt idx="255">
                  <c:v>40537</c:v>
                </c:pt>
                <c:pt idx="256">
                  <c:v>40538</c:v>
                </c:pt>
                <c:pt idx="257">
                  <c:v>40539</c:v>
                </c:pt>
                <c:pt idx="258">
                  <c:v>40540</c:v>
                </c:pt>
                <c:pt idx="259">
                  <c:v>40541</c:v>
                </c:pt>
                <c:pt idx="260">
                  <c:v>40542</c:v>
                </c:pt>
                <c:pt idx="261">
                  <c:v>40543</c:v>
                </c:pt>
                <c:pt idx="262">
                  <c:v>40546</c:v>
                </c:pt>
                <c:pt idx="263">
                  <c:v>40547</c:v>
                </c:pt>
                <c:pt idx="264">
                  <c:v>40548</c:v>
                </c:pt>
                <c:pt idx="265">
                  <c:v>40549</c:v>
                </c:pt>
                <c:pt idx="266">
                  <c:v>40550</c:v>
                </c:pt>
                <c:pt idx="267">
                  <c:v>40551</c:v>
                </c:pt>
                <c:pt idx="268">
                  <c:v>40552</c:v>
                </c:pt>
                <c:pt idx="269">
                  <c:v>40553</c:v>
                </c:pt>
                <c:pt idx="270">
                  <c:v>40554</c:v>
                </c:pt>
                <c:pt idx="271">
                  <c:v>40555</c:v>
                </c:pt>
                <c:pt idx="272">
                  <c:v>40556</c:v>
                </c:pt>
                <c:pt idx="273">
                  <c:v>40557</c:v>
                </c:pt>
                <c:pt idx="274">
                  <c:v>40558</c:v>
                </c:pt>
                <c:pt idx="275">
                  <c:v>40560</c:v>
                </c:pt>
                <c:pt idx="276">
                  <c:v>40561</c:v>
                </c:pt>
                <c:pt idx="277">
                  <c:v>40562</c:v>
                </c:pt>
                <c:pt idx="278">
                  <c:v>40563</c:v>
                </c:pt>
                <c:pt idx="279">
                  <c:v>40564</c:v>
                </c:pt>
                <c:pt idx="280">
                  <c:v>40565</c:v>
                </c:pt>
                <c:pt idx="281">
                  <c:v>40566</c:v>
                </c:pt>
                <c:pt idx="282">
                  <c:v>40567</c:v>
                </c:pt>
                <c:pt idx="283">
                  <c:v>40568</c:v>
                </c:pt>
                <c:pt idx="284">
                  <c:v>40569</c:v>
                </c:pt>
                <c:pt idx="285">
                  <c:v>40570</c:v>
                </c:pt>
                <c:pt idx="286">
                  <c:v>40571</c:v>
                </c:pt>
                <c:pt idx="287">
                  <c:v>40572</c:v>
                </c:pt>
                <c:pt idx="288">
                  <c:v>40574</c:v>
                </c:pt>
                <c:pt idx="289">
                  <c:v>40575</c:v>
                </c:pt>
                <c:pt idx="290">
                  <c:v>40576</c:v>
                </c:pt>
                <c:pt idx="291">
                  <c:v>40577</c:v>
                </c:pt>
                <c:pt idx="292">
                  <c:v>40578</c:v>
                </c:pt>
                <c:pt idx="293">
                  <c:v>40579</c:v>
                </c:pt>
                <c:pt idx="294">
                  <c:v>40580</c:v>
                </c:pt>
                <c:pt idx="295">
                  <c:v>40581</c:v>
                </c:pt>
                <c:pt idx="296">
                  <c:v>40582</c:v>
                </c:pt>
                <c:pt idx="297">
                  <c:v>40583</c:v>
                </c:pt>
                <c:pt idx="298">
                  <c:v>40584</c:v>
                </c:pt>
                <c:pt idx="299">
                  <c:v>40585</c:v>
                </c:pt>
                <c:pt idx="300">
                  <c:v>40586</c:v>
                </c:pt>
                <c:pt idx="301">
                  <c:v>40587</c:v>
                </c:pt>
                <c:pt idx="302">
                  <c:v>40588</c:v>
                </c:pt>
                <c:pt idx="303">
                  <c:v>40589</c:v>
                </c:pt>
                <c:pt idx="304">
                  <c:v>40590</c:v>
                </c:pt>
                <c:pt idx="305">
                  <c:v>40591</c:v>
                </c:pt>
                <c:pt idx="306">
                  <c:v>40592</c:v>
                </c:pt>
                <c:pt idx="307">
                  <c:v>40593</c:v>
                </c:pt>
                <c:pt idx="308">
                  <c:v>40594</c:v>
                </c:pt>
                <c:pt idx="309">
                  <c:v>40595</c:v>
                </c:pt>
                <c:pt idx="310">
                  <c:v>40596</c:v>
                </c:pt>
                <c:pt idx="311">
                  <c:v>40597</c:v>
                </c:pt>
                <c:pt idx="312">
                  <c:v>40598</c:v>
                </c:pt>
                <c:pt idx="313">
                  <c:v>40599</c:v>
                </c:pt>
                <c:pt idx="314">
                  <c:v>40600</c:v>
                </c:pt>
                <c:pt idx="315">
                  <c:v>40601</c:v>
                </c:pt>
                <c:pt idx="316">
                  <c:v>40602</c:v>
                </c:pt>
                <c:pt idx="317">
                  <c:v>40603</c:v>
                </c:pt>
                <c:pt idx="318">
                  <c:v>40604</c:v>
                </c:pt>
                <c:pt idx="319">
                  <c:v>40605</c:v>
                </c:pt>
                <c:pt idx="320">
                  <c:v>40606</c:v>
                </c:pt>
                <c:pt idx="321">
                  <c:v>40607</c:v>
                </c:pt>
                <c:pt idx="322">
                  <c:v>40608</c:v>
                </c:pt>
                <c:pt idx="323">
                  <c:v>40609</c:v>
                </c:pt>
                <c:pt idx="324">
                  <c:v>40610</c:v>
                </c:pt>
                <c:pt idx="325">
                  <c:v>40611</c:v>
                </c:pt>
                <c:pt idx="326">
                  <c:v>40612</c:v>
                </c:pt>
                <c:pt idx="327">
                  <c:v>40613</c:v>
                </c:pt>
                <c:pt idx="328">
                  <c:v>40614</c:v>
                </c:pt>
                <c:pt idx="329">
                  <c:v>40615</c:v>
                </c:pt>
                <c:pt idx="330">
                  <c:v>40616</c:v>
                </c:pt>
                <c:pt idx="331">
                  <c:v>40617</c:v>
                </c:pt>
                <c:pt idx="332">
                  <c:v>40618</c:v>
                </c:pt>
                <c:pt idx="333">
                  <c:v>40619</c:v>
                </c:pt>
                <c:pt idx="334">
                  <c:v>40620</c:v>
                </c:pt>
                <c:pt idx="335">
                  <c:v>40621</c:v>
                </c:pt>
                <c:pt idx="336">
                  <c:v>40622</c:v>
                </c:pt>
                <c:pt idx="337">
                  <c:v>40623</c:v>
                </c:pt>
                <c:pt idx="338">
                  <c:v>40624</c:v>
                </c:pt>
                <c:pt idx="339">
                  <c:v>40625</c:v>
                </c:pt>
                <c:pt idx="340">
                  <c:v>40626</c:v>
                </c:pt>
                <c:pt idx="341">
                  <c:v>40627</c:v>
                </c:pt>
                <c:pt idx="342">
                  <c:v>40628</c:v>
                </c:pt>
                <c:pt idx="343">
                  <c:v>40629</c:v>
                </c:pt>
                <c:pt idx="344">
                  <c:v>40630</c:v>
                </c:pt>
                <c:pt idx="345">
                  <c:v>40631</c:v>
                </c:pt>
                <c:pt idx="346">
                  <c:v>40632</c:v>
                </c:pt>
                <c:pt idx="347">
                  <c:v>40633</c:v>
                </c:pt>
                <c:pt idx="348">
                  <c:v>40634</c:v>
                </c:pt>
                <c:pt idx="349">
                  <c:v>40635</c:v>
                </c:pt>
                <c:pt idx="350">
                  <c:v>40636</c:v>
                </c:pt>
                <c:pt idx="351">
                  <c:v>40637</c:v>
                </c:pt>
                <c:pt idx="352">
                  <c:v>40638</c:v>
                </c:pt>
                <c:pt idx="353">
                  <c:v>40639</c:v>
                </c:pt>
                <c:pt idx="354">
                  <c:v>40640</c:v>
                </c:pt>
                <c:pt idx="355">
                  <c:v>40641</c:v>
                </c:pt>
                <c:pt idx="356">
                  <c:v>40642</c:v>
                </c:pt>
                <c:pt idx="357">
                  <c:v>40643</c:v>
                </c:pt>
                <c:pt idx="358">
                  <c:v>40644</c:v>
                </c:pt>
                <c:pt idx="359">
                  <c:v>40645</c:v>
                </c:pt>
                <c:pt idx="360">
                  <c:v>40646</c:v>
                </c:pt>
                <c:pt idx="361">
                  <c:v>40647</c:v>
                </c:pt>
                <c:pt idx="362">
                  <c:v>40648</c:v>
                </c:pt>
                <c:pt idx="363">
                  <c:v>40649</c:v>
                </c:pt>
                <c:pt idx="364">
                  <c:v>40650</c:v>
                </c:pt>
                <c:pt idx="365">
                  <c:v>40651</c:v>
                </c:pt>
                <c:pt idx="366">
                  <c:v>40652</c:v>
                </c:pt>
                <c:pt idx="367">
                  <c:v>40653</c:v>
                </c:pt>
                <c:pt idx="368">
                  <c:v>40654</c:v>
                </c:pt>
                <c:pt idx="369">
                  <c:v>40655</c:v>
                </c:pt>
                <c:pt idx="370">
                  <c:v>40656</c:v>
                </c:pt>
                <c:pt idx="371">
                  <c:v>40657</c:v>
                </c:pt>
                <c:pt idx="372">
                  <c:v>40658</c:v>
                </c:pt>
                <c:pt idx="373">
                  <c:v>40659</c:v>
                </c:pt>
                <c:pt idx="374">
                  <c:v>40660</c:v>
                </c:pt>
                <c:pt idx="375">
                  <c:v>40661</c:v>
                </c:pt>
                <c:pt idx="376">
                  <c:v>40662</c:v>
                </c:pt>
                <c:pt idx="377">
                  <c:v>40663</c:v>
                </c:pt>
                <c:pt idx="378">
                  <c:v>40664</c:v>
                </c:pt>
                <c:pt idx="379">
                  <c:v>40665</c:v>
                </c:pt>
                <c:pt idx="380">
                  <c:v>40666</c:v>
                </c:pt>
                <c:pt idx="381">
                  <c:v>40667</c:v>
                </c:pt>
                <c:pt idx="382">
                  <c:v>40668</c:v>
                </c:pt>
                <c:pt idx="383">
                  <c:v>40669</c:v>
                </c:pt>
                <c:pt idx="384">
                  <c:v>40670</c:v>
                </c:pt>
                <c:pt idx="385">
                  <c:v>40672</c:v>
                </c:pt>
                <c:pt idx="386">
                  <c:v>40673</c:v>
                </c:pt>
                <c:pt idx="387">
                  <c:v>40674</c:v>
                </c:pt>
                <c:pt idx="388">
                  <c:v>40675</c:v>
                </c:pt>
                <c:pt idx="389">
                  <c:v>40676</c:v>
                </c:pt>
                <c:pt idx="390">
                  <c:v>40677</c:v>
                </c:pt>
                <c:pt idx="391">
                  <c:v>40678</c:v>
                </c:pt>
                <c:pt idx="392">
                  <c:v>40679</c:v>
                </c:pt>
                <c:pt idx="393">
                  <c:v>40680</c:v>
                </c:pt>
                <c:pt idx="394">
                  <c:v>40681</c:v>
                </c:pt>
                <c:pt idx="395">
                  <c:v>40682</c:v>
                </c:pt>
                <c:pt idx="396">
                  <c:v>40683</c:v>
                </c:pt>
                <c:pt idx="397">
                  <c:v>40684</c:v>
                </c:pt>
                <c:pt idx="398">
                  <c:v>40685</c:v>
                </c:pt>
                <c:pt idx="399">
                  <c:v>40686</c:v>
                </c:pt>
                <c:pt idx="400">
                  <c:v>40687</c:v>
                </c:pt>
                <c:pt idx="401">
                  <c:v>40688</c:v>
                </c:pt>
                <c:pt idx="402">
                  <c:v>40689</c:v>
                </c:pt>
                <c:pt idx="403">
                  <c:v>40690</c:v>
                </c:pt>
                <c:pt idx="404">
                  <c:v>40691</c:v>
                </c:pt>
                <c:pt idx="405">
                  <c:v>40693</c:v>
                </c:pt>
                <c:pt idx="406">
                  <c:v>40694</c:v>
                </c:pt>
                <c:pt idx="407">
                  <c:v>40695</c:v>
                </c:pt>
                <c:pt idx="408">
                  <c:v>40696</c:v>
                </c:pt>
                <c:pt idx="409">
                  <c:v>40697</c:v>
                </c:pt>
                <c:pt idx="410">
                  <c:v>40698</c:v>
                </c:pt>
                <c:pt idx="411">
                  <c:v>40700</c:v>
                </c:pt>
                <c:pt idx="412">
                  <c:v>40701</c:v>
                </c:pt>
                <c:pt idx="413">
                  <c:v>40702</c:v>
                </c:pt>
                <c:pt idx="414">
                  <c:v>40703</c:v>
                </c:pt>
                <c:pt idx="415">
                  <c:v>40704</c:v>
                </c:pt>
                <c:pt idx="416">
                  <c:v>40705</c:v>
                </c:pt>
                <c:pt idx="417">
                  <c:v>40706</c:v>
                </c:pt>
                <c:pt idx="418">
                  <c:v>40707</c:v>
                </c:pt>
                <c:pt idx="419">
                  <c:v>40708</c:v>
                </c:pt>
                <c:pt idx="420">
                  <c:v>40709</c:v>
                </c:pt>
                <c:pt idx="421">
                  <c:v>40710</c:v>
                </c:pt>
                <c:pt idx="422">
                  <c:v>40711</c:v>
                </c:pt>
                <c:pt idx="423">
                  <c:v>40712</c:v>
                </c:pt>
                <c:pt idx="424">
                  <c:v>40713</c:v>
                </c:pt>
                <c:pt idx="425">
                  <c:v>40714</c:v>
                </c:pt>
                <c:pt idx="426">
                  <c:v>40715</c:v>
                </c:pt>
                <c:pt idx="427">
                  <c:v>40716</c:v>
                </c:pt>
                <c:pt idx="428">
                  <c:v>40717</c:v>
                </c:pt>
                <c:pt idx="429">
                  <c:v>40718</c:v>
                </c:pt>
                <c:pt idx="430">
                  <c:v>40719</c:v>
                </c:pt>
                <c:pt idx="431">
                  <c:v>40720</c:v>
                </c:pt>
                <c:pt idx="432">
                  <c:v>40721</c:v>
                </c:pt>
                <c:pt idx="433">
                  <c:v>40722</c:v>
                </c:pt>
                <c:pt idx="434">
                  <c:v>40723</c:v>
                </c:pt>
                <c:pt idx="435">
                  <c:v>40724</c:v>
                </c:pt>
                <c:pt idx="436">
                  <c:v>40725</c:v>
                </c:pt>
                <c:pt idx="437">
                  <c:v>40726</c:v>
                </c:pt>
                <c:pt idx="438">
                  <c:v>40727</c:v>
                </c:pt>
                <c:pt idx="439">
                  <c:v>40728</c:v>
                </c:pt>
                <c:pt idx="440">
                  <c:v>40729</c:v>
                </c:pt>
                <c:pt idx="441">
                  <c:v>40730</c:v>
                </c:pt>
                <c:pt idx="442">
                  <c:v>40731</c:v>
                </c:pt>
                <c:pt idx="443">
                  <c:v>40732</c:v>
                </c:pt>
                <c:pt idx="444">
                  <c:v>40733</c:v>
                </c:pt>
                <c:pt idx="445">
                  <c:v>40734</c:v>
                </c:pt>
                <c:pt idx="446">
                  <c:v>40735</c:v>
                </c:pt>
                <c:pt idx="447">
                  <c:v>40736</c:v>
                </c:pt>
                <c:pt idx="448">
                  <c:v>40737</c:v>
                </c:pt>
                <c:pt idx="449">
                  <c:v>40738</c:v>
                </c:pt>
                <c:pt idx="450">
                  <c:v>40739</c:v>
                </c:pt>
                <c:pt idx="451">
                  <c:v>40740</c:v>
                </c:pt>
                <c:pt idx="452">
                  <c:v>40741</c:v>
                </c:pt>
                <c:pt idx="453">
                  <c:v>40742</c:v>
                </c:pt>
                <c:pt idx="454">
                  <c:v>40743</c:v>
                </c:pt>
                <c:pt idx="455">
                  <c:v>40744</c:v>
                </c:pt>
                <c:pt idx="456">
                  <c:v>40745</c:v>
                </c:pt>
                <c:pt idx="457">
                  <c:v>40746</c:v>
                </c:pt>
                <c:pt idx="458">
                  <c:v>40747</c:v>
                </c:pt>
                <c:pt idx="459">
                  <c:v>40748</c:v>
                </c:pt>
                <c:pt idx="460">
                  <c:v>40749</c:v>
                </c:pt>
                <c:pt idx="461">
                  <c:v>40750</c:v>
                </c:pt>
                <c:pt idx="462">
                  <c:v>40751</c:v>
                </c:pt>
                <c:pt idx="463">
                  <c:v>40752</c:v>
                </c:pt>
                <c:pt idx="464">
                  <c:v>40753</c:v>
                </c:pt>
                <c:pt idx="465">
                  <c:v>40754</c:v>
                </c:pt>
                <c:pt idx="466">
                  <c:v>40755</c:v>
                </c:pt>
                <c:pt idx="467">
                  <c:v>40756</c:v>
                </c:pt>
                <c:pt idx="468">
                  <c:v>40757</c:v>
                </c:pt>
                <c:pt idx="469">
                  <c:v>40758</c:v>
                </c:pt>
                <c:pt idx="470">
                  <c:v>40759</c:v>
                </c:pt>
                <c:pt idx="471">
                  <c:v>40760</c:v>
                </c:pt>
                <c:pt idx="472">
                  <c:v>40761</c:v>
                </c:pt>
                <c:pt idx="473">
                  <c:v>40762</c:v>
                </c:pt>
                <c:pt idx="474">
                  <c:v>40763</c:v>
                </c:pt>
                <c:pt idx="475">
                  <c:v>40764</c:v>
                </c:pt>
                <c:pt idx="476">
                  <c:v>40765</c:v>
                </c:pt>
                <c:pt idx="477">
                  <c:v>40766</c:v>
                </c:pt>
                <c:pt idx="478">
                  <c:v>40767</c:v>
                </c:pt>
                <c:pt idx="479">
                  <c:v>40768</c:v>
                </c:pt>
                <c:pt idx="480">
                  <c:v>40769</c:v>
                </c:pt>
                <c:pt idx="481">
                  <c:v>40770</c:v>
                </c:pt>
                <c:pt idx="482">
                  <c:v>40771</c:v>
                </c:pt>
                <c:pt idx="483">
                  <c:v>40772</c:v>
                </c:pt>
                <c:pt idx="484">
                  <c:v>40773</c:v>
                </c:pt>
                <c:pt idx="485">
                  <c:v>40774</c:v>
                </c:pt>
                <c:pt idx="486">
                  <c:v>40775</c:v>
                </c:pt>
                <c:pt idx="487">
                  <c:v>40776</c:v>
                </c:pt>
                <c:pt idx="488">
                  <c:v>40777</c:v>
                </c:pt>
                <c:pt idx="489">
                  <c:v>40778</c:v>
                </c:pt>
                <c:pt idx="490">
                  <c:v>40779</c:v>
                </c:pt>
                <c:pt idx="491">
                  <c:v>40780</c:v>
                </c:pt>
                <c:pt idx="492">
                  <c:v>40781</c:v>
                </c:pt>
                <c:pt idx="493">
                  <c:v>40782</c:v>
                </c:pt>
                <c:pt idx="494">
                  <c:v>40783</c:v>
                </c:pt>
                <c:pt idx="495">
                  <c:v>40784</c:v>
                </c:pt>
                <c:pt idx="496">
                  <c:v>40785</c:v>
                </c:pt>
                <c:pt idx="497">
                  <c:v>40786</c:v>
                </c:pt>
                <c:pt idx="498">
                  <c:v>40787</c:v>
                </c:pt>
                <c:pt idx="499">
                  <c:v>40788</c:v>
                </c:pt>
                <c:pt idx="500">
                  <c:v>40789</c:v>
                </c:pt>
                <c:pt idx="501">
                  <c:v>40791</c:v>
                </c:pt>
                <c:pt idx="502">
                  <c:v>40792</c:v>
                </c:pt>
                <c:pt idx="503">
                  <c:v>40793</c:v>
                </c:pt>
                <c:pt idx="504">
                  <c:v>40794</c:v>
                </c:pt>
                <c:pt idx="505">
                  <c:v>40795</c:v>
                </c:pt>
                <c:pt idx="506">
                  <c:v>40796</c:v>
                </c:pt>
                <c:pt idx="507">
                  <c:v>40797</c:v>
                </c:pt>
                <c:pt idx="508">
                  <c:v>40798</c:v>
                </c:pt>
                <c:pt idx="509">
                  <c:v>40799</c:v>
                </c:pt>
                <c:pt idx="510">
                  <c:v>40800</c:v>
                </c:pt>
                <c:pt idx="511">
                  <c:v>40801</c:v>
                </c:pt>
                <c:pt idx="512">
                  <c:v>40802</c:v>
                </c:pt>
                <c:pt idx="513">
                  <c:v>40803</c:v>
                </c:pt>
                <c:pt idx="514">
                  <c:v>40804</c:v>
                </c:pt>
                <c:pt idx="515">
                  <c:v>40805</c:v>
                </c:pt>
                <c:pt idx="516">
                  <c:v>40806</c:v>
                </c:pt>
                <c:pt idx="517">
                  <c:v>40807</c:v>
                </c:pt>
                <c:pt idx="518">
                  <c:v>40808</c:v>
                </c:pt>
                <c:pt idx="519">
                  <c:v>40809</c:v>
                </c:pt>
                <c:pt idx="520">
                  <c:v>40810</c:v>
                </c:pt>
                <c:pt idx="521">
                  <c:v>40812</c:v>
                </c:pt>
                <c:pt idx="522">
                  <c:v>40813</c:v>
                </c:pt>
                <c:pt idx="523">
                  <c:v>40814</c:v>
                </c:pt>
                <c:pt idx="524">
                  <c:v>40815</c:v>
                </c:pt>
                <c:pt idx="525">
                  <c:v>40816</c:v>
                </c:pt>
                <c:pt idx="526">
                  <c:v>40817</c:v>
                </c:pt>
                <c:pt idx="527">
                  <c:v>40818</c:v>
                </c:pt>
                <c:pt idx="528">
                  <c:v>40819</c:v>
                </c:pt>
                <c:pt idx="529">
                  <c:v>40820</c:v>
                </c:pt>
                <c:pt idx="530">
                  <c:v>40821</c:v>
                </c:pt>
                <c:pt idx="531">
                  <c:v>40822</c:v>
                </c:pt>
                <c:pt idx="532">
                  <c:v>40823</c:v>
                </c:pt>
                <c:pt idx="533">
                  <c:v>40824</c:v>
                </c:pt>
                <c:pt idx="534">
                  <c:v>40825</c:v>
                </c:pt>
                <c:pt idx="535">
                  <c:v>40826</c:v>
                </c:pt>
                <c:pt idx="536">
                  <c:v>40827</c:v>
                </c:pt>
                <c:pt idx="537">
                  <c:v>40828</c:v>
                </c:pt>
                <c:pt idx="538">
                  <c:v>40829</c:v>
                </c:pt>
                <c:pt idx="539">
                  <c:v>40830</c:v>
                </c:pt>
                <c:pt idx="540">
                  <c:v>40831</c:v>
                </c:pt>
                <c:pt idx="541">
                  <c:v>40832</c:v>
                </c:pt>
                <c:pt idx="542">
                  <c:v>40833</c:v>
                </c:pt>
                <c:pt idx="543">
                  <c:v>40834</c:v>
                </c:pt>
                <c:pt idx="544">
                  <c:v>40835</c:v>
                </c:pt>
                <c:pt idx="545">
                  <c:v>40836</c:v>
                </c:pt>
                <c:pt idx="546">
                  <c:v>40837</c:v>
                </c:pt>
                <c:pt idx="547">
                  <c:v>40838</c:v>
                </c:pt>
                <c:pt idx="548">
                  <c:v>40839</c:v>
                </c:pt>
                <c:pt idx="549">
                  <c:v>40840</c:v>
                </c:pt>
                <c:pt idx="550">
                  <c:v>40841</c:v>
                </c:pt>
                <c:pt idx="551">
                  <c:v>40842</c:v>
                </c:pt>
                <c:pt idx="552">
                  <c:v>40843</c:v>
                </c:pt>
                <c:pt idx="553">
                  <c:v>40844</c:v>
                </c:pt>
                <c:pt idx="554">
                  <c:v>40845</c:v>
                </c:pt>
                <c:pt idx="555">
                  <c:v>40846</c:v>
                </c:pt>
                <c:pt idx="556">
                  <c:v>40847</c:v>
                </c:pt>
                <c:pt idx="557">
                  <c:v>40848</c:v>
                </c:pt>
                <c:pt idx="558">
                  <c:v>40849</c:v>
                </c:pt>
                <c:pt idx="559">
                  <c:v>40850</c:v>
                </c:pt>
                <c:pt idx="560">
                  <c:v>40851</c:v>
                </c:pt>
                <c:pt idx="561">
                  <c:v>40852</c:v>
                </c:pt>
                <c:pt idx="562">
                  <c:v>40853</c:v>
                </c:pt>
                <c:pt idx="563">
                  <c:v>40854</c:v>
                </c:pt>
                <c:pt idx="564">
                  <c:v>40855</c:v>
                </c:pt>
                <c:pt idx="565">
                  <c:v>40856</c:v>
                </c:pt>
                <c:pt idx="566">
                  <c:v>40857</c:v>
                </c:pt>
                <c:pt idx="567">
                  <c:v>40858</c:v>
                </c:pt>
                <c:pt idx="568">
                  <c:v>40859</c:v>
                </c:pt>
                <c:pt idx="569">
                  <c:v>40860</c:v>
                </c:pt>
                <c:pt idx="570">
                  <c:v>40861</c:v>
                </c:pt>
                <c:pt idx="571">
                  <c:v>40862</c:v>
                </c:pt>
                <c:pt idx="572">
                  <c:v>40863</c:v>
                </c:pt>
                <c:pt idx="573">
                  <c:v>40864</c:v>
                </c:pt>
                <c:pt idx="574">
                  <c:v>40865</c:v>
                </c:pt>
                <c:pt idx="575">
                  <c:v>40866</c:v>
                </c:pt>
                <c:pt idx="576">
                  <c:v>40867</c:v>
                </c:pt>
                <c:pt idx="577">
                  <c:v>40868</c:v>
                </c:pt>
                <c:pt idx="578">
                  <c:v>40869</c:v>
                </c:pt>
                <c:pt idx="579">
                  <c:v>40870</c:v>
                </c:pt>
                <c:pt idx="580">
                  <c:v>40871</c:v>
                </c:pt>
                <c:pt idx="581">
                  <c:v>40872</c:v>
                </c:pt>
                <c:pt idx="582">
                  <c:v>40873</c:v>
                </c:pt>
                <c:pt idx="583">
                  <c:v>40874</c:v>
                </c:pt>
                <c:pt idx="584">
                  <c:v>40875</c:v>
                </c:pt>
                <c:pt idx="585">
                  <c:v>40876</c:v>
                </c:pt>
                <c:pt idx="586">
                  <c:v>40877</c:v>
                </c:pt>
                <c:pt idx="587">
                  <c:v>40878</c:v>
                </c:pt>
                <c:pt idx="588">
                  <c:v>40879</c:v>
                </c:pt>
                <c:pt idx="589">
                  <c:v>40880</c:v>
                </c:pt>
                <c:pt idx="590">
                  <c:v>40881</c:v>
                </c:pt>
                <c:pt idx="591">
                  <c:v>40882</c:v>
                </c:pt>
                <c:pt idx="592">
                  <c:v>40883</c:v>
                </c:pt>
                <c:pt idx="593">
                  <c:v>40884</c:v>
                </c:pt>
                <c:pt idx="594">
                  <c:v>40885</c:v>
                </c:pt>
                <c:pt idx="595">
                  <c:v>40886</c:v>
                </c:pt>
                <c:pt idx="596">
                  <c:v>40887</c:v>
                </c:pt>
                <c:pt idx="597">
                  <c:v>40888</c:v>
                </c:pt>
                <c:pt idx="598">
                  <c:v>40889</c:v>
                </c:pt>
                <c:pt idx="599">
                  <c:v>40890</c:v>
                </c:pt>
                <c:pt idx="600">
                  <c:v>40891</c:v>
                </c:pt>
                <c:pt idx="601">
                  <c:v>40892</c:v>
                </c:pt>
                <c:pt idx="602">
                  <c:v>40893</c:v>
                </c:pt>
                <c:pt idx="603">
                  <c:v>40894</c:v>
                </c:pt>
                <c:pt idx="604">
                  <c:v>40895</c:v>
                </c:pt>
                <c:pt idx="605">
                  <c:v>40896</c:v>
                </c:pt>
                <c:pt idx="606">
                  <c:v>40897</c:v>
                </c:pt>
                <c:pt idx="607">
                  <c:v>40898</c:v>
                </c:pt>
                <c:pt idx="608">
                  <c:v>40899</c:v>
                </c:pt>
                <c:pt idx="609">
                  <c:v>40900</c:v>
                </c:pt>
                <c:pt idx="610">
                  <c:v>40901</c:v>
                </c:pt>
                <c:pt idx="611">
                  <c:v>40902</c:v>
                </c:pt>
                <c:pt idx="612">
                  <c:v>40903</c:v>
                </c:pt>
                <c:pt idx="613">
                  <c:v>40904</c:v>
                </c:pt>
                <c:pt idx="614">
                  <c:v>40905</c:v>
                </c:pt>
                <c:pt idx="615">
                  <c:v>40906</c:v>
                </c:pt>
                <c:pt idx="616">
                  <c:v>40907</c:v>
                </c:pt>
                <c:pt idx="617">
                  <c:v>40908</c:v>
                </c:pt>
                <c:pt idx="618">
                  <c:v>40909</c:v>
                </c:pt>
                <c:pt idx="619">
                  <c:v>40910</c:v>
                </c:pt>
                <c:pt idx="620">
                  <c:v>40911</c:v>
                </c:pt>
                <c:pt idx="621">
                  <c:v>40912</c:v>
                </c:pt>
                <c:pt idx="622">
                  <c:v>40913</c:v>
                </c:pt>
                <c:pt idx="623">
                  <c:v>40914</c:v>
                </c:pt>
                <c:pt idx="624">
                  <c:v>40915</c:v>
                </c:pt>
                <c:pt idx="625">
                  <c:v>40916</c:v>
                </c:pt>
                <c:pt idx="626">
                  <c:v>40917</c:v>
                </c:pt>
                <c:pt idx="627">
                  <c:v>40918</c:v>
                </c:pt>
                <c:pt idx="628">
                  <c:v>40919</c:v>
                </c:pt>
                <c:pt idx="629">
                  <c:v>40920</c:v>
                </c:pt>
                <c:pt idx="630">
                  <c:v>40921</c:v>
                </c:pt>
                <c:pt idx="631">
                  <c:v>40922</c:v>
                </c:pt>
                <c:pt idx="632">
                  <c:v>40923</c:v>
                </c:pt>
                <c:pt idx="633">
                  <c:v>40924</c:v>
                </c:pt>
                <c:pt idx="634">
                  <c:v>40925</c:v>
                </c:pt>
                <c:pt idx="635">
                  <c:v>40926</c:v>
                </c:pt>
                <c:pt idx="636">
                  <c:v>40927</c:v>
                </c:pt>
                <c:pt idx="637">
                  <c:v>40928</c:v>
                </c:pt>
                <c:pt idx="638">
                  <c:v>40929</c:v>
                </c:pt>
                <c:pt idx="639">
                  <c:v>40930</c:v>
                </c:pt>
                <c:pt idx="640">
                  <c:v>40931</c:v>
                </c:pt>
                <c:pt idx="641">
                  <c:v>40932</c:v>
                </c:pt>
                <c:pt idx="642">
                  <c:v>40933</c:v>
                </c:pt>
                <c:pt idx="643">
                  <c:v>40934</c:v>
                </c:pt>
                <c:pt idx="644">
                  <c:v>40935</c:v>
                </c:pt>
                <c:pt idx="645">
                  <c:v>40936</c:v>
                </c:pt>
                <c:pt idx="646">
                  <c:v>40937</c:v>
                </c:pt>
                <c:pt idx="647">
                  <c:v>40938</c:v>
                </c:pt>
                <c:pt idx="648">
                  <c:v>40939</c:v>
                </c:pt>
                <c:pt idx="649">
                  <c:v>40940</c:v>
                </c:pt>
                <c:pt idx="650">
                  <c:v>40941</c:v>
                </c:pt>
                <c:pt idx="651">
                  <c:v>40942</c:v>
                </c:pt>
                <c:pt idx="652">
                  <c:v>40943</c:v>
                </c:pt>
                <c:pt idx="653">
                  <c:v>40944</c:v>
                </c:pt>
                <c:pt idx="654">
                  <c:v>40945</c:v>
                </c:pt>
                <c:pt idx="655">
                  <c:v>40946</c:v>
                </c:pt>
                <c:pt idx="656">
                  <c:v>40947</c:v>
                </c:pt>
                <c:pt idx="657">
                  <c:v>40948</c:v>
                </c:pt>
                <c:pt idx="658">
                  <c:v>40949</c:v>
                </c:pt>
                <c:pt idx="659">
                  <c:v>40950</c:v>
                </c:pt>
                <c:pt idx="660">
                  <c:v>40951</c:v>
                </c:pt>
                <c:pt idx="661">
                  <c:v>40952</c:v>
                </c:pt>
                <c:pt idx="662">
                  <c:v>40953</c:v>
                </c:pt>
                <c:pt idx="663">
                  <c:v>40954</c:v>
                </c:pt>
                <c:pt idx="664">
                  <c:v>40955</c:v>
                </c:pt>
                <c:pt idx="665">
                  <c:v>40956</c:v>
                </c:pt>
                <c:pt idx="666">
                  <c:v>40957</c:v>
                </c:pt>
                <c:pt idx="667">
                  <c:v>40958</c:v>
                </c:pt>
                <c:pt idx="668">
                  <c:v>40959</c:v>
                </c:pt>
                <c:pt idx="669">
                  <c:v>40960</c:v>
                </c:pt>
                <c:pt idx="670">
                  <c:v>40961</c:v>
                </c:pt>
                <c:pt idx="671">
                  <c:v>40962</c:v>
                </c:pt>
                <c:pt idx="672">
                  <c:v>40963</c:v>
                </c:pt>
                <c:pt idx="673">
                  <c:v>40964</c:v>
                </c:pt>
                <c:pt idx="674">
                  <c:v>40965</c:v>
                </c:pt>
                <c:pt idx="675">
                  <c:v>40966</c:v>
                </c:pt>
                <c:pt idx="676">
                  <c:v>40967</c:v>
                </c:pt>
                <c:pt idx="677">
                  <c:v>40968</c:v>
                </c:pt>
                <c:pt idx="678">
                  <c:v>40969</c:v>
                </c:pt>
                <c:pt idx="679">
                  <c:v>40970</c:v>
                </c:pt>
                <c:pt idx="680">
                  <c:v>40971</c:v>
                </c:pt>
                <c:pt idx="681">
                  <c:v>40972</c:v>
                </c:pt>
                <c:pt idx="682">
                  <c:v>40973</c:v>
                </c:pt>
                <c:pt idx="683">
                  <c:v>40974</c:v>
                </c:pt>
                <c:pt idx="684">
                  <c:v>40975</c:v>
                </c:pt>
                <c:pt idx="685">
                  <c:v>40976</c:v>
                </c:pt>
                <c:pt idx="686">
                  <c:v>40977</c:v>
                </c:pt>
                <c:pt idx="687">
                  <c:v>40978</c:v>
                </c:pt>
                <c:pt idx="688">
                  <c:v>40979</c:v>
                </c:pt>
                <c:pt idx="689">
                  <c:v>40980</c:v>
                </c:pt>
                <c:pt idx="690">
                  <c:v>40981</c:v>
                </c:pt>
                <c:pt idx="691">
                  <c:v>40982</c:v>
                </c:pt>
                <c:pt idx="692">
                  <c:v>40983</c:v>
                </c:pt>
                <c:pt idx="693">
                  <c:v>40984</c:v>
                </c:pt>
                <c:pt idx="694">
                  <c:v>40985</c:v>
                </c:pt>
                <c:pt idx="695">
                  <c:v>40986</c:v>
                </c:pt>
                <c:pt idx="696">
                  <c:v>40987</c:v>
                </c:pt>
                <c:pt idx="697">
                  <c:v>40988</c:v>
                </c:pt>
                <c:pt idx="698">
                  <c:v>40989</c:v>
                </c:pt>
                <c:pt idx="699">
                  <c:v>40990</c:v>
                </c:pt>
                <c:pt idx="700">
                  <c:v>40991</c:v>
                </c:pt>
                <c:pt idx="701">
                  <c:v>40992</c:v>
                </c:pt>
                <c:pt idx="702">
                  <c:v>40993</c:v>
                </c:pt>
                <c:pt idx="703">
                  <c:v>40994</c:v>
                </c:pt>
                <c:pt idx="704">
                  <c:v>40995</c:v>
                </c:pt>
                <c:pt idx="705">
                  <c:v>40996</c:v>
                </c:pt>
                <c:pt idx="706">
                  <c:v>40997</c:v>
                </c:pt>
                <c:pt idx="707">
                  <c:v>40998</c:v>
                </c:pt>
                <c:pt idx="708">
                  <c:v>40999</c:v>
                </c:pt>
                <c:pt idx="709">
                  <c:v>41000</c:v>
                </c:pt>
                <c:pt idx="710">
                  <c:v>41001</c:v>
                </c:pt>
                <c:pt idx="711">
                  <c:v>41002</c:v>
                </c:pt>
                <c:pt idx="712">
                  <c:v>41003</c:v>
                </c:pt>
                <c:pt idx="713">
                  <c:v>41004</c:v>
                </c:pt>
                <c:pt idx="714">
                  <c:v>41005</c:v>
                </c:pt>
                <c:pt idx="715">
                  <c:v>41006</c:v>
                </c:pt>
                <c:pt idx="716">
                  <c:v>41007</c:v>
                </c:pt>
                <c:pt idx="717">
                  <c:v>41008</c:v>
                </c:pt>
                <c:pt idx="718">
                  <c:v>41009</c:v>
                </c:pt>
                <c:pt idx="719">
                  <c:v>41010</c:v>
                </c:pt>
                <c:pt idx="720">
                  <c:v>41011</c:v>
                </c:pt>
                <c:pt idx="721">
                  <c:v>41012</c:v>
                </c:pt>
                <c:pt idx="722">
                  <c:v>41013</c:v>
                </c:pt>
                <c:pt idx="723">
                  <c:v>41014</c:v>
                </c:pt>
                <c:pt idx="724">
                  <c:v>41015</c:v>
                </c:pt>
                <c:pt idx="725">
                  <c:v>41016</c:v>
                </c:pt>
                <c:pt idx="726">
                  <c:v>41017</c:v>
                </c:pt>
                <c:pt idx="727">
                  <c:v>41018</c:v>
                </c:pt>
                <c:pt idx="728">
                  <c:v>41019</c:v>
                </c:pt>
                <c:pt idx="729">
                  <c:v>41020</c:v>
                </c:pt>
                <c:pt idx="730">
                  <c:v>41021</c:v>
                </c:pt>
                <c:pt idx="731">
                  <c:v>41022</c:v>
                </c:pt>
                <c:pt idx="732">
                  <c:v>41023</c:v>
                </c:pt>
                <c:pt idx="733">
                  <c:v>41024</c:v>
                </c:pt>
                <c:pt idx="734">
                  <c:v>41025</c:v>
                </c:pt>
                <c:pt idx="735">
                  <c:v>41026</c:v>
                </c:pt>
                <c:pt idx="736">
                  <c:v>41027</c:v>
                </c:pt>
                <c:pt idx="737">
                  <c:v>41028</c:v>
                </c:pt>
                <c:pt idx="738">
                  <c:v>41029</c:v>
                </c:pt>
                <c:pt idx="739">
                  <c:v>41030</c:v>
                </c:pt>
                <c:pt idx="740">
                  <c:v>41031</c:v>
                </c:pt>
                <c:pt idx="741">
                  <c:v>41032</c:v>
                </c:pt>
                <c:pt idx="742">
                  <c:v>41033</c:v>
                </c:pt>
                <c:pt idx="743">
                  <c:v>41034</c:v>
                </c:pt>
                <c:pt idx="744">
                  <c:v>41035</c:v>
                </c:pt>
                <c:pt idx="745">
                  <c:v>41036</c:v>
                </c:pt>
                <c:pt idx="746">
                  <c:v>41037</c:v>
                </c:pt>
                <c:pt idx="747">
                  <c:v>41038</c:v>
                </c:pt>
                <c:pt idx="748">
                  <c:v>41039</c:v>
                </c:pt>
                <c:pt idx="749">
                  <c:v>41040</c:v>
                </c:pt>
                <c:pt idx="750">
                  <c:v>41041</c:v>
                </c:pt>
                <c:pt idx="751">
                  <c:v>41042</c:v>
                </c:pt>
                <c:pt idx="752">
                  <c:v>41043</c:v>
                </c:pt>
                <c:pt idx="753">
                  <c:v>41044</c:v>
                </c:pt>
                <c:pt idx="754">
                  <c:v>41045</c:v>
                </c:pt>
                <c:pt idx="755">
                  <c:v>41046</c:v>
                </c:pt>
                <c:pt idx="756">
                  <c:v>41047</c:v>
                </c:pt>
                <c:pt idx="757">
                  <c:v>41048</c:v>
                </c:pt>
                <c:pt idx="758">
                  <c:v>41049</c:v>
                </c:pt>
                <c:pt idx="759">
                  <c:v>41050</c:v>
                </c:pt>
                <c:pt idx="760">
                  <c:v>41051</c:v>
                </c:pt>
                <c:pt idx="761">
                  <c:v>41052</c:v>
                </c:pt>
                <c:pt idx="762">
                  <c:v>41053</c:v>
                </c:pt>
                <c:pt idx="763">
                  <c:v>41054</c:v>
                </c:pt>
                <c:pt idx="764">
                  <c:v>41055</c:v>
                </c:pt>
                <c:pt idx="765">
                  <c:v>41056</c:v>
                </c:pt>
                <c:pt idx="766">
                  <c:v>41057</c:v>
                </c:pt>
                <c:pt idx="767">
                  <c:v>41058</c:v>
                </c:pt>
                <c:pt idx="768">
                  <c:v>41059</c:v>
                </c:pt>
                <c:pt idx="769">
                  <c:v>41060</c:v>
                </c:pt>
                <c:pt idx="770">
                  <c:v>41061</c:v>
                </c:pt>
                <c:pt idx="771">
                  <c:v>41062</c:v>
                </c:pt>
                <c:pt idx="772">
                  <c:v>41063</c:v>
                </c:pt>
                <c:pt idx="773">
                  <c:v>41064</c:v>
                </c:pt>
                <c:pt idx="774">
                  <c:v>41065</c:v>
                </c:pt>
                <c:pt idx="775">
                  <c:v>41066</c:v>
                </c:pt>
                <c:pt idx="776">
                  <c:v>41067</c:v>
                </c:pt>
                <c:pt idx="777">
                  <c:v>41068</c:v>
                </c:pt>
                <c:pt idx="778">
                  <c:v>41069</c:v>
                </c:pt>
                <c:pt idx="779">
                  <c:v>41070</c:v>
                </c:pt>
                <c:pt idx="780">
                  <c:v>41071</c:v>
                </c:pt>
                <c:pt idx="781">
                  <c:v>41072</c:v>
                </c:pt>
                <c:pt idx="782">
                  <c:v>41073</c:v>
                </c:pt>
                <c:pt idx="783">
                  <c:v>41074</c:v>
                </c:pt>
                <c:pt idx="784">
                  <c:v>41075</c:v>
                </c:pt>
                <c:pt idx="785">
                  <c:v>41076</c:v>
                </c:pt>
                <c:pt idx="786">
                  <c:v>41077</c:v>
                </c:pt>
                <c:pt idx="787">
                  <c:v>41078</c:v>
                </c:pt>
                <c:pt idx="788">
                  <c:v>41079</c:v>
                </c:pt>
                <c:pt idx="789">
                  <c:v>41080</c:v>
                </c:pt>
                <c:pt idx="790">
                  <c:v>41081</c:v>
                </c:pt>
                <c:pt idx="791">
                  <c:v>41082</c:v>
                </c:pt>
                <c:pt idx="792">
                  <c:v>41083</c:v>
                </c:pt>
                <c:pt idx="793">
                  <c:v>41084</c:v>
                </c:pt>
                <c:pt idx="794">
                  <c:v>41085</c:v>
                </c:pt>
                <c:pt idx="795">
                  <c:v>41086</c:v>
                </c:pt>
                <c:pt idx="796">
                  <c:v>41087</c:v>
                </c:pt>
                <c:pt idx="797">
                  <c:v>41088</c:v>
                </c:pt>
                <c:pt idx="798">
                  <c:v>41089</c:v>
                </c:pt>
                <c:pt idx="799">
                  <c:v>41090</c:v>
                </c:pt>
                <c:pt idx="800">
                  <c:v>41091</c:v>
                </c:pt>
                <c:pt idx="801">
                  <c:v>41092</c:v>
                </c:pt>
                <c:pt idx="802">
                  <c:v>41093</c:v>
                </c:pt>
                <c:pt idx="803">
                  <c:v>41094</c:v>
                </c:pt>
                <c:pt idx="804">
                  <c:v>41095</c:v>
                </c:pt>
                <c:pt idx="805">
                  <c:v>41096</c:v>
                </c:pt>
                <c:pt idx="806">
                  <c:v>41097</c:v>
                </c:pt>
                <c:pt idx="807">
                  <c:v>41098</c:v>
                </c:pt>
                <c:pt idx="808">
                  <c:v>41099</c:v>
                </c:pt>
                <c:pt idx="809">
                  <c:v>41100</c:v>
                </c:pt>
                <c:pt idx="810">
                  <c:v>41101</c:v>
                </c:pt>
                <c:pt idx="811">
                  <c:v>41102</c:v>
                </c:pt>
                <c:pt idx="812">
                  <c:v>41103</c:v>
                </c:pt>
                <c:pt idx="813">
                  <c:v>41104</c:v>
                </c:pt>
                <c:pt idx="814">
                  <c:v>41106</c:v>
                </c:pt>
                <c:pt idx="815">
                  <c:v>41107</c:v>
                </c:pt>
                <c:pt idx="816">
                  <c:v>41108</c:v>
                </c:pt>
                <c:pt idx="817">
                  <c:v>41109</c:v>
                </c:pt>
                <c:pt idx="818">
                  <c:v>41110</c:v>
                </c:pt>
                <c:pt idx="819">
                  <c:v>41111</c:v>
                </c:pt>
                <c:pt idx="820">
                  <c:v>41112</c:v>
                </c:pt>
                <c:pt idx="821">
                  <c:v>41113</c:v>
                </c:pt>
                <c:pt idx="822">
                  <c:v>41114</c:v>
                </c:pt>
                <c:pt idx="823">
                  <c:v>41115</c:v>
                </c:pt>
                <c:pt idx="824">
                  <c:v>41116</c:v>
                </c:pt>
                <c:pt idx="825">
                  <c:v>41117</c:v>
                </c:pt>
                <c:pt idx="826">
                  <c:v>41118</c:v>
                </c:pt>
                <c:pt idx="827">
                  <c:v>41119</c:v>
                </c:pt>
                <c:pt idx="828">
                  <c:v>41120</c:v>
                </c:pt>
                <c:pt idx="829">
                  <c:v>41121</c:v>
                </c:pt>
                <c:pt idx="830">
                  <c:v>41122</c:v>
                </c:pt>
                <c:pt idx="831">
                  <c:v>41123</c:v>
                </c:pt>
                <c:pt idx="832">
                  <c:v>41124</c:v>
                </c:pt>
                <c:pt idx="833">
                  <c:v>41125</c:v>
                </c:pt>
                <c:pt idx="834">
                  <c:v>41126</c:v>
                </c:pt>
                <c:pt idx="835">
                  <c:v>41127</c:v>
                </c:pt>
                <c:pt idx="836">
                  <c:v>41128</c:v>
                </c:pt>
                <c:pt idx="837">
                  <c:v>41129</c:v>
                </c:pt>
                <c:pt idx="838">
                  <c:v>41130</c:v>
                </c:pt>
                <c:pt idx="839">
                  <c:v>41131</c:v>
                </c:pt>
                <c:pt idx="840">
                  <c:v>41132</c:v>
                </c:pt>
                <c:pt idx="841">
                  <c:v>41133</c:v>
                </c:pt>
                <c:pt idx="842">
                  <c:v>41134</c:v>
                </c:pt>
                <c:pt idx="843">
                  <c:v>41135</c:v>
                </c:pt>
                <c:pt idx="844">
                  <c:v>41136</c:v>
                </c:pt>
                <c:pt idx="845">
                  <c:v>41137</c:v>
                </c:pt>
                <c:pt idx="846">
                  <c:v>41138</c:v>
                </c:pt>
                <c:pt idx="847">
                  <c:v>41139</c:v>
                </c:pt>
                <c:pt idx="848">
                  <c:v>41140</c:v>
                </c:pt>
                <c:pt idx="849">
                  <c:v>41141</c:v>
                </c:pt>
                <c:pt idx="850">
                  <c:v>41142</c:v>
                </c:pt>
                <c:pt idx="851">
                  <c:v>41143</c:v>
                </c:pt>
                <c:pt idx="852">
                  <c:v>41144</c:v>
                </c:pt>
                <c:pt idx="853">
                  <c:v>41145</c:v>
                </c:pt>
                <c:pt idx="854">
                  <c:v>41146</c:v>
                </c:pt>
                <c:pt idx="855">
                  <c:v>41147</c:v>
                </c:pt>
                <c:pt idx="856">
                  <c:v>41148</c:v>
                </c:pt>
                <c:pt idx="857">
                  <c:v>41149</c:v>
                </c:pt>
                <c:pt idx="858">
                  <c:v>41150</c:v>
                </c:pt>
                <c:pt idx="859">
                  <c:v>41151</c:v>
                </c:pt>
                <c:pt idx="860">
                  <c:v>41152</c:v>
                </c:pt>
                <c:pt idx="861">
                  <c:v>41153</c:v>
                </c:pt>
                <c:pt idx="862">
                  <c:v>41154</c:v>
                </c:pt>
                <c:pt idx="863">
                  <c:v>41155</c:v>
                </c:pt>
                <c:pt idx="864">
                  <c:v>41156</c:v>
                </c:pt>
                <c:pt idx="865">
                  <c:v>41157</c:v>
                </c:pt>
                <c:pt idx="866">
                  <c:v>41158</c:v>
                </c:pt>
                <c:pt idx="867">
                  <c:v>41159</c:v>
                </c:pt>
                <c:pt idx="868">
                  <c:v>41160</c:v>
                </c:pt>
                <c:pt idx="869">
                  <c:v>41161</c:v>
                </c:pt>
                <c:pt idx="870">
                  <c:v>41162</c:v>
                </c:pt>
                <c:pt idx="871">
                  <c:v>41163</c:v>
                </c:pt>
                <c:pt idx="872">
                  <c:v>41164</c:v>
                </c:pt>
                <c:pt idx="873">
                  <c:v>41165</c:v>
                </c:pt>
                <c:pt idx="874">
                  <c:v>41166</c:v>
                </c:pt>
                <c:pt idx="875">
                  <c:v>41167</c:v>
                </c:pt>
                <c:pt idx="876">
                  <c:v>41168</c:v>
                </c:pt>
                <c:pt idx="877">
                  <c:v>41169</c:v>
                </c:pt>
                <c:pt idx="878">
                  <c:v>41170</c:v>
                </c:pt>
                <c:pt idx="879">
                  <c:v>41171</c:v>
                </c:pt>
                <c:pt idx="880">
                  <c:v>41172</c:v>
                </c:pt>
                <c:pt idx="881">
                  <c:v>41173</c:v>
                </c:pt>
                <c:pt idx="882">
                  <c:v>41174</c:v>
                </c:pt>
                <c:pt idx="883">
                  <c:v>41175</c:v>
                </c:pt>
                <c:pt idx="884">
                  <c:v>41176</c:v>
                </c:pt>
                <c:pt idx="885">
                  <c:v>41177</c:v>
                </c:pt>
                <c:pt idx="886">
                  <c:v>41178</c:v>
                </c:pt>
                <c:pt idx="887">
                  <c:v>41179</c:v>
                </c:pt>
                <c:pt idx="888">
                  <c:v>41180</c:v>
                </c:pt>
                <c:pt idx="889">
                  <c:v>41181</c:v>
                </c:pt>
                <c:pt idx="890">
                  <c:v>41182</c:v>
                </c:pt>
                <c:pt idx="891">
                  <c:v>41183</c:v>
                </c:pt>
                <c:pt idx="892">
                  <c:v>41184</c:v>
                </c:pt>
                <c:pt idx="893">
                  <c:v>41185</c:v>
                </c:pt>
                <c:pt idx="894">
                  <c:v>41186</c:v>
                </c:pt>
                <c:pt idx="895">
                  <c:v>41187</c:v>
                </c:pt>
                <c:pt idx="896">
                  <c:v>41188</c:v>
                </c:pt>
                <c:pt idx="897">
                  <c:v>41189</c:v>
                </c:pt>
                <c:pt idx="898">
                  <c:v>41190</c:v>
                </c:pt>
                <c:pt idx="899">
                  <c:v>41191</c:v>
                </c:pt>
                <c:pt idx="900">
                  <c:v>41192</c:v>
                </c:pt>
                <c:pt idx="901">
                  <c:v>41193</c:v>
                </c:pt>
                <c:pt idx="902">
                  <c:v>41194</c:v>
                </c:pt>
                <c:pt idx="903">
                  <c:v>41195</c:v>
                </c:pt>
                <c:pt idx="904">
                  <c:v>41196</c:v>
                </c:pt>
                <c:pt idx="905">
                  <c:v>41197</c:v>
                </c:pt>
                <c:pt idx="906">
                  <c:v>41198</c:v>
                </c:pt>
                <c:pt idx="907">
                  <c:v>41199</c:v>
                </c:pt>
                <c:pt idx="908">
                  <c:v>41200</c:v>
                </c:pt>
                <c:pt idx="909">
                  <c:v>41201</c:v>
                </c:pt>
                <c:pt idx="910">
                  <c:v>41202</c:v>
                </c:pt>
                <c:pt idx="911">
                  <c:v>41203</c:v>
                </c:pt>
                <c:pt idx="912">
                  <c:v>41204</c:v>
                </c:pt>
                <c:pt idx="913">
                  <c:v>41205</c:v>
                </c:pt>
                <c:pt idx="914">
                  <c:v>41206</c:v>
                </c:pt>
                <c:pt idx="915">
                  <c:v>41207</c:v>
                </c:pt>
                <c:pt idx="916">
                  <c:v>41208</c:v>
                </c:pt>
                <c:pt idx="917">
                  <c:v>41209</c:v>
                </c:pt>
                <c:pt idx="918">
                  <c:v>41210</c:v>
                </c:pt>
                <c:pt idx="919">
                  <c:v>41211</c:v>
                </c:pt>
                <c:pt idx="920">
                  <c:v>41212</c:v>
                </c:pt>
                <c:pt idx="921">
                  <c:v>41213</c:v>
                </c:pt>
                <c:pt idx="922">
                  <c:v>41214</c:v>
                </c:pt>
                <c:pt idx="923">
                  <c:v>41215</c:v>
                </c:pt>
                <c:pt idx="924">
                  <c:v>41216</c:v>
                </c:pt>
                <c:pt idx="925">
                  <c:v>41217</c:v>
                </c:pt>
                <c:pt idx="926">
                  <c:v>41218</c:v>
                </c:pt>
                <c:pt idx="927">
                  <c:v>41219</c:v>
                </c:pt>
                <c:pt idx="928">
                  <c:v>41220</c:v>
                </c:pt>
                <c:pt idx="929">
                  <c:v>41221</c:v>
                </c:pt>
                <c:pt idx="930">
                  <c:v>41222</c:v>
                </c:pt>
                <c:pt idx="931">
                  <c:v>41223</c:v>
                </c:pt>
                <c:pt idx="932">
                  <c:v>41224</c:v>
                </c:pt>
                <c:pt idx="933">
                  <c:v>41225</c:v>
                </c:pt>
                <c:pt idx="934">
                  <c:v>41226</c:v>
                </c:pt>
                <c:pt idx="935">
                  <c:v>41227</c:v>
                </c:pt>
                <c:pt idx="936">
                  <c:v>41228</c:v>
                </c:pt>
                <c:pt idx="937">
                  <c:v>41229</c:v>
                </c:pt>
                <c:pt idx="938">
                  <c:v>41230</c:v>
                </c:pt>
                <c:pt idx="939">
                  <c:v>41231</c:v>
                </c:pt>
                <c:pt idx="940">
                  <c:v>41232</c:v>
                </c:pt>
                <c:pt idx="941">
                  <c:v>41233</c:v>
                </c:pt>
                <c:pt idx="942">
                  <c:v>41234</c:v>
                </c:pt>
                <c:pt idx="943">
                  <c:v>41235</c:v>
                </c:pt>
                <c:pt idx="944">
                  <c:v>41236</c:v>
                </c:pt>
                <c:pt idx="945">
                  <c:v>41237</c:v>
                </c:pt>
                <c:pt idx="946">
                  <c:v>41238</c:v>
                </c:pt>
                <c:pt idx="947">
                  <c:v>41239</c:v>
                </c:pt>
                <c:pt idx="948">
                  <c:v>41240</c:v>
                </c:pt>
                <c:pt idx="949">
                  <c:v>41241</c:v>
                </c:pt>
                <c:pt idx="950">
                  <c:v>41242</c:v>
                </c:pt>
                <c:pt idx="951">
                  <c:v>41243</c:v>
                </c:pt>
                <c:pt idx="952">
                  <c:v>41244</c:v>
                </c:pt>
                <c:pt idx="953">
                  <c:v>41245</c:v>
                </c:pt>
                <c:pt idx="954">
                  <c:v>41246</c:v>
                </c:pt>
                <c:pt idx="955">
                  <c:v>41247</c:v>
                </c:pt>
                <c:pt idx="956">
                  <c:v>41248</c:v>
                </c:pt>
                <c:pt idx="957">
                  <c:v>41249</c:v>
                </c:pt>
                <c:pt idx="958">
                  <c:v>41250</c:v>
                </c:pt>
                <c:pt idx="959">
                  <c:v>41251</c:v>
                </c:pt>
                <c:pt idx="960">
                  <c:v>41252</c:v>
                </c:pt>
                <c:pt idx="961">
                  <c:v>41253</c:v>
                </c:pt>
                <c:pt idx="962">
                  <c:v>41254</c:v>
                </c:pt>
                <c:pt idx="963">
                  <c:v>41255</c:v>
                </c:pt>
                <c:pt idx="964">
                  <c:v>41256</c:v>
                </c:pt>
                <c:pt idx="965">
                  <c:v>41257</c:v>
                </c:pt>
                <c:pt idx="966">
                  <c:v>41258</c:v>
                </c:pt>
                <c:pt idx="967">
                  <c:v>41259</c:v>
                </c:pt>
                <c:pt idx="968">
                  <c:v>41260</c:v>
                </c:pt>
                <c:pt idx="969">
                  <c:v>41261</c:v>
                </c:pt>
                <c:pt idx="970">
                  <c:v>41262</c:v>
                </c:pt>
                <c:pt idx="971">
                  <c:v>41263</c:v>
                </c:pt>
                <c:pt idx="972">
                  <c:v>41264</c:v>
                </c:pt>
                <c:pt idx="973">
                  <c:v>41265</c:v>
                </c:pt>
                <c:pt idx="974">
                  <c:v>41266</c:v>
                </c:pt>
                <c:pt idx="975">
                  <c:v>41267</c:v>
                </c:pt>
                <c:pt idx="976">
                  <c:v>41268</c:v>
                </c:pt>
                <c:pt idx="977">
                  <c:v>41269</c:v>
                </c:pt>
                <c:pt idx="978">
                  <c:v>41270</c:v>
                </c:pt>
                <c:pt idx="979">
                  <c:v>41271</c:v>
                </c:pt>
                <c:pt idx="980">
                  <c:v>41272</c:v>
                </c:pt>
                <c:pt idx="981">
                  <c:v>41273</c:v>
                </c:pt>
                <c:pt idx="982">
                  <c:v>41274</c:v>
                </c:pt>
                <c:pt idx="983">
                  <c:v>41275</c:v>
                </c:pt>
                <c:pt idx="984">
                  <c:v>41276</c:v>
                </c:pt>
                <c:pt idx="985">
                  <c:v>41277</c:v>
                </c:pt>
                <c:pt idx="986">
                  <c:v>41278</c:v>
                </c:pt>
                <c:pt idx="987">
                  <c:v>41279</c:v>
                </c:pt>
                <c:pt idx="988">
                  <c:v>41280</c:v>
                </c:pt>
                <c:pt idx="989">
                  <c:v>41281</c:v>
                </c:pt>
                <c:pt idx="990">
                  <c:v>41282</c:v>
                </c:pt>
                <c:pt idx="991">
                  <c:v>41283</c:v>
                </c:pt>
                <c:pt idx="992">
                  <c:v>41284</c:v>
                </c:pt>
                <c:pt idx="993">
                  <c:v>41285</c:v>
                </c:pt>
                <c:pt idx="994">
                  <c:v>41286</c:v>
                </c:pt>
                <c:pt idx="995">
                  <c:v>41287</c:v>
                </c:pt>
                <c:pt idx="996">
                  <c:v>41288</c:v>
                </c:pt>
                <c:pt idx="997">
                  <c:v>41289</c:v>
                </c:pt>
                <c:pt idx="998">
                  <c:v>41290</c:v>
                </c:pt>
                <c:pt idx="999">
                  <c:v>41291</c:v>
                </c:pt>
                <c:pt idx="1000">
                  <c:v>41292</c:v>
                </c:pt>
                <c:pt idx="1001">
                  <c:v>41293</c:v>
                </c:pt>
                <c:pt idx="1002">
                  <c:v>41294</c:v>
                </c:pt>
                <c:pt idx="1003">
                  <c:v>41295</c:v>
                </c:pt>
                <c:pt idx="1004">
                  <c:v>41296</c:v>
                </c:pt>
                <c:pt idx="1005">
                  <c:v>41297</c:v>
                </c:pt>
                <c:pt idx="1006">
                  <c:v>41298</c:v>
                </c:pt>
                <c:pt idx="1007">
                  <c:v>41299</c:v>
                </c:pt>
                <c:pt idx="1008">
                  <c:v>41300</c:v>
                </c:pt>
                <c:pt idx="1009">
                  <c:v>41301</c:v>
                </c:pt>
                <c:pt idx="1010">
                  <c:v>41302</c:v>
                </c:pt>
                <c:pt idx="1011">
                  <c:v>41303</c:v>
                </c:pt>
                <c:pt idx="1012">
                  <c:v>41304</c:v>
                </c:pt>
                <c:pt idx="1013">
                  <c:v>41305</c:v>
                </c:pt>
                <c:pt idx="1014">
                  <c:v>41306</c:v>
                </c:pt>
                <c:pt idx="1015">
                  <c:v>41307</c:v>
                </c:pt>
                <c:pt idx="1016">
                  <c:v>41308</c:v>
                </c:pt>
                <c:pt idx="1017">
                  <c:v>41309</c:v>
                </c:pt>
                <c:pt idx="1018">
                  <c:v>41310</c:v>
                </c:pt>
                <c:pt idx="1019">
                  <c:v>41311</c:v>
                </c:pt>
                <c:pt idx="1020">
                  <c:v>41312</c:v>
                </c:pt>
                <c:pt idx="1021">
                  <c:v>41313</c:v>
                </c:pt>
                <c:pt idx="1022">
                  <c:v>41314</c:v>
                </c:pt>
                <c:pt idx="1023">
                  <c:v>41315</c:v>
                </c:pt>
                <c:pt idx="1024">
                  <c:v>41316</c:v>
                </c:pt>
                <c:pt idx="1025">
                  <c:v>41317</c:v>
                </c:pt>
                <c:pt idx="1026">
                  <c:v>41318</c:v>
                </c:pt>
                <c:pt idx="1027">
                  <c:v>41319</c:v>
                </c:pt>
                <c:pt idx="1028">
                  <c:v>41320</c:v>
                </c:pt>
                <c:pt idx="1029">
                  <c:v>41321</c:v>
                </c:pt>
                <c:pt idx="1030">
                  <c:v>41322</c:v>
                </c:pt>
                <c:pt idx="1031">
                  <c:v>41323</c:v>
                </c:pt>
                <c:pt idx="1032">
                  <c:v>41324</c:v>
                </c:pt>
                <c:pt idx="1033">
                  <c:v>41325</c:v>
                </c:pt>
                <c:pt idx="1034">
                  <c:v>41326</c:v>
                </c:pt>
                <c:pt idx="1035">
                  <c:v>41327</c:v>
                </c:pt>
                <c:pt idx="1036">
                  <c:v>41328</c:v>
                </c:pt>
                <c:pt idx="1037">
                  <c:v>41329</c:v>
                </c:pt>
                <c:pt idx="1038">
                  <c:v>41330</c:v>
                </c:pt>
                <c:pt idx="1039">
                  <c:v>41331</c:v>
                </c:pt>
                <c:pt idx="1040">
                  <c:v>41332</c:v>
                </c:pt>
                <c:pt idx="1041">
                  <c:v>41333</c:v>
                </c:pt>
                <c:pt idx="1042">
                  <c:v>41334</c:v>
                </c:pt>
                <c:pt idx="1043">
                  <c:v>41335</c:v>
                </c:pt>
                <c:pt idx="1044">
                  <c:v>41336</c:v>
                </c:pt>
                <c:pt idx="1045">
                  <c:v>41337</c:v>
                </c:pt>
                <c:pt idx="1046">
                  <c:v>41338</c:v>
                </c:pt>
                <c:pt idx="1047">
                  <c:v>41339</c:v>
                </c:pt>
                <c:pt idx="1048">
                  <c:v>41340</c:v>
                </c:pt>
                <c:pt idx="1049">
                  <c:v>41341</c:v>
                </c:pt>
                <c:pt idx="1050">
                  <c:v>41342</c:v>
                </c:pt>
                <c:pt idx="1051">
                  <c:v>41344</c:v>
                </c:pt>
                <c:pt idx="1052">
                  <c:v>41345</c:v>
                </c:pt>
                <c:pt idx="1053">
                  <c:v>41346</c:v>
                </c:pt>
                <c:pt idx="1054">
                  <c:v>41347</c:v>
                </c:pt>
                <c:pt idx="1055">
                  <c:v>41348</c:v>
                </c:pt>
                <c:pt idx="1056">
                  <c:v>41349</c:v>
                </c:pt>
                <c:pt idx="1057">
                  <c:v>41350</c:v>
                </c:pt>
                <c:pt idx="1058">
                  <c:v>41351</c:v>
                </c:pt>
                <c:pt idx="1059">
                  <c:v>41352</c:v>
                </c:pt>
                <c:pt idx="1060">
                  <c:v>41353</c:v>
                </c:pt>
                <c:pt idx="1061">
                  <c:v>41354</c:v>
                </c:pt>
                <c:pt idx="1062">
                  <c:v>41355</c:v>
                </c:pt>
                <c:pt idx="1063">
                  <c:v>41356</c:v>
                </c:pt>
                <c:pt idx="1064">
                  <c:v>41357</c:v>
                </c:pt>
                <c:pt idx="1065">
                  <c:v>41358</c:v>
                </c:pt>
                <c:pt idx="1066">
                  <c:v>41359</c:v>
                </c:pt>
                <c:pt idx="1067">
                  <c:v>41360</c:v>
                </c:pt>
                <c:pt idx="1068">
                  <c:v>41361</c:v>
                </c:pt>
                <c:pt idx="1069">
                  <c:v>41362</c:v>
                </c:pt>
                <c:pt idx="1070">
                  <c:v>41363</c:v>
                </c:pt>
                <c:pt idx="1071">
                  <c:v>41364</c:v>
                </c:pt>
                <c:pt idx="1072">
                  <c:v>41365</c:v>
                </c:pt>
                <c:pt idx="1073">
                  <c:v>41366</c:v>
                </c:pt>
                <c:pt idx="1074">
                  <c:v>41367</c:v>
                </c:pt>
                <c:pt idx="1075">
                  <c:v>41368</c:v>
                </c:pt>
                <c:pt idx="1076">
                  <c:v>41369</c:v>
                </c:pt>
                <c:pt idx="1077">
                  <c:v>41370</c:v>
                </c:pt>
                <c:pt idx="1078">
                  <c:v>41371</c:v>
                </c:pt>
                <c:pt idx="1079">
                  <c:v>41372</c:v>
                </c:pt>
                <c:pt idx="1080">
                  <c:v>41373</c:v>
                </c:pt>
                <c:pt idx="1081">
                  <c:v>41374</c:v>
                </c:pt>
                <c:pt idx="1082">
                  <c:v>41375</c:v>
                </c:pt>
                <c:pt idx="1083">
                  <c:v>41376</c:v>
                </c:pt>
                <c:pt idx="1084">
                  <c:v>41377</c:v>
                </c:pt>
                <c:pt idx="1085">
                  <c:v>41379</c:v>
                </c:pt>
                <c:pt idx="1086">
                  <c:v>41380</c:v>
                </c:pt>
                <c:pt idx="1087">
                  <c:v>41381</c:v>
                </c:pt>
                <c:pt idx="1088">
                  <c:v>41382</c:v>
                </c:pt>
                <c:pt idx="1089">
                  <c:v>41383</c:v>
                </c:pt>
                <c:pt idx="1090">
                  <c:v>41384</c:v>
                </c:pt>
                <c:pt idx="1091">
                  <c:v>41385</c:v>
                </c:pt>
                <c:pt idx="1092">
                  <c:v>41386</c:v>
                </c:pt>
                <c:pt idx="1093">
                  <c:v>41387</c:v>
                </c:pt>
                <c:pt idx="1094">
                  <c:v>41388</c:v>
                </c:pt>
                <c:pt idx="1095">
                  <c:v>41389</c:v>
                </c:pt>
                <c:pt idx="1096">
                  <c:v>41390</c:v>
                </c:pt>
                <c:pt idx="1097">
                  <c:v>41391</c:v>
                </c:pt>
                <c:pt idx="1098">
                  <c:v>41392</c:v>
                </c:pt>
                <c:pt idx="1099">
                  <c:v>41393</c:v>
                </c:pt>
                <c:pt idx="1100">
                  <c:v>41394</c:v>
                </c:pt>
                <c:pt idx="1101">
                  <c:v>41395</c:v>
                </c:pt>
                <c:pt idx="1102">
                  <c:v>41396</c:v>
                </c:pt>
                <c:pt idx="1103">
                  <c:v>41397</c:v>
                </c:pt>
                <c:pt idx="1104">
                  <c:v>41398</c:v>
                </c:pt>
                <c:pt idx="1105">
                  <c:v>41399</c:v>
                </c:pt>
                <c:pt idx="1106">
                  <c:v>41400</c:v>
                </c:pt>
                <c:pt idx="1107">
                  <c:v>41401</c:v>
                </c:pt>
                <c:pt idx="1108">
                  <c:v>41402</c:v>
                </c:pt>
                <c:pt idx="1109">
                  <c:v>41403</c:v>
                </c:pt>
                <c:pt idx="1110">
                  <c:v>41404</c:v>
                </c:pt>
                <c:pt idx="1111">
                  <c:v>41405</c:v>
                </c:pt>
                <c:pt idx="1112">
                  <c:v>41406</c:v>
                </c:pt>
                <c:pt idx="1113">
                  <c:v>41407</c:v>
                </c:pt>
                <c:pt idx="1114">
                  <c:v>41408</c:v>
                </c:pt>
                <c:pt idx="1115">
                  <c:v>41409</c:v>
                </c:pt>
                <c:pt idx="1116">
                  <c:v>41410</c:v>
                </c:pt>
                <c:pt idx="1117">
                  <c:v>41411</c:v>
                </c:pt>
                <c:pt idx="1118">
                  <c:v>41412</c:v>
                </c:pt>
                <c:pt idx="1119">
                  <c:v>41413</c:v>
                </c:pt>
                <c:pt idx="1120">
                  <c:v>41414</c:v>
                </c:pt>
                <c:pt idx="1121">
                  <c:v>41415</c:v>
                </c:pt>
                <c:pt idx="1122">
                  <c:v>41416</c:v>
                </c:pt>
                <c:pt idx="1123">
                  <c:v>41417</c:v>
                </c:pt>
                <c:pt idx="1124">
                  <c:v>41418</c:v>
                </c:pt>
                <c:pt idx="1125">
                  <c:v>41419</c:v>
                </c:pt>
                <c:pt idx="1126">
                  <c:v>41420</c:v>
                </c:pt>
                <c:pt idx="1127">
                  <c:v>41421</c:v>
                </c:pt>
                <c:pt idx="1128">
                  <c:v>41422</c:v>
                </c:pt>
                <c:pt idx="1129">
                  <c:v>41423</c:v>
                </c:pt>
                <c:pt idx="1130">
                  <c:v>41424</c:v>
                </c:pt>
                <c:pt idx="1131">
                  <c:v>41425</c:v>
                </c:pt>
                <c:pt idx="1132">
                  <c:v>41426</c:v>
                </c:pt>
                <c:pt idx="1133">
                  <c:v>41427</c:v>
                </c:pt>
                <c:pt idx="1134">
                  <c:v>41428</c:v>
                </c:pt>
                <c:pt idx="1135">
                  <c:v>41429</c:v>
                </c:pt>
                <c:pt idx="1136">
                  <c:v>41430</c:v>
                </c:pt>
                <c:pt idx="1137">
                  <c:v>41431</c:v>
                </c:pt>
                <c:pt idx="1138">
                  <c:v>41432</c:v>
                </c:pt>
                <c:pt idx="1139">
                  <c:v>41433</c:v>
                </c:pt>
                <c:pt idx="1140">
                  <c:v>41434</c:v>
                </c:pt>
                <c:pt idx="1141">
                  <c:v>41435</c:v>
                </c:pt>
                <c:pt idx="1142">
                  <c:v>41436</c:v>
                </c:pt>
                <c:pt idx="1143">
                  <c:v>41437</c:v>
                </c:pt>
                <c:pt idx="1144">
                  <c:v>41438</c:v>
                </c:pt>
                <c:pt idx="1145">
                  <c:v>41439</c:v>
                </c:pt>
                <c:pt idx="1146">
                  <c:v>41440</c:v>
                </c:pt>
                <c:pt idx="1147">
                  <c:v>41441</c:v>
                </c:pt>
                <c:pt idx="1148">
                  <c:v>41442</c:v>
                </c:pt>
                <c:pt idx="1149">
                  <c:v>41443</c:v>
                </c:pt>
                <c:pt idx="1150">
                  <c:v>41444</c:v>
                </c:pt>
                <c:pt idx="1151">
                  <c:v>41445</c:v>
                </c:pt>
                <c:pt idx="1152">
                  <c:v>41446</c:v>
                </c:pt>
                <c:pt idx="1153">
                  <c:v>41447</c:v>
                </c:pt>
                <c:pt idx="1154">
                  <c:v>41448</c:v>
                </c:pt>
                <c:pt idx="1155">
                  <c:v>41449</c:v>
                </c:pt>
                <c:pt idx="1156">
                  <c:v>41450</c:v>
                </c:pt>
                <c:pt idx="1157">
                  <c:v>41451</c:v>
                </c:pt>
                <c:pt idx="1158">
                  <c:v>41452</c:v>
                </c:pt>
                <c:pt idx="1159">
                  <c:v>41453</c:v>
                </c:pt>
                <c:pt idx="1160">
                  <c:v>41454</c:v>
                </c:pt>
                <c:pt idx="1161">
                  <c:v>41455</c:v>
                </c:pt>
                <c:pt idx="1162">
                  <c:v>41456</c:v>
                </c:pt>
                <c:pt idx="1163">
                  <c:v>41457</c:v>
                </c:pt>
                <c:pt idx="1164">
                  <c:v>41458</c:v>
                </c:pt>
                <c:pt idx="1165">
                  <c:v>41459</c:v>
                </c:pt>
                <c:pt idx="1166">
                  <c:v>41460</c:v>
                </c:pt>
                <c:pt idx="1167">
                  <c:v>41461</c:v>
                </c:pt>
                <c:pt idx="1168">
                  <c:v>41462</c:v>
                </c:pt>
                <c:pt idx="1169">
                  <c:v>41463</c:v>
                </c:pt>
                <c:pt idx="1170">
                  <c:v>41464</c:v>
                </c:pt>
                <c:pt idx="1171">
                  <c:v>41465</c:v>
                </c:pt>
                <c:pt idx="1172">
                  <c:v>41466</c:v>
                </c:pt>
                <c:pt idx="1173">
                  <c:v>41467</c:v>
                </c:pt>
                <c:pt idx="1174">
                  <c:v>41468</c:v>
                </c:pt>
                <c:pt idx="1175">
                  <c:v>41469</c:v>
                </c:pt>
                <c:pt idx="1176">
                  <c:v>41470</c:v>
                </c:pt>
                <c:pt idx="1177">
                  <c:v>41471</c:v>
                </c:pt>
                <c:pt idx="1178">
                  <c:v>41472</c:v>
                </c:pt>
                <c:pt idx="1179">
                  <c:v>41473</c:v>
                </c:pt>
                <c:pt idx="1180">
                  <c:v>41474</c:v>
                </c:pt>
                <c:pt idx="1181">
                  <c:v>41475</c:v>
                </c:pt>
                <c:pt idx="1182">
                  <c:v>41476</c:v>
                </c:pt>
                <c:pt idx="1183">
                  <c:v>41477</c:v>
                </c:pt>
                <c:pt idx="1184">
                  <c:v>41478</c:v>
                </c:pt>
                <c:pt idx="1185">
                  <c:v>41479</c:v>
                </c:pt>
                <c:pt idx="1186">
                  <c:v>41480</c:v>
                </c:pt>
                <c:pt idx="1187">
                  <c:v>41481</c:v>
                </c:pt>
                <c:pt idx="1188">
                  <c:v>41482</c:v>
                </c:pt>
                <c:pt idx="1189">
                  <c:v>41483</c:v>
                </c:pt>
                <c:pt idx="1190">
                  <c:v>41484</c:v>
                </c:pt>
                <c:pt idx="1191">
                  <c:v>41485</c:v>
                </c:pt>
                <c:pt idx="1192">
                  <c:v>41486</c:v>
                </c:pt>
                <c:pt idx="1193">
                  <c:v>41487</c:v>
                </c:pt>
                <c:pt idx="1194">
                  <c:v>41488</c:v>
                </c:pt>
                <c:pt idx="1195">
                  <c:v>41489</c:v>
                </c:pt>
                <c:pt idx="1196">
                  <c:v>41490</c:v>
                </c:pt>
                <c:pt idx="1197">
                  <c:v>41491</c:v>
                </c:pt>
                <c:pt idx="1198">
                  <c:v>41492</c:v>
                </c:pt>
                <c:pt idx="1199">
                  <c:v>41493</c:v>
                </c:pt>
                <c:pt idx="1200">
                  <c:v>41494</c:v>
                </c:pt>
                <c:pt idx="1201">
                  <c:v>41495</c:v>
                </c:pt>
                <c:pt idx="1202">
                  <c:v>41496</c:v>
                </c:pt>
                <c:pt idx="1203">
                  <c:v>41497</c:v>
                </c:pt>
                <c:pt idx="1204">
                  <c:v>41498</c:v>
                </c:pt>
                <c:pt idx="1205">
                  <c:v>41499</c:v>
                </c:pt>
                <c:pt idx="1206">
                  <c:v>41500</c:v>
                </c:pt>
                <c:pt idx="1207">
                  <c:v>41501</c:v>
                </c:pt>
                <c:pt idx="1208">
                  <c:v>41502</c:v>
                </c:pt>
                <c:pt idx="1209">
                  <c:v>41503</c:v>
                </c:pt>
                <c:pt idx="1210">
                  <c:v>41505</c:v>
                </c:pt>
                <c:pt idx="1211">
                  <c:v>41506</c:v>
                </c:pt>
                <c:pt idx="1212">
                  <c:v>41507</c:v>
                </c:pt>
                <c:pt idx="1213">
                  <c:v>41508</c:v>
                </c:pt>
                <c:pt idx="1214">
                  <c:v>41509</c:v>
                </c:pt>
                <c:pt idx="1215">
                  <c:v>41510</c:v>
                </c:pt>
                <c:pt idx="1216">
                  <c:v>41511</c:v>
                </c:pt>
                <c:pt idx="1217">
                  <c:v>41512</c:v>
                </c:pt>
                <c:pt idx="1218">
                  <c:v>41513</c:v>
                </c:pt>
                <c:pt idx="1219">
                  <c:v>41514</c:v>
                </c:pt>
                <c:pt idx="1220">
                  <c:v>41515</c:v>
                </c:pt>
                <c:pt idx="1221">
                  <c:v>41516</c:v>
                </c:pt>
                <c:pt idx="1222">
                  <c:v>41517</c:v>
                </c:pt>
                <c:pt idx="1223">
                  <c:v>41518</c:v>
                </c:pt>
                <c:pt idx="1224">
                  <c:v>41519</c:v>
                </c:pt>
                <c:pt idx="1225">
                  <c:v>41520</c:v>
                </c:pt>
                <c:pt idx="1226">
                  <c:v>41521</c:v>
                </c:pt>
                <c:pt idx="1227">
                  <c:v>41522</c:v>
                </c:pt>
                <c:pt idx="1228">
                  <c:v>41523</c:v>
                </c:pt>
                <c:pt idx="1229">
                  <c:v>41524</c:v>
                </c:pt>
                <c:pt idx="1230">
                  <c:v>41525</c:v>
                </c:pt>
                <c:pt idx="1231">
                  <c:v>41526</c:v>
                </c:pt>
                <c:pt idx="1232">
                  <c:v>41527</c:v>
                </c:pt>
                <c:pt idx="1233">
                  <c:v>41528</c:v>
                </c:pt>
                <c:pt idx="1234">
                  <c:v>41529</c:v>
                </c:pt>
                <c:pt idx="1235">
                  <c:v>41530</c:v>
                </c:pt>
                <c:pt idx="1236">
                  <c:v>41531</c:v>
                </c:pt>
                <c:pt idx="1237">
                  <c:v>41532</c:v>
                </c:pt>
                <c:pt idx="1238">
                  <c:v>41533</c:v>
                </c:pt>
                <c:pt idx="1239">
                  <c:v>41534</c:v>
                </c:pt>
                <c:pt idx="1240">
                  <c:v>41535</c:v>
                </c:pt>
                <c:pt idx="1241">
                  <c:v>41536</c:v>
                </c:pt>
                <c:pt idx="1242">
                  <c:v>41537</c:v>
                </c:pt>
                <c:pt idx="1243">
                  <c:v>41538</c:v>
                </c:pt>
                <c:pt idx="1244">
                  <c:v>41539</c:v>
                </c:pt>
                <c:pt idx="1245">
                  <c:v>41540</c:v>
                </c:pt>
                <c:pt idx="1246">
                  <c:v>41541</c:v>
                </c:pt>
                <c:pt idx="1247">
                  <c:v>41542</c:v>
                </c:pt>
                <c:pt idx="1248">
                  <c:v>41543</c:v>
                </c:pt>
                <c:pt idx="1249">
                  <c:v>41544</c:v>
                </c:pt>
                <c:pt idx="1250">
                  <c:v>41545</c:v>
                </c:pt>
                <c:pt idx="1251">
                  <c:v>41546</c:v>
                </c:pt>
                <c:pt idx="1252">
                  <c:v>41547</c:v>
                </c:pt>
                <c:pt idx="1253">
                  <c:v>41548</c:v>
                </c:pt>
                <c:pt idx="1254">
                  <c:v>41549</c:v>
                </c:pt>
                <c:pt idx="1255">
                  <c:v>41550</c:v>
                </c:pt>
                <c:pt idx="1256">
                  <c:v>41551</c:v>
                </c:pt>
                <c:pt idx="1257">
                  <c:v>41552</c:v>
                </c:pt>
                <c:pt idx="1258">
                  <c:v>41553</c:v>
                </c:pt>
                <c:pt idx="1259">
                  <c:v>41554</c:v>
                </c:pt>
                <c:pt idx="1260">
                  <c:v>41555</c:v>
                </c:pt>
                <c:pt idx="1261">
                  <c:v>41556</c:v>
                </c:pt>
                <c:pt idx="1262">
                  <c:v>41557</c:v>
                </c:pt>
                <c:pt idx="1263">
                  <c:v>41558</c:v>
                </c:pt>
                <c:pt idx="1264">
                  <c:v>41559</c:v>
                </c:pt>
                <c:pt idx="1265">
                  <c:v>41560</c:v>
                </c:pt>
                <c:pt idx="1266">
                  <c:v>41561</c:v>
                </c:pt>
                <c:pt idx="1267">
                  <c:v>41562</c:v>
                </c:pt>
                <c:pt idx="1268">
                  <c:v>41563</c:v>
                </c:pt>
                <c:pt idx="1269">
                  <c:v>41564</c:v>
                </c:pt>
                <c:pt idx="1270">
                  <c:v>41565</c:v>
                </c:pt>
                <c:pt idx="1271">
                  <c:v>41566</c:v>
                </c:pt>
                <c:pt idx="1272">
                  <c:v>41567</c:v>
                </c:pt>
                <c:pt idx="1273">
                  <c:v>41568</c:v>
                </c:pt>
                <c:pt idx="1274">
                  <c:v>41569</c:v>
                </c:pt>
                <c:pt idx="1275">
                  <c:v>41570</c:v>
                </c:pt>
                <c:pt idx="1276">
                  <c:v>41571</c:v>
                </c:pt>
                <c:pt idx="1277">
                  <c:v>41572</c:v>
                </c:pt>
                <c:pt idx="1278">
                  <c:v>41573</c:v>
                </c:pt>
                <c:pt idx="1279">
                  <c:v>41574</c:v>
                </c:pt>
                <c:pt idx="1280">
                  <c:v>41575</c:v>
                </c:pt>
                <c:pt idx="1281">
                  <c:v>41576</c:v>
                </c:pt>
                <c:pt idx="1282">
                  <c:v>41577</c:v>
                </c:pt>
                <c:pt idx="1283">
                  <c:v>41578</c:v>
                </c:pt>
                <c:pt idx="1284">
                  <c:v>41579</c:v>
                </c:pt>
                <c:pt idx="1285">
                  <c:v>41580</c:v>
                </c:pt>
                <c:pt idx="1286">
                  <c:v>41581</c:v>
                </c:pt>
                <c:pt idx="1287">
                  <c:v>41582</c:v>
                </c:pt>
                <c:pt idx="1288">
                  <c:v>41583</c:v>
                </c:pt>
                <c:pt idx="1289">
                  <c:v>41584</c:v>
                </c:pt>
                <c:pt idx="1290">
                  <c:v>41585</c:v>
                </c:pt>
                <c:pt idx="1291">
                  <c:v>41586</c:v>
                </c:pt>
                <c:pt idx="1292">
                  <c:v>41587</c:v>
                </c:pt>
                <c:pt idx="1293">
                  <c:v>41588</c:v>
                </c:pt>
                <c:pt idx="1294">
                  <c:v>41589</c:v>
                </c:pt>
                <c:pt idx="1295">
                  <c:v>41590</c:v>
                </c:pt>
                <c:pt idx="1296">
                  <c:v>41591</c:v>
                </c:pt>
                <c:pt idx="1297">
                  <c:v>41592</c:v>
                </c:pt>
                <c:pt idx="1298">
                  <c:v>41593</c:v>
                </c:pt>
                <c:pt idx="1299">
                  <c:v>41594</c:v>
                </c:pt>
                <c:pt idx="1300">
                  <c:v>41595</c:v>
                </c:pt>
                <c:pt idx="1301">
                  <c:v>41596</c:v>
                </c:pt>
                <c:pt idx="1302">
                  <c:v>41597</c:v>
                </c:pt>
                <c:pt idx="1303">
                  <c:v>41598</c:v>
                </c:pt>
                <c:pt idx="1304">
                  <c:v>41599</c:v>
                </c:pt>
                <c:pt idx="1305">
                  <c:v>41600</c:v>
                </c:pt>
                <c:pt idx="1306">
                  <c:v>41601</c:v>
                </c:pt>
                <c:pt idx="1307">
                  <c:v>41602</c:v>
                </c:pt>
                <c:pt idx="1308">
                  <c:v>41603</c:v>
                </c:pt>
                <c:pt idx="1309">
                  <c:v>41604</c:v>
                </c:pt>
                <c:pt idx="1310">
                  <c:v>41605</c:v>
                </c:pt>
                <c:pt idx="1311">
                  <c:v>41606</c:v>
                </c:pt>
                <c:pt idx="1312">
                  <c:v>41607</c:v>
                </c:pt>
                <c:pt idx="1313">
                  <c:v>41608</c:v>
                </c:pt>
                <c:pt idx="1314">
                  <c:v>41609</c:v>
                </c:pt>
                <c:pt idx="1315">
                  <c:v>41610</c:v>
                </c:pt>
                <c:pt idx="1316">
                  <c:v>41611</c:v>
                </c:pt>
                <c:pt idx="1317">
                  <c:v>41612</c:v>
                </c:pt>
                <c:pt idx="1318">
                  <c:v>41613</c:v>
                </c:pt>
                <c:pt idx="1319">
                  <c:v>41614</c:v>
                </c:pt>
                <c:pt idx="1320">
                  <c:v>41615</c:v>
                </c:pt>
                <c:pt idx="1321">
                  <c:v>41616</c:v>
                </c:pt>
                <c:pt idx="1322">
                  <c:v>41617</c:v>
                </c:pt>
                <c:pt idx="1323">
                  <c:v>41618</c:v>
                </c:pt>
                <c:pt idx="1324">
                  <c:v>41619</c:v>
                </c:pt>
                <c:pt idx="1325">
                  <c:v>41620</c:v>
                </c:pt>
                <c:pt idx="1326">
                  <c:v>41621</c:v>
                </c:pt>
                <c:pt idx="1327">
                  <c:v>41622</c:v>
                </c:pt>
                <c:pt idx="1328">
                  <c:v>41623</c:v>
                </c:pt>
                <c:pt idx="1329">
                  <c:v>41624</c:v>
                </c:pt>
                <c:pt idx="1330">
                  <c:v>41625</c:v>
                </c:pt>
                <c:pt idx="1331">
                  <c:v>41626</c:v>
                </c:pt>
                <c:pt idx="1332">
                  <c:v>41627</c:v>
                </c:pt>
                <c:pt idx="1333">
                  <c:v>41628</c:v>
                </c:pt>
                <c:pt idx="1334">
                  <c:v>41629</c:v>
                </c:pt>
                <c:pt idx="1335">
                  <c:v>41630</c:v>
                </c:pt>
                <c:pt idx="1336">
                  <c:v>41631</c:v>
                </c:pt>
                <c:pt idx="1337">
                  <c:v>41632</c:v>
                </c:pt>
                <c:pt idx="1338">
                  <c:v>41633</c:v>
                </c:pt>
                <c:pt idx="1339">
                  <c:v>41634</c:v>
                </c:pt>
                <c:pt idx="1340">
                  <c:v>41635</c:v>
                </c:pt>
                <c:pt idx="1341">
                  <c:v>41636</c:v>
                </c:pt>
                <c:pt idx="1342">
                  <c:v>41637</c:v>
                </c:pt>
                <c:pt idx="1343">
                  <c:v>41638</c:v>
                </c:pt>
                <c:pt idx="1344">
                  <c:v>41639</c:v>
                </c:pt>
                <c:pt idx="1345">
                  <c:v>41640</c:v>
                </c:pt>
                <c:pt idx="1346">
                  <c:v>41641</c:v>
                </c:pt>
                <c:pt idx="1347">
                  <c:v>41642</c:v>
                </c:pt>
                <c:pt idx="1348">
                  <c:v>41643</c:v>
                </c:pt>
                <c:pt idx="1349">
                  <c:v>41644</c:v>
                </c:pt>
                <c:pt idx="1350">
                  <c:v>41645</c:v>
                </c:pt>
                <c:pt idx="1351">
                  <c:v>41646</c:v>
                </c:pt>
                <c:pt idx="1352">
                  <c:v>41647</c:v>
                </c:pt>
                <c:pt idx="1353">
                  <c:v>41648</c:v>
                </c:pt>
                <c:pt idx="1354">
                  <c:v>41649</c:v>
                </c:pt>
                <c:pt idx="1355">
                  <c:v>41650</c:v>
                </c:pt>
                <c:pt idx="1356">
                  <c:v>41651</c:v>
                </c:pt>
                <c:pt idx="1357">
                  <c:v>41652</c:v>
                </c:pt>
                <c:pt idx="1358">
                  <c:v>41653</c:v>
                </c:pt>
                <c:pt idx="1359">
                  <c:v>41654</c:v>
                </c:pt>
                <c:pt idx="1360">
                  <c:v>41655</c:v>
                </c:pt>
                <c:pt idx="1361">
                  <c:v>41656</c:v>
                </c:pt>
                <c:pt idx="1362">
                  <c:v>41657</c:v>
                </c:pt>
                <c:pt idx="1363">
                  <c:v>41658</c:v>
                </c:pt>
                <c:pt idx="1364">
                  <c:v>41659</c:v>
                </c:pt>
                <c:pt idx="1365">
                  <c:v>41660</c:v>
                </c:pt>
                <c:pt idx="1366">
                  <c:v>41661</c:v>
                </c:pt>
                <c:pt idx="1367">
                  <c:v>41662</c:v>
                </c:pt>
                <c:pt idx="1368">
                  <c:v>41663</c:v>
                </c:pt>
                <c:pt idx="1369">
                  <c:v>41664</c:v>
                </c:pt>
                <c:pt idx="1370">
                  <c:v>41665</c:v>
                </c:pt>
                <c:pt idx="1371">
                  <c:v>41666</c:v>
                </c:pt>
                <c:pt idx="1372">
                  <c:v>41667</c:v>
                </c:pt>
                <c:pt idx="1373">
                  <c:v>41668</c:v>
                </c:pt>
                <c:pt idx="1374">
                  <c:v>41669</c:v>
                </c:pt>
                <c:pt idx="1375">
                  <c:v>41670</c:v>
                </c:pt>
                <c:pt idx="1376">
                  <c:v>41671</c:v>
                </c:pt>
                <c:pt idx="1377">
                  <c:v>41672</c:v>
                </c:pt>
                <c:pt idx="1378">
                  <c:v>41673</c:v>
                </c:pt>
                <c:pt idx="1379">
                  <c:v>41674</c:v>
                </c:pt>
                <c:pt idx="1380">
                  <c:v>41675</c:v>
                </c:pt>
                <c:pt idx="1381">
                  <c:v>41676</c:v>
                </c:pt>
                <c:pt idx="1382">
                  <c:v>41677</c:v>
                </c:pt>
                <c:pt idx="1383">
                  <c:v>41678</c:v>
                </c:pt>
                <c:pt idx="1384">
                  <c:v>41679</c:v>
                </c:pt>
                <c:pt idx="1385">
                  <c:v>41680</c:v>
                </c:pt>
                <c:pt idx="1386">
                  <c:v>41681</c:v>
                </c:pt>
                <c:pt idx="1387">
                  <c:v>41682</c:v>
                </c:pt>
                <c:pt idx="1388">
                  <c:v>41683</c:v>
                </c:pt>
                <c:pt idx="1389">
                  <c:v>41684</c:v>
                </c:pt>
                <c:pt idx="1390">
                  <c:v>41685</c:v>
                </c:pt>
                <c:pt idx="1391">
                  <c:v>41686</c:v>
                </c:pt>
                <c:pt idx="1392">
                  <c:v>41687</c:v>
                </c:pt>
                <c:pt idx="1393">
                  <c:v>41688</c:v>
                </c:pt>
                <c:pt idx="1394">
                  <c:v>41689</c:v>
                </c:pt>
                <c:pt idx="1395">
                  <c:v>41690</c:v>
                </c:pt>
                <c:pt idx="1396">
                  <c:v>41691</c:v>
                </c:pt>
                <c:pt idx="1397">
                  <c:v>41692</c:v>
                </c:pt>
                <c:pt idx="1398">
                  <c:v>41693</c:v>
                </c:pt>
                <c:pt idx="1399">
                  <c:v>41694</c:v>
                </c:pt>
                <c:pt idx="1400">
                  <c:v>41695</c:v>
                </c:pt>
                <c:pt idx="1401">
                  <c:v>41696</c:v>
                </c:pt>
                <c:pt idx="1402">
                  <c:v>41697</c:v>
                </c:pt>
                <c:pt idx="1403">
                  <c:v>41698</c:v>
                </c:pt>
                <c:pt idx="1404">
                  <c:v>41699</c:v>
                </c:pt>
                <c:pt idx="1405">
                  <c:v>41700</c:v>
                </c:pt>
                <c:pt idx="1406">
                  <c:v>41701</c:v>
                </c:pt>
                <c:pt idx="1407">
                  <c:v>41702</c:v>
                </c:pt>
                <c:pt idx="1408">
                  <c:v>41703</c:v>
                </c:pt>
                <c:pt idx="1409">
                  <c:v>41704</c:v>
                </c:pt>
                <c:pt idx="1410">
                  <c:v>41705</c:v>
                </c:pt>
                <c:pt idx="1411">
                  <c:v>41706</c:v>
                </c:pt>
                <c:pt idx="1412">
                  <c:v>41707</c:v>
                </c:pt>
                <c:pt idx="1413">
                  <c:v>41708</c:v>
                </c:pt>
                <c:pt idx="1414">
                  <c:v>41709</c:v>
                </c:pt>
                <c:pt idx="1415">
                  <c:v>41710</c:v>
                </c:pt>
                <c:pt idx="1416">
                  <c:v>41711</c:v>
                </c:pt>
                <c:pt idx="1417">
                  <c:v>41712</c:v>
                </c:pt>
                <c:pt idx="1418">
                  <c:v>41713</c:v>
                </c:pt>
                <c:pt idx="1419">
                  <c:v>41714</c:v>
                </c:pt>
                <c:pt idx="1420">
                  <c:v>41715</c:v>
                </c:pt>
                <c:pt idx="1421">
                  <c:v>41716</c:v>
                </c:pt>
                <c:pt idx="1422">
                  <c:v>41717</c:v>
                </c:pt>
                <c:pt idx="1423">
                  <c:v>41718</c:v>
                </c:pt>
                <c:pt idx="1424">
                  <c:v>41719</c:v>
                </c:pt>
                <c:pt idx="1425">
                  <c:v>41720</c:v>
                </c:pt>
                <c:pt idx="1426">
                  <c:v>41721</c:v>
                </c:pt>
                <c:pt idx="1427">
                  <c:v>41722</c:v>
                </c:pt>
                <c:pt idx="1428">
                  <c:v>41723</c:v>
                </c:pt>
                <c:pt idx="1429">
                  <c:v>41724</c:v>
                </c:pt>
                <c:pt idx="1430">
                  <c:v>41725</c:v>
                </c:pt>
                <c:pt idx="1431">
                  <c:v>41726</c:v>
                </c:pt>
                <c:pt idx="1432">
                  <c:v>41727</c:v>
                </c:pt>
                <c:pt idx="1433">
                  <c:v>41728</c:v>
                </c:pt>
                <c:pt idx="1434">
                  <c:v>41729</c:v>
                </c:pt>
                <c:pt idx="1435">
                  <c:v>41730</c:v>
                </c:pt>
                <c:pt idx="1436">
                  <c:v>41731</c:v>
                </c:pt>
                <c:pt idx="1437">
                  <c:v>41732</c:v>
                </c:pt>
                <c:pt idx="1438">
                  <c:v>41733</c:v>
                </c:pt>
                <c:pt idx="1439">
                  <c:v>41734</c:v>
                </c:pt>
                <c:pt idx="1440">
                  <c:v>41735</c:v>
                </c:pt>
                <c:pt idx="1441">
                  <c:v>41736</c:v>
                </c:pt>
                <c:pt idx="1442">
                  <c:v>41737</c:v>
                </c:pt>
                <c:pt idx="1443">
                  <c:v>41738</c:v>
                </c:pt>
                <c:pt idx="1444">
                  <c:v>41739</c:v>
                </c:pt>
                <c:pt idx="1445">
                  <c:v>41740</c:v>
                </c:pt>
                <c:pt idx="1446">
                  <c:v>41741</c:v>
                </c:pt>
                <c:pt idx="1447">
                  <c:v>41742</c:v>
                </c:pt>
                <c:pt idx="1448">
                  <c:v>41743</c:v>
                </c:pt>
                <c:pt idx="1449">
                  <c:v>41744</c:v>
                </c:pt>
                <c:pt idx="1450">
                  <c:v>41745</c:v>
                </c:pt>
                <c:pt idx="1451">
                  <c:v>41746</c:v>
                </c:pt>
                <c:pt idx="1452">
                  <c:v>41747</c:v>
                </c:pt>
                <c:pt idx="1453">
                  <c:v>41748</c:v>
                </c:pt>
                <c:pt idx="1454">
                  <c:v>41749</c:v>
                </c:pt>
                <c:pt idx="1455">
                  <c:v>41750</c:v>
                </c:pt>
                <c:pt idx="1456">
                  <c:v>41751</c:v>
                </c:pt>
                <c:pt idx="1457">
                  <c:v>41752</c:v>
                </c:pt>
                <c:pt idx="1458">
                  <c:v>41753</c:v>
                </c:pt>
                <c:pt idx="1459">
                  <c:v>41754</c:v>
                </c:pt>
                <c:pt idx="1460">
                  <c:v>41755</c:v>
                </c:pt>
                <c:pt idx="1461">
                  <c:v>41756</c:v>
                </c:pt>
                <c:pt idx="1462">
                  <c:v>41757</c:v>
                </c:pt>
                <c:pt idx="1463">
                  <c:v>41758</c:v>
                </c:pt>
                <c:pt idx="1464">
                  <c:v>41759</c:v>
                </c:pt>
                <c:pt idx="1465">
                  <c:v>41760</c:v>
                </c:pt>
                <c:pt idx="1466">
                  <c:v>41761</c:v>
                </c:pt>
                <c:pt idx="1467">
                  <c:v>41762</c:v>
                </c:pt>
                <c:pt idx="1468">
                  <c:v>41763</c:v>
                </c:pt>
                <c:pt idx="1469">
                  <c:v>41764</c:v>
                </c:pt>
                <c:pt idx="1470">
                  <c:v>41765</c:v>
                </c:pt>
                <c:pt idx="1471">
                  <c:v>41766</c:v>
                </c:pt>
                <c:pt idx="1472">
                  <c:v>41767</c:v>
                </c:pt>
                <c:pt idx="1473">
                  <c:v>41768</c:v>
                </c:pt>
                <c:pt idx="1474">
                  <c:v>41769</c:v>
                </c:pt>
                <c:pt idx="1475">
                  <c:v>41770</c:v>
                </c:pt>
                <c:pt idx="1476">
                  <c:v>41771</c:v>
                </c:pt>
                <c:pt idx="1477">
                  <c:v>41772</c:v>
                </c:pt>
                <c:pt idx="1478">
                  <c:v>41773</c:v>
                </c:pt>
                <c:pt idx="1479">
                  <c:v>41774</c:v>
                </c:pt>
                <c:pt idx="1480">
                  <c:v>41775</c:v>
                </c:pt>
                <c:pt idx="1481">
                  <c:v>41776</c:v>
                </c:pt>
                <c:pt idx="1482">
                  <c:v>41778</c:v>
                </c:pt>
                <c:pt idx="1483">
                  <c:v>41779</c:v>
                </c:pt>
                <c:pt idx="1484">
                  <c:v>41780</c:v>
                </c:pt>
                <c:pt idx="1485">
                  <c:v>41781</c:v>
                </c:pt>
                <c:pt idx="1486">
                  <c:v>41782</c:v>
                </c:pt>
                <c:pt idx="1487">
                  <c:v>41783</c:v>
                </c:pt>
                <c:pt idx="1488">
                  <c:v>41784</c:v>
                </c:pt>
                <c:pt idx="1489">
                  <c:v>41785</c:v>
                </c:pt>
                <c:pt idx="1490">
                  <c:v>41786</c:v>
                </c:pt>
                <c:pt idx="1491">
                  <c:v>41787</c:v>
                </c:pt>
                <c:pt idx="1492">
                  <c:v>41788</c:v>
                </c:pt>
                <c:pt idx="1493">
                  <c:v>41789</c:v>
                </c:pt>
                <c:pt idx="1494">
                  <c:v>41790</c:v>
                </c:pt>
                <c:pt idx="1495">
                  <c:v>41791</c:v>
                </c:pt>
                <c:pt idx="1496">
                  <c:v>41792</c:v>
                </c:pt>
                <c:pt idx="1497">
                  <c:v>41793</c:v>
                </c:pt>
                <c:pt idx="1498">
                  <c:v>41794</c:v>
                </c:pt>
                <c:pt idx="1499">
                  <c:v>41795</c:v>
                </c:pt>
                <c:pt idx="1500">
                  <c:v>41796</c:v>
                </c:pt>
                <c:pt idx="1501">
                  <c:v>41797</c:v>
                </c:pt>
                <c:pt idx="1502">
                  <c:v>41798</c:v>
                </c:pt>
                <c:pt idx="1503">
                  <c:v>41799</c:v>
                </c:pt>
                <c:pt idx="1504">
                  <c:v>41800</c:v>
                </c:pt>
                <c:pt idx="1505">
                  <c:v>41801</c:v>
                </c:pt>
                <c:pt idx="1506">
                  <c:v>41802</c:v>
                </c:pt>
                <c:pt idx="1507">
                  <c:v>41803</c:v>
                </c:pt>
                <c:pt idx="1508">
                  <c:v>41804</c:v>
                </c:pt>
                <c:pt idx="1509">
                  <c:v>41805</c:v>
                </c:pt>
                <c:pt idx="1510">
                  <c:v>41806</c:v>
                </c:pt>
                <c:pt idx="1511">
                  <c:v>41807</c:v>
                </c:pt>
                <c:pt idx="1512">
                  <c:v>41808</c:v>
                </c:pt>
                <c:pt idx="1513">
                  <c:v>41809</c:v>
                </c:pt>
                <c:pt idx="1514">
                  <c:v>41810</c:v>
                </c:pt>
                <c:pt idx="1515">
                  <c:v>41811</c:v>
                </c:pt>
                <c:pt idx="1516">
                  <c:v>41812</c:v>
                </c:pt>
                <c:pt idx="1517">
                  <c:v>41813</c:v>
                </c:pt>
                <c:pt idx="1518">
                  <c:v>41814</c:v>
                </c:pt>
                <c:pt idx="1519">
                  <c:v>41815</c:v>
                </c:pt>
                <c:pt idx="1520">
                  <c:v>41816</c:v>
                </c:pt>
                <c:pt idx="1521">
                  <c:v>41817</c:v>
                </c:pt>
                <c:pt idx="1522">
                  <c:v>41818</c:v>
                </c:pt>
                <c:pt idx="1523">
                  <c:v>41819</c:v>
                </c:pt>
                <c:pt idx="1524">
                  <c:v>41820</c:v>
                </c:pt>
                <c:pt idx="1525">
                  <c:v>41821</c:v>
                </c:pt>
                <c:pt idx="1526">
                  <c:v>41822</c:v>
                </c:pt>
                <c:pt idx="1527">
                  <c:v>41823</c:v>
                </c:pt>
                <c:pt idx="1528">
                  <c:v>41824</c:v>
                </c:pt>
                <c:pt idx="1529">
                  <c:v>41825</c:v>
                </c:pt>
                <c:pt idx="1530">
                  <c:v>41826</c:v>
                </c:pt>
                <c:pt idx="1531">
                  <c:v>41827</c:v>
                </c:pt>
                <c:pt idx="1532">
                  <c:v>41828</c:v>
                </c:pt>
                <c:pt idx="1533">
                  <c:v>41829</c:v>
                </c:pt>
                <c:pt idx="1534">
                  <c:v>41830</c:v>
                </c:pt>
                <c:pt idx="1535">
                  <c:v>41831</c:v>
                </c:pt>
                <c:pt idx="1536">
                  <c:v>41832</c:v>
                </c:pt>
                <c:pt idx="1537">
                  <c:v>41833</c:v>
                </c:pt>
                <c:pt idx="1538">
                  <c:v>41834</c:v>
                </c:pt>
                <c:pt idx="1539">
                  <c:v>41835</c:v>
                </c:pt>
                <c:pt idx="1540">
                  <c:v>41836</c:v>
                </c:pt>
                <c:pt idx="1541">
                  <c:v>41837</c:v>
                </c:pt>
                <c:pt idx="1542">
                  <c:v>41838</c:v>
                </c:pt>
                <c:pt idx="1543">
                  <c:v>41839</c:v>
                </c:pt>
                <c:pt idx="1544">
                  <c:v>41840</c:v>
                </c:pt>
                <c:pt idx="1545">
                  <c:v>41841</c:v>
                </c:pt>
                <c:pt idx="1546">
                  <c:v>41842</c:v>
                </c:pt>
                <c:pt idx="1547">
                  <c:v>41843</c:v>
                </c:pt>
                <c:pt idx="1548">
                  <c:v>41844</c:v>
                </c:pt>
                <c:pt idx="1549">
                  <c:v>41845</c:v>
                </c:pt>
                <c:pt idx="1550">
                  <c:v>41846</c:v>
                </c:pt>
                <c:pt idx="1551">
                  <c:v>41847</c:v>
                </c:pt>
                <c:pt idx="1552">
                  <c:v>41848</c:v>
                </c:pt>
                <c:pt idx="1553">
                  <c:v>41849</c:v>
                </c:pt>
                <c:pt idx="1554">
                  <c:v>41850</c:v>
                </c:pt>
                <c:pt idx="1555">
                  <c:v>41851</c:v>
                </c:pt>
                <c:pt idx="1556">
                  <c:v>41852</c:v>
                </c:pt>
                <c:pt idx="1557">
                  <c:v>41853</c:v>
                </c:pt>
                <c:pt idx="1558">
                  <c:v>41854</c:v>
                </c:pt>
                <c:pt idx="1559">
                  <c:v>41855</c:v>
                </c:pt>
                <c:pt idx="1560">
                  <c:v>41856</c:v>
                </c:pt>
                <c:pt idx="1561">
                  <c:v>41857</c:v>
                </c:pt>
                <c:pt idx="1562">
                  <c:v>41858</c:v>
                </c:pt>
                <c:pt idx="1563">
                  <c:v>41859</c:v>
                </c:pt>
                <c:pt idx="1564">
                  <c:v>41860</c:v>
                </c:pt>
                <c:pt idx="1565">
                  <c:v>41861</c:v>
                </c:pt>
                <c:pt idx="1566">
                  <c:v>41862</c:v>
                </c:pt>
                <c:pt idx="1567">
                  <c:v>41863</c:v>
                </c:pt>
                <c:pt idx="1568">
                  <c:v>41864</c:v>
                </c:pt>
                <c:pt idx="1569">
                  <c:v>41865</c:v>
                </c:pt>
                <c:pt idx="1570">
                  <c:v>41866</c:v>
                </c:pt>
                <c:pt idx="1571">
                  <c:v>41867</c:v>
                </c:pt>
                <c:pt idx="1572">
                  <c:v>41868</c:v>
                </c:pt>
                <c:pt idx="1573">
                  <c:v>41869</c:v>
                </c:pt>
                <c:pt idx="1574">
                  <c:v>41870</c:v>
                </c:pt>
                <c:pt idx="1575">
                  <c:v>41871</c:v>
                </c:pt>
                <c:pt idx="1576">
                  <c:v>41872</c:v>
                </c:pt>
                <c:pt idx="1577">
                  <c:v>41873</c:v>
                </c:pt>
                <c:pt idx="1578">
                  <c:v>41874</c:v>
                </c:pt>
                <c:pt idx="1579">
                  <c:v>41875</c:v>
                </c:pt>
                <c:pt idx="1580">
                  <c:v>41876</c:v>
                </c:pt>
                <c:pt idx="1581">
                  <c:v>41877</c:v>
                </c:pt>
                <c:pt idx="1582">
                  <c:v>41878</c:v>
                </c:pt>
                <c:pt idx="1583">
                  <c:v>41879</c:v>
                </c:pt>
                <c:pt idx="1584">
                  <c:v>41880</c:v>
                </c:pt>
                <c:pt idx="1585">
                  <c:v>41881</c:v>
                </c:pt>
                <c:pt idx="1586">
                  <c:v>41882</c:v>
                </c:pt>
                <c:pt idx="1587">
                  <c:v>41883</c:v>
                </c:pt>
                <c:pt idx="1588">
                  <c:v>41884</c:v>
                </c:pt>
                <c:pt idx="1589">
                  <c:v>41885</c:v>
                </c:pt>
                <c:pt idx="1590">
                  <c:v>41886</c:v>
                </c:pt>
                <c:pt idx="1591">
                  <c:v>41887</c:v>
                </c:pt>
                <c:pt idx="1592">
                  <c:v>41888</c:v>
                </c:pt>
                <c:pt idx="1593">
                  <c:v>41889</c:v>
                </c:pt>
                <c:pt idx="1594">
                  <c:v>41890</c:v>
                </c:pt>
                <c:pt idx="1595">
                  <c:v>41891</c:v>
                </c:pt>
                <c:pt idx="1596">
                  <c:v>41892</c:v>
                </c:pt>
                <c:pt idx="1597">
                  <c:v>41893</c:v>
                </c:pt>
                <c:pt idx="1598">
                  <c:v>41894</c:v>
                </c:pt>
                <c:pt idx="1599">
                  <c:v>41895</c:v>
                </c:pt>
                <c:pt idx="1600">
                  <c:v>41896</c:v>
                </c:pt>
                <c:pt idx="1601">
                  <c:v>41897</c:v>
                </c:pt>
                <c:pt idx="1602">
                  <c:v>41898</c:v>
                </c:pt>
                <c:pt idx="1603">
                  <c:v>41899</c:v>
                </c:pt>
                <c:pt idx="1604">
                  <c:v>41900</c:v>
                </c:pt>
                <c:pt idx="1605">
                  <c:v>41901</c:v>
                </c:pt>
                <c:pt idx="1606">
                  <c:v>41902</c:v>
                </c:pt>
                <c:pt idx="1607">
                  <c:v>41903</c:v>
                </c:pt>
                <c:pt idx="1608">
                  <c:v>41904</c:v>
                </c:pt>
                <c:pt idx="1609">
                  <c:v>41905</c:v>
                </c:pt>
                <c:pt idx="1610">
                  <c:v>41906</c:v>
                </c:pt>
                <c:pt idx="1611">
                  <c:v>41907</c:v>
                </c:pt>
                <c:pt idx="1612">
                  <c:v>41908</c:v>
                </c:pt>
                <c:pt idx="1613">
                  <c:v>41909</c:v>
                </c:pt>
                <c:pt idx="1614">
                  <c:v>41910</c:v>
                </c:pt>
                <c:pt idx="1615">
                  <c:v>41911</c:v>
                </c:pt>
                <c:pt idx="1616">
                  <c:v>41912</c:v>
                </c:pt>
                <c:pt idx="1617">
                  <c:v>41913</c:v>
                </c:pt>
                <c:pt idx="1618">
                  <c:v>41914</c:v>
                </c:pt>
                <c:pt idx="1619">
                  <c:v>41915</c:v>
                </c:pt>
                <c:pt idx="1620">
                  <c:v>41916</c:v>
                </c:pt>
                <c:pt idx="1621">
                  <c:v>41917</c:v>
                </c:pt>
                <c:pt idx="1622">
                  <c:v>41918</c:v>
                </c:pt>
                <c:pt idx="1623">
                  <c:v>41919</c:v>
                </c:pt>
                <c:pt idx="1624">
                  <c:v>41920</c:v>
                </c:pt>
                <c:pt idx="1625">
                  <c:v>41921</c:v>
                </c:pt>
                <c:pt idx="1626">
                  <c:v>41922</c:v>
                </c:pt>
                <c:pt idx="1627">
                  <c:v>41923</c:v>
                </c:pt>
                <c:pt idx="1628">
                  <c:v>41924</c:v>
                </c:pt>
                <c:pt idx="1629">
                  <c:v>41925</c:v>
                </c:pt>
                <c:pt idx="1630">
                  <c:v>41926</c:v>
                </c:pt>
                <c:pt idx="1631">
                  <c:v>41927</c:v>
                </c:pt>
                <c:pt idx="1632">
                  <c:v>41928</c:v>
                </c:pt>
                <c:pt idx="1633">
                  <c:v>41929</c:v>
                </c:pt>
                <c:pt idx="1634">
                  <c:v>41930</c:v>
                </c:pt>
                <c:pt idx="1635">
                  <c:v>41931</c:v>
                </c:pt>
                <c:pt idx="1636">
                  <c:v>41932</c:v>
                </c:pt>
                <c:pt idx="1637">
                  <c:v>41933</c:v>
                </c:pt>
                <c:pt idx="1638">
                  <c:v>41934</c:v>
                </c:pt>
                <c:pt idx="1639">
                  <c:v>41935</c:v>
                </c:pt>
                <c:pt idx="1640">
                  <c:v>41936</c:v>
                </c:pt>
                <c:pt idx="1641">
                  <c:v>41937</c:v>
                </c:pt>
                <c:pt idx="1642">
                  <c:v>41938</c:v>
                </c:pt>
                <c:pt idx="1643">
                  <c:v>41939</c:v>
                </c:pt>
                <c:pt idx="1644">
                  <c:v>41940</c:v>
                </c:pt>
                <c:pt idx="1645">
                  <c:v>41941</c:v>
                </c:pt>
                <c:pt idx="1646">
                  <c:v>41942</c:v>
                </c:pt>
                <c:pt idx="1647">
                  <c:v>41943</c:v>
                </c:pt>
                <c:pt idx="1648">
                  <c:v>41944</c:v>
                </c:pt>
                <c:pt idx="1649">
                  <c:v>41946</c:v>
                </c:pt>
                <c:pt idx="1650">
                  <c:v>41947</c:v>
                </c:pt>
                <c:pt idx="1651">
                  <c:v>41948</c:v>
                </c:pt>
                <c:pt idx="1652">
                  <c:v>41949</c:v>
                </c:pt>
                <c:pt idx="1653">
                  <c:v>41950</c:v>
                </c:pt>
                <c:pt idx="1654">
                  <c:v>41951</c:v>
                </c:pt>
                <c:pt idx="1655">
                  <c:v>41952</c:v>
                </c:pt>
                <c:pt idx="1656">
                  <c:v>41953</c:v>
                </c:pt>
                <c:pt idx="1657">
                  <c:v>41954</c:v>
                </c:pt>
                <c:pt idx="1658">
                  <c:v>41955</c:v>
                </c:pt>
                <c:pt idx="1659">
                  <c:v>41956</c:v>
                </c:pt>
                <c:pt idx="1660">
                  <c:v>41957</c:v>
                </c:pt>
                <c:pt idx="1661">
                  <c:v>41958</c:v>
                </c:pt>
                <c:pt idx="1662">
                  <c:v>41959</c:v>
                </c:pt>
                <c:pt idx="1663">
                  <c:v>41960</c:v>
                </c:pt>
                <c:pt idx="1664">
                  <c:v>41961</c:v>
                </c:pt>
                <c:pt idx="1665">
                  <c:v>41962</c:v>
                </c:pt>
                <c:pt idx="1666">
                  <c:v>41963</c:v>
                </c:pt>
                <c:pt idx="1667">
                  <c:v>41964</c:v>
                </c:pt>
                <c:pt idx="1668">
                  <c:v>41965</c:v>
                </c:pt>
                <c:pt idx="1669">
                  <c:v>41966</c:v>
                </c:pt>
                <c:pt idx="1670">
                  <c:v>41967</c:v>
                </c:pt>
                <c:pt idx="1671">
                  <c:v>41968</c:v>
                </c:pt>
                <c:pt idx="1672">
                  <c:v>41969</c:v>
                </c:pt>
                <c:pt idx="1673">
                  <c:v>41970</c:v>
                </c:pt>
                <c:pt idx="1674">
                  <c:v>41971</c:v>
                </c:pt>
                <c:pt idx="1675">
                  <c:v>41972</c:v>
                </c:pt>
                <c:pt idx="1676">
                  <c:v>41973</c:v>
                </c:pt>
                <c:pt idx="1677">
                  <c:v>41974</c:v>
                </c:pt>
                <c:pt idx="1678">
                  <c:v>41975</c:v>
                </c:pt>
                <c:pt idx="1679">
                  <c:v>41976</c:v>
                </c:pt>
                <c:pt idx="1680">
                  <c:v>41977</c:v>
                </c:pt>
                <c:pt idx="1681">
                  <c:v>41978</c:v>
                </c:pt>
                <c:pt idx="1682">
                  <c:v>41979</c:v>
                </c:pt>
                <c:pt idx="1683">
                  <c:v>41980</c:v>
                </c:pt>
                <c:pt idx="1684">
                  <c:v>41981</c:v>
                </c:pt>
                <c:pt idx="1685">
                  <c:v>41982</c:v>
                </c:pt>
                <c:pt idx="1686">
                  <c:v>41983</c:v>
                </c:pt>
                <c:pt idx="1687">
                  <c:v>41984</c:v>
                </c:pt>
                <c:pt idx="1688">
                  <c:v>41985</c:v>
                </c:pt>
                <c:pt idx="1689">
                  <c:v>41986</c:v>
                </c:pt>
                <c:pt idx="1690">
                  <c:v>41987</c:v>
                </c:pt>
                <c:pt idx="1691">
                  <c:v>41988</c:v>
                </c:pt>
                <c:pt idx="1692">
                  <c:v>41989</c:v>
                </c:pt>
                <c:pt idx="1693">
                  <c:v>41990</c:v>
                </c:pt>
                <c:pt idx="1694">
                  <c:v>41991</c:v>
                </c:pt>
                <c:pt idx="1695">
                  <c:v>41992</c:v>
                </c:pt>
                <c:pt idx="1696">
                  <c:v>41993</c:v>
                </c:pt>
                <c:pt idx="1697">
                  <c:v>41995</c:v>
                </c:pt>
                <c:pt idx="1698">
                  <c:v>41996</c:v>
                </c:pt>
                <c:pt idx="1699">
                  <c:v>41997</c:v>
                </c:pt>
                <c:pt idx="1700">
                  <c:v>41998</c:v>
                </c:pt>
                <c:pt idx="1701">
                  <c:v>41999</c:v>
                </c:pt>
                <c:pt idx="1702">
                  <c:v>42000</c:v>
                </c:pt>
                <c:pt idx="1703">
                  <c:v>42001</c:v>
                </c:pt>
                <c:pt idx="1704">
                  <c:v>42002</c:v>
                </c:pt>
                <c:pt idx="1705">
                  <c:v>42003</c:v>
                </c:pt>
                <c:pt idx="1706">
                  <c:v>42004</c:v>
                </c:pt>
                <c:pt idx="1707">
                  <c:v>42005</c:v>
                </c:pt>
                <c:pt idx="1708">
                  <c:v>42006</c:v>
                </c:pt>
                <c:pt idx="1709">
                  <c:v>42007</c:v>
                </c:pt>
                <c:pt idx="1710">
                  <c:v>42008</c:v>
                </c:pt>
                <c:pt idx="1711">
                  <c:v>42009</c:v>
                </c:pt>
                <c:pt idx="1712">
                  <c:v>42010</c:v>
                </c:pt>
                <c:pt idx="1713">
                  <c:v>42011</c:v>
                </c:pt>
                <c:pt idx="1714">
                  <c:v>42012</c:v>
                </c:pt>
                <c:pt idx="1715">
                  <c:v>42013</c:v>
                </c:pt>
                <c:pt idx="1716">
                  <c:v>42014</c:v>
                </c:pt>
                <c:pt idx="1717">
                  <c:v>42015</c:v>
                </c:pt>
                <c:pt idx="1718">
                  <c:v>42016</c:v>
                </c:pt>
                <c:pt idx="1719">
                  <c:v>42017</c:v>
                </c:pt>
                <c:pt idx="1720">
                  <c:v>42018</c:v>
                </c:pt>
                <c:pt idx="1721">
                  <c:v>42019</c:v>
                </c:pt>
                <c:pt idx="1722">
                  <c:v>42020</c:v>
                </c:pt>
                <c:pt idx="1723">
                  <c:v>42021</c:v>
                </c:pt>
                <c:pt idx="1724">
                  <c:v>42022</c:v>
                </c:pt>
                <c:pt idx="1725">
                  <c:v>42023</c:v>
                </c:pt>
                <c:pt idx="1726">
                  <c:v>42024</c:v>
                </c:pt>
                <c:pt idx="1727">
                  <c:v>42025</c:v>
                </c:pt>
                <c:pt idx="1728">
                  <c:v>42026</c:v>
                </c:pt>
                <c:pt idx="1729">
                  <c:v>42027</c:v>
                </c:pt>
                <c:pt idx="1730">
                  <c:v>42028</c:v>
                </c:pt>
                <c:pt idx="1731">
                  <c:v>42029</c:v>
                </c:pt>
                <c:pt idx="1732">
                  <c:v>42030</c:v>
                </c:pt>
                <c:pt idx="1733">
                  <c:v>42031</c:v>
                </c:pt>
                <c:pt idx="1734">
                  <c:v>42032</c:v>
                </c:pt>
                <c:pt idx="1735">
                  <c:v>42033</c:v>
                </c:pt>
                <c:pt idx="1736">
                  <c:v>42034</c:v>
                </c:pt>
                <c:pt idx="1737">
                  <c:v>42035</c:v>
                </c:pt>
                <c:pt idx="1738">
                  <c:v>42036</c:v>
                </c:pt>
                <c:pt idx="1739">
                  <c:v>42037</c:v>
                </c:pt>
                <c:pt idx="1740">
                  <c:v>42038</c:v>
                </c:pt>
                <c:pt idx="1741">
                  <c:v>42039</c:v>
                </c:pt>
                <c:pt idx="1742">
                  <c:v>42040</c:v>
                </c:pt>
                <c:pt idx="1743">
                  <c:v>42041</c:v>
                </c:pt>
                <c:pt idx="1744">
                  <c:v>42042</c:v>
                </c:pt>
                <c:pt idx="1745">
                  <c:v>42043</c:v>
                </c:pt>
                <c:pt idx="1746">
                  <c:v>42044</c:v>
                </c:pt>
                <c:pt idx="1747">
                  <c:v>42045</c:v>
                </c:pt>
                <c:pt idx="1748">
                  <c:v>42046</c:v>
                </c:pt>
                <c:pt idx="1749">
                  <c:v>42047</c:v>
                </c:pt>
                <c:pt idx="1750">
                  <c:v>42048</c:v>
                </c:pt>
                <c:pt idx="1751">
                  <c:v>42049</c:v>
                </c:pt>
                <c:pt idx="1752">
                  <c:v>42050</c:v>
                </c:pt>
                <c:pt idx="1753">
                  <c:v>42051</c:v>
                </c:pt>
                <c:pt idx="1754">
                  <c:v>42052</c:v>
                </c:pt>
                <c:pt idx="1755">
                  <c:v>42053</c:v>
                </c:pt>
                <c:pt idx="1756">
                  <c:v>42054</c:v>
                </c:pt>
                <c:pt idx="1757">
                  <c:v>42055</c:v>
                </c:pt>
                <c:pt idx="1758">
                  <c:v>42056</c:v>
                </c:pt>
                <c:pt idx="1759">
                  <c:v>42057</c:v>
                </c:pt>
                <c:pt idx="1760">
                  <c:v>42058</c:v>
                </c:pt>
                <c:pt idx="1761">
                  <c:v>42059</c:v>
                </c:pt>
                <c:pt idx="1762">
                  <c:v>42060</c:v>
                </c:pt>
                <c:pt idx="1763">
                  <c:v>42061</c:v>
                </c:pt>
                <c:pt idx="1764">
                  <c:v>42062</c:v>
                </c:pt>
                <c:pt idx="1765">
                  <c:v>42063</c:v>
                </c:pt>
                <c:pt idx="1766">
                  <c:v>42064</c:v>
                </c:pt>
                <c:pt idx="1767">
                  <c:v>42065</c:v>
                </c:pt>
                <c:pt idx="1768">
                  <c:v>42066</c:v>
                </c:pt>
                <c:pt idx="1769">
                  <c:v>42067</c:v>
                </c:pt>
                <c:pt idx="1770">
                  <c:v>42068</c:v>
                </c:pt>
                <c:pt idx="1771">
                  <c:v>42069</c:v>
                </c:pt>
                <c:pt idx="1772">
                  <c:v>42070</c:v>
                </c:pt>
                <c:pt idx="1773">
                  <c:v>42071</c:v>
                </c:pt>
                <c:pt idx="1774">
                  <c:v>42072</c:v>
                </c:pt>
                <c:pt idx="1775">
                  <c:v>42073</c:v>
                </c:pt>
                <c:pt idx="1776">
                  <c:v>42074</c:v>
                </c:pt>
                <c:pt idx="1777">
                  <c:v>42075</c:v>
                </c:pt>
                <c:pt idx="1778">
                  <c:v>42076</c:v>
                </c:pt>
                <c:pt idx="1779">
                  <c:v>42077</c:v>
                </c:pt>
                <c:pt idx="1780">
                  <c:v>42078</c:v>
                </c:pt>
                <c:pt idx="1781">
                  <c:v>42079</c:v>
                </c:pt>
                <c:pt idx="1782">
                  <c:v>42080</c:v>
                </c:pt>
                <c:pt idx="1783">
                  <c:v>42081</c:v>
                </c:pt>
                <c:pt idx="1784">
                  <c:v>42082</c:v>
                </c:pt>
                <c:pt idx="1785">
                  <c:v>42083</c:v>
                </c:pt>
                <c:pt idx="1786">
                  <c:v>42084</c:v>
                </c:pt>
                <c:pt idx="1787">
                  <c:v>42086</c:v>
                </c:pt>
                <c:pt idx="1788">
                  <c:v>42087</c:v>
                </c:pt>
                <c:pt idx="1789">
                  <c:v>42088</c:v>
                </c:pt>
                <c:pt idx="1790">
                  <c:v>42089</c:v>
                </c:pt>
                <c:pt idx="1791">
                  <c:v>42090</c:v>
                </c:pt>
                <c:pt idx="1792">
                  <c:v>42091</c:v>
                </c:pt>
                <c:pt idx="1793">
                  <c:v>42092</c:v>
                </c:pt>
                <c:pt idx="1794">
                  <c:v>42093</c:v>
                </c:pt>
                <c:pt idx="1795">
                  <c:v>42094</c:v>
                </c:pt>
                <c:pt idx="1796">
                  <c:v>42095</c:v>
                </c:pt>
                <c:pt idx="1797">
                  <c:v>42096</c:v>
                </c:pt>
                <c:pt idx="1798">
                  <c:v>42097</c:v>
                </c:pt>
                <c:pt idx="1799">
                  <c:v>42098</c:v>
                </c:pt>
                <c:pt idx="1800">
                  <c:v>42099</c:v>
                </c:pt>
                <c:pt idx="1801">
                  <c:v>42100</c:v>
                </c:pt>
                <c:pt idx="1802">
                  <c:v>42101</c:v>
                </c:pt>
                <c:pt idx="1803">
                  <c:v>42102</c:v>
                </c:pt>
              </c:numCache>
            </c:numRef>
          </c:cat>
          <c:val>
            <c:numRef>
              <c:f>'Garch(1,1) Euro'!$I$15:$I$1818</c:f>
              <c:numCache>
                <c:formatCode>0.0000</c:formatCode>
                <c:ptCount val="1804"/>
                <c:pt idx="0">
                  <c:v>5.259612914116708E-3</c:v>
                </c:pt>
                <c:pt idx="1">
                  <c:v>5.1091205785081884E-3</c:v>
                </c:pt>
                <c:pt idx="2">
                  <c:v>5.3845706701573402E-3</c:v>
                </c:pt>
                <c:pt idx="3">
                  <c:v>5.2350253301481518E-3</c:v>
                </c:pt>
                <c:pt idx="4">
                  <c:v>5.1121773861412872E-3</c:v>
                </c:pt>
                <c:pt idx="5">
                  <c:v>5.0828346471288241E-3</c:v>
                </c:pt>
                <c:pt idx="6">
                  <c:v>5.041908064154184E-3</c:v>
                </c:pt>
                <c:pt idx="7">
                  <c:v>4.9095403081165162E-3</c:v>
                </c:pt>
                <c:pt idx="8">
                  <c:v>4.8238576108664529E-3</c:v>
                </c:pt>
                <c:pt idx="9">
                  <c:v>4.7123003486862613E-3</c:v>
                </c:pt>
                <c:pt idx="10">
                  <c:v>4.6777243962747564E-3</c:v>
                </c:pt>
                <c:pt idx="11">
                  <c:v>4.6466711692802563E-3</c:v>
                </c:pt>
                <c:pt idx="12">
                  <c:v>4.7413870288810821E-3</c:v>
                </c:pt>
                <c:pt idx="13">
                  <c:v>4.9551360189441767E-3</c:v>
                </c:pt>
                <c:pt idx="14">
                  <c:v>4.8330524972189448E-3</c:v>
                </c:pt>
                <c:pt idx="15">
                  <c:v>4.7260282142449353E-3</c:v>
                </c:pt>
                <c:pt idx="16">
                  <c:v>4.6209955078025753E-3</c:v>
                </c:pt>
                <c:pt idx="17">
                  <c:v>4.801811580654511E-3</c:v>
                </c:pt>
                <c:pt idx="18">
                  <c:v>4.9419437693347338E-3</c:v>
                </c:pt>
                <c:pt idx="19">
                  <c:v>4.8532769437943718E-3</c:v>
                </c:pt>
                <c:pt idx="20">
                  <c:v>4.7384762407957437E-3</c:v>
                </c:pt>
                <c:pt idx="21">
                  <c:v>4.7142778988294703E-3</c:v>
                </c:pt>
                <c:pt idx="22">
                  <c:v>4.630802204326703E-3</c:v>
                </c:pt>
                <c:pt idx="23">
                  <c:v>4.5654622976699132E-3</c:v>
                </c:pt>
                <c:pt idx="24">
                  <c:v>5.1411229536631638E-3</c:v>
                </c:pt>
                <c:pt idx="25">
                  <c:v>5.7071868850524024E-3</c:v>
                </c:pt>
                <c:pt idx="26">
                  <c:v>5.5209296956149822E-3</c:v>
                </c:pt>
                <c:pt idx="27">
                  <c:v>5.4287548022672943E-3</c:v>
                </c:pt>
                <c:pt idx="28">
                  <c:v>5.2647693076425771E-3</c:v>
                </c:pt>
                <c:pt idx="29">
                  <c:v>5.2150745257221864E-3</c:v>
                </c:pt>
                <c:pt idx="30">
                  <c:v>5.0781109139772032E-3</c:v>
                </c:pt>
                <c:pt idx="31">
                  <c:v>5.949116373929946E-3</c:v>
                </c:pt>
                <c:pt idx="32">
                  <c:v>5.759074521546761E-3</c:v>
                </c:pt>
                <c:pt idx="33">
                  <c:v>5.6450955373281205E-3</c:v>
                </c:pt>
                <c:pt idx="34">
                  <c:v>5.6139887904415762E-3</c:v>
                </c:pt>
                <c:pt idx="35">
                  <c:v>5.4394560152850715E-3</c:v>
                </c:pt>
                <c:pt idx="36">
                  <c:v>5.2800016039947712E-3</c:v>
                </c:pt>
                <c:pt idx="37">
                  <c:v>5.2703381690266697E-3</c:v>
                </c:pt>
                <c:pt idx="38">
                  <c:v>5.4348569779464947E-3</c:v>
                </c:pt>
                <c:pt idx="39">
                  <c:v>5.6270003688697985E-3</c:v>
                </c:pt>
                <c:pt idx="40">
                  <c:v>5.5024561731259244E-3</c:v>
                </c:pt>
                <c:pt idx="41">
                  <c:v>5.3854896242784712E-3</c:v>
                </c:pt>
                <c:pt idx="42">
                  <c:v>5.2249901405388129E-3</c:v>
                </c:pt>
                <c:pt idx="43">
                  <c:v>5.0773972434331764E-3</c:v>
                </c:pt>
                <c:pt idx="44">
                  <c:v>5.4983772142018642E-3</c:v>
                </c:pt>
                <c:pt idx="45">
                  <c:v>5.5585963998160647E-3</c:v>
                </c:pt>
                <c:pt idx="46">
                  <c:v>5.4156367392454753E-3</c:v>
                </c:pt>
                <c:pt idx="47">
                  <c:v>5.3862402334886169E-3</c:v>
                </c:pt>
                <c:pt idx="48">
                  <c:v>5.2256801288528536E-3</c:v>
                </c:pt>
                <c:pt idx="49">
                  <c:v>5.0779721341746922E-3</c:v>
                </c:pt>
                <c:pt idx="50">
                  <c:v>4.9430574284797793E-3</c:v>
                </c:pt>
                <c:pt idx="51">
                  <c:v>4.8192427650083783E-3</c:v>
                </c:pt>
                <c:pt idx="52">
                  <c:v>5.1407078563286178E-3</c:v>
                </c:pt>
                <c:pt idx="53">
                  <c:v>5.0260911532710988E-3</c:v>
                </c:pt>
                <c:pt idx="54">
                  <c:v>4.8971736026683236E-3</c:v>
                </c:pt>
                <c:pt idx="55">
                  <c:v>5.5742768188525365E-3</c:v>
                </c:pt>
                <c:pt idx="56">
                  <c:v>5.4383350686143823E-3</c:v>
                </c:pt>
                <c:pt idx="57">
                  <c:v>5.2814411265121796E-3</c:v>
                </c:pt>
                <c:pt idx="58">
                  <c:v>5.2163001993577674E-3</c:v>
                </c:pt>
                <c:pt idx="59">
                  <c:v>5.0843068713690579E-3</c:v>
                </c:pt>
                <c:pt idx="60">
                  <c:v>4.9485619935940774E-3</c:v>
                </c:pt>
                <c:pt idx="61">
                  <c:v>5.4145395785746781E-3</c:v>
                </c:pt>
                <c:pt idx="62">
                  <c:v>5.2535029958203396E-3</c:v>
                </c:pt>
                <c:pt idx="63">
                  <c:v>5.1035111874090143E-3</c:v>
                </c:pt>
                <c:pt idx="64">
                  <c:v>5.0652425308661706E-3</c:v>
                </c:pt>
                <c:pt idx="65">
                  <c:v>5.1094218990644395E-3</c:v>
                </c:pt>
                <c:pt idx="66">
                  <c:v>5.1240399902201242E-3</c:v>
                </c:pt>
                <c:pt idx="67">
                  <c:v>4.9876522426512302E-3</c:v>
                </c:pt>
                <c:pt idx="68">
                  <c:v>4.9983224825367869E-3</c:v>
                </c:pt>
                <c:pt idx="69">
                  <c:v>4.8696312937141191E-3</c:v>
                </c:pt>
                <c:pt idx="70">
                  <c:v>4.7518578497370966E-3</c:v>
                </c:pt>
                <c:pt idx="71">
                  <c:v>4.6443040604045522E-3</c:v>
                </c:pt>
                <c:pt idx="72">
                  <c:v>4.5556141364061576E-3</c:v>
                </c:pt>
                <c:pt idx="73">
                  <c:v>4.5067741134044853E-3</c:v>
                </c:pt>
                <c:pt idx="74">
                  <c:v>4.4595108490548645E-3</c:v>
                </c:pt>
                <c:pt idx="75">
                  <c:v>4.4024845764424102E-3</c:v>
                </c:pt>
                <c:pt idx="76">
                  <c:v>4.3397433360578283E-3</c:v>
                </c:pt>
                <c:pt idx="77">
                  <c:v>4.3059915384463859E-3</c:v>
                </c:pt>
                <c:pt idx="78">
                  <c:v>4.2388427171977617E-3</c:v>
                </c:pt>
                <c:pt idx="79">
                  <c:v>4.1798192696956143E-3</c:v>
                </c:pt>
                <c:pt idx="80">
                  <c:v>4.2870103654586078E-3</c:v>
                </c:pt>
                <c:pt idx="81">
                  <c:v>4.2802767991276837E-3</c:v>
                </c:pt>
                <c:pt idx="82">
                  <c:v>4.7509577185798459E-3</c:v>
                </c:pt>
                <c:pt idx="83">
                  <c:v>4.8678112904469517E-3</c:v>
                </c:pt>
                <c:pt idx="84">
                  <c:v>4.7517538595774596E-3</c:v>
                </c:pt>
                <c:pt idx="85">
                  <c:v>4.6442091702261004E-3</c:v>
                </c:pt>
                <c:pt idx="86">
                  <c:v>4.9268006962692361E-3</c:v>
                </c:pt>
                <c:pt idx="87">
                  <c:v>4.848886285694195E-3</c:v>
                </c:pt>
                <c:pt idx="88">
                  <c:v>4.7817372743890699E-3</c:v>
                </c:pt>
                <c:pt idx="89">
                  <c:v>4.9644100316304255E-3</c:v>
                </c:pt>
                <c:pt idx="90">
                  <c:v>4.848872253149979E-3</c:v>
                </c:pt>
                <c:pt idx="91">
                  <c:v>4.7338895456757917E-3</c:v>
                </c:pt>
                <c:pt idx="92">
                  <c:v>4.6279742144412364E-3</c:v>
                </c:pt>
                <c:pt idx="93">
                  <c:v>4.5378964770545786E-3</c:v>
                </c:pt>
                <c:pt idx="94">
                  <c:v>4.5170569744202513E-3</c:v>
                </c:pt>
                <c:pt idx="95">
                  <c:v>4.4825516545835492E-3</c:v>
                </c:pt>
                <c:pt idx="96">
                  <c:v>4.6054653024124688E-3</c:v>
                </c:pt>
                <c:pt idx="97">
                  <c:v>4.6147776014668655E-3</c:v>
                </c:pt>
                <c:pt idx="98">
                  <c:v>4.5209814170115211E-3</c:v>
                </c:pt>
                <c:pt idx="99">
                  <c:v>4.4342541948316676E-3</c:v>
                </c:pt>
                <c:pt idx="100">
                  <c:v>4.3796734484304132E-3</c:v>
                </c:pt>
                <c:pt idx="101">
                  <c:v>4.3278831485712918E-3</c:v>
                </c:pt>
                <c:pt idx="102">
                  <c:v>4.4498536247355742E-3</c:v>
                </c:pt>
                <c:pt idx="103">
                  <c:v>4.6307162999008524E-3</c:v>
                </c:pt>
                <c:pt idx="104">
                  <c:v>4.5362115150817664E-3</c:v>
                </c:pt>
                <c:pt idx="105">
                  <c:v>4.4489037379163284E-3</c:v>
                </c:pt>
                <c:pt idx="106">
                  <c:v>4.3766830612136142E-3</c:v>
                </c:pt>
                <c:pt idx="107">
                  <c:v>4.5441001329414848E-3</c:v>
                </c:pt>
                <c:pt idx="108">
                  <c:v>4.4556120929886726E-3</c:v>
                </c:pt>
                <c:pt idx="109">
                  <c:v>4.3746435836121414E-3</c:v>
                </c:pt>
                <c:pt idx="110">
                  <c:v>4.5502354744637128E-3</c:v>
                </c:pt>
                <c:pt idx="111">
                  <c:v>4.460661328496247E-3</c:v>
                </c:pt>
                <c:pt idx="112">
                  <c:v>4.4437182757629387E-3</c:v>
                </c:pt>
                <c:pt idx="113">
                  <c:v>4.3637730571232918E-3</c:v>
                </c:pt>
                <c:pt idx="114">
                  <c:v>4.8182237834810361E-3</c:v>
                </c:pt>
                <c:pt idx="115">
                  <c:v>4.7079754793002433E-3</c:v>
                </c:pt>
                <c:pt idx="116">
                  <c:v>4.7061269841202095E-3</c:v>
                </c:pt>
                <c:pt idx="117">
                  <c:v>4.630895491398169E-3</c:v>
                </c:pt>
                <c:pt idx="118">
                  <c:v>4.6226334588913218E-3</c:v>
                </c:pt>
                <c:pt idx="119">
                  <c:v>4.5775361705087374E-3</c:v>
                </c:pt>
                <c:pt idx="120">
                  <c:v>4.502318827564202E-3</c:v>
                </c:pt>
                <c:pt idx="121">
                  <c:v>4.5816765969325692E-3</c:v>
                </c:pt>
                <c:pt idx="122">
                  <c:v>4.5370733587343842E-3</c:v>
                </c:pt>
                <c:pt idx="123">
                  <c:v>6.3826317173046251E-3</c:v>
                </c:pt>
                <c:pt idx="124">
                  <c:v>6.1456295312502882E-3</c:v>
                </c:pt>
                <c:pt idx="125">
                  <c:v>5.9545563745381953E-3</c:v>
                </c:pt>
                <c:pt idx="126">
                  <c:v>5.7954137007985452E-3</c:v>
                </c:pt>
                <c:pt idx="127">
                  <c:v>5.643615817315319E-3</c:v>
                </c:pt>
                <c:pt idx="128">
                  <c:v>5.557213336239826E-3</c:v>
                </c:pt>
                <c:pt idx="129">
                  <c:v>5.425743094163913E-3</c:v>
                </c:pt>
                <c:pt idx="130">
                  <c:v>5.2645333898908037E-3</c:v>
                </c:pt>
                <c:pt idx="131">
                  <c:v>5.1145653602679446E-3</c:v>
                </c:pt>
                <c:pt idx="132">
                  <c:v>5.01928122398578E-3</c:v>
                </c:pt>
                <c:pt idx="133">
                  <c:v>4.8887588981353577E-3</c:v>
                </c:pt>
                <c:pt idx="134">
                  <c:v>4.7723851843440067E-3</c:v>
                </c:pt>
                <c:pt idx="135">
                  <c:v>4.6671032707802963E-3</c:v>
                </c:pt>
                <c:pt idx="136">
                  <c:v>4.6176040979456481E-3</c:v>
                </c:pt>
                <c:pt idx="137">
                  <c:v>4.5535246578946474E-3</c:v>
                </c:pt>
                <c:pt idx="138">
                  <c:v>4.5441883119281476E-3</c:v>
                </c:pt>
                <c:pt idx="139">
                  <c:v>4.4816216368827825E-3</c:v>
                </c:pt>
                <c:pt idx="140">
                  <c:v>4.3982743780742687E-3</c:v>
                </c:pt>
                <c:pt idx="141">
                  <c:v>4.3797952966010975E-3</c:v>
                </c:pt>
                <c:pt idx="142">
                  <c:v>4.7667032172205919E-3</c:v>
                </c:pt>
                <c:pt idx="143">
                  <c:v>4.6630022678269536E-3</c:v>
                </c:pt>
                <c:pt idx="144">
                  <c:v>4.9615164400464091E-3</c:v>
                </c:pt>
                <c:pt idx="145">
                  <c:v>4.8515472205014525E-3</c:v>
                </c:pt>
                <c:pt idx="146">
                  <c:v>4.9627350024301587E-3</c:v>
                </c:pt>
                <c:pt idx="147">
                  <c:v>5.0817511308188382E-3</c:v>
                </c:pt>
                <c:pt idx="148">
                  <c:v>4.9459805381572297E-3</c:v>
                </c:pt>
                <c:pt idx="149">
                  <c:v>4.8662691492680939E-3</c:v>
                </c:pt>
                <c:pt idx="150">
                  <c:v>5.4880703608072325E-3</c:v>
                </c:pt>
                <c:pt idx="151">
                  <c:v>5.3246777092491445E-3</c:v>
                </c:pt>
                <c:pt idx="152">
                  <c:v>5.1716856683655449E-3</c:v>
                </c:pt>
                <c:pt idx="153">
                  <c:v>5.0355572552520274E-3</c:v>
                </c:pt>
                <c:pt idx="154">
                  <c:v>4.9046303133000353E-3</c:v>
                </c:pt>
                <c:pt idx="155">
                  <c:v>4.7838522032275822E-3</c:v>
                </c:pt>
                <c:pt idx="156">
                  <c:v>5.4986016423218985E-3</c:v>
                </c:pt>
                <c:pt idx="157">
                  <c:v>5.3467880634020751E-3</c:v>
                </c:pt>
                <c:pt idx="158">
                  <c:v>5.1974096231561092E-3</c:v>
                </c:pt>
                <c:pt idx="159">
                  <c:v>5.2726915191191152E-3</c:v>
                </c:pt>
                <c:pt idx="160">
                  <c:v>5.2811746526135739E-3</c:v>
                </c:pt>
                <c:pt idx="161">
                  <c:v>5.133596739563942E-3</c:v>
                </c:pt>
                <c:pt idx="162">
                  <c:v>4.9935017942123096E-3</c:v>
                </c:pt>
                <c:pt idx="163">
                  <c:v>5.1795908064682806E-3</c:v>
                </c:pt>
                <c:pt idx="164">
                  <c:v>5.6695428445376027E-3</c:v>
                </c:pt>
                <c:pt idx="165">
                  <c:v>5.6711415288999987E-3</c:v>
                </c:pt>
                <c:pt idx="166">
                  <c:v>5.5137779723259247E-3</c:v>
                </c:pt>
                <c:pt idx="167">
                  <c:v>5.4851372210053774E-3</c:v>
                </c:pt>
                <c:pt idx="168">
                  <c:v>5.3244310515218832E-3</c:v>
                </c:pt>
                <c:pt idx="169">
                  <c:v>5.1687078981623551E-3</c:v>
                </c:pt>
                <c:pt idx="170">
                  <c:v>5.314637460974817E-3</c:v>
                </c:pt>
                <c:pt idx="171">
                  <c:v>5.5591502145480283E-3</c:v>
                </c:pt>
                <c:pt idx="172">
                  <c:v>5.4593597897088326E-3</c:v>
                </c:pt>
                <c:pt idx="173">
                  <c:v>5.2972276224127366E-3</c:v>
                </c:pt>
                <c:pt idx="174">
                  <c:v>5.8331134044417466E-3</c:v>
                </c:pt>
                <c:pt idx="175">
                  <c:v>5.6372939182458923E-3</c:v>
                </c:pt>
                <c:pt idx="176">
                  <c:v>5.4565122514361533E-3</c:v>
                </c:pt>
                <c:pt idx="177">
                  <c:v>5.6628507030266331E-3</c:v>
                </c:pt>
                <c:pt idx="178">
                  <c:v>5.8407252262099351E-3</c:v>
                </c:pt>
                <c:pt idx="179">
                  <c:v>5.6474677277106805E-3</c:v>
                </c:pt>
                <c:pt idx="180">
                  <c:v>5.5562771299069152E-3</c:v>
                </c:pt>
                <c:pt idx="181">
                  <c:v>5.4451709490333112E-3</c:v>
                </c:pt>
                <c:pt idx="182">
                  <c:v>5.293992077201084E-3</c:v>
                </c:pt>
                <c:pt idx="183">
                  <c:v>5.1993845969442471E-3</c:v>
                </c:pt>
                <c:pt idx="184">
                  <c:v>5.0772425175611207E-3</c:v>
                </c:pt>
                <c:pt idx="185">
                  <c:v>5.0954332931016288E-3</c:v>
                </c:pt>
                <c:pt idx="186">
                  <c:v>4.9823670293376379E-3</c:v>
                </c:pt>
                <c:pt idx="187">
                  <c:v>5.13735856188232E-3</c:v>
                </c:pt>
                <c:pt idx="188">
                  <c:v>5.02303607076622E-3</c:v>
                </c:pt>
                <c:pt idx="189">
                  <c:v>4.8921971001662295E-3</c:v>
                </c:pt>
                <c:pt idx="190">
                  <c:v>5.1921647313344869E-3</c:v>
                </c:pt>
                <c:pt idx="191">
                  <c:v>5.1546364586820869E-3</c:v>
                </c:pt>
                <c:pt idx="192">
                  <c:v>5.765529702713817E-3</c:v>
                </c:pt>
                <c:pt idx="193">
                  <c:v>5.5800435473985369E-3</c:v>
                </c:pt>
                <c:pt idx="194">
                  <c:v>5.4705415810756761E-3</c:v>
                </c:pt>
                <c:pt idx="195">
                  <c:v>5.3139228275449497E-3</c:v>
                </c:pt>
                <c:pt idx="196">
                  <c:v>5.2174856133438583E-3</c:v>
                </c:pt>
                <c:pt idx="197">
                  <c:v>5.104004817957866E-3</c:v>
                </c:pt>
                <c:pt idx="198">
                  <c:v>5.1133728780882598E-3</c:v>
                </c:pt>
                <c:pt idx="199">
                  <c:v>6.4249162884846747E-3</c:v>
                </c:pt>
                <c:pt idx="200">
                  <c:v>7.7082817369282458E-3</c:v>
                </c:pt>
                <c:pt idx="201">
                  <c:v>7.4653786955023319E-3</c:v>
                </c:pt>
                <c:pt idx="202">
                  <c:v>7.2579014596742932E-3</c:v>
                </c:pt>
                <c:pt idx="203">
                  <c:v>7.0996484643325568E-3</c:v>
                </c:pt>
                <c:pt idx="204">
                  <c:v>6.8699517792854062E-3</c:v>
                </c:pt>
                <c:pt idx="205">
                  <c:v>6.7415704449957639E-3</c:v>
                </c:pt>
                <c:pt idx="206">
                  <c:v>6.6199200098890363E-3</c:v>
                </c:pt>
                <c:pt idx="207">
                  <c:v>7.0763291931858797E-3</c:v>
                </c:pt>
                <c:pt idx="208">
                  <c:v>9.989375259578815E-3</c:v>
                </c:pt>
                <c:pt idx="209">
                  <c:v>9.5182711755195833E-3</c:v>
                </c:pt>
                <c:pt idx="210">
                  <c:v>9.0680803672195213E-3</c:v>
                </c:pt>
                <c:pt idx="211">
                  <c:v>8.963495257576809E-3</c:v>
                </c:pt>
                <c:pt idx="212">
                  <c:v>8.7317949951006835E-3</c:v>
                </c:pt>
                <c:pt idx="213">
                  <c:v>8.3337047280245408E-3</c:v>
                </c:pt>
                <c:pt idx="214">
                  <c:v>8.0423706450416608E-3</c:v>
                </c:pt>
                <c:pt idx="215">
                  <c:v>7.6951784220628937E-3</c:v>
                </c:pt>
                <c:pt idx="216">
                  <c:v>7.4086483009617298E-3</c:v>
                </c:pt>
                <c:pt idx="217">
                  <c:v>7.0987680888170068E-3</c:v>
                </c:pt>
                <c:pt idx="218">
                  <c:v>7.0696241116508934E-3</c:v>
                </c:pt>
                <c:pt idx="219">
                  <c:v>7.0985155263250882E-3</c:v>
                </c:pt>
                <c:pt idx="220">
                  <c:v>6.8823548605143683E-3</c:v>
                </c:pt>
                <c:pt idx="221">
                  <c:v>6.7735249197724695E-3</c:v>
                </c:pt>
                <c:pt idx="222">
                  <c:v>6.522413340587045E-3</c:v>
                </c:pt>
                <c:pt idx="223">
                  <c:v>6.4711890469038363E-3</c:v>
                </c:pt>
                <c:pt idx="224">
                  <c:v>6.3451015529788412E-3</c:v>
                </c:pt>
                <c:pt idx="225">
                  <c:v>7.143580649570604E-3</c:v>
                </c:pt>
                <c:pt idx="226">
                  <c:v>6.8687687859506508E-3</c:v>
                </c:pt>
                <c:pt idx="227">
                  <c:v>6.6364197563556892E-3</c:v>
                </c:pt>
                <c:pt idx="228">
                  <c:v>6.5194323935890055E-3</c:v>
                </c:pt>
                <c:pt idx="229">
                  <c:v>6.2766872163063604E-3</c:v>
                </c:pt>
                <c:pt idx="230">
                  <c:v>6.0478748003786357E-3</c:v>
                </c:pt>
                <c:pt idx="231">
                  <c:v>5.9121720315745713E-3</c:v>
                </c:pt>
                <c:pt idx="232">
                  <c:v>5.9124612848582324E-3</c:v>
                </c:pt>
                <c:pt idx="233">
                  <c:v>6.0255142757707665E-3</c:v>
                </c:pt>
                <c:pt idx="234">
                  <c:v>5.8841246627324324E-3</c:v>
                </c:pt>
                <c:pt idx="235">
                  <c:v>6.1184867916282944E-3</c:v>
                </c:pt>
                <c:pt idx="236">
                  <c:v>5.9272260471307011E-3</c:v>
                </c:pt>
                <c:pt idx="237">
                  <c:v>6.1465646419059496E-3</c:v>
                </c:pt>
                <c:pt idx="238">
                  <c:v>6.0142413584292074E-3</c:v>
                </c:pt>
                <c:pt idx="239">
                  <c:v>5.8442416827597645E-3</c:v>
                </c:pt>
                <c:pt idx="240">
                  <c:v>5.6827157676070583E-3</c:v>
                </c:pt>
                <c:pt idx="241">
                  <c:v>5.5037583740864147E-3</c:v>
                </c:pt>
                <c:pt idx="242">
                  <c:v>5.3371007917067219E-3</c:v>
                </c:pt>
                <c:pt idx="243">
                  <c:v>5.180520049226995E-3</c:v>
                </c:pt>
                <c:pt idx="244">
                  <c:v>5.237347781801017E-3</c:v>
                </c:pt>
                <c:pt idx="245">
                  <c:v>5.0907771863142022E-3</c:v>
                </c:pt>
                <c:pt idx="246">
                  <c:v>5.0792445580888678E-3</c:v>
                </c:pt>
                <c:pt idx="247">
                  <c:v>4.9509315797705601E-3</c:v>
                </c:pt>
                <c:pt idx="248">
                  <c:v>4.8262004108064306E-3</c:v>
                </c:pt>
                <c:pt idx="249">
                  <c:v>4.7121758098604138E-3</c:v>
                </c:pt>
                <c:pt idx="250">
                  <c:v>4.6081046083144631E-3</c:v>
                </c:pt>
                <c:pt idx="251">
                  <c:v>4.5800081575082165E-3</c:v>
                </c:pt>
                <c:pt idx="252">
                  <c:v>4.5045603207091453E-3</c:v>
                </c:pt>
                <c:pt idx="253">
                  <c:v>4.4214700314503252E-3</c:v>
                </c:pt>
                <c:pt idx="254">
                  <c:v>4.5109110469760318E-3</c:v>
                </c:pt>
                <c:pt idx="255">
                  <c:v>4.4664917993311659E-3</c:v>
                </c:pt>
                <c:pt idx="256">
                  <c:v>4.3899307231714309E-3</c:v>
                </c:pt>
                <c:pt idx="257">
                  <c:v>4.3149468726584031E-3</c:v>
                </c:pt>
                <c:pt idx="258">
                  <c:v>4.3222761672445913E-3</c:v>
                </c:pt>
                <c:pt idx="259">
                  <c:v>4.2605594044194759E-3</c:v>
                </c:pt>
                <c:pt idx="260">
                  <c:v>4.3706282953942964E-3</c:v>
                </c:pt>
                <c:pt idx="261">
                  <c:v>4.347415511327184E-3</c:v>
                </c:pt>
                <c:pt idx="262">
                  <c:v>4.9821475094327262E-3</c:v>
                </c:pt>
                <c:pt idx="263">
                  <c:v>5.029612699959417E-3</c:v>
                </c:pt>
                <c:pt idx="264">
                  <c:v>4.9893910974260214E-3</c:v>
                </c:pt>
                <c:pt idx="265">
                  <c:v>5.2834920157536699E-3</c:v>
                </c:pt>
                <c:pt idx="266">
                  <c:v>5.2849081819245532E-3</c:v>
                </c:pt>
                <c:pt idx="267">
                  <c:v>5.3166355887436685E-3</c:v>
                </c:pt>
                <c:pt idx="268">
                  <c:v>5.1615464213469993E-3</c:v>
                </c:pt>
                <c:pt idx="269">
                  <c:v>5.0191317275018899E-3</c:v>
                </c:pt>
                <c:pt idx="270">
                  <c:v>4.9465333884596806E-3</c:v>
                </c:pt>
                <c:pt idx="271">
                  <c:v>4.8261081060646206E-3</c:v>
                </c:pt>
                <c:pt idx="272">
                  <c:v>5.0534782524250784E-3</c:v>
                </c:pt>
                <c:pt idx="273">
                  <c:v>5.5112093479094092E-3</c:v>
                </c:pt>
                <c:pt idx="274">
                  <c:v>5.4616062614796139E-3</c:v>
                </c:pt>
                <c:pt idx="275">
                  <c:v>5.3448954239518594E-3</c:v>
                </c:pt>
                <c:pt idx="276">
                  <c:v>5.2002910705713015E-3</c:v>
                </c:pt>
                <c:pt idx="277">
                  <c:v>5.0696600253059745E-3</c:v>
                </c:pt>
                <c:pt idx="278">
                  <c:v>5.0208654973738828E-3</c:v>
                </c:pt>
                <c:pt idx="279">
                  <c:v>4.8907549106917995E-3</c:v>
                </c:pt>
                <c:pt idx="280">
                  <c:v>4.8647196178895772E-3</c:v>
                </c:pt>
                <c:pt idx="281">
                  <c:v>4.747369000983691E-3</c:v>
                </c:pt>
                <c:pt idx="282">
                  <c:v>4.6402081478254999E-3</c:v>
                </c:pt>
                <c:pt idx="283">
                  <c:v>4.6088246828466153E-3</c:v>
                </c:pt>
                <c:pt idx="284">
                  <c:v>4.6566857208131659E-3</c:v>
                </c:pt>
                <c:pt idx="285">
                  <c:v>4.5721256666785923E-3</c:v>
                </c:pt>
                <c:pt idx="286">
                  <c:v>4.4916769292014875E-3</c:v>
                </c:pt>
                <c:pt idx="287">
                  <c:v>4.5033906661022752E-3</c:v>
                </c:pt>
                <c:pt idx="288">
                  <c:v>4.6687186308762207E-3</c:v>
                </c:pt>
                <c:pt idx="289">
                  <c:v>5.6997913495747407E-3</c:v>
                </c:pt>
                <c:pt idx="290">
                  <c:v>5.5160461445309143E-3</c:v>
                </c:pt>
                <c:pt idx="291">
                  <c:v>5.3453540806404224E-3</c:v>
                </c:pt>
                <c:pt idx="292">
                  <c:v>5.524484030278224E-3</c:v>
                </c:pt>
                <c:pt idx="293">
                  <c:v>5.6554747711718848E-3</c:v>
                </c:pt>
                <c:pt idx="294">
                  <c:v>5.5915888518416109E-3</c:v>
                </c:pt>
                <c:pt idx="295">
                  <c:v>5.4144084700476448E-3</c:v>
                </c:pt>
                <c:pt idx="296">
                  <c:v>5.3745628174631842E-3</c:v>
                </c:pt>
                <c:pt idx="297">
                  <c:v>5.2397202003718474E-3</c:v>
                </c:pt>
                <c:pt idx="298">
                  <c:v>5.0945829075755697E-3</c:v>
                </c:pt>
                <c:pt idx="299">
                  <c:v>5.1482816563257292E-3</c:v>
                </c:pt>
                <c:pt idx="300">
                  <c:v>5.0117586626053827E-3</c:v>
                </c:pt>
                <c:pt idx="301">
                  <c:v>4.8818711752591417E-3</c:v>
                </c:pt>
                <c:pt idx="302">
                  <c:v>4.7680821848442387E-3</c:v>
                </c:pt>
                <c:pt idx="303">
                  <c:v>4.6774559374939493E-3</c:v>
                </c:pt>
                <c:pt idx="304">
                  <c:v>4.576513423772811E-3</c:v>
                </c:pt>
                <c:pt idx="305">
                  <c:v>4.594246076609328E-3</c:v>
                </c:pt>
                <c:pt idx="306">
                  <c:v>4.5269088749505951E-3</c:v>
                </c:pt>
                <c:pt idx="307">
                  <c:v>4.6512034492042307E-3</c:v>
                </c:pt>
                <c:pt idx="308">
                  <c:v>4.5531093439934158E-3</c:v>
                </c:pt>
                <c:pt idx="309">
                  <c:v>4.46320948935627E-3</c:v>
                </c:pt>
                <c:pt idx="310">
                  <c:v>4.4033366472036872E-3</c:v>
                </c:pt>
                <c:pt idx="311">
                  <c:v>4.3405142385560067E-3</c:v>
                </c:pt>
                <c:pt idx="312">
                  <c:v>4.4145347774054884E-3</c:v>
                </c:pt>
                <c:pt idx="313">
                  <c:v>4.3797703023181781E-3</c:v>
                </c:pt>
                <c:pt idx="314">
                  <c:v>4.341984451707988E-3</c:v>
                </c:pt>
                <c:pt idx="315">
                  <c:v>4.2831705442480175E-3</c:v>
                </c:pt>
                <c:pt idx="316">
                  <c:v>4.233949546705979E-3</c:v>
                </c:pt>
                <c:pt idx="317">
                  <c:v>4.232911885614905E-3</c:v>
                </c:pt>
                <c:pt idx="318">
                  <c:v>4.1886293065202191E-3</c:v>
                </c:pt>
                <c:pt idx="319">
                  <c:v>4.2572481297603318E-3</c:v>
                </c:pt>
                <c:pt idx="320">
                  <c:v>4.3233553610725148E-3</c:v>
                </c:pt>
                <c:pt idx="321">
                  <c:v>4.2602143864648159E-3</c:v>
                </c:pt>
                <c:pt idx="322">
                  <c:v>4.2563494258441867E-3</c:v>
                </c:pt>
                <c:pt idx="323">
                  <c:v>4.2747923129453332E-3</c:v>
                </c:pt>
                <c:pt idx="324">
                  <c:v>4.2263912937587139E-3</c:v>
                </c:pt>
                <c:pt idx="325">
                  <c:v>4.2904031857396397E-3</c:v>
                </c:pt>
                <c:pt idx="326">
                  <c:v>4.2247222267880295E-3</c:v>
                </c:pt>
                <c:pt idx="327">
                  <c:v>4.4557345129264785E-3</c:v>
                </c:pt>
                <c:pt idx="328">
                  <c:v>4.5474666110554276E-3</c:v>
                </c:pt>
                <c:pt idx="329">
                  <c:v>4.4845862583959267E-3</c:v>
                </c:pt>
                <c:pt idx="330">
                  <c:v>4.4025842657925036E-3</c:v>
                </c:pt>
                <c:pt idx="331">
                  <c:v>4.952460553213957E-3</c:v>
                </c:pt>
                <c:pt idx="332">
                  <c:v>4.8520910388551268E-3</c:v>
                </c:pt>
                <c:pt idx="333">
                  <c:v>4.7747776414397668E-3</c:v>
                </c:pt>
                <c:pt idx="334">
                  <c:v>4.7113010005166468E-3</c:v>
                </c:pt>
                <c:pt idx="335">
                  <c:v>4.6687089623099138E-3</c:v>
                </c:pt>
                <c:pt idx="336">
                  <c:v>4.7037313983251949E-3</c:v>
                </c:pt>
                <c:pt idx="337">
                  <c:v>4.6004039331579245E-3</c:v>
                </c:pt>
                <c:pt idx="338">
                  <c:v>4.7523253322363799E-3</c:v>
                </c:pt>
                <c:pt idx="339">
                  <c:v>4.6944845679904061E-3</c:v>
                </c:pt>
                <c:pt idx="340">
                  <c:v>4.6891024214342283E-3</c:v>
                </c:pt>
                <c:pt idx="341">
                  <c:v>4.6611491384729361E-3</c:v>
                </c:pt>
                <c:pt idx="342">
                  <c:v>4.7972325752526582E-3</c:v>
                </c:pt>
                <c:pt idx="343">
                  <c:v>4.7500409674361664E-3</c:v>
                </c:pt>
                <c:pt idx="344">
                  <c:v>4.6426461898610013E-3</c:v>
                </c:pt>
                <c:pt idx="345">
                  <c:v>4.5593745343440253E-3</c:v>
                </c:pt>
                <c:pt idx="346">
                  <c:v>4.5205992977049754E-3</c:v>
                </c:pt>
                <c:pt idx="347">
                  <c:v>4.5194329422632382E-3</c:v>
                </c:pt>
                <c:pt idx="348">
                  <c:v>4.4678052309265644E-3</c:v>
                </c:pt>
                <c:pt idx="349">
                  <c:v>4.6707250625850575E-3</c:v>
                </c:pt>
                <c:pt idx="350">
                  <c:v>4.596176609848273E-3</c:v>
                </c:pt>
                <c:pt idx="351">
                  <c:v>5.2138946322495333E-3</c:v>
                </c:pt>
                <c:pt idx="352">
                  <c:v>5.3383360693673191E-3</c:v>
                </c:pt>
                <c:pt idx="353">
                  <c:v>5.1823412626003443E-3</c:v>
                </c:pt>
                <c:pt idx="354">
                  <c:v>5.2664857600562311E-3</c:v>
                </c:pt>
                <c:pt idx="355">
                  <c:v>5.1175159087703632E-3</c:v>
                </c:pt>
                <c:pt idx="356">
                  <c:v>5.2702707310836993E-3</c:v>
                </c:pt>
                <c:pt idx="357">
                  <c:v>5.1209898259758782E-3</c:v>
                </c:pt>
                <c:pt idx="358">
                  <c:v>5.0106509012891745E-3</c:v>
                </c:pt>
                <c:pt idx="359">
                  <c:v>5.2825894016035818E-3</c:v>
                </c:pt>
                <c:pt idx="360">
                  <c:v>5.4536655561606548E-3</c:v>
                </c:pt>
                <c:pt idx="361">
                  <c:v>5.287680390534088E-3</c:v>
                </c:pt>
                <c:pt idx="362">
                  <c:v>5.1363359070030531E-3</c:v>
                </c:pt>
                <c:pt idx="363">
                  <c:v>5.3534173039306186E-3</c:v>
                </c:pt>
                <c:pt idx="364">
                  <c:v>5.2064525526384596E-3</c:v>
                </c:pt>
                <c:pt idx="365">
                  <c:v>5.1531740654223845E-3</c:v>
                </c:pt>
                <c:pt idx="366">
                  <c:v>5.7286264050087597E-3</c:v>
                </c:pt>
                <c:pt idx="367">
                  <c:v>5.7001918707756359E-3</c:v>
                </c:pt>
                <c:pt idx="368">
                  <c:v>6.0679443767362997E-3</c:v>
                </c:pt>
                <c:pt idx="369">
                  <c:v>5.8544429287348777E-3</c:v>
                </c:pt>
                <c:pt idx="370">
                  <c:v>5.6576074010087169E-3</c:v>
                </c:pt>
                <c:pt idx="371">
                  <c:v>5.4757175401910297E-3</c:v>
                </c:pt>
                <c:pt idx="372">
                  <c:v>5.3077433459709986E-3</c:v>
                </c:pt>
                <c:pt idx="373">
                  <c:v>5.1533780523295193E-3</c:v>
                </c:pt>
                <c:pt idx="374">
                  <c:v>5.0611249688558482E-3</c:v>
                </c:pt>
                <c:pt idx="375">
                  <c:v>5.2295895128754025E-3</c:v>
                </c:pt>
                <c:pt idx="376">
                  <c:v>5.0983859037694824E-3</c:v>
                </c:pt>
                <c:pt idx="377">
                  <c:v>4.9627178424296982E-3</c:v>
                </c:pt>
                <c:pt idx="378">
                  <c:v>4.8399853986137381E-3</c:v>
                </c:pt>
                <c:pt idx="379">
                  <c:v>4.7388596012732324E-3</c:v>
                </c:pt>
                <c:pt idx="380">
                  <c:v>4.6416469837182164E-3</c:v>
                </c:pt>
                <c:pt idx="381">
                  <c:v>4.5438818048558005E-3</c:v>
                </c:pt>
                <c:pt idx="382">
                  <c:v>4.4550809375532678E-3</c:v>
                </c:pt>
                <c:pt idx="383">
                  <c:v>5.5752607409057129E-3</c:v>
                </c:pt>
                <c:pt idx="384">
                  <c:v>6.0269941849112208E-3</c:v>
                </c:pt>
                <c:pt idx="385">
                  <c:v>6.2412783385983805E-3</c:v>
                </c:pt>
                <c:pt idx="386">
                  <c:v>6.1221920963508321E-3</c:v>
                </c:pt>
                <c:pt idx="387">
                  <c:v>5.9283882874429658E-3</c:v>
                </c:pt>
                <c:pt idx="388">
                  <c:v>6.5652856914281896E-3</c:v>
                </c:pt>
                <c:pt idx="389">
                  <c:v>6.3967264006539988E-3</c:v>
                </c:pt>
                <c:pt idx="390">
                  <c:v>6.2970094359277046E-3</c:v>
                </c:pt>
                <c:pt idx="391">
                  <c:v>6.4412598365768993E-3</c:v>
                </c:pt>
                <c:pt idx="392">
                  <c:v>6.2717954707866008E-3</c:v>
                </c:pt>
                <c:pt idx="393">
                  <c:v>6.5610121891424844E-3</c:v>
                </c:pt>
                <c:pt idx="394">
                  <c:v>6.3928147706338711E-3</c:v>
                </c:pt>
                <c:pt idx="395">
                  <c:v>6.1654524346197561E-3</c:v>
                </c:pt>
                <c:pt idx="396">
                  <c:v>6.0233955239824832E-3</c:v>
                </c:pt>
                <c:pt idx="397">
                  <c:v>6.3898692190187288E-3</c:v>
                </c:pt>
                <c:pt idx="398">
                  <c:v>6.1536336623658665E-3</c:v>
                </c:pt>
                <c:pt idx="399">
                  <c:v>5.9332245721983069E-3</c:v>
                </c:pt>
                <c:pt idx="400">
                  <c:v>5.85738436644809E-3</c:v>
                </c:pt>
                <c:pt idx="401">
                  <c:v>5.6895647397613228E-3</c:v>
                </c:pt>
                <c:pt idx="402">
                  <c:v>5.5055458319605991E-3</c:v>
                </c:pt>
                <c:pt idx="403">
                  <c:v>5.3849491369546048E-3</c:v>
                </c:pt>
                <c:pt idx="404">
                  <c:v>5.9271560513833007E-3</c:v>
                </c:pt>
                <c:pt idx="405">
                  <c:v>6.6994634480853823E-3</c:v>
                </c:pt>
                <c:pt idx="406">
                  <c:v>6.9011743144666389E-3</c:v>
                </c:pt>
                <c:pt idx="407">
                  <c:v>6.7852978602650268E-3</c:v>
                </c:pt>
                <c:pt idx="408">
                  <c:v>6.6312829518720548E-3</c:v>
                </c:pt>
                <c:pt idx="409">
                  <c:v>6.4390011120274045E-3</c:v>
                </c:pt>
                <c:pt idx="410">
                  <c:v>7.4119707768138254E-3</c:v>
                </c:pt>
                <c:pt idx="411">
                  <c:v>7.1178657929549067E-3</c:v>
                </c:pt>
                <c:pt idx="412">
                  <c:v>6.8867429432987069E-3</c:v>
                </c:pt>
                <c:pt idx="413">
                  <c:v>6.7422114850719146E-3</c:v>
                </c:pt>
                <c:pt idx="414">
                  <c:v>6.6205022224960263E-3</c:v>
                </c:pt>
                <c:pt idx="415">
                  <c:v>6.404716043868333E-3</c:v>
                </c:pt>
                <c:pt idx="416">
                  <c:v>6.2709264109727355E-3</c:v>
                </c:pt>
                <c:pt idx="417">
                  <c:v>6.0457297249880563E-3</c:v>
                </c:pt>
                <c:pt idx="418">
                  <c:v>5.8703695096437771E-3</c:v>
                </c:pt>
                <c:pt idx="419">
                  <c:v>5.7315545536025195E-3</c:v>
                </c:pt>
                <c:pt idx="420">
                  <c:v>5.5945347698881905E-3</c:v>
                </c:pt>
                <c:pt idx="421">
                  <c:v>6.6721710906025734E-3</c:v>
                </c:pt>
                <c:pt idx="422">
                  <c:v>6.4835130903705762E-3</c:v>
                </c:pt>
                <c:pt idx="423">
                  <c:v>6.2784902859255162E-3</c:v>
                </c:pt>
                <c:pt idx="424">
                  <c:v>6.1119237456503505E-3</c:v>
                </c:pt>
                <c:pt idx="425">
                  <c:v>5.9167783283883947E-3</c:v>
                </c:pt>
                <c:pt idx="426">
                  <c:v>5.7205902132461788E-3</c:v>
                </c:pt>
                <c:pt idx="427">
                  <c:v>5.6873129507870376E-3</c:v>
                </c:pt>
                <c:pt idx="428">
                  <c:v>5.5417298505099537E-3</c:v>
                </c:pt>
                <c:pt idx="429">
                  <c:v>5.5157388158383024E-3</c:v>
                </c:pt>
                <c:pt idx="430">
                  <c:v>5.5217819773472699E-3</c:v>
                </c:pt>
                <c:pt idx="431">
                  <c:v>5.3903621982729537E-3</c:v>
                </c:pt>
                <c:pt idx="432">
                  <c:v>5.2799992477325667E-3</c:v>
                </c:pt>
                <c:pt idx="433">
                  <c:v>5.4597388907924801E-3</c:v>
                </c:pt>
                <c:pt idx="434">
                  <c:v>5.5245258937728099E-3</c:v>
                </c:pt>
                <c:pt idx="435">
                  <c:v>5.4126150720727245E-3</c:v>
                </c:pt>
                <c:pt idx="436">
                  <c:v>5.2722335665553524E-3</c:v>
                </c:pt>
                <c:pt idx="437">
                  <c:v>5.1320386712213574E-3</c:v>
                </c:pt>
                <c:pt idx="438">
                  <c:v>5.0072469662385847E-3</c:v>
                </c:pt>
                <c:pt idx="439">
                  <c:v>5.308090861453404E-3</c:v>
                </c:pt>
                <c:pt idx="440">
                  <c:v>5.5356109883530832E-3</c:v>
                </c:pt>
                <c:pt idx="441">
                  <c:v>5.539488863158885E-3</c:v>
                </c:pt>
                <c:pt idx="442">
                  <c:v>5.4584717720137978E-3</c:v>
                </c:pt>
                <c:pt idx="443">
                  <c:v>5.3142299022130527E-3</c:v>
                </c:pt>
                <c:pt idx="444">
                  <c:v>5.2953932676644139E-3</c:v>
                </c:pt>
                <c:pt idx="445">
                  <c:v>5.1448001062385316E-3</c:v>
                </c:pt>
                <c:pt idx="446">
                  <c:v>5.0189126709757328E-3</c:v>
                </c:pt>
                <c:pt idx="447">
                  <c:v>5.461088167372341E-3</c:v>
                </c:pt>
                <c:pt idx="448">
                  <c:v>5.3411508078871073E-3</c:v>
                </c:pt>
                <c:pt idx="449">
                  <c:v>5.706671928344207E-3</c:v>
                </c:pt>
                <c:pt idx="450">
                  <c:v>5.54877928577644E-3</c:v>
                </c:pt>
                <c:pt idx="451">
                  <c:v>5.3749872751715057E-3</c:v>
                </c:pt>
                <c:pt idx="452">
                  <c:v>5.601725478590139E-3</c:v>
                </c:pt>
                <c:pt idx="453">
                  <c:v>5.7879180660251432E-3</c:v>
                </c:pt>
                <c:pt idx="454">
                  <c:v>5.6106673835187694E-3</c:v>
                </c:pt>
                <c:pt idx="455">
                  <c:v>5.451640437725256E-3</c:v>
                </c:pt>
                <c:pt idx="456">
                  <c:v>5.3463004043157597E-3</c:v>
                </c:pt>
                <c:pt idx="457">
                  <c:v>5.6908019822545387E-3</c:v>
                </c:pt>
                <c:pt idx="458">
                  <c:v>5.5751435128836195E-3</c:v>
                </c:pt>
                <c:pt idx="459">
                  <c:v>5.499810006371752E-3</c:v>
                </c:pt>
                <c:pt idx="460">
                  <c:v>5.3308019248206572E-3</c:v>
                </c:pt>
                <c:pt idx="461">
                  <c:v>5.3102277677442942E-3</c:v>
                </c:pt>
                <c:pt idx="462">
                  <c:v>5.4223609149689099E-3</c:v>
                </c:pt>
                <c:pt idx="463">
                  <c:v>5.5666313675985391E-3</c:v>
                </c:pt>
                <c:pt idx="464">
                  <c:v>5.4112306291788977E-3</c:v>
                </c:pt>
                <c:pt idx="465">
                  <c:v>5.3095612306750277E-3</c:v>
                </c:pt>
                <c:pt idx="466">
                  <c:v>5.1879968110698409E-3</c:v>
                </c:pt>
                <c:pt idx="467">
                  <c:v>5.0504988169438516E-3</c:v>
                </c:pt>
                <c:pt idx="468">
                  <c:v>5.0176304619989707E-3</c:v>
                </c:pt>
                <c:pt idx="469">
                  <c:v>4.9280665684411241E-3</c:v>
                </c:pt>
                <c:pt idx="470">
                  <c:v>5.0367676434444472E-3</c:v>
                </c:pt>
                <c:pt idx="471">
                  <c:v>5.3046936376847202E-3</c:v>
                </c:pt>
                <c:pt idx="472">
                  <c:v>5.7391895596518496E-3</c:v>
                </c:pt>
                <c:pt idx="473">
                  <c:v>5.8822209389971201E-3</c:v>
                </c:pt>
                <c:pt idx="474">
                  <c:v>5.682411199340375E-3</c:v>
                </c:pt>
                <c:pt idx="475">
                  <c:v>5.5463875420258529E-3</c:v>
                </c:pt>
                <c:pt idx="476">
                  <c:v>5.6904159031186926E-3</c:v>
                </c:pt>
                <c:pt idx="477">
                  <c:v>6.1222252965179927E-3</c:v>
                </c:pt>
                <c:pt idx="478">
                  <c:v>5.9242185094212068E-3</c:v>
                </c:pt>
                <c:pt idx="479">
                  <c:v>5.7212411966790604E-3</c:v>
                </c:pt>
                <c:pt idx="480">
                  <c:v>5.5459232043254805E-3</c:v>
                </c:pt>
                <c:pt idx="481">
                  <c:v>5.3816718055714483E-3</c:v>
                </c:pt>
                <c:pt idx="482">
                  <c:v>6.0069101065255131E-3</c:v>
                </c:pt>
                <c:pt idx="483">
                  <c:v>5.8200750046796691E-3</c:v>
                </c:pt>
                <c:pt idx="484">
                  <c:v>5.6339480084070838E-3</c:v>
                </c:pt>
                <c:pt idx="485">
                  <c:v>5.592982948203617E-3</c:v>
                </c:pt>
                <c:pt idx="486">
                  <c:v>5.4584235493987223E-3</c:v>
                </c:pt>
                <c:pt idx="487">
                  <c:v>5.2923370353811115E-3</c:v>
                </c:pt>
                <c:pt idx="488">
                  <c:v>5.1396889224815407E-3</c:v>
                </c:pt>
                <c:pt idx="489">
                  <c:v>5.0182573104554547E-3</c:v>
                </c:pt>
                <c:pt idx="490">
                  <c:v>5.0743914247896958E-3</c:v>
                </c:pt>
                <c:pt idx="491">
                  <c:v>4.9527179731296217E-3</c:v>
                </c:pt>
                <c:pt idx="492">
                  <c:v>4.8548286698444076E-3</c:v>
                </c:pt>
                <c:pt idx="493">
                  <c:v>4.9045272021261774E-3</c:v>
                </c:pt>
                <c:pt idx="494">
                  <c:v>4.7853063554756997E-3</c:v>
                </c:pt>
                <c:pt idx="495">
                  <c:v>4.7112042189524092E-3</c:v>
                </c:pt>
                <c:pt idx="496">
                  <c:v>4.7090077376953565E-3</c:v>
                </c:pt>
                <c:pt idx="497">
                  <c:v>4.6972164262731372E-3</c:v>
                </c:pt>
                <c:pt idx="498">
                  <c:v>4.6641745932405609E-3</c:v>
                </c:pt>
                <c:pt idx="499">
                  <c:v>4.7706243039731039E-3</c:v>
                </c:pt>
                <c:pt idx="500">
                  <c:v>4.664544582013614E-3</c:v>
                </c:pt>
                <c:pt idx="501">
                  <c:v>4.9439041133883914E-3</c:v>
                </c:pt>
                <c:pt idx="502">
                  <c:v>4.846810143540492E-3</c:v>
                </c:pt>
                <c:pt idx="503">
                  <c:v>4.9168342749597365E-3</c:v>
                </c:pt>
                <c:pt idx="504">
                  <c:v>5.1308843886432969E-3</c:v>
                </c:pt>
                <c:pt idx="505">
                  <c:v>5.4906437342240625E-3</c:v>
                </c:pt>
                <c:pt idx="506">
                  <c:v>5.7185310188618737E-3</c:v>
                </c:pt>
                <c:pt idx="507">
                  <c:v>5.5313886433096832E-3</c:v>
                </c:pt>
                <c:pt idx="508">
                  <c:v>5.3594750445575901E-3</c:v>
                </c:pt>
                <c:pt idx="509">
                  <c:v>5.2259192488222639E-3</c:v>
                </c:pt>
                <c:pt idx="510">
                  <c:v>5.0787167675886702E-3</c:v>
                </c:pt>
                <c:pt idx="511">
                  <c:v>5.0335570815058916E-3</c:v>
                </c:pt>
                <c:pt idx="512">
                  <c:v>5.1660916961553168E-3</c:v>
                </c:pt>
                <c:pt idx="513">
                  <c:v>5.3203394052125487E-3</c:v>
                </c:pt>
                <c:pt idx="514">
                  <c:v>5.8518425479656541E-3</c:v>
                </c:pt>
                <c:pt idx="515">
                  <c:v>6.4798314685879429E-3</c:v>
                </c:pt>
                <c:pt idx="516">
                  <c:v>6.5179987642454973E-3</c:v>
                </c:pt>
                <c:pt idx="517">
                  <c:v>6.272336210512609E-3</c:v>
                </c:pt>
                <c:pt idx="518">
                  <c:v>6.470515158559894E-3</c:v>
                </c:pt>
                <c:pt idx="519">
                  <c:v>6.3100175761532928E-3</c:v>
                </c:pt>
                <c:pt idx="520">
                  <c:v>6.088908273737423E-3</c:v>
                </c:pt>
                <c:pt idx="521">
                  <c:v>6.1293491465063696E-3</c:v>
                </c:pt>
                <c:pt idx="522">
                  <c:v>6.3924917121942603E-3</c:v>
                </c:pt>
                <c:pt idx="523">
                  <c:v>6.2065447155486677E-3</c:v>
                </c:pt>
                <c:pt idx="524">
                  <c:v>6.0155682017019232E-3</c:v>
                </c:pt>
                <c:pt idx="525">
                  <c:v>5.8513372147715095E-3</c:v>
                </c:pt>
                <c:pt idx="526">
                  <c:v>6.256042517935754E-3</c:v>
                </c:pt>
                <c:pt idx="527">
                  <c:v>6.0297507202289255E-3</c:v>
                </c:pt>
                <c:pt idx="528">
                  <c:v>5.8219430247287195E-3</c:v>
                </c:pt>
                <c:pt idx="529">
                  <c:v>6.2632705897143039E-3</c:v>
                </c:pt>
                <c:pt idx="530">
                  <c:v>6.5728894880683585E-3</c:v>
                </c:pt>
                <c:pt idx="531">
                  <c:v>6.3215276922889219E-3</c:v>
                </c:pt>
                <c:pt idx="532">
                  <c:v>6.2188204346611672E-3</c:v>
                </c:pt>
                <c:pt idx="533">
                  <c:v>6.0572729927613478E-3</c:v>
                </c:pt>
                <c:pt idx="534">
                  <c:v>6.4906778584978486E-3</c:v>
                </c:pt>
                <c:pt idx="535">
                  <c:v>6.3065056353988642E-3</c:v>
                </c:pt>
                <c:pt idx="536">
                  <c:v>8.6163502882947059E-3</c:v>
                </c:pt>
                <c:pt idx="537">
                  <c:v>8.2251230139983797E-3</c:v>
                </c:pt>
                <c:pt idx="538">
                  <c:v>8.1654746571591229E-3</c:v>
                </c:pt>
                <c:pt idx="539">
                  <c:v>7.8473046872005667E-3</c:v>
                </c:pt>
                <c:pt idx="540">
                  <c:v>8.0203771754449819E-3</c:v>
                </c:pt>
                <c:pt idx="541">
                  <c:v>7.6780381156122748E-3</c:v>
                </c:pt>
                <c:pt idx="542">
                  <c:v>7.4039867314555944E-3</c:v>
                </c:pt>
                <c:pt idx="543">
                  <c:v>7.2145481168731573E-3</c:v>
                </c:pt>
                <c:pt idx="544">
                  <c:v>6.9217720636269124E-3</c:v>
                </c:pt>
                <c:pt idx="545">
                  <c:v>6.7128240748781914E-3</c:v>
                </c:pt>
                <c:pt idx="546">
                  <c:v>6.4799833559031133E-3</c:v>
                </c:pt>
                <c:pt idx="547">
                  <c:v>6.2365858657405958E-3</c:v>
                </c:pt>
                <c:pt idx="548">
                  <c:v>6.011748423480851E-3</c:v>
                </c:pt>
                <c:pt idx="549">
                  <c:v>5.8020479851671591E-3</c:v>
                </c:pt>
                <c:pt idx="550">
                  <c:v>5.6882180855007351E-3</c:v>
                </c:pt>
                <c:pt idx="551">
                  <c:v>5.5172106973211286E-3</c:v>
                </c:pt>
                <c:pt idx="552">
                  <c:v>5.3459269712101843E-3</c:v>
                </c:pt>
                <c:pt idx="553">
                  <c:v>6.5915716612513003E-3</c:v>
                </c:pt>
                <c:pt idx="554">
                  <c:v>6.3508092821958993E-3</c:v>
                </c:pt>
                <c:pt idx="555">
                  <c:v>6.1239048089744737E-3</c:v>
                </c:pt>
                <c:pt idx="556">
                  <c:v>5.905729004946683E-3</c:v>
                </c:pt>
                <c:pt idx="557">
                  <c:v>6.2115123140820093E-3</c:v>
                </c:pt>
                <c:pt idx="558">
                  <c:v>6.0227475988212402E-3</c:v>
                </c:pt>
                <c:pt idx="559">
                  <c:v>5.849263058060084E-3</c:v>
                </c:pt>
                <c:pt idx="560">
                  <c:v>5.8028641797716364E-3</c:v>
                </c:pt>
                <c:pt idx="561">
                  <c:v>5.6475541818397368E-3</c:v>
                </c:pt>
                <c:pt idx="562">
                  <c:v>5.556355498562952E-3</c:v>
                </c:pt>
                <c:pt idx="563">
                  <c:v>5.4875272482384704E-3</c:v>
                </c:pt>
                <c:pt idx="564">
                  <c:v>5.3195010274144881E-3</c:v>
                </c:pt>
                <c:pt idx="565">
                  <c:v>5.1943891177286868E-3</c:v>
                </c:pt>
                <c:pt idx="566">
                  <c:v>6.2889632536180405E-3</c:v>
                </c:pt>
                <c:pt idx="567">
                  <c:v>6.1286794148788567E-3</c:v>
                </c:pt>
                <c:pt idx="568">
                  <c:v>6.1577202508471904E-3</c:v>
                </c:pt>
                <c:pt idx="569">
                  <c:v>5.9454341128008211E-3</c:v>
                </c:pt>
                <c:pt idx="570">
                  <c:v>5.8227900449070212E-3</c:v>
                </c:pt>
                <c:pt idx="571">
                  <c:v>5.629452482126554E-3</c:v>
                </c:pt>
                <c:pt idx="572">
                  <c:v>5.5489281133416276E-3</c:v>
                </c:pt>
                <c:pt idx="573">
                  <c:v>5.4348313582563744E-3</c:v>
                </c:pt>
                <c:pt idx="574">
                  <c:v>5.2703575789778247E-3</c:v>
                </c:pt>
                <c:pt idx="575">
                  <c:v>5.1674425216121384E-3</c:v>
                </c:pt>
                <c:pt idx="576">
                  <c:v>5.0254830501710009E-3</c:v>
                </c:pt>
                <c:pt idx="577">
                  <c:v>4.8944378095278802E-3</c:v>
                </c:pt>
                <c:pt idx="578">
                  <c:v>4.7866829137831572E-3</c:v>
                </c:pt>
                <c:pt idx="579">
                  <c:v>4.7327819923297654E-3</c:v>
                </c:pt>
                <c:pt idx="580">
                  <c:v>4.7137653200360887E-3</c:v>
                </c:pt>
                <c:pt idx="581">
                  <c:v>4.6105827276529962E-3</c:v>
                </c:pt>
                <c:pt idx="582">
                  <c:v>4.7767737916478009E-3</c:v>
                </c:pt>
                <c:pt idx="583">
                  <c:v>4.6676150428681604E-3</c:v>
                </c:pt>
                <c:pt idx="584">
                  <c:v>4.5674791149280256E-3</c:v>
                </c:pt>
                <c:pt idx="585">
                  <c:v>4.9212892787137228E-3</c:v>
                </c:pt>
                <c:pt idx="586">
                  <c:v>4.8052570113611796E-3</c:v>
                </c:pt>
                <c:pt idx="587">
                  <c:v>5.0446044709668049E-3</c:v>
                </c:pt>
                <c:pt idx="588">
                  <c:v>4.9293543292125231E-3</c:v>
                </c:pt>
                <c:pt idx="589">
                  <c:v>4.8389677118306548E-3</c:v>
                </c:pt>
                <c:pt idx="590">
                  <c:v>4.7269116289655778E-3</c:v>
                </c:pt>
                <c:pt idx="591">
                  <c:v>4.6215448050087853E-3</c:v>
                </c:pt>
                <c:pt idx="592">
                  <c:v>4.6240316613258186E-3</c:v>
                </c:pt>
                <c:pt idx="593">
                  <c:v>4.5862968539236871E-3</c:v>
                </c:pt>
                <c:pt idx="594">
                  <c:v>4.4976302666847393E-3</c:v>
                </c:pt>
                <c:pt idx="595">
                  <c:v>4.6331635960729541E-3</c:v>
                </c:pt>
                <c:pt idx="596">
                  <c:v>4.5907018202389904E-3</c:v>
                </c:pt>
                <c:pt idx="597">
                  <c:v>4.6347506392137774E-3</c:v>
                </c:pt>
                <c:pt idx="598">
                  <c:v>4.635804637853202E-3</c:v>
                </c:pt>
                <c:pt idx="599">
                  <c:v>5.8867627453515767E-3</c:v>
                </c:pt>
                <c:pt idx="600">
                  <c:v>6.5317959972045125E-3</c:v>
                </c:pt>
                <c:pt idx="601">
                  <c:v>6.4509764161188796E-3</c:v>
                </c:pt>
                <c:pt idx="602">
                  <c:v>6.2239615510953144E-3</c:v>
                </c:pt>
                <c:pt idx="603">
                  <c:v>5.9995256536758811E-3</c:v>
                </c:pt>
                <c:pt idx="604">
                  <c:v>5.8201558237847475E-3</c:v>
                </c:pt>
                <c:pt idx="605">
                  <c:v>5.6251263013528379E-3</c:v>
                </c:pt>
                <c:pt idx="606">
                  <c:v>5.650626576514349E-3</c:v>
                </c:pt>
                <c:pt idx="607">
                  <c:v>5.4904297411588693E-3</c:v>
                </c:pt>
                <c:pt idx="608">
                  <c:v>5.3226724851638289E-3</c:v>
                </c:pt>
                <c:pt idx="609">
                  <c:v>5.1707041907235142E-3</c:v>
                </c:pt>
                <c:pt idx="610">
                  <c:v>5.0323033184363347E-3</c:v>
                </c:pt>
                <c:pt idx="611">
                  <c:v>4.9918101011497849E-3</c:v>
                </c:pt>
                <c:pt idx="612">
                  <c:v>4.9218148061292025E-3</c:v>
                </c:pt>
                <c:pt idx="613">
                  <c:v>4.7998136212721162E-3</c:v>
                </c:pt>
                <c:pt idx="614">
                  <c:v>4.6880778648810814E-3</c:v>
                </c:pt>
                <c:pt idx="615">
                  <c:v>4.5925886831055321E-3</c:v>
                </c:pt>
                <c:pt idx="616">
                  <c:v>4.5139345689614984E-3</c:v>
                </c:pt>
                <c:pt idx="617">
                  <c:v>4.4516756848440898E-3</c:v>
                </c:pt>
                <c:pt idx="618">
                  <c:v>4.4067189909734903E-3</c:v>
                </c:pt>
                <c:pt idx="619">
                  <c:v>4.3548170999565981E-3</c:v>
                </c:pt>
                <c:pt idx="620">
                  <c:v>4.2833735892427909E-3</c:v>
                </c:pt>
                <c:pt idx="621">
                  <c:v>4.2896891414891079E-3</c:v>
                </c:pt>
                <c:pt idx="622">
                  <c:v>4.2398310614085123E-3</c:v>
                </c:pt>
                <c:pt idx="623">
                  <c:v>4.5801263138073945E-3</c:v>
                </c:pt>
                <c:pt idx="624">
                  <c:v>4.5115696330196228E-3</c:v>
                </c:pt>
                <c:pt idx="625">
                  <c:v>4.4265003155343459E-3</c:v>
                </c:pt>
                <c:pt idx="626">
                  <c:v>4.8910906393387667E-3</c:v>
                </c:pt>
                <c:pt idx="627">
                  <c:v>5.0425693784290869E-3</c:v>
                </c:pt>
                <c:pt idx="628">
                  <c:v>4.9419095306382603E-3</c:v>
                </c:pt>
                <c:pt idx="629">
                  <c:v>4.8476250414942086E-3</c:v>
                </c:pt>
                <c:pt idx="630">
                  <c:v>4.770730345348635E-3</c:v>
                </c:pt>
                <c:pt idx="631">
                  <c:v>4.6798634785481163E-3</c:v>
                </c:pt>
                <c:pt idx="632">
                  <c:v>4.5951823134224492E-3</c:v>
                </c:pt>
                <c:pt idx="633">
                  <c:v>4.5057114572689232E-3</c:v>
                </c:pt>
                <c:pt idx="634">
                  <c:v>4.4351622673445782E-3</c:v>
                </c:pt>
                <c:pt idx="635">
                  <c:v>4.812143841396891E-3</c:v>
                </c:pt>
                <c:pt idx="636">
                  <c:v>4.8483813906881734E-3</c:v>
                </c:pt>
                <c:pt idx="637">
                  <c:v>4.8745791043685325E-3</c:v>
                </c:pt>
                <c:pt idx="638">
                  <c:v>4.7812366205089293E-3</c:v>
                </c:pt>
                <c:pt idx="639">
                  <c:v>4.671180880029188E-3</c:v>
                </c:pt>
                <c:pt idx="640">
                  <c:v>4.8780842550644092E-3</c:v>
                </c:pt>
                <c:pt idx="641">
                  <c:v>4.7717715390366566E-3</c:v>
                </c:pt>
                <c:pt idx="642">
                  <c:v>4.6665436547455143E-3</c:v>
                </c:pt>
                <c:pt idx="643">
                  <c:v>4.6409144570609667E-3</c:v>
                </c:pt>
                <c:pt idx="644">
                  <c:v>4.6363819625506826E-3</c:v>
                </c:pt>
                <c:pt idx="645">
                  <c:v>5.1392197708463941E-3</c:v>
                </c:pt>
                <c:pt idx="646">
                  <c:v>5.1121432902523139E-3</c:v>
                </c:pt>
                <c:pt idx="647">
                  <c:v>5.0778459192441089E-3</c:v>
                </c:pt>
                <c:pt idx="648">
                  <c:v>5.2122836582300493E-3</c:v>
                </c:pt>
                <c:pt idx="649">
                  <c:v>5.1776950256236728E-3</c:v>
                </c:pt>
                <c:pt idx="650">
                  <c:v>5.0902019610840378E-3</c:v>
                </c:pt>
                <c:pt idx="651">
                  <c:v>4.9542629530857666E-3</c:v>
                </c:pt>
                <c:pt idx="652">
                  <c:v>4.8771202468827768E-3</c:v>
                </c:pt>
                <c:pt idx="653">
                  <c:v>4.764925939419077E-3</c:v>
                </c:pt>
                <c:pt idx="654">
                  <c:v>4.6593471920506023E-3</c:v>
                </c:pt>
                <c:pt idx="655">
                  <c:v>4.8765563805694872E-3</c:v>
                </c:pt>
                <c:pt idx="656">
                  <c:v>5.4245702280697247E-3</c:v>
                </c:pt>
                <c:pt idx="657">
                  <c:v>5.3016022153942284E-3</c:v>
                </c:pt>
                <c:pt idx="658">
                  <c:v>5.2027083066780687E-3</c:v>
                </c:pt>
                <c:pt idx="659">
                  <c:v>5.2569267463185897E-3</c:v>
                </c:pt>
                <c:pt idx="660">
                  <c:v>5.107176665197069E-3</c:v>
                </c:pt>
                <c:pt idx="661">
                  <c:v>4.9692818783191421E-3</c:v>
                </c:pt>
                <c:pt idx="662">
                  <c:v>4.8435414671457351E-3</c:v>
                </c:pt>
                <c:pt idx="663">
                  <c:v>4.7460965754536647E-3</c:v>
                </c:pt>
                <c:pt idx="664">
                  <c:v>4.6596982138555005E-3</c:v>
                </c:pt>
                <c:pt idx="665">
                  <c:v>4.92131494281727E-3</c:v>
                </c:pt>
                <c:pt idx="666">
                  <c:v>4.8095337905345115E-3</c:v>
                </c:pt>
                <c:pt idx="667">
                  <c:v>4.7571990952638829E-3</c:v>
                </c:pt>
                <c:pt idx="668">
                  <c:v>4.692068832032349E-3</c:v>
                </c:pt>
                <c:pt idx="669">
                  <c:v>4.8315896899504525E-3</c:v>
                </c:pt>
                <c:pt idx="670">
                  <c:v>4.7660971931600717E-3</c:v>
                </c:pt>
                <c:pt idx="671">
                  <c:v>4.6575531545100463E-3</c:v>
                </c:pt>
                <c:pt idx="672">
                  <c:v>5.1114714311103543E-3</c:v>
                </c:pt>
                <c:pt idx="673">
                  <c:v>4.9761374260151479E-3</c:v>
                </c:pt>
                <c:pt idx="674">
                  <c:v>4.8492645376669048E-3</c:v>
                </c:pt>
                <c:pt idx="675">
                  <c:v>4.7332462705382454E-3</c:v>
                </c:pt>
                <c:pt idx="676">
                  <c:v>4.6283478999346386E-3</c:v>
                </c:pt>
                <c:pt idx="677">
                  <c:v>4.5723896716282075E-3</c:v>
                </c:pt>
                <c:pt idx="678">
                  <c:v>5.1829303985362202E-3</c:v>
                </c:pt>
                <c:pt idx="679">
                  <c:v>5.0416272114356042E-3</c:v>
                </c:pt>
                <c:pt idx="680">
                  <c:v>5.3088090829980852E-3</c:v>
                </c:pt>
                <c:pt idx="681">
                  <c:v>5.1543569940901077E-3</c:v>
                </c:pt>
                <c:pt idx="682">
                  <c:v>5.0125973645111814E-3</c:v>
                </c:pt>
                <c:pt idx="683">
                  <c:v>4.9935992284423905E-3</c:v>
                </c:pt>
                <c:pt idx="684">
                  <c:v>5.1550720835054423E-3</c:v>
                </c:pt>
                <c:pt idx="685">
                  <c:v>5.0810682751708056E-3</c:v>
                </c:pt>
                <c:pt idx="686">
                  <c:v>5.4491717153146374E-3</c:v>
                </c:pt>
                <c:pt idx="687">
                  <c:v>5.8377872828708393E-3</c:v>
                </c:pt>
                <c:pt idx="688">
                  <c:v>5.6414495520340363E-3</c:v>
                </c:pt>
                <c:pt idx="689">
                  <c:v>5.4603412662208046E-3</c:v>
                </c:pt>
                <c:pt idx="690">
                  <c:v>5.4850066053304886E-3</c:v>
                </c:pt>
                <c:pt idx="691">
                  <c:v>5.4047417239177966E-3</c:v>
                </c:pt>
                <c:pt idx="692">
                  <c:v>5.2492982026739248E-3</c:v>
                </c:pt>
                <c:pt idx="693">
                  <c:v>5.1094622221576841E-3</c:v>
                </c:pt>
                <c:pt idx="694">
                  <c:v>5.0283351969249383E-3</c:v>
                </c:pt>
                <c:pt idx="695">
                  <c:v>4.8971101284456626E-3</c:v>
                </c:pt>
                <c:pt idx="696">
                  <c:v>4.7769764114011523E-3</c:v>
                </c:pt>
                <c:pt idx="697">
                  <c:v>4.8422996760608796E-3</c:v>
                </c:pt>
                <c:pt idx="698">
                  <c:v>4.7278857501117212E-3</c:v>
                </c:pt>
                <c:pt idx="699">
                  <c:v>4.6592140058924984E-3</c:v>
                </c:pt>
                <c:pt idx="700">
                  <c:v>4.6104932548639089E-3</c:v>
                </c:pt>
                <c:pt idx="701">
                  <c:v>4.5500258694894163E-3</c:v>
                </c:pt>
                <c:pt idx="702">
                  <c:v>4.5085774725416488E-3</c:v>
                </c:pt>
                <c:pt idx="703">
                  <c:v>4.4243834242988734E-3</c:v>
                </c:pt>
                <c:pt idx="704">
                  <c:v>4.4881747488259823E-3</c:v>
                </c:pt>
                <c:pt idx="705">
                  <c:v>4.5961840554537593E-3</c:v>
                </c:pt>
                <c:pt idx="706">
                  <c:v>4.5066225975171148E-3</c:v>
                </c:pt>
                <c:pt idx="707">
                  <c:v>4.4211994929273662E-3</c:v>
                </c:pt>
                <c:pt idx="708">
                  <c:v>4.3444174394998876E-3</c:v>
                </c:pt>
                <c:pt idx="709">
                  <c:v>4.4503708328452896E-3</c:v>
                </c:pt>
                <c:pt idx="710">
                  <c:v>4.3698151015749889E-3</c:v>
                </c:pt>
                <c:pt idx="711">
                  <c:v>4.4657947246974066E-3</c:v>
                </c:pt>
                <c:pt idx="712">
                  <c:v>4.3849075720067774E-3</c:v>
                </c:pt>
                <c:pt idx="713">
                  <c:v>4.8026520350733836E-3</c:v>
                </c:pt>
                <c:pt idx="714">
                  <c:v>4.7184483240868148E-3</c:v>
                </c:pt>
                <c:pt idx="715">
                  <c:v>4.7205595121300337E-3</c:v>
                </c:pt>
                <c:pt idx="716">
                  <c:v>5.0098224063803267E-3</c:v>
                </c:pt>
                <c:pt idx="717">
                  <c:v>4.8800984225455162E-3</c:v>
                </c:pt>
                <c:pt idx="718">
                  <c:v>4.7616738059298152E-3</c:v>
                </c:pt>
                <c:pt idx="719">
                  <c:v>4.7804837727316177E-3</c:v>
                </c:pt>
                <c:pt idx="720">
                  <c:v>4.9390931294873179E-3</c:v>
                </c:pt>
                <c:pt idx="721">
                  <c:v>5.084126377649446E-3</c:v>
                </c:pt>
                <c:pt idx="722">
                  <c:v>5.0787294432123728E-3</c:v>
                </c:pt>
                <c:pt idx="723">
                  <c:v>4.9432716999815675E-3</c:v>
                </c:pt>
                <c:pt idx="724">
                  <c:v>4.8191928095157712E-3</c:v>
                </c:pt>
                <c:pt idx="725">
                  <c:v>4.860661011149999E-3</c:v>
                </c:pt>
                <c:pt idx="726">
                  <c:v>4.8072046513566065E-3</c:v>
                </c:pt>
                <c:pt idx="727">
                  <c:v>4.7130335114011603E-3</c:v>
                </c:pt>
                <c:pt idx="728">
                  <c:v>4.9484709032188894E-3</c:v>
                </c:pt>
                <c:pt idx="729">
                  <c:v>5.4144653321589785E-3</c:v>
                </c:pt>
                <c:pt idx="730">
                  <c:v>5.3162374382380046E-3</c:v>
                </c:pt>
                <c:pt idx="731">
                  <c:v>5.4201249704399681E-3</c:v>
                </c:pt>
                <c:pt idx="732">
                  <c:v>5.2889802799845308E-3</c:v>
                </c:pt>
                <c:pt idx="733">
                  <c:v>5.8036045431285911E-3</c:v>
                </c:pt>
                <c:pt idx="734">
                  <c:v>5.6571972242499382E-3</c:v>
                </c:pt>
                <c:pt idx="735">
                  <c:v>6.4490756146302316E-3</c:v>
                </c:pt>
                <c:pt idx="736">
                  <c:v>6.2617042819873708E-3</c:v>
                </c:pt>
                <c:pt idx="737">
                  <c:v>6.1000939117642787E-3</c:v>
                </c:pt>
                <c:pt idx="738">
                  <c:v>5.9416490005731945E-3</c:v>
                </c:pt>
                <c:pt idx="739">
                  <c:v>6.2324381448974767E-3</c:v>
                </c:pt>
                <c:pt idx="740">
                  <c:v>6.0061844021405443E-3</c:v>
                </c:pt>
                <c:pt idx="741">
                  <c:v>5.8238865082419758E-3</c:v>
                </c:pt>
                <c:pt idx="742">
                  <c:v>5.7535916668711648E-3</c:v>
                </c:pt>
                <c:pt idx="743">
                  <c:v>5.5713842199381228E-3</c:v>
                </c:pt>
                <c:pt idx="744">
                  <c:v>5.3958011750923568E-3</c:v>
                </c:pt>
                <c:pt idx="745">
                  <c:v>5.2342428899070197E-3</c:v>
                </c:pt>
                <c:pt idx="746">
                  <c:v>5.6596769065635974E-3</c:v>
                </c:pt>
                <c:pt idx="747">
                  <c:v>5.4784900675007471E-3</c:v>
                </c:pt>
                <c:pt idx="748">
                  <c:v>5.3538666408593305E-3</c:v>
                </c:pt>
                <c:pt idx="749">
                  <c:v>5.1962108741357453E-3</c:v>
                </c:pt>
                <c:pt idx="750">
                  <c:v>5.1000333451698176E-3</c:v>
                </c:pt>
                <c:pt idx="751">
                  <c:v>4.9665548458287878E-3</c:v>
                </c:pt>
                <c:pt idx="752">
                  <c:v>4.9912022677598387E-3</c:v>
                </c:pt>
                <c:pt idx="753">
                  <c:v>4.8924574592979064E-3</c:v>
                </c:pt>
                <c:pt idx="754">
                  <c:v>4.7927978726630604E-3</c:v>
                </c:pt>
                <c:pt idx="755">
                  <c:v>4.7721993523641426E-3</c:v>
                </c:pt>
                <c:pt idx="756">
                  <c:v>4.7585511186323181E-3</c:v>
                </c:pt>
                <c:pt idx="757">
                  <c:v>4.7512758340616853E-3</c:v>
                </c:pt>
                <c:pt idx="758">
                  <c:v>4.6460697389166588E-3</c:v>
                </c:pt>
                <c:pt idx="759">
                  <c:v>4.5478460304836715E-3</c:v>
                </c:pt>
                <c:pt idx="760">
                  <c:v>4.7148566891887754E-3</c:v>
                </c:pt>
                <c:pt idx="761">
                  <c:v>4.6313276995759633E-3</c:v>
                </c:pt>
                <c:pt idx="762">
                  <c:v>4.7078169850803256E-3</c:v>
                </c:pt>
                <c:pt idx="763">
                  <c:v>4.6072823329064453E-3</c:v>
                </c:pt>
                <c:pt idx="764">
                  <c:v>4.6015423523073917E-3</c:v>
                </c:pt>
                <c:pt idx="765">
                  <c:v>4.507356409799013E-3</c:v>
                </c:pt>
                <c:pt idx="766">
                  <c:v>4.4457273371802768E-3</c:v>
                </c:pt>
                <c:pt idx="767">
                  <c:v>4.5387232665219553E-3</c:v>
                </c:pt>
                <c:pt idx="768">
                  <c:v>4.5403713241314999E-3</c:v>
                </c:pt>
                <c:pt idx="769">
                  <c:v>4.8302118061434706E-3</c:v>
                </c:pt>
                <c:pt idx="770">
                  <c:v>4.7181016751533487E-3</c:v>
                </c:pt>
                <c:pt idx="771">
                  <c:v>4.9352740296387818E-3</c:v>
                </c:pt>
                <c:pt idx="772">
                  <c:v>4.8389598080728277E-3</c:v>
                </c:pt>
                <c:pt idx="773">
                  <c:v>4.7876393207940049E-3</c:v>
                </c:pt>
                <c:pt idx="774">
                  <c:v>4.9613042266190522E-3</c:v>
                </c:pt>
                <c:pt idx="775">
                  <c:v>4.8476872339409394E-3</c:v>
                </c:pt>
                <c:pt idx="776">
                  <c:v>5.2667764779590932E-3</c:v>
                </c:pt>
                <c:pt idx="777">
                  <c:v>5.1462503138337487E-3</c:v>
                </c:pt>
                <c:pt idx="778">
                  <c:v>5.103662036131793E-3</c:v>
                </c:pt>
                <c:pt idx="779">
                  <c:v>4.9682082513534433E-3</c:v>
                </c:pt>
                <c:pt idx="780">
                  <c:v>4.8576507925314717E-3</c:v>
                </c:pt>
                <c:pt idx="781">
                  <c:v>4.7611184704905293E-3</c:v>
                </c:pt>
                <c:pt idx="782">
                  <c:v>4.7258087247643854E-3</c:v>
                </c:pt>
                <c:pt idx="783">
                  <c:v>4.6246416306242608E-3</c:v>
                </c:pt>
                <c:pt idx="784">
                  <c:v>4.5411344333234566E-3</c:v>
                </c:pt>
                <c:pt idx="785">
                  <c:v>4.6423459451280522E-3</c:v>
                </c:pt>
                <c:pt idx="786">
                  <c:v>4.711010751540538E-3</c:v>
                </c:pt>
                <c:pt idx="787">
                  <c:v>4.6070421063552358E-3</c:v>
                </c:pt>
                <c:pt idx="788">
                  <c:v>4.8320333364631094E-3</c:v>
                </c:pt>
                <c:pt idx="789">
                  <c:v>4.807356455215123E-3</c:v>
                </c:pt>
                <c:pt idx="790">
                  <c:v>4.6965432499870017E-3</c:v>
                </c:pt>
                <c:pt idx="791">
                  <c:v>4.9992040146696224E-3</c:v>
                </c:pt>
                <c:pt idx="792">
                  <c:v>4.8718983167279645E-3</c:v>
                </c:pt>
                <c:pt idx="793">
                  <c:v>4.7569832940513503E-3</c:v>
                </c:pt>
                <c:pt idx="794">
                  <c:v>4.6489811574791208E-3</c:v>
                </c:pt>
                <c:pt idx="795">
                  <c:v>4.8677251532705411E-3</c:v>
                </c:pt>
                <c:pt idx="796">
                  <c:v>4.751113839436669E-3</c:v>
                </c:pt>
                <c:pt idx="797">
                  <c:v>4.66660613553472E-3</c:v>
                </c:pt>
                <c:pt idx="798">
                  <c:v>4.5875369921817835E-3</c:v>
                </c:pt>
                <c:pt idx="799">
                  <c:v>5.5679908281523298E-3</c:v>
                </c:pt>
                <c:pt idx="800">
                  <c:v>5.3981688343545074E-3</c:v>
                </c:pt>
                <c:pt idx="801">
                  <c:v>5.2391919495867008E-3</c:v>
                </c:pt>
                <c:pt idx="802">
                  <c:v>5.0924692573058612E-3</c:v>
                </c:pt>
                <c:pt idx="803">
                  <c:v>5.1399054453857389E-3</c:v>
                </c:pt>
                <c:pt idx="804">
                  <c:v>5.322283219576192E-3</c:v>
                </c:pt>
                <c:pt idx="805">
                  <c:v>5.2622099038668983E-3</c:v>
                </c:pt>
                <c:pt idx="806">
                  <c:v>5.3029486939982252E-3</c:v>
                </c:pt>
                <c:pt idx="807">
                  <c:v>5.1489740154201085E-3</c:v>
                </c:pt>
                <c:pt idx="808">
                  <c:v>5.0879718520516603E-3</c:v>
                </c:pt>
                <c:pt idx="809">
                  <c:v>5.5177861300393042E-3</c:v>
                </c:pt>
                <c:pt idx="810">
                  <c:v>5.3994597561355696E-3</c:v>
                </c:pt>
                <c:pt idx="811">
                  <c:v>5.2412263608699909E-3</c:v>
                </c:pt>
                <c:pt idx="812">
                  <c:v>5.2087525319477607E-3</c:v>
                </c:pt>
                <c:pt idx="813">
                  <c:v>5.09604360110594E-3</c:v>
                </c:pt>
                <c:pt idx="814">
                  <c:v>5.00570856959596E-3</c:v>
                </c:pt>
                <c:pt idx="815">
                  <c:v>4.8785193836310345E-3</c:v>
                </c:pt>
                <c:pt idx="816">
                  <c:v>4.7609775316286426E-3</c:v>
                </c:pt>
                <c:pt idx="817">
                  <c:v>4.6589912049435408E-3</c:v>
                </c:pt>
                <c:pt idx="818">
                  <c:v>4.5606596821133787E-3</c:v>
                </c:pt>
                <c:pt idx="819">
                  <c:v>5.4630055050111769E-3</c:v>
                </c:pt>
                <c:pt idx="820">
                  <c:v>5.2960481616378214E-3</c:v>
                </c:pt>
                <c:pt idx="821">
                  <c:v>5.1446524960959712E-3</c:v>
                </c:pt>
                <c:pt idx="822">
                  <c:v>5.0108001138386296E-3</c:v>
                </c:pt>
                <c:pt idx="823">
                  <c:v>4.9724810180296003E-3</c:v>
                </c:pt>
                <c:pt idx="824">
                  <c:v>4.9120622463945645E-3</c:v>
                </c:pt>
                <c:pt idx="825">
                  <c:v>5.1355271361579373E-3</c:v>
                </c:pt>
                <c:pt idx="826">
                  <c:v>5.0213655794059779E-3</c:v>
                </c:pt>
                <c:pt idx="827">
                  <c:v>4.9081476459799725E-3</c:v>
                </c:pt>
                <c:pt idx="828">
                  <c:v>4.8117664481119749E-3</c:v>
                </c:pt>
                <c:pt idx="829">
                  <c:v>4.7891926553184265E-3</c:v>
                </c:pt>
                <c:pt idx="830">
                  <c:v>4.8049376861243808E-3</c:v>
                </c:pt>
                <c:pt idx="831">
                  <c:v>4.9926053311354522E-3</c:v>
                </c:pt>
                <c:pt idx="832">
                  <c:v>4.9118669967609637E-3</c:v>
                </c:pt>
                <c:pt idx="833">
                  <c:v>5.8651347653462908E-3</c:v>
                </c:pt>
                <c:pt idx="834">
                  <c:v>5.7858732040199663E-3</c:v>
                </c:pt>
                <c:pt idx="835">
                  <c:v>5.6409759968999102E-3</c:v>
                </c:pt>
                <c:pt idx="836">
                  <c:v>5.460773268688688E-3</c:v>
                </c:pt>
                <c:pt idx="837">
                  <c:v>5.3007634957754172E-3</c:v>
                </c:pt>
                <c:pt idx="838">
                  <c:v>5.1469669142395584E-3</c:v>
                </c:pt>
                <c:pt idx="839">
                  <c:v>5.151635763682454E-3</c:v>
                </c:pt>
                <c:pt idx="840">
                  <c:v>5.0903742184217077E-3</c:v>
                </c:pt>
                <c:pt idx="841">
                  <c:v>5.0074309838041529E-3</c:v>
                </c:pt>
                <c:pt idx="842">
                  <c:v>4.9397269688834736E-3</c:v>
                </c:pt>
                <c:pt idx="843">
                  <c:v>4.8639529800539889E-3</c:v>
                </c:pt>
                <c:pt idx="844">
                  <c:v>4.9253549555412363E-3</c:v>
                </c:pt>
                <c:pt idx="845">
                  <c:v>4.8250272729281262E-3</c:v>
                </c:pt>
                <c:pt idx="846">
                  <c:v>4.9620689917141015E-3</c:v>
                </c:pt>
                <c:pt idx="847">
                  <c:v>4.8413511854864411E-3</c:v>
                </c:pt>
                <c:pt idx="848">
                  <c:v>4.8110924937153996E-3</c:v>
                </c:pt>
                <c:pt idx="849">
                  <c:v>4.7475690909814213E-3</c:v>
                </c:pt>
                <c:pt idx="850">
                  <c:v>4.6444760367433278E-3</c:v>
                </c:pt>
                <c:pt idx="851">
                  <c:v>4.8638882095435642E-3</c:v>
                </c:pt>
                <c:pt idx="852">
                  <c:v>4.7767307774399977E-3</c:v>
                </c:pt>
                <c:pt idx="853">
                  <c:v>4.6777230376536067E-3</c:v>
                </c:pt>
                <c:pt idx="854">
                  <c:v>4.6108176831700142E-3</c:v>
                </c:pt>
                <c:pt idx="855">
                  <c:v>4.5167862057624688E-3</c:v>
                </c:pt>
                <c:pt idx="856">
                  <c:v>4.4318441079473636E-3</c:v>
                </c:pt>
                <c:pt idx="857">
                  <c:v>4.3682808844679047E-3</c:v>
                </c:pt>
                <c:pt idx="858">
                  <c:v>4.3453108759014822E-3</c:v>
                </c:pt>
                <c:pt idx="859">
                  <c:v>4.2769726728699589E-3</c:v>
                </c:pt>
                <c:pt idx="860">
                  <c:v>4.5626880787642829E-3</c:v>
                </c:pt>
                <c:pt idx="861">
                  <c:v>5.1033382530918372E-3</c:v>
                </c:pt>
                <c:pt idx="862">
                  <c:v>4.9660024171774182E-3</c:v>
                </c:pt>
                <c:pt idx="863">
                  <c:v>4.8473927100093116E-3</c:v>
                </c:pt>
                <c:pt idx="864">
                  <c:v>4.736606400938744E-3</c:v>
                </c:pt>
                <c:pt idx="865">
                  <c:v>4.6802951099985468E-3</c:v>
                </c:pt>
                <c:pt idx="866">
                  <c:v>4.6048506874406822E-3</c:v>
                </c:pt>
                <c:pt idx="867">
                  <c:v>4.5365080630546716E-3</c:v>
                </c:pt>
                <c:pt idx="868">
                  <c:v>5.6037690866693798E-3</c:v>
                </c:pt>
                <c:pt idx="869">
                  <c:v>5.4258458197086398E-3</c:v>
                </c:pt>
                <c:pt idx="870">
                  <c:v>5.268679064143883E-3</c:v>
                </c:pt>
                <c:pt idx="871">
                  <c:v>5.1801226602264088E-3</c:v>
                </c:pt>
                <c:pt idx="872">
                  <c:v>5.2505603109726526E-3</c:v>
                </c:pt>
                <c:pt idx="873">
                  <c:v>5.1399331301348987E-3</c:v>
                </c:pt>
                <c:pt idx="874">
                  <c:v>5.1631347076229617E-3</c:v>
                </c:pt>
                <c:pt idx="875">
                  <c:v>5.0253671912990879E-3</c:v>
                </c:pt>
                <c:pt idx="876">
                  <c:v>4.897297658876771E-3</c:v>
                </c:pt>
                <c:pt idx="877">
                  <c:v>4.8326551198886996E-3</c:v>
                </c:pt>
                <c:pt idx="878">
                  <c:v>4.732183017789781E-3</c:v>
                </c:pt>
                <c:pt idx="879">
                  <c:v>4.748744897212589E-3</c:v>
                </c:pt>
                <c:pt idx="880">
                  <c:v>4.6415274221854241E-3</c:v>
                </c:pt>
                <c:pt idx="881">
                  <c:v>4.6796788773968345E-3</c:v>
                </c:pt>
                <c:pt idx="882">
                  <c:v>4.756813713020629E-3</c:v>
                </c:pt>
                <c:pt idx="883">
                  <c:v>4.6488901500677145E-3</c:v>
                </c:pt>
                <c:pt idx="884">
                  <c:v>4.5514576275164182E-3</c:v>
                </c:pt>
                <c:pt idx="885">
                  <c:v>4.5667404678644032E-3</c:v>
                </c:pt>
                <c:pt idx="886">
                  <c:v>4.492530851498042E-3</c:v>
                </c:pt>
                <c:pt idx="887">
                  <c:v>4.4212783669601878E-3</c:v>
                </c:pt>
                <c:pt idx="888">
                  <c:v>4.3502149580749005E-3</c:v>
                </c:pt>
                <c:pt idx="889">
                  <c:v>4.3367770811891639E-3</c:v>
                </c:pt>
                <c:pt idx="890">
                  <c:v>4.2673663348911494E-3</c:v>
                </c:pt>
                <c:pt idx="891">
                  <c:v>4.2049898944171993E-3</c:v>
                </c:pt>
                <c:pt idx="892">
                  <c:v>4.1680243659926661E-3</c:v>
                </c:pt>
                <c:pt idx="893">
                  <c:v>4.1783393934597514E-3</c:v>
                </c:pt>
                <c:pt idx="894">
                  <c:v>4.1793001878264622E-3</c:v>
                </c:pt>
                <c:pt idx="895">
                  <c:v>4.5403662882084585E-3</c:v>
                </c:pt>
                <c:pt idx="896">
                  <c:v>4.4808778792075699E-3</c:v>
                </c:pt>
                <c:pt idx="897">
                  <c:v>4.3978006566148028E-3</c:v>
                </c:pt>
                <c:pt idx="898">
                  <c:v>4.3221566117510853E-3</c:v>
                </c:pt>
                <c:pt idx="899">
                  <c:v>4.4047032863843419E-3</c:v>
                </c:pt>
                <c:pt idx="900">
                  <c:v>4.4474852046157498E-3</c:v>
                </c:pt>
                <c:pt idx="901">
                  <c:v>4.3845309707223864E-3</c:v>
                </c:pt>
                <c:pt idx="902">
                  <c:v>4.3598826145625161E-3</c:v>
                </c:pt>
                <c:pt idx="903">
                  <c:v>4.2877594380092464E-3</c:v>
                </c:pt>
                <c:pt idx="904">
                  <c:v>4.2257654618109855E-3</c:v>
                </c:pt>
                <c:pt idx="905">
                  <c:v>4.1679932849407351E-3</c:v>
                </c:pt>
                <c:pt idx="906">
                  <c:v>4.1140573540969106E-3</c:v>
                </c:pt>
                <c:pt idx="907">
                  <c:v>4.2436064313716524E-3</c:v>
                </c:pt>
                <c:pt idx="908">
                  <c:v>4.4631530219200978E-3</c:v>
                </c:pt>
                <c:pt idx="909">
                  <c:v>4.5047490637169741E-3</c:v>
                </c:pt>
                <c:pt idx="910">
                  <c:v>4.5006235838226105E-3</c:v>
                </c:pt>
                <c:pt idx="911">
                  <c:v>4.4154777841190007E-3</c:v>
                </c:pt>
                <c:pt idx="912">
                  <c:v>4.5259508935173876E-3</c:v>
                </c:pt>
                <c:pt idx="913">
                  <c:v>4.4905453989681939E-3</c:v>
                </c:pt>
                <c:pt idx="914">
                  <c:v>4.4159910057603152E-3</c:v>
                </c:pt>
                <c:pt idx="915">
                  <c:v>4.4214777491511318E-3</c:v>
                </c:pt>
                <c:pt idx="916">
                  <c:v>4.3795208807047873E-3</c:v>
                </c:pt>
                <c:pt idx="917">
                  <c:v>4.3057778025222425E-3</c:v>
                </c:pt>
                <c:pt idx="918">
                  <c:v>4.2411652377400836E-3</c:v>
                </c:pt>
                <c:pt idx="919">
                  <c:v>4.2242233706055298E-3</c:v>
                </c:pt>
                <c:pt idx="920">
                  <c:v>4.4055482882920695E-3</c:v>
                </c:pt>
                <c:pt idx="921">
                  <c:v>4.4426986727713847E-3</c:v>
                </c:pt>
                <c:pt idx="922">
                  <c:v>4.3628470842716855E-3</c:v>
                </c:pt>
                <c:pt idx="923">
                  <c:v>4.2959698524490334E-3</c:v>
                </c:pt>
                <c:pt idx="924">
                  <c:v>4.3515970147608319E-3</c:v>
                </c:pt>
                <c:pt idx="925">
                  <c:v>4.2819075846395856E-3</c:v>
                </c:pt>
                <c:pt idx="926">
                  <c:v>4.217098607435194E-3</c:v>
                </c:pt>
                <c:pt idx="927">
                  <c:v>4.2178831078661817E-3</c:v>
                </c:pt>
                <c:pt idx="928">
                  <c:v>4.1874893045293427E-3</c:v>
                </c:pt>
                <c:pt idx="929">
                  <c:v>4.1601955990859816E-3</c:v>
                </c:pt>
                <c:pt idx="930">
                  <c:v>4.1104744345777716E-3</c:v>
                </c:pt>
                <c:pt idx="931">
                  <c:v>4.0784265907521733E-3</c:v>
                </c:pt>
                <c:pt idx="932">
                  <c:v>4.0331326228104291E-3</c:v>
                </c:pt>
                <c:pt idx="933">
                  <c:v>4.031379617666698E-3</c:v>
                </c:pt>
                <c:pt idx="934">
                  <c:v>4.0660535113854739E-3</c:v>
                </c:pt>
                <c:pt idx="935">
                  <c:v>4.2707624687754533E-3</c:v>
                </c:pt>
                <c:pt idx="936">
                  <c:v>4.3534391591005641E-3</c:v>
                </c:pt>
                <c:pt idx="937">
                  <c:v>4.3152143710580909E-3</c:v>
                </c:pt>
                <c:pt idx="938">
                  <c:v>4.4181901733144372E-3</c:v>
                </c:pt>
                <c:pt idx="939">
                  <c:v>4.3408671131199518E-3</c:v>
                </c:pt>
                <c:pt idx="940">
                  <c:v>4.7037560336427343E-3</c:v>
                </c:pt>
                <c:pt idx="941">
                  <c:v>4.9957069318764952E-3</c:v>
                </c:pt>
                <c:pt idx="942">
                  <c:v>4.8774549646938802E-3</c:v>
                </c:pt>
                <c:pt idx="943">
                  <c:v>4.7652314833407112E-3</c:v>
                </c:pt>
                <c:pt idx="944">
                  <c:v>4.702673381894262E-3</c:v>
                </c:pt>
                <c:pt idx="945">
                  <c:v>4.6964145844664365E-3</c:v>
                </c:pt>
                <c:pt idx="946">
                  <c:v>4.5953447625402283E-3</c:v>
                </c:pt>
                <c:pt idx="947">
                  <c:v>4.6896797620276463E-3</c:v>
                </c:pt>
                <c:pt idx="948">
                  <c:v>4.7001586171393876E-3</c:v>
                </c:pt>
                <c:pt idx="949">
                  <c:v>4.6003036548197471E-3</c:v>
                </c:pt>
                <c:pt idx="950">
                  <c:v>4.5156228668389864E-3</c:v>
                </c:pt>
                <c:pt idx="951">
                  <c:v>4.5013869645669927E-3</c:v>
                </c:pt>
                <c:pt idx="952">
                  <c:v>4.4228769986353689E-3</c:v>
                </c:pt>
                <c:pt idx="953">
                  <c:v>4.3481895899303352E-3</c:v>
                </c:pt>
                <c:pt idx="954">
                  <c:v>4.3273020600009858E-3</c:v>
                </c:pt>
                <c:pt idx="955">
                  <c:v>4.258153137275753E-3</c:v>
                </c:pt>
                <c:pt idx="956">
                  <c:v>4.2183449965130125E-3</c:v>
                </c:pt>
                <c:pt idx="957">
                  <c:v>4.3271813537867181E-3</c:v>
                </c:pt>
                <c:pt idx="958">
                  <c:v>4.4937804212763846E-3</c:v>
                </c:pt>
                <c:pt idx="959">
                  <c:v>4.4733788795510813E-3</c:v>
                </c:pt>
                <c:pt idx="960">
                  <c:v>4.3931459401096752E-3</c:v>
                </c:pt>
                <c:pt idx="961">
                  <c:v>4.8201328720262173E-3</c:v>
                </c:pt>
                <c:pt idx="962">
                  <c:v>5.1414520625805869E-3</c:v>
                </c:pt>
                <c:pt idx="963">
                  <c:v>5.1410187093308048E-3</c:v>
                </c:pt>
                <c:pt idx="964">
                  <c:v>5.0606300290616775E-3</c:v>
                </c:pt>
                <c:pt idx="965">
                  <c:v>4.9266893476711303E-3</c:v>
                </c:pt>
                <c:pt idx="966">
                  <c:v>4.9871352047666578E-3</c:v>
                </c:pt>
                <c:pt idx="967">
                  <c:v>4.917586421360076E-3</c:v>
                </c:pt>
                <c:pt idx="968">
                  <c:v>4.7966882550131013E-3</c:v>
                </c:pt>
                <c:pt idx="969">
                  <c:v>4.7080020926058737E-3</c:v>
                </c:pt>
                <c:pt idx="970">
                  <c:v>4.6476033094136355E-3</c:v>
                </c:pt>
                <c:pt idx="971">
                  <c:v>4.6423536320663681E-3</c:v>
                </c:pt>
                <c:pt idx="972">
                  <c:v>4.544460375717512E-3</c:v>
                </c:pt>
                <c:pt idx="973">
                  <c:v>4.6186329049710297E-3</c:v>
                </c:pt>
                <c:pt idx="974">
                  <c:v>4.5307745228884283E-3</c:v>
                </c:pt>
                <c:pt idx="975">
                  <c:v>4.4461599005956214E-3</c:v>
                </c:pt>
                <c:pt idx="976">
                  <c:v>4.4049129564147126E-3</c:v>
                </c:pt>
                <c:pt idx="977">
                  <c:v>4.560636681736922E-3</c:v>
                </c:pt>
                <c:pt idx="978">
                  <c:v>4.885694180493734E-3</c:v>
                </c:pt>
                <c:pt idx="979">
                  <c:v>4.7844736539254589E-3</c:v>
                </c:pt>
                <c:pt idx="980">
                  <c:v>4.6945694659284191E-3</c:v>
                </c:pt>
                <c:pt idx="981">
                  <c:v>4.5936630440729263E-3</c:v>
                </c:pt>
                <c:pt idx="982">
                  <c:v>4.5001170783728261E-3</c:v>
                </c:pt>
                <c:pt idx="983">
                  <c:v>4.4711099053018821E-3</c:v>
                </c:pt>
                <c:pt idx="984">
                  <c:v>4.3954025057639538E-3</c:v>
                </c:pt>
                <c:pt idx="985">
                  <c:v>4.3223807157903547E-3</c:v>
                </c:pt>
                <c:pt idx="986">
                  <c:v>4.6988400639972686E-3</c:v>
                </c:pt>
                <c:pt idx="987">
                  <c:v>4.7671072734356452E-3</c:v>
                </c:pt>
                <c:pt idx="988">
                  <c:v>4.6861915457522847E-3</c:v>
                </c:pt>
                <c:pt idx="989">
                  <c:v>4.5908714359968903E-3</c:v>
                </c:pt>
                <c:pt idx="990">
                  <c:v>4.5322969973285469E-3</c:v>
                </c:pt>
                <c:pt idx="991">
                  <c:v>4.4573274473879154E-3</c:v>
                </c:pt>
                <c:pt idx="992">
                  <c:v>4.3767434394459681E-3</c:v>
                </c:pt>
                <c:pt idx="993">
                  <c:v>4.5847293934536178E-3</c:v>
                </c:pt>
                <c:pt idx="994">
                  <c:v>5.267436023816725E-3</c:v>
                </c:pt>
                <c:pt idx="995">
                  <c:v>5.1172299880383153E-3</c:v>
                </c:pt>
                <c:pt idx="996">
                  <c:v>5.063720634324996E-3</c:v>
                </c:pt>
                <c:pt idx="997">
                  <c:v>4.9906399969280816E-3</c:v>
                </c:pt>
                <c:pt idx="998">
                  <c:v>4.9284589017760099E-3</c:v>
                </c:pt>
                <c:pt idx="999">
                  <c:v>4.8805986265106349E-3</c:v>
                </c:pt>
                <c:pt idx="1000">
                  <c:v>5.1447726557247728E-3</c:v>
                </c:pt>
                <c:pt idx="1001">
                  <c:v>5.0640312262733717E-3</c:v>
                </c:pt>
                <c:pt idx="1002">
                  <c:v>5.011363909337793E-3</c:v>
                </c:pt>
                <c:pt idx="1003">
                  <c:v>4.9193052058704983E-3</c:v>
                </c:pt>
                <c:pt idx="1004">
                  <c:v>4.9939401122749052E-3</c:v>
                </c:pt>
                <c:pt idx="1005">
                  <c:v>4.8716456151699341E-3</c:v>
                </c:pt>
                <c:pt idx="1006">
                  <c:v>4.7738539684316827E-3</c:v>
                </c:pt>
                <c:pt idx="1007">
                  <c:v>4.8267993474669611E-3</c:v>
                </c:pt>
                <c:pt idx="1008">
                  <c:v>4.8613564476959123E-3</c:v>
                </c:pt>
                <c:pt idx="1009">
                  <c:v>4.7583288472823875E-3</c:v>
                </c:pt>
                <c:pt idx="1010">
                  <c:v>4.6867717208735442E-3</c:v>
                </c:pt>
                <c:pt idx="1011">
                  <c:v>4.6014572384701609E-3</c:v>
                </c:pt>
                <c:pt idx="1012">
                  <c:v>4.5078048627800746E-3</c:v>
                </c:pt>
                <c:pt idx="1013">
                  <c:v>4.4487314763993783E-3</c:v>
                </c:pt>
                <c:pt idx="1014">
                  <c:v>4.3927475860960396E-3</c:v>
                </c:pt>
                <c:pt idx="1015">
                  <c:v>4.3672526176886176E-3</c:v>
                </c:pt>
                <c:pt idx="1016">
                  <c:v>4.7882836679804443E-3</c:v>
                </c:pt>
                <c:pt idx="1017">
                  <c:v>4.9225842573888765E-3</c:v>
                </c:pt>
                <c:pt idx="1018">
                  <c:v>5.3178504671504527E-3</c:v>
                </c:pt>
                <c:pt idx="1019">
                  <c:v>5.4679079679452102E-3</c:v>
                </c:pt>
                <c:pt idx="1020">
                  <c:v>5.3050848818196727E-3</c:v>
                </c:pt>
                <c:pt idx="1021">
                  <c:v>5.3674779953451707E-3</c:v>
                </c:pt>
                <c:pt idx="1022">
                  <c:v>5.2940429261613773E-3</c:v>
                </c:pt>
                <c:pt idx="1023">
                  <c:v>5.1407943620495593E-3</c:v>
                </c:pt>
                <c:pt idx="1024">
                  <c:v>5.1762801066816211E-3</c:v>
                </c:pt>
                <c:pt idx="1025">
                  <c:v>5.5085373259587418E-3</c:v>
                </c:pt>
                <c:pt idx="1026">
                  <c:v>5.4017394064715838E-3</c:v>
                </c:pt>
                <c:pt idx="1027">
                  <c:v>5.2442815596827593E-3</c:v>
                </c:pt>
                <c:pt idx="1028">
                  <c:v>5.154260239463599E-3</c:v>
                </c:pt>
                <c:pt idx="1029">
                  <c:v>5.014577418100576E-3</c:v>
                </c:pt>
                <c:pt idx="1030">
                  <c:v>4.8844519797871045E-3</c:v>
                </c:pt>
                <c:pt idx="1031">
                  <c:v>4.8952215826769466E-3</c:v>
                </c:pt>
                <c:pt idx="1032">
                  <c:v>4.8594641942055787E-3</c:v>
                </c:pt>
                <c:pt idx="1033">
                  <c:v>4.7650701411893334E-3</c:v>
                </c:pt>
                <c:pt idx="1034">
                  <c:v>4.9500969059228959E-3</c:v>
                </c:pt>
                <c:pt idx="1035">
                  <c:v>4.8667744095615461E-3</c:v>
                </c:pt>
                <c:pt idx="1036">
                  <c:v>4.749496451976149E-3</c:v>
                </c:pt>
                <c:pt idx="1037">
                  <c:v>4.6421493380613748E-3</c:v>
                </c:pt>
                <c:pt idx="1038">
                  <c:v>4.544274253851799E-3</c:v>
                </c:pt>
                <c:pt idx="1039">
                  <c:v>4.6450852490651662E-3</c:v>
                </c:pt>
                <c:pt idx="1040">
                  <c:v>4.5756003515884693E-3</c:v>
                </c:pt>
                <c:pt idx="1041">
                  <c:v>4.57326224293657E-3</c:v>
                </c:pt>
                <c:pt idx="1042">
                  <c:v>4.5711760171915526E-3</c:v>
                </c:pt>
                <c:pt idx="1043">
                  <c:v>4.514508098649438E-3</c:v>
                </c:pt>
                <c:pt idx="1044">
                  <c:v>4.473111807580578E-3</c:v>
                </c:pt>
                <c:pt idx="1045">
                  <c:v>4.5901118489341903E-3</c:v>
                </c:pt>
                <c:pt idx="1046">
                  <c:v>4.5378843169314193E-3</c:v>
                </c:pt>
                <c:pt idx="1047">
                  <c:v>4.4499587715497281E-3</c:v>
                </c:pt>
                <c:pt idx="1048">
                  <c:v>4.5358260751377309E-3</c:v>
                </c:pt>
                <c:pt idx="1049">
                  <c:v>4.7288334473061574E-3</c:v>
                </c:pt>
                <c:pt idx="1050">
                  <c:v>5.2595290927337493E-3</c:v>
                </c:pt>
                <c:pt idx="1051">
                  <c:v>5.3342929736172294E-3</c:v>
                </c:pt>
                <c:pt idx="1052">
                  <c:v>5.9934775380099115E-3</c:v>
                </c:pt>
                <c:pt idx="1053">
                  <c:v>5.7999503848467212E-3</c:v>
                </c:pt>
                <c:pt idx="1054">
                  <c:v>5.8321843510083654E-3</c:v>
                </c:pt>
                <c:pt idx="1055">
                  <c:v>5.6593656249452444E-3</c:v>
                </c:pt>
                <c:pt idx="1056">
                  <c:v>5.7579767591978389E-3</c:v>
                </c:pt>
                <c:pt idx="1057">
                  <c:v>5.5679768368857045E-3</c:v>
                </c:pt>
                <c:pt idx="1058">
                  <c:v>5.3926634988125744E-3</c:v>
                </c:pt>
                <c:pt idx="1059">
                  <c:v>5.23498241535824E-3</c:v>
                </c:pt>
                <c:pt idx="1060">
                  <c:v>5.6079522965012153E-3</c:v>
                </c:pt>
                <c:pt idx="1061">
                  <c:v>5.5538094638632853E-3</c:v>
                </c:pt>
                <c:pt idx="1062">
                  <c:v>5.3937020893792759E-3</c:v>
                </c:pt>
                <c:pt idx="1063">
                  <c:v>5.2973805367417526E-3</c:v>
                </c:pt>
                <c:pt idx="1064">
                  <c:v>5.143802148913702E-3</c:v>
                </c:pt>
                <c:pt idx="1065">
                  <c:v>5.1546257498666951E-3</c:v>
                </c:pt>
                <c:pt idx="1066">
                  <c:v>5.5205946699905563E-3</c:v>
                </c:pt>
                <c:pt idx="1067">
                  <c:v>5.3614923553317508E-3</c:v>
                </c:pt>
                <c:pt idx="1068">
                  <c:v>5.2254397236777654E-3</c:v>
                </c:pt>
                <c:pt idx="1069">
                  <c:v>5.098776171163992E-3</c:v>
                </c:pt>
                <c:pt idx="1070">
                  <c:v>4.9750029107183047E-3</c:v>
                </c:pt>
                <c:pt idx="1071">
                  <c:v>4.8658589205844219E-3</c:v>
                </c:pt>
                <c:pt idx="1072">
                  <c:v>4.7484101999249583E-3</c:v>
                </c:pt>
                <c:pt idx="1073">
                  <c:v>4.6442858096826618E-3</c:v>
                </c:pt>
                <c:pt idx="1074">
                  <c:v>4.5472635373291961E-3</c:v>
                </c:pt>
                <c:pt idx="1075">
                  <c:v>4.7553501953258945E-3</c:v>
                </c:pt>
                <c:pt idx="1076">
                  <c:v>4.9254158090464729E-3</c:v>
                </c:pt>
                <c:pt idx="1077">
                  <c:v>5.0962345252387031E-3</c:v>
                </c:pt>
                <c:pt idx="1078">
                  <c:v>4.9594920919976354E-3</c:v>
                </c:pt>
                <c:pt idx="1079">
                  <c:v>4.8340327394701694E-3</c:v>
                </c:pt>
                <c:pt idx="1080">
                  <c:v>4.9474689464529802E-3</c:v>
                </c:pt>
                <c:pt idx="1081">
                  <c:v>5.115250215594557E-3</c:v>
                </c:pt>
                <c:pt idx="1082">
                  <c:v>5.0265109731153709E-3</c:v>
                </c:pt>
                <c:pt idx="1083">
                  <c:v>5.2420175554674679E-3</c:v>
                </c:pt>
                <c:pt idx="1084">
                  <c:v>5.3782923849860081E-3</c:v>
                </c:pt>
                <c:pt idx="1085">
                  <c:v>7.2712347193247305E-3</c:v>
                </c:pt>
                <c:pt idx="1086">
                  <c:v>7.4757226148475849E-3</c:v>
                </c:pt>
                <c:pt idx="1087">
                  <c:v>9.1049165045485568E-3</c:v>
                </c:pt>
                <c:pt idx="1088">
                  <c:v>9.7800440211609739E-3</c:v>
                </c:pt>
                <c:pt idx="1089">
                  <c:v>9.3381001761414298E-3</c:v>
                </c:pt>
                <c:pt idx="1090">
                  <c:v>8.9015787615889432E-3</c:v>
                </c:pt>
                <c:pt idx="1091">
                  <c:v>8.4912726259132563E-3</c:v>
                </c:pt>
                <c:pt idx="1092">
                  <c:v>8.1077015707693503E-3</c:v>
                </c:pt>
                <c:pt idx="1093">
                  <c:v>7.7936978915720701E-3</c:v>
                </c:pt>
                <c:pt idx="1094">
                  <c:v>7.5169818062427694E-3</c:v>
                </c:pt>
                <c:pt idx="1095">
                  <c:v>7.2154108595763027E-3</c:v>
                </c:pt>
                <c:pt idx="1096">
                  <c:v>7.0162883641491274E-3</c:v>
                </c:pt>
                <c:pt idx="1097">
                  <c:v>6.7868592760966682E-3</c:v>
                </c:pt>
                <c:pt idx="1098">
                  <c:v>6.6114513765562506E-3</c:v>
                </c:pt>
                <c:pt idx="1099">
                  <c:v>6.431440448222801E-3</c:v>
                </c:pt>
                <c:pt idx="1100">
                  <c:v>6.5506448640651775E-3</c:v>
                </c:pt>
                <c:pt idx="1101">
                  <c:v>6.7203806922291817E-3</c:v>
                </c:pt>
                <c:pt idx="1102">
                  <c:v>6.4583961599938454E-3</c:v>
                </c:pt>
                <c:pt idx="1103">
                  <c:v>6.9097156801109696E-3</c:v>
                </c:pt>
                <c:pt idx="1104">
                  <c:v>8.2004464073239681E-3</c:v>
                </c:pt>
                <c:pt idx="1105">
                  <c:v>7.836203338202688E-3</c:v>
                </c:pt>
                <c:pt idx="1106">
                  <c:v>7.4983388980077292E-3</c:v>
                </c:pt>
                <c:pt idx="1107">
                  <c:v>7.4041174876115076E-3</c:v>
                </c:pt>
                <c:pt idx="1108">
                  <c:v>7.4689576158825707E-3</c:v>
                </c:pt>
                <c:pt idx="1109">
                  <c:v>8.2650919466285173E-3</c:v>
                </c:pt>
                <c:pt idx="1110">
                  <c:v>1.1924031565211862E-2</c:v>
                </c:pt>
                <c:pt idx="1111">
                  <c:v>1.4260076678157643E-2</c:v>
                </c:pt>
                <c:pt idx="1112">
                  <c:v>1.3659434963960798E-2</c:v>
                </c:pt>
                <c:pt idx="1113">
                  <c:v>1.2972889219212434E-2</c:v>
                </c:pt>
                <c:pt idx="1114">
                  <c:v>1.2618519106828856E-2</c:v>
                </c:pt>
                <c:pt idx="1115">
                  <c:v>1.1993216600284032E-2</c:v>
                </c:pt>
                <c:pt idx="1116">
                  <c:v>1.1945438004211854E-2</c:v>
                </c:pt>
                <c:pt idx="1117">
                  <c:v>1.1444195326316615E-2</c:v>
                </c:pt>
                <c:pt idx="1118">
                  <c:v>1.0926250589792283E-2</c:v>
                </c:pt>
                <c:pt idx="1119">
                  <c:v>1.0388049389295356E-2</c:v>
                </c:pt>
                <c:pt idx="1120">
                  <c:v>9.9135445730365868E-3</c:v>
                </c:pt>
                <c:pt idx="1121">
                  <c:v>9.4961076217813054E-3</c:v>
                </c:pt>
                <c:pt idx="1122">
                  <c:v>9.0485122370222489E-3</c:v>
                </c:pt>
                <c:pt idx="1123">
                  <c:v>8.9206302998127342E-3</c:v>
                </c:pt>
                <c:pt idx="1124">
                  <c:v>8.5855337690376159E-3</c:v>
                </c:pt>
                <c:pt idx="1125">
                  <c:v>8.2018633886232727E-3</c:v>
                </c:pt>
                <c:pt idx="1126">
                  <c:v>7.8384332007513553E-3</c:v>
                </c:pt>
                <c:pt idx="1127">
                  <c:v>7.5467378423817837E-3</c:v>
                </c:pt>
                <c:pt idx="1128">
                  <c:v>7.3166980617342357E-3</c:v>
                </c:pt>
                <c:pt idx="1129">
                  <c:v>7.0176342557322401E-3</c:v>
                </c:pt>
                <c:pt idx="1130">
                  <c:v>6.7430285666911487E-3</c:v>
                </c:pt>
                <c:pt idx="1131">
                  <c:v>6.6113906561458538E-3</c:v>
                </c:pt>
                <c:pt idx="1132">
                  <c:v>6.3797552529872605E-3</c:v>
                </c:pt>
                <c:pt idx="1133">
                  <c:v>6.1425310980681748E-3</c:v>
                </c:pt>
                <c:pt idx="1134">
                  <c:v>5.9409897379552592E-3</c:v>
                </c:pt>
                <c:pt idx="1135">
                  <c:v>5.896450593833126E-3</c:v>
                </c:pt>
                <c:pt idx="1136">
                  <c:v>5.7184480213199147E-3</c:v>
                </c:pt>
                <c:pt idx="1137">
                  <c:v>5.5339366792753301E-3</c:v>
                </c:pt>
                <c:pt idx="1138">
                  <c:v>5.8982821927173572E-3</c:v>
                </c:pt>
                <c:pt idx="1139">
                  <c:v>5.7105400972390424E-3</c:v>
                </c:pt>
                <c:pt idx="1140">
                  <c:v>5.5601675096473265E-3</c:v>
                </c:pt>
                <c:pt idx="1141">
                  <c:v>5.4415275594797063E-3</c:v>
                </c:pt>
                <c:pt idx="1142">
                  <c:v>5.6158863468663625E-3</c:v>
                </c:pt>
                <c:pt idx="1143">
                  <c:v>5.7123674956424918E-3</c:v>
                </c:pt>
                <c:pt idx="1144">
                  <c:v>5.5411831984216176E-3</c:v>
                </c:pt>
                <c:pt idx="1145">
                  <c:v>5.3821079492152755E-3</c:v>
                </c:pt>
                <c:pt idx="1146">
                  <c:v>5.2298205838138259E-3</c:v>
                </c:pt>
                <c:pt idx="1147">
                  <c:v>5.0931890652640751E-3</c:v>
                </c:pt>
                <c:pt idx="1148">
                  <c:v>4.9803201489957904E-3</c:v>
                </c:pt>
                <c:pt idx="1149">
                  <c:v>4.8650460388467796E-3</c:v>
                </c:pt>
                <c:pt idx="1150">
                  <c:v>4.8416747322728706E-3</c:v>
                </c:pt>
                <c:pt idx="1151">
                  <c:v>5.0755644562641439E-3</c:v>
                </c:pt>
                <c:pt idx="1152">
                  <c:v>4.9475645348006489E-3</c:v>
                </c:pt>
                <c:pt idx="1153">
                  <c:v>4.9253208017983182E-3</c:v>
                </c:pt>
                <c:pt idx="1154">
                  <c:v>4.8049939116405517E-3</c:v>
                </c:pt>
                <c:pt idx="1155">
                  <c:v>4.8936767276603794E-3</c:v>
                </c:pt>
                <c:pt idx="1156">
                  <c:v>4.9580628122057793E-3</c:v>
                </c:pt>
                <c:pt idx="1157">
                  <c:v>4.8388530603572458E-3</c:v>
                </c:pt>
                <c:pt idx="1158">
                  <c:v>4.7360139607397688E-3</c:v>
                </c:pt>
                <c:pt idx="1159">
                  <c:v>4.7261997390941526E-3</c:v>
                </c:pt>
                <c:pt idx="1160">
                  <c:v>4.7489847029511516E-3</c:v>
                </c:pt>
                <c:pt idx="1161">
                  <c:v>4.7192426112484557E-3</c:v>
                </c:pt>
                <c:pt idx="1162">
                  <c:v>4.6839619777745258E-3</c:v>
                </c:pt>
                <c:pt idx="1163">
                  <c:v>4.5969070065214612E-3</c:v>
                </c:pt>
                <c:pt idx="1164">
                  <c:v>4.5072801707627692E-3</c:v>
                </c:pt>
                <c:pt idx="1165">
                  <c:v>4.61982504386391E-3</c:v>
                </c:pt>
                <c:pt idx="1166">
                  <c:v>4.5475250133300265E-3</c:v>
                </c:pt>
                <c:pt idx="1167">
                  <c:v>4.4901862892793871E-3</c:v>
                </c:pt>
                <c:pt idx="1168">
                  <c:v>4.6573623082248085E-3</c:v>
                </c:pt>
                <c:pt idx="1169">
                  <c:v>4.560475455441841E-3</c:v>
                </c:pt>
                <c:pt idx="1170">
                  <c:v>4.4890304857785734E-3</c:v>
                </c:pt>
                <c:pt idx="1171">
                  <c:v>4.4501855515931728E-3</c:v>
                </c:pt>
                <c:pt idx="1172">
                  <c:v>4.5846959612949904E-3</c:v>
                </c:pt>
                <c:pt idx="1173">
                  <c:v>4.5632316695416991E-3</c:v>
                </c:pt>
                <c:pt idx="1174">
                  <c:v>4.5483708034574234E-3</c:v>
                </c:pt>
                <c:pt idx="1175">
                  <c:v>4.7232829007341917E-3</c:v>
                </c:pt>
                <c:pt idx="1176">
                  <c:v>4.6246471722092373E-3</c:v>
                </c:pt>
                <c:pt idx="1177">
                  <c:v>4.637033577929185E-3</c:v>
                </c:pt>
                <c:pt idx="1178">
                  <c:v>5.0620700463546858E-3</c:v>
                </c:pt>
                <c:pt idx="1179">
                  <c:v>5.1757856268850608E-3</c:v>
                </c:pt>
                <c:pt idx="1180">
                  <c:v>5.0556929011525784E-3</c:v>
                </c:pt>
                <c:pt idx="1181">
                  <c:v>5.037317157702479E-3</c:v>
                </c:pt>
                <c:pt idx="1182">
                  <c:v>4.9052752703232011E-3</c:v>
                </c:pt>
                <c:pt idx="1183">
                  <c:v>4.8229981112452103E-3</c:v>
                </c:pt>
                <c:pt idx="1184">
                  <c:v>4.9758181337229796E-3</c:v>
                </c:pt>
                <c:pt idx="1185">
                  <c:v>4.8933217584278032E-3</c:v>
                </c:pt>
                <c:pt idx="1186">
                  <c:v>4.7914205213101203E-3</c:v>
                </c:pt>
                <c:pt idx="1187">
                  <c:v>4.9030537421323218E-3</c:v>
                </c:pt>
                <c:pt idx="1188">
                  <c:v>4.786374773854853E-3</c:v>
                </c:pt>
                <c:pt idx="1189">
                  <c:v>4.6758714158273325E-3</c:v>
                </c:pt>
                <c:pt idx="1190">
                  <c:v>4.5859380877751104E-3</c:v>
                </c:pt>
                <c:pt idx="1191">
                  <c:v>4.4954586146790116E-3</c:v>
                </c:pt>
                <c:pt idx="1192">
                  <c:v>4.4124621542421137E-3</c:v>
                </c:pt>
                <c:pt idx="1193">
                  <c:v>4.3397669378907548E-3</c:v>
                </c:pt>
                <c:pt idx="1194">
                  <c:v>4.2999523031933464E-3</c:v>
                </c:pt>
                <c:pt idx="1195">
                  <c:v>4.2804309084699815E-3</c:v>
                </c:pt>
                <c:pt idx="1196">
                  <c:v>4.287068707126529E-3</c:v>
                </c:pt>
                <c:pt idx="1197">
                  <c:v>4.2974644537126854E-3</c:v>
                </c:pt>
                <c:pt idx="1198">
                  <c:v>4.2936900108158744E-3</c:v>
                </c:pt>
                <c:pt idx="1199">
                  <c:v>4.2712839817903641E-3</c:v>
                </c:pt>
                <c:pt idx="1200">
                  <c:v>4.2175391628297802E-3</c:v>
                </c:pt>
                <c:pt idx="1201">
                  <c:v>4.1900810403548167E-3</c:v>
                </c:pt>
                <c:pt idx="1202">
                  <c:v>4.152257847138293E-3</c:v>
                </c:pt>
                <c:pt idx="1203">
                  <c:v>4.100059009795448E-3</c:v>
                </c:pt>
                <c:pt idx="1204">
                  <c:v>4.0526464586703682E-3</c:v>
                </c:pt>
                <c:pt idx="1205">
                  <c:v>4.0944293475257409E-3</c:v>
                </c:pt>
                <c:pt idx="1206">
                  <c:v>4.1173253701180471E-3</c:v>
                </c:pt>
                <c:pt idx="1207">
                  <c:v>4.0685196373508913E-3</c:v>
                </c:pt>
                <c:pt idx="1208">
                  <c:v>4.9443585151713225E-3</c:v>
                </c:pt>
                <c:pt idx="1209">
                  <c:v>4.8615693027445686E-3</c:v>
                </c:pt>
                <c:pt idx="1210">
                  <c:v>4.7445524953327895E-3</c:v>
                </c:pt>
                <c:pt idx="1211">
                  <c:v>5.6561153484860167E-3</c:v>
                </c:pt>
                <c:pt idx="1212">
                  <c:v>5.5075874792999309E-3</c:v>
                </c:pt>
                <c:pt idx="1213">
                  <c:v>5.3592340086496678E-3</c:v>
                </c:pt>
                <c:pt idx="1214">
                  <c:v>5.2233732284490903E-3</c:v>
                </c:pt>
                <c:pt idx="1215">
                  <c:v>5.1093725743023947E-3</c:v>
                </c:pt>
                <c:pt idx="1216">
                  <c:v>4.9722483209163658E-3</c:v>
                </c:pt>
                <c:pt idx="1217">
                  <c:v>4.8457665748306757E-3</c:v>
                </c:pt>
                <c:pt idx="1218">
                  <c:v>4.8552606999278337E-3</c:v>
                </c:pt>
                <c:pt idx="1219">
                  <c:v>4.8104736432407445E-3</c:v>
                </c:pt>
                <c:pt idx="1220">
                  <c:v>4.7435750733891861E-3</c:v>
                </c:pt>
                <c:pt idx="1221">
                  <c:v>4.8469784972279169E-3</c:v>
                </c:pt>
                <c:pt idx="1222">
                  <c:v>4.7434183261358667E-3</c:v>
                </c:pt>
                <c:pt idx="1223">
                  <c:v>4.6406921660169624E-3</c:v>
                </c:pt>
                <c:pt idx="1224">
                  <c:v>4.5429467150733616E-3</c:v>
                </c:pt>
                <c:pt idx="1225">
                  <c:v>4.6303789871908647E-3</c:v>
                </c:pt>
                <c:pt idx="1226">
                  <c:v>4.5367536600822772E-3</c:v>
                </c:pt>
                <c:pt idx="1227">
                  <c:v>5.5307574155701884E-3</c:v>
                </c:pt>
                <c:pt idx="1228">
                  <c:v>6.1742878417448003E-3</c:v>
                </c:pt>
                <c:pt idx="1229">
                  <c:v>5.9547693570174663E-3</c:v>
                </c:pt>
                <c:pt idx="1230">
                  <c:v>5.8528496758427128E-3</c:v>
                </c:pt>
                <c:pt idx="1231">
                  <c:v>5.6552987015404373E-3</c:v>
                </c:pt>
                <c:pt idx="1232">
                  <c:v>5.4869464992720407E-3</c:v>
                </c:pt>
                <c:pt idx="1233">
                  <c:v>5.350075609976971E-3</c:v>
                </c:pt>
                <c:pt idx="1234">
                  <c:v>5.2656622798180949E-3</c:v>
                </c:pt>
                <c:pt idx="1235">
                  <c:v>5.1536929101911357E-3</c:v>
                </c:pt>
                <c:pt idx="1236">
                  <c:v>5.3859095019615786E-3</c:v>
                </c:pt>
                <c:pt idx="1237">
                  <c:v>5.2941685058338281E-3</c:v>
                </c:pt>
                <c:pt idx="1238">
                  <c:v>5.2032480740758988E-3</c:v>
                </c:pt>
                <c:pt idx="1239">
                  <c:v>5.0882895821292131E-3</c:v>
                </c:pt>
                <c:pt idx="1240">
                  <c:v>4.9636874571056776E-3</c:v>
                </c:pt>
                <c:pt idx="1241">
                  <c:v>5.2714776841321052E-3</c:v>
                </c:pt>
                <c:pt idx="1242">
                  <c:v>5.1532448314193765E-3</c:v>
                </c:pt>
                <c:pt idx="1243">
                  <c:v>5.0120504777255168E-3</c:v>
                </c:pt>
                <c:pt idx="1244">
                  <c:v>4.8860215448604909E-3</c:v>
                </c:pt>
                <c:pt idx="1245">
                  <c:v>4.7670878630064455E-3</c:v>
                </c:pt>
                <c:pt idx="1246">
                  <c:v>4.7043510252986502E-3</c:v>
                </c:pt>
                <c:pt idx="1247">
                  <c:v>4.9410972346590823E-3</c:v>
                </c:pt>
                <c:pt idx="1248">
                  <c:v>5.1345742906846086E-3</c:v>
                </c:pt>
                <c:pt idx="1249">
                  <c:v>5.0060141648059124E-3</c:v>
                </c:pt>
                <c:pt idx="1250">
                  <c:v>4.9591052697765771E-3</c:v>
                </c:pt>
                <c:pt idx="1251">
                  <c:v>4.8581399291529759E-3</c:v>
                </c:pt>
                <c:pt idx="1252">
                  <c:v>4.7553981856837462E-3</c:v>
                </c:pt>
                <c:pt idx="1253">
                  <c:v>4.6600154701836325E-3</c:v>
                </c:pt>
                <c:pt idx="1254">
                  <c:v>4.5611380911999384E-3</c:v>
                </c:pt>
                <c:pt idx="1255">
                  <c:v>4.505444365308536E-3</c:v>
                </c:pt>
                <c:pt idx="1256">
                  <c:v>4.5206895167417003E-3</c:v>
                </c:pt>
                <c:pt idx="1257">
                  <c:v>4.529207273191665E-3</c:v>
                </c:pt>
                <c:pt idx="1258">
                  <c:v>4.4654889083751079E-3</c:v>
                </c:pt>
                <c:pt idx="1259">
                  <c:v>4.4223161825201812E-3</c:v>
                </c:pt>
                <c:pt idx="1260">
                  <c:v>4.5680487630952284E-3</c:v>
                </c:pt>
                <c:pt idx="1261">
                  <c:v>4.4879759903254076E-3</c:v>
                </c:pt>
                <c:pt idx="1262">
                  <c:v>5.0087098016500121E-3</c:v>
                </c:pt>
                <c:pt idx="1263">
                  <c:v>4.8839970128026714E-3</c:v>
                </c:pt>
                <c:pt idx="1264">
                  <c:v>4.7700233627763992E-3</c:v>
                </c:pt>
                <c:pt idx="1265">
                  <c:v>4.6700286620072707E-3</c:v>
                </c:pt>
                <c:pt idx="1266">
                  <c:v>4.6009589636927832E-3</c:v>
                </c:pt>
                <c:pt idx="1267">
                  <c:v>4.6811850267962727E-3</c:v>
                </c:pt>
                <c:pt idx="1268">
                  <c:v>4.592512665805154E-3</c:v>
                </c:pt>
                <c:pt idx="1269">
                  <c:v>4.5227853516558447E-3</c:v>
                </c:pt>
                <c:pt idx="1270">
                  <c:v>5.6688559767049777E-3</c:v>
                </c:pt>
                <c:pt idx="1271">
                  <c:v>5.5513791127236927E-3</c:v>
                </c:pt>
                <c:pt idx="1272">
                  <c:v>5.3897661162135195E-3</c:v>
                </c:pt>
                <c:pt idx="1273">
                  <c:v>5.2292046804127447E-3</c:v>
                </c:pt>
                <c:pt idx="1274">
                  <c:v>5.0859287668904157E-3</c:v>
                </c:pt>
                <c:pt idx="1275">
                  <c:v>5.0494459533105968E-3</c:v>
                </c:pt>
                <c:pt idx="1276">
                  <c:v>4.9169266290498255E-3</c:v>
                </c:pt>
                <c:pt idx="1277">
                  <c:v>4.8150781259055676E-3</c:v>
                </c:pt>
                <c:pt idx="1278">
                  <c:v>4.8335371432690248E-3</c:v>
                </c:pt>
                <c:pt idx="1279">
                  <c:v>4.8794848254794304E-3</c:v>
                </c:pt>
                <c:pt idx="1280">
                  <c:v>4.7856973122951682E-3</c:v>
                </c:pt>
                <c:pt idx="1281">
                  <c:v>4.6894297034008187E-3</c:v>
                </c:pt>
                <c:pt idx="1282">
                  <c:v>4.6614427727907203E-3</c:v>
                </c:pt>
                <c:pt idx="1283">
                  <c:v>4.5660096044031475E-3</c:v>
                </c:pt>
                <c:pt idx="1284">
                  <c:v>4.6312183569684681E-3</c:v>
                </c:pt>
                <c:pt idx="1285">
                  <c:v>4.6428788317739132E-3</c:v>
                </c:pt>
                <c:pt idx="1286">
                  <c:v>4.5543183306127142E-3</c:v>
                </c:pt>
                <c:pt idx="1287">
                  <c:v>4.5799071819026867E-3</c:v>
                </c:pt>
                <c:pt idx="1288">
                  <c:v>4.4878595048621463E-3</c:v>
                </c:pt>
                <c:pt idx="1289">
                  <c:v>4.4722511076024096E-3</c:v>
                </c:pt>
                <c:pt idx="1290">
                  <c:v>4.4964083935581075E-3</c:v>
                </c:pt>
                <c:pt idx="1291">
                  <c:v>4.4603460562858428E-3</c:v>
                </c:pt>
                <c:pt idx="1292">
                  <c:v>4.4058630461797739E-3</c:v>
                </c:pt>
                <c:pt idx="1293">
                  <c:v>4.3376792274141584E-3</c:v>
                </c:pt>
                <c:pt idx="1294">
                  <c:v>4.2875803891955005E-3</c:v>
                </c:pt>
                <c:pt idx="1295">
                  <c:v>4.2693484291836279E-3</c:v>
                </c:pt>
                <c:pt idx="1296">
                  <c:v>4.2081924958407083E-3</c:v>
                </c:pt>
                <c:pt idx="1297">
                  <c:v>4.2686614080952286E-3</c:v>
                </c:pt>
                <c:pt idx="1298">
                  <c:v>4.205668832026937E-3</c:v>
                </c:pt>
                <c:pt idx="1299">
                  <c:v>4.4310111845054755E-3</c:v>
                </c:pt>
                <c:pt idx="1300">
                  <c:v>4.3555691049578966E-3</c:v>
                </c:pt>
                <c:pt idx="1301">
                  <c:v>4.4339592755865617E-3</c:v>
                </c:pt>
                <c:pt idx="1302">
                  <c:v>4.4328759481479267E-3</c:v>
                </c:pt>
                <c:pt idx="1303">
                  <c:v>5.5898600818008598E-3</c:v>
                </c:pt>
                <c:pt idx="1304">
                  <c:v>5.4235362413786901E-3</c:v>
                </c:pt>
                <c:pt idx="1305">
                  <c:v>5.2598013256086994E-3</c:v>
                </c:pt>
                <c:pt idx="1306">
                  <c:v>5.1095255572070342E-3</c:v>
                </c:pt>
                <c:pt idx="1307">
                  <c:v>5.4328527283700979E-3</c:v>
                </c:pt>
                <c:pt idx="1308">
                  <c:v>5.2979854401921248E-3</c:v>
                </c:pt>
                <c:pt idx="1309">
                  <c:v>5.5359173217703166E-3</c:v>
                </c:pt>
                <c:pt idx="1310">
                  <c:v>5.5521584837713812E-3</c:v>
                </c:pt>
                <c:pt idx="1311">
                  <c:v>5.3785943567588096E-3</c:v>
                </c:pt>
                <c:pt idx="1312">
                  <c:v>5.2692856841431148E-3</c:v>
                </c:pt>
                <c:pt idx="1313">
                  <c:v>5.1293378597045683E-3</c:v>
                </c:pt>
                <c:pt idx="1314">
                  <c:v>5.0577880045317714E-3</c:v>
                </c:pt>
                <c:pt idx="1315">
                  <c:v>5.0552213918328981E-3</c:v>
                </c:pt>
                <c:pt idx="1316">
                  <c:v>5.3111273522390692E-3</c:v>
                </c:pt>
                <c:pt idx="1317">
                  <c:v>5.1566589022795442E-3</c:v>
                </c:pt>
                <c:pt idx="1318">
                  <c:v>5.0194337041873692E-3</c:v>
                </c:pt>
                <c:pt idx="1319">
                  <c:v>5.0955328181534988E-3</c:v>
                </c:pt>
                <c:pt idx="1320">
                  <c:v>4.9645826786128763E-3</c:v>
                </c:pt>
                <c:pt idx="1321">
                  <c:v>4.8396705036245656E-3</c:v>
                </c:pt>
                <c:pt idx="1322">
                  <c:v>4.8007034811553386E-3</c:v>
                </c:pt>
                <c:pt idx="1323">
                  <c:v>6.0493562821952711E-3</c:v>
                </c:pt>
                <c:pt idx="1324">
                  <c:v>5.873700484858484E-3</c:v>
                </c:pt>
                <c:pt idx="1325">
                  <c:v>5.6750153658567072E-3</c:v>
                </c:pt>
                <c:pt idx="1326">
                  <c:v>5.5334212992502289E-3</c:v>
                </c:pt>
                <c:pt idx="1327">
                  <c:v>5.3622303173659182E-3</c:v>
                </c:pt>
                <c:pt idx="1328">
                  <c:v>5.3277049248738198E-3</c:v>
                </c:pt>
                <c:pt idx="1329">
                  <c:v>5.1744653677999698E-3</c:v>
                </c:pt>
                <c:pt idx="1330">
                  <c:v>5.1819240411920091E-3</c:v>
                </c:pt>
                <c:pt idx="1331">
                  <c:v>5.5332268164787791E-3</c:v>
                </c:pt>
                <c:pt idx="1332">
                  <c:v>6.445466816705608E-3</c:v>
                </c:pt>
                <c:pt idx="1333">
                  <c:v>7.3509622173462364E-3</c:v>
                </c:pt>
                <c:pt idx="1334">
                  <c:v>7.0957541897455692E-3</c:v>
                </c:pt>
                <c:pt idx="1335">
                  <c:v>6.8143757958989692E-3</c:v>
                </c:pt>
                <c:pt idx="1336">
                  <c:v>6.8292057750744175E-3</c:v>
                </c:pt>
                <c:pt idx="1337">
                  <c:v>6.6542806749979866E-3</c:v>
                </c:pt>
                <c:pt idx="1338">
                  <c:v>6.4088665744050357E-3</c:v>
                </c:pt>
                <c:pt idx="1339">
                  <c:v>6.1733881795461723E-3</c:v>
                </c:pt>
                <c:pt idx="1340">
                  <c:v>6.0087827258906851E-3</c:v>
                </c:pt>
                <c:pt idx="1341">
                  <c:v>5.8158401266999137E-3</c:v>
                </c:pt>
                <c:pt idx="1342">
                  <c:v>5.623726651381054E-3</c:v>
                </c:pt>
                <c:pt idx="1343">
                  <c:v>5.522055995489287E-3</c:v>
                </c:pt>
                <c:pt idx="1344">
                  <c:v>5.539834325037101E-3</c:v>
                </c:pt>
                <c:pt idx="1345">
                  <c:v>5.3984640399921905E-3</c:v>
                </c:pt>
                <c:pt idx="1346">
                  <c:v>5.3055601772209913E-3</c:v>
                </c:pt>
                <c:pt idx="1347">
                  <c:v>5.3478195729275988E-3</c:v>
                </c:pt>
                <c:pt idx="1348">
                  <c:v>5.6920748565972576E-3</c:v>
                </c:pt>
                <c:pt idx="1349">
                  <c:v>5.6011179412061192E-3</c:v>
                </c:pt>
                <c:pt idx="1350">
                  <c:v>5.7789387454442679E-3</c:v>
                </c:pt>
                <c:pt idx="1351">
                  <c:v>5.6175670498782382E-3</c:v>
                </c:pt>
                <c:pt idx="1352">
                  <c:v>5.4392094933310726E-3</c:v>
                </c:pt>
                <c:pt idx="1353">
                  <c:v>5.2755638588036563E-3</c:v>
                </c:pt>
                <c:pt idx="1354">
                  <c:v>5.2109934187241349E-3</c:v>
                </c:pt>
                <c:pt idx="1355">
                  <c:v>5.1666808065238832E-3</c:v>
                </c:pt>
                <c:pt idx="1356">
                  <c:v>5.1173496950168004E-3</c:v>
                </c:pt>
                <c:pt idx="1357">
                  <c:v>5.2466263461213858E-3</c:v>
                </c:pt>
                <c:pt idx="1358">
                  <c:v>5.1425765172906273E-3</c:v>
                </c:pt>
                <c:pt idx="1359">
                  <c:v>5.0046376990570034E-3</c:v>
                </c:pt>
                <c:pt idx="1360">
                  <c:v>5.286872288549206E-3</c:v>
                </c:pt>
                <c:pt idx="1361">
                  <c:v>5.2764773681876478E-3</c:v>
                </c:pt>
                <c:pt idx="1362">
                  <c:v>5.4567015118437319E-3</c:v>
                </c:pt>
                <c:pt idx="1363">
                  <c:v>5.974046284887187E-3</c:v>
                </c:pt>
                <c:pt idx="1364">
                  <c:v>6.7114721267088895E-3</c:v>
                </c:pt>
                <c:pt idx="1365">
                  <c:v>6.5594665601325427E-3</c:v>
                </c:pt>
                <c:pt idx="1366">
                  <c:v>6.6707674014344961E-3</c:v>
                </c:pt>
                <c:pt idx="1367">
                  <c:v>7.0263983028452607E-3</c:v>
                </c:pt>
                <c:pt idx="1368">
                  <c:v>6.8024569142876709E-3</c:v>
                </c:pt>
                <c:pt idx="1369">
                  <c:v>6.660704715998232E-3</c:v>
                </c:pt>
                <c:pt idx="1370">
                  <c:v>6.4033946218547133E-3</c:v>
                </c:pt>
                <c:pt idx="1371">
                  <c:v>6.4502764624743995E-3</c:v>
                </c:pt>
                <c:pt idx="1372">
                  <c:v>6.9680657600164186E-3</c:v>
                </c:pt>
                <c:pt idx="1373">
                  <c:v>6.8307850761990668E-3</c:v>
                </c:pt>
                <c:pt idx="1374">
                  <c:v>7.4387115647478186E-3</c:v>
                </c:pt>
                <c:pt idx="1375">
                  <c:v>8.1446579379337025E-3</c:v>
                </c:pt>
                <c:pt idx="1376">
                  <c:v>8.8504592724001387E-3</c:v>
                </c:pt>
                <c:pt idx="1377">
                  <c:v>8.468889147991817E-3</c:v>
                </c:pt>
                <c:pt idx="1378">
                  <c:v>8.1266037713006428E-3</c:v>
                </c:pt>
                <c:pt idx="1379">
                  <c:v>7.8221539651337109E-3</c:v>
                </c:pt>
                <c:pt idx="1380">
                  <c:v>7.4847301604175562E-3</c:v>
                </c:pt>
                <c:pt idx="1381">
                  <c:v>7.1715768330232656E-3</c:v>
                </c:pt>
                <c:pt idx="1382">
                  <c:v>6.9271548558121889E-3</c:v>
                </c:pt>
                <c:pt idx="1383">
                  <c:v>6.6578663221753508E-3</c:v>
                </c:pt>
                <c:pt idx="1384">
                  <c:v>6.4005300378579908E-3</c:v>
                </c:pt>
                <c:pt idx="1385">
                  <c:v>6.4477403513957384E-3</c:v>
                </c:pt>
                <c:pt idx="1386">
                  <c:v>6.3922450592328569E-3</c:v>
                </c:pt>
                <c:pt idx="1387">
                  <c:v>6.2002033589505373E-3</c:v>
                </c:pt>
                <c:pt idx="1388">
                  <c:v>5.9794793603124468E-3</c:v>
                </c:pt>
                <c:pt idx="1389">
                  <c:v>5.8042306765646442E-3</c:v>
                </c:pt>
                <c:pt idx="1390">
                  <c:v>5.6784737769533878E-3</c:v>
                </c:pt>
                <c:pt idx="1391">
                  <c:v>5.4949468450260315E-3</c:v>
                </c:pt>
                <c:pt idx="1392">
                  <c:v>5.4051931550317244E-3</c:v>
                </c:pt>
                <c:pt idx="1393">
                  <c:v>5.4051854634591954E-3</c:v>
                </c:pt>
                <c:pt idx="1394">
                  <c:v>5.3416463839299549E-3</c:v>
                </c:pt>
                <c:pt idx="1395">
                  <c:v>5.1846966112196842E-3</c:v>
                </c:pt>
                <c:pt idx="1396">
                  <c:v>5.0424826154875256E-3</c:v>
                </c:pt>
                <c:pt idx="1397">
                  <c:v>4.9446481669851742E-3</c:v>
                </c:pt>
                <c:pt idx="1398">
                  <c:v>4.8205134893411208E-3</c:v>
                </c:pt>
                <c:pt idx="1399">
                  <c:v>4.7075480466441874E-3</c:v>
                </c:pt>
                <c:pt idx="1400">
                  <c:v>4.6090951438404661E-3</c:v>
                </c:pt>
                <c:pt idx="1401">
                  <c:v>4.5173833405615961E-3</c:v>
                </c:pt>
                <c:pt idx="1402">
                  <c:v>4.4601131189816205E-3</c:v>
                </c:pt>
                <c:pt idx="1403">
                  <c:v>4.3811002932201398E-3</c:v>
                </c:pt>
                <c:pt idx="1404">
                  <c:v>4.4266446472544293E-3</c:v>
                </c:pt>
                <c:pt idx="1405">
                  <c:v>4.381130559045098E-3</c:v>
                </c:pt>
                <c:pt idx="1406">
                  <c:v>4.340136680229219E-3</c:v>
                </c:pt>
                <c:pt idx="1407">
                  <c:v>4.3129462667023518E-3</c:v>
                </c:pt>
                <c:pt idx="1408">
                  <c:v>4.2462606427490094E-3</c:v>
                </c:pt>
                <c:pt idx="1409">
                  <c:v>4.1858916624234526E-3</c:v>
                </c:pt>
                <c:pt idx="1410">
                  <c:v>4.2378878232829575E-3</c:v>
                </c:pt>
                <c:pt idx="1411">
                  <c:v>4.208351928001639E-3</c:v>
                </c:pt>
                <c:pt idx="1412">
                  <c:v>4.1607348791436981E-3</c:v>
                </c:pt>
                <c:pt idx="1413">
                  <c:v>4.1146359278878162E-3</c:v>
                </c:pt>
                <c:pt idx="1414">
                  <c:v>4.1444139784218292E-3</c:v>
                </c:pt>
                <c:pt idx="1415">
                  <c:v>4.1573414377936713E-3</c:v>
                </c:pt>
                <c:pt idx="1416">
                  <c:v>4.1130890194931609E-3</c:v>
                </c:pt>
                <c:pt idx="1417">
                  <c:v>4.1133974581255093E-3</c:v>
                </c:pt>
                <c:pt idx="1418">
                  <c:v>4.1064623914597743E-3</c:v>
                </c:pt>
                <c:pt idx="1419">
                  <c:v>4.3300206195493905E-3</c:v>
                </c:pt>
                <c:pt idx="1420">
                  <c:v>4.7051091006528618E-3</c:v>
                </c:pt>
                <c:pt idx="1421">
                  <c:v>4.6161272006820771E-3</c:v>
                </c:pt>
                <c:pt idx="1422">
                  <c:v>4.6192029373108238E-3</c:v>
                </c:pt>
                <c:pt idx="1423">
                  <c:v>4.5858987069522447E-3</c:v>
                </c:pt>
                <c:pt idx="1424">
                  <c:v>4.5059577391157726E-3</c:v>
                </c:pt>
                <c:pt idx="1425">
                  <c:v>4.526320959222248E-3</c:v>
                </c:pt>
                <c:pt idx="1426">
                  <c:v>4.4837457476124267E-3</c:v>
                </c:pt>
                <c:pt idx="1427">
                  <c:v>4.4454315341545736E-3</c:v>
                </c:pt>
                <c:pt idx="1428">
                  <c:v>4.3708242608971257E-3</c:v>
                </c:pt>
                <c:pt idx="1429">
                  <c:v>4.2978895901683205E-3</c:v>
                </c:pt>
                <c:pt idx="1430">
                  <c:v>4.2516942708315363E-3</c:v>
                </c:pt>
                <c:pt idx="1431">
                  <c:v>4.2077444213670092E-3</c:v>
                </c:pt>
                <c:pt idx="1432">
                  <c:v>4.1502023360967238E-3</c:v>
                </c:pt>
                <c:pt idx="1433">
                  <c:v>4.1066540795028491E-3</c:v>
                </c:pt>
                <c:pt idx="1434">
                  <c:v>4.0709183655616432E-3</c:v>
                </c:pt>
                <c:pt idx="1435">
                  <c:v>4.0337151466874124E-3</c:v>
                </c:pt>
                <c:pt idx="1436">
                  <c:v>3.9975761865919893E-3</c:v>
                </c:pt>
                <c:pt idx="1437">
                  <c:v>3.9677578399135169E-3</c:v>
                </c:pt>
                <c:pt idx="1438">
                  <c:v>3.9802558765381392E-3</c:v>
                </c:pt>
                <c:pt idx="1439">
                  <c:v>3.9842351623026219E-3</c:v>
                </c:pt>
                <c:pt idx="1440">
                  <c:v>3.9912718433804621E-3</c:v>
                </c:pt>
                <c:pt idx="1441">
                  <c:v>3.9546070724904136E-3</c:v>
                </c:pt>
                <c:pt idx="1442">
                  <c:v>3.9364018911348343E-3</c:v>
                </c:pt>
                <c:pt idx="1443">
                  <c:v>4.0560024704825335E-3</c:v>
                </c:pt>
                <c:pt idx="1444">
                  <c:v>4.3790346074202161E-3</c:v>
                </c:pt>
                <c:pt idx="1445">
                  <c:v>4.3793816973100785E-3</c:v>
                </c:pt>
                <c:pt idx="1446">
                  <c:v>4.3054450644674858E-3</c:v>
                </c:pt>
                <c:pt idx="1447">
                  <c:v>4.377644534909725E-3</c:v>
                </c:pt>
                <c:pt idx="1448">
                  <c:v>4.3312550516387653E-3</c:v>
                </c:pt>
                <c:pt idx="1449">
                  <c:v>4.2634739768086273E-3</c:v>
                </c:pt>
                <c:pt idx="1450">
                  <c:v>4.2374959912301717E-3</c:v>
                </c:pt>
                <c:pt idx="1451">
                  <c:v>4.1997524242208062E-3</c:v>
                </c:pt>
                <c:pt idx="1452">
                  <c:v>4.1427619182841068E-3</c:v>
                </c:pt>
                <c:pt idx="1453">
                  <c:v>4.1053659544315266E-3</c:v>
                </c:pt>
                <c:pt idx="1454">
                  <c:v>4.2156866130087503E-3</c:v>
                </c:pt>
                <c:pt idx="1455">
                  <c:v>4.1710476934295245E-3</c:v>
                </c:pt>
                <c:pt idx="1456">
                  <c:v>4.230352502935136E-3</c:v>
                </c:pt>
                <c:pt idx="1457">
                  <c:v>4.1761167814267433E-3</c:v>
                </c:pt>
                <c:pt idx="1458">
                  <c:v>4.2973284772272425E-3</c:v>
                </c:pt>
                <c:pt idx="1459">
                  <c:v>4.2354751191884732E-3</c:v>
                </c:pt>
                <c:pt idx="1460">
                  <c:v>4.2156856512568005E-3</c:v>
                </c:pt>
                <c:pt idx="1461">
                  <c:v>4.3903585458637514E-3</c:v>
                </c:pt>
                <c:pt idx="1462">
                  <c:v>4.4771805942503164E-3</c:v>
                </c:pt>
                <c:pt idx="1463">
                  <c:v>4.5115665523907823E-3</c:v>
                </c:pt>
                <c:pt idx="1464">
                  <c:v>4.835034855382921E-3</c:v>
                </c:pt>
                <c:pt idx="1465">
                  <c:v>4.8934205320931134E-3</c:v>
                </c:pt>
                <c:pt idx="1466">
                  <c:v>4.8719173650848338E-3</c:v>
                </c:pt>
                <c:pt idx="1467">
                  <c:v>5.025988818842096E-3</c:v>
                </c:pt>
                <c:pt idx="1468">
                  <c:v>4.905121668949344E-3</c:v>
                </c:pt>
                <c:pt idx="1469">
                  <c:v>4.7843634182395747E-3</c:v>
                </c:pt>
                <c:pt idx="1470">
                  <c:v>4.6968043356739432E-3</c:v>
                </c:pt>
                <c:pt idx="1471">
                  <c:v>4.7990900439172021E-3</c:v>
                </c:pt>
                <c:pt idx="1472">
                  <c:v>4.7016202740325398E-3</c:v>
                </c:pt>
                <c:pt idx="1473">
                  <c:v>4.6599973709967072E-3</c:v>
                </c:pt>
                <c:pt idx="1474">
                  <c:v>4.7887525786749364E-3</c:v>
                </c:pt>
                <c:pt idx="1475">
                  <c:v>4.7309546147788605E-3</c:v>
                </c:pt>
                <c:pt idx="1476">
                  <c:v>4.6534021213989075E-3</c:v>
                </c:pt>
                <c:pt idx="1477">
                  <c:v>4.7271902540801701E-3</c:v>
                </c:pt>
                <c:pt idx="1478">
                  <c:v>4.704162144007009E-3</c:v>
                </c:pt>
                <c:pt idx="1479">
                  <c:v>4.7849337631157129E-3</c:v>
                </c:pt>
                <c:pt idx="1480">
                  <c:v>4.676774187570976E-3</c:v>
                </c:pt>
                <c:pt idx="1481">
                  <c:v>4.596762330388672E-3</c:v>
                </c:pt>
                <c:pt idx="1482">
                  <c:v>4.5030044784918483E-3</c:v>
                </c:pt>
                <c:pt idx="1483">
                  <c:v>4.4369862785152443E-3</c:v>
                </c:pt>
                <c:pt idx="1484">
                  <c:v>4.362009679630686E-3</c:v>
                </c:pt>
                <c:pt idx="1485">
                  <c:v>4.2965220753427083E-3</c:v>
                </c:pt>
                <c:pt idx="1486">
                  <c:v>4.2305446497996006E-3</c:v>
                </c:pt>
                <c:pt idx="1487">
                  <c:v>4.2182990704667019E-3</c:v>
                </c:pt>
                <c:pt idx="1488">
                  <c:v>4.2189535452058051E-3</c:v>
                </c:pt>
                <c:pt idx="1489">
                  <c:v>4.19438985497032E-3</c:v>
                </c:pt>
                <c:pt idx="1490">
                  <c:v>4.1436391579762703E-3</c:v>
                </c:pt>
                <c:pt idx="1491">
                  <c:v>4.1406521098328406E-3</c:v>
                </c:pt>
                <c:pt idx="1492">
                  <c:v>4.1274455257693035E-3</c:v>
                </c:pt>
                <c:pt idx="1493">
                  <c:v>4.0799793460654819E-3</c:v>
                </c:pt>
                <c:pt idx="1494">
                  <c:v>4.0418714449586973E-3</c:v>
                </c:pt>
                <c:pt idx="1495">
                  <c:v>4.0038066652100836E-3</c:v>
                </c:pt>
                <c:pt idx="1496">
                  <c:v>3.9658913802710707E-3</c:v>
                </c:pt>
                <c:pt idx="1497">
                  <c:v>3.9318439790038484E-3</c:v>
                </c:pt>
                <c:pt idx="1498">
                  <c:v>3.9182068143204865E-3</c:v>
                </c:pt>
                <c:pt idx="1499">
                  <c:v>3.9524629269661708E-3</c:v>
                </c:pt>
                <c:pt idx="1500">
                  <c:v>3.9629987185864695E-3</c:v>
                </c:pt>
                <c:pt idx="1501">
                  <c:v>4.0257254481769504E-3</c:v>
                </c:pt>
                <c:pt idx="1502">
                  <c:v>4.0046201511884632E-3</c:v>
                </c:pt>
                <c:pt idx="1503">
                  <c:v>3.9857033421259241E-3</c:v>
                </c:pt>
                <c:pt idx="1504">
                  <c:v>4.0922773744122513E-3</c:v>
                </c:pt>
                <c:pt idx="1505">
                  <c:v>4.0467977074689666E-3</c:v>
                </c:pt>
                <c:pt idx="1506">
                  <c:v>4.0152595973013978E-3</c:v>
                </c:pt>
                <c:pt idx="1507">
                  <c:v>4.0518031698070448E-3</c:v>
                </c:pt>
                <c:pt idx="1508">
                  <c:v>5.4724042926015135E-3</c:v>
                </c:pt>
                <c:pt idx="1509">
                  <c:v>5.3189769303562109E-3</c:v>
                </c:pt>
                <c:pt idx="1510">
                  <c:v>5.1783108819558835E-3</c:v>
                </c:pt>
                <c:pt idx="1511">
                  <c:v>5.0392741381204429E-3</c:v>
                </c:pt>
                <c:pt idx="1512">
                  <c:v>4.9100258337815119E-3</c:v>
                </c:pt>
                <c:pt idx="1513">
                  <c:v>5.0911864330812325E-3</c:v>
                </c:pt>
                <c:pt idx="1514">
                  <c:v>5.1865866653984967E-3</c:v>
                </c:pt>
                <c:pt idx="1515">
                  <c:v>5.2360823775931733E-3</c:v>
                </c:pt>
                <c:pt idx="1516">
                  <c:v>5.1468206214418735E-3</c:v>
                </c:pt>
                <c:pt idx="1517">
                  <c:v>5.0071069590189015E-3</c:v>
                </c:pt>
                <c:pt idx="1518">
                  <c:v>4.9096467248556722E-3</c:v>
                </c:pt>
                <c:pt idx="1519">
                  <c:v>6.8638870252602782E-3</c:v>
                </c:pt>
                <c:pt idx="1520">
                  <c:v>6.65960465864553E-3</c:v>
                </c:pt>
                <c:pt idx="1521">
                  <c:v>6.4684536885671945E-3</c:v>
                </c:pt>
                <c:pt idx="1522">
                  <c:v>6.3162073131778395E-3</c:v>
                </c:pt>
                <c:pt idx="1523">
                  <c:v>6.1948922292179307E-3</c:v>
                </c:pt>
                <c:pt idx="1524">
                  <c:v>6.0893808964019936E-3</c:v>
                </c:pt>
                <c:pt idx="1525">
                  <c:v>6.0299453929860761E-3</c:v>
                </c:pt>
                <c:pt idx="1526">
                  <c:v>5.8412802926827521E-3</c:v>
                </c:pt>
                <c:pt idx="1527">
                  <c:v>5.64509319406605E-3</c:v>
                </c:pt>
                <c:pt idx="1528">
                  <c:v>5.464186763236966E-3</c:v>
                </c:pt>
                <c:pt idx="1529">
                  <c:v>5.2991484594507605E-3</c:v>
                </c:pt>
                <c:pt idx="1530">
                  <c:v>5.1456563090683683E-3</c:v>
                </c:pt>
                <c:pt idx="1531">
                  <c:v>5.0050923759267472E-3</c:v>
                </c:pt>
                <c:pt idx="1532">
                  <c:v>4.8796562460908166E-3</c:v>
                </c:pt>
                <c:pt idx="1533">
                  <c:v>4.980057539264917E-3</c:v>
                </c:pt>
                <c:pt idx="1534">
                  <c:v>5.4076142899963826E-3</c:v>
                </c:pt>
                <c:pt idx="1535">
                  <c:v>5.2654605795218702E-3</c:v>
                </c:pt>
                <c:pt idx="1536">
                  <c:v>5.1144895353346705E-3</c:v>
                </c:pt>
                <c:pt idx="1537">
                  <c:v>4.9876440110386252E-3</c:v>
                </c:pt>
                <c:pt idx="1538">
                  <c:v>4.8636968202196516E-3</c:v>
                </c:pt>
                <c:pt idx="1539">
                  <c:v>5.1586456221326049E-3</c:v>
                </c:pt>
                <c:pt idx="1540">
                  <c:v>5.0355747880952992E-3</c:v>
                </c:pt>
                <c:pt idx="1541">
                  <c:v>4.9508318243038866E-3</c:v>
                </c:pt>
                <c:pt idx="1542">
                  <c:v>4.9139762183680663E-3</c:v>
                </c:pt>
                <c:pt idx="1543">
                  <c:v>4.8045026891882017E-3</c:v>
                </c:pt>
                <c:pt idx="1544">
                  <c:v>4.9291487965579302E-3</c:v>
                </c:pt>
                <c:pt idx="1545">
                  <c:v>4.8262098612618489E-3</c:v>
                </c:pt>
                <c:pt idx="1546">
                  <c:v>5.0713601442154387E-3</c:v>
                </c:pt>
                <c:pt idx="1547">
                  <c:v>5.3432759422223372E-3</c:v>
                </c:pt>
                <c:pt idx="1548">
                  <c:v>5.2721633095640496E-3</c:v>
                </c:pt>
                <c:pt idx="1549">
                  <c:v>5.1538703308786384E-3</c:v>
                </c:pt>
                <c:pt idx="1550">
                  <c:v>5.0135698533888221E-3</c:v>
                </c:pt>
                <c:pt idx="1551">
                  <c:v>4.9531808335103959E-3</c:v>
                </c:pt>
                <c:pt idx="1552">
                  <c:v>4.898695556890981E-3</c:v>
                </c:pt>
                <c:pt idx="1553">
                  <c:v>4.7794180920521815E-3</c:v>
                </c:pt>
                <c:pt idx="1554">
                  <c:v>5.4696486210070901E-3</c:v>
                </c:pt>
                <c:pt idx="1555">
                  <c:v>5.3057355080815298E-3</c:v>
                </c:pt>
                <c:pt idx="1556">
                  <c:v>5.2100493088128924E-3</c:v>
                </c:pt>
                <c:pt idx="1557">
                  <c:v>5.4793978725030607E-3</c:v>
                </c:pt>
                <c:pt idx="1558">
                  <c:v>5.3546951071070875E-3</c:v>
                </c:pt>
                <c:pt idx="1559">
                  <c:v>5.5242372251781838E-3</c:v>
                </c:pt>
                <c:pt idx="1560">
                  <c:v>5.5232940791459881E-3</c:v>
                </c:pt>
                <c:pt idx="1561">
                  <c:v>5.3860245596352493E-3</c:v>
                </c:pt>
                <c:pt idx="1562">
                  <c:v>5.2526324977312591E-3</c:v>
                </c:pt>
                <c:pt idx="1563">
                  <c:v>5.1085162484201078E-3</c:v>
                </c:pt>
                <c:pt idx="1564">
                  <c:v>5.0951037362827025E-3</c:v>
                </c:pt>
                <c:pt idx="1565">
                  <c:v>4.9591729365401696E-3</c:v>
                </c:pt>
                <c:pt idx="1566">
                  <c:v>4.8633226712845113E-3</c:v>
                </c:pt>
                <c:pt idx="1567">
                  <c:v>4.7641030454423812E-3</c:v>
                </c:pt>
                <c:pt idx="1568">
                  <c:v>4.66793822343229E-3</c:v>
                </c:pt>
                <c:pt idx="1569">
                  <c:v>4.5771063360959784E-3</c:v>
                </c:pt>
                <c:pt idx="1570">
                  <c:v>4.4850461387784873E-3</c:v>
                </c:pt>
                <c:pt idx="1571">
                  <c:v>4.4399318452932436E-3</c:v>
                </c:pt>
                <c:pt idx="1572">
                  <c:v>4.3614216860420772E-3</c:v>
                </c:pt>
                <c:pt idx="1573">
                  <c:v>4.289362416870347E-3</c:v>
                </c:pt>
                <c:pt idx="1574">
                  <c:v>4.2263046175128787E-3</c:v>
                </c:pt>
                <c:pt idx="1575">
                  <c:v>4.3408662768964568E-3</c:v>
                </c:pt>
                <c:pt idx="1576">
                  <c:v>4.2715583514549753E-3</c:v>
                </c:pt>
                <c:pt idx="1577">
                  <c:v>4.4305760952744284E-3</c:v>
                </c:pt>
                <c:pt idx="1578">
                  <c:v>4.3763524137631783E-3</c:v>
                </c:pt>
                <c:pt idx="1579">
                  <c:v>4.3026971095844564E-3</c:v>
                </c:pt>
                <c:pt idx="1580">
                  <c:v>4.2358581642013438E-3</c:v>
                </c:pt>
                <c:pt idx="1581">
                  <c:v>4.2874008203925658E-3</c:v>
                </c:pt>
                <c:pt idx="1582">
                  <c:v>4.2806255716126111E-3</c:v>
                </c:pt>
                <c:pt idx="1583">
                  <c:v>4.316175483404348E-3</c:v>
                </c:pt>
                <c:pt idx="1584">
                  <c:v>4.2706120014954973E-3</c:v>
                </c:pt>
                <c:pt idx="1585">
                  <c:v>4.2874598092467846E-3</c:v>
                </c:pt>
                <c:pt idx="1586">
                  <c:v>4.2221266592933331E-3</c:v>
                </c:pt>
                <c:pt idx="1587">
                  <c:v>4.1629239303111187E-3</c:v>
                </c:pt>
                <c:pt idx="1588">
                  <c:v>4.1120004009642854E-3</c:v>
                </c:pt>
                <c:pt idx="1589">
                  <c:v>4.0645889119804209E-3</c:v>
                </c:pt>
                <c:pt idx="1590">
                  <c:v>4.100133731170766E-3</c:v>
                </c:pt>
                <c:pt idx="1591">
                  <c:v>5.7578074084738938E-3</c:v>
                </c:pt>
                <c:pt idx="1592">
                  <c:v>5.63243211151162E-3</c:v>
                </c:pt>
                <c:pt idx="1593">
                  <c:v>5.4520870928057696E-3</c:v>
                </c:pt>
                <c:pt idx="1594">
                  <c:v>5.308381444896434E-3</c:v>
                </c:pt>
                <c:pt idx="1595">
                  <c:v>5.1548265752997613E-3</c:v>
                </c:pt>
                <c:pt idx="1596">
                  <c:v>5.0769368453874126E-3</c:v>
                </c:pt>
                <c:pt idx="1597">
                  <c:v>4.9454057579206168E-3</c:v>
                </c:pt>
                <c:pt idx="1598">
                  <c:v>4.8250773541683167E-3</c:v>
                </c:pt>
                <c:pt idx="1599">
                  <c:v>4.7338031725465204E-3</c:v>
                </c:pt>
                <c:pt idx="1600">
                  <c:v>4.6278954206281737E-3</c:v>
                </c:pt>
                <c:pt idx="1601">
                  <c:v>4.5312896414656662E-3</c:v>
                </c:pt>
                <c:pt idx="1602">
                  <c:v>4.5540924454645767E-3</c:v>
                </c:pt>
                <c:pt idx="1603">
                  <c:v>4.9204015286002604E-3</c:v>
                </c:pt>
                <c:pt idx="1604">
                  <c:v>4.9624637905233398E-3</c:v>
                </c:pt>
                <c:pt idx="1605">
                  <c:v>4.8373032359788305E-3</c:v>
                </c:pt>
                <c:pt idx="1606">
                  <c:v>4.7223808532486497E-3</c:v>
                </c:pt>
                <c:pt idx="1607">
                  <c:v>4.76901707461924E-3</c:v>
                </c:pt>
                <c:pt idx="1608">
                  <c:v>4.7095566022846667E-3</c:v>
                </c:pt>
                <c:pt idx="1609">
                  <c:v>4.6838718148014147E-3</c:v>
                </c:pt>
                <c:pt idx="1610">
                  <c:v>4.5875325115936599E-3</c:v>
                </c:pt>
                <c:pt idx="1611">
                  <c:v>4.5574579964965346E-3</c:v>
                </c:pt>
                <c:pt idx="1612">
                  <c:v>4.482067145117054E-3</c:v>
                </c:pt>
                <c:pt idx="1613">
                  <c:v>4.4803818725502511E-3</c:v>
                </c:pt>
                <c:pt idx="1614">
                  <c:v>4.3973499438793393E-3</c:v>
                </c:pt>
                <c:pt idx="1615">
                  <c:v>4.321953319389827E-3</c:v>
                </c:pt>
                <c:pt idx="1616">
                  <c:v>4.3240624041510746E-3</c:v>
                </c:pt>
                <c:pt idx="1617">
                  <c:v>4.2951434193551127E-3</c:v>
                </c:pt>
                <c:pt idx="1618">
                  <c:v>4.2296462798495629E-3</c:v>
                </c:pt>
                <c:pt idx="1619">
                  <c:v>4.2510888115373366E-3</c:v>
                </c:pt>
                <c:pt idx="1620">
                  <c:v>4.3623961563692935E-3</c:v>
                </c:pt>
                <c:pt idx="1621">
                  <c:v>4.2902460953428518E-3</c:v>
                </c:pt>
                <c:pt idx="1622">
                  <c:v>4.2245799495308446E-3</c:v>
                </c:pt>
                <c:pt idx="1623">
                  <c:v>4.1811206615334851E-3</c:v>
                </c:pt>
                <c:pt idx="1624">
                  <c:v>4.15740247143044E-3</c:v>
                </c:pt>
                <c:pt idx="1625">
                  <c:v>4.1823043928665244E-3</c:v>
                </c:pt>
                <c:pt idx="1626">
                  <c:v>4.1295021922523358E-3</c:v>
                </c:pt>
                <c:pt idx="1627">
                  <c:v>4.3495183056175921E-3</c:v>
                </c:pt>
                <c:pt idx="1628">
                  <c:v>4.2807851256370681E-3</c:v>
                </c:pt>
                <c:pt idx="1629">
                  <c:v>4.2185415520080895E-3</c:v>
                </c:pt>
                <c:pt idx="1630">
                  <c:v>4.8823423547354576E-3</c:v>
                </c:pt>
                <c:pt idx="1631">
                  <c:v>4.8022005168127857E-3</c:v>
                </c:pt>
                <c:pt idx="1632">
                  <c:v>4.7327758404337823E-3</c:v>
                </c:pt>
                <c:pt idx="1633">
                  <c:v>4.6920204895487417E-3</c:v>
                </c:pt>
                <c:pt idx="1634">
                  <c:v>4.5990141335063685E-3</c:v>
                </c:pt>
                <c:pt idx="1635">
                  <c:v>4.5049887940487726E-3</c:v>
                </c:pt>
                <c:pt idx="1636">
                  <c:v>4.4211220917201866E-3</c:v>
                </c:pt>
                <c:pt idx="1637">
                  <c:v>4.4125702204379658E-3</c:v>
                </c:pt>
                <c:pt idx="1638">
                  <c:v>4.5031323464393234E-3</c:v>
                </c:pt>
                <c:pt idx="1639">
                  <c:v>4.7527941883350171E-3</c:v>
                </c:pt>
                <c:pt idx="1640">
                  <c:v>4.6681318950763167E-3</c:v>
                </c:pt>
                <c:pt idx="1641">
                  <c:v>4.5789007441255853E-3</c:v>
                </c:pt>
                <c:pt idx="1642">
                  <c:v>4.4877359938717441E-3</c:v>
                </c:pt>
                <c:pt idx="1643">
                  <c:v>4.4037637239489778E-3</c:v>
                </c:pt>
                <c:pt idx="1644">
                  <c:v>4.3548048706970174E-3</c:v>
                </c:pt>
                <c:pt idx="1645">
                  <c:v>4.4209732647127334E-3</c:v>
                </c:pt>
                <c:pt idx="1646">
                  <c:v>4.769830447574167E-3</c:v>
                </c:pt>
                <c:pt idx="1647">
                  <c:v>4.6609602980961099E-3</c:v>
                </c:pt>
                <c:pt idx="1648">
                  <c:v>5.2288449606727565E-3</c:v>
                </c:pt>
                <c:pt idx="1649">
                  <c:v>5.0814017012509906E-3</c:v>
                </c:pt>
                <c:pt idx="1650">
                  <c:v>4.9516486636869018E-3</c:v>
                </c:pt>
                <c:pt idx="1651">
                  <c:v>5.2049695532002966E-3</c:v>
                </c:pt>
                <c:pt idx="1652">
                  <c:v>5.138533185097955E-3</c:v>
                </c:pt>
                <c:pt idx="1653">
                  <c:v>5.0009323927407952E-3</c:v>
                </c:pt>
                <c:pt idx="1654">
                  <c:v>5.5361569168850197E-3</c:v>
                </c:pt>
                <c:pt idx="1655">
                  <c:v>5.4065114812063015E-3</c:v>
                </c:pt>
                <c:pt idx="1656">
                  <c:v>5.2882079760956709E-3</c:v>
                </c:pt>
                <c:pt idx="1657">
                  <c:v>5.403134702982571E-3</c:v>
                </c:pt>
                <c:pt idx="1658">
                  <c:v>5.4540074038455849E-3</c:v>
                </c:pt>
                <c:pt idx="1659">
                  <c:v>5.2905160484076836E-3</c:v>
                </c:pt>
                <c:pt idx="1660">
                  <c:v>5.1432625284189301E-3</c:v>
                </c:pt>
                <c:pt idx="1661">
                  <c:v>5.1209209229430685E-3</c:v>
                </c:pt>
                <c:pt idx="1662">
                  <c:v>4.981880669339041E-3</c:v>
                </c:pt>
                <c:pt idx="1663">
                  <c:v>4.8545207812897362E-3</c:v>
                </c:pt>
                <c:pt idx="1664">
                  <c:v>4.7470469904951507E-3</c:v>
                </c:pt>
                <c:pt idx="1665">
                  <c:v>4.8792493878429544E-3</c:v>
                </c:pt>
                <c:pt idx="1666">
                  <c:v>4.8363015143435681E-3</c:v>
                </c:pt>
                <c:pt idx="1667">
                  <c:v>4.7374436858916178E-3</c:v>
                </c:pt>
                <c:pt idx="1668">
                  <c:v>5.3254686950714785E-3</c:v>
                </c:pt>
                <c:pt idx="1669">
                  <c:v>5.1701197595817906E-3</c:v>
                </c:pt>
                <c:pt idx="1670">
                  <c:v>5.0279381987129376E-3</c:v>
                </c:pt>
                <c:pt idx="1671">
                  <c:v>5.2345836100572652E-3</c:v>
                </c:pt>
                <c:pt idx="1672">
                  <c:v>5.0866683179965309E-3</c:v>
                </c:pt>
                <c:pt idx="1673">
                  <c:v>5.0274676841679192E-3</c:v>
                </c:pt>
                <c:pt idx="1674">
                  <c:v>4.8984335748756859E-3</c:v>
                </c:pt>
                <c:pt idx="1675">
                  <c:v>4.8336817350893646E-3</c:v>
                </c:pt>
                <c:pt idx="1676">
                  <c:v>4.7192609227993051E-3</c:v>
                </c:pt>
                <c:pt idx="1677">
                  <c:v>4.7602271544796371E-3</c:v>
                </c:pt>
                <c:pt idx="1678">
                  <c:v>4.6550618176914608E-3</c:v>
                </c:pt>
                <c:pt idx="1679">
                  <c:v>4.7352230706672847E-3</c:v>
                </c:pt>
                <c:pt idx="1680">
                  <c:v>4.7803601972543994E-3</c:v>
                </c:pt>
                <c:pt idx="1681">
                  <c:v>5.050821001612713E-3</c:v>
                </c:pt>
                <c:pt idx="1682">
                  <c:v>5.5995242252444774E-3</c:v>
                </c:pt>
                <c:pt idx="1683">
                  <c:v>5.423684725193406E-3</c:v>
                </c:pt>
                <c:pt idx="1684">
                  <c:v>5.3070518446862586E-3</c:v>
                </c:pt>
                <c:pt idx="1685">
                  <c:v>5.2579497365757739E-3</c:v>
                </c:pt>
                <c:pt idx="1686">
                  <c:v>5.1864143839744654E-3</c:v>
                </c:pt>
                <c:pt idx="1687">
                  <c:v>5.7204560509879869E-3</c:v>
                </c:pt>
                <c:pt idx="1688">
                  <c:v>5.5436508424852029E-3</c:v>
                </c:pt>
                <c:pt idx="1689">
                  <c:v>5.457842561118656E-3</c:v>
                </c:pt>
                <c:pt idx="1690">
                  <c:v>5.2948817326506801E-3</c:v>
                </c:pt>
                <c:pt idx="1691">
                  <c:v>5.1833541772304762E-3</c:v>
                </c:pt>
                <c:pt idx="1692">
                  <c:v>5.0989986992001097E-3</c:v>
                </c:pt>
                <c:pt idx="1693">
                  <c:v>5.0865940903445034E-3</c:v>
                </c:pt>
                <c:pt idx="1694">
                  <c:v>5.3844825149251012E-3</c:v>
                </c:pt>
                <c:pt idx="1695">
                  <c:v>5.2537611901019828E-3</c:v>
                </c:pt>
                <c:pt idx="1696">
                  <c:v>5.7411922638990406E-3</c:v>
                </c:pt>
                <c:pt idx="1697">
                  <c:v>5.7733824445718555E-3</c:v>
                </c:pt>
                <c:pt idx="1698">
                  <c:v>6.1193294078202816E-3</c:v>
                </c:pt>
                <c:pt idx="1699">
                  <c:v>6.1632847247636655E-3</c:v>
                </c:pt>
                <c:pt idx="1700">
                  <c:v>5.9582880855882734E-3</c:v>
                </c:pt>
                <c:pt idx="1701">
                  <c:v>6.2184883979352693E-3</c:v>
                </c:pt>
                <c:pt idx="1702">
                  <c:v>6.0074988448720005E-3</c:v>
                </c:pt>
                <c:pt idx="1703">
                  <c:v>5.7999607878171473E-3</c:v>
                </c:pt>
                <c:pt idx="1704">
                  <c:v>5.7423274932551054E-3</c:v>
                </c:pt>
                <c:pt idx="1705">
                  <c:v>5.5535448665983821E-3</c:v>
                </c:pt>
                <c:pt idx="1706">
                  <c:v>5.4013653219784075E-3</c:v>
                </c:pt>
                <c:pt idx="1707">
                  <c:v>5.3043395485196662E-3</c:v>
                </c:pt>
                <c:pt idx="1708">
                  <c:v>5.1538752268062288E-3</c:v>
                </c:pt>
                <c:pt idx="1709">
                  <c:v>5.404081497853464E-3</c:v>
                </c:pt>
                <c:pt idx="1710">
                  <c:v>5.2622248997041552E-3</c:v>
                </c:pt>
                <c:pt idx="1711">
                  <c:v>5.163432694411634E-3</c:v>
                </c:pt>
                <c:pt idx="1712">
                  <c:v>5.0468232852582682E-3</c:v>
                </c:pt>
                <c:pt idx="1713">
                  <c:v>5.2858663334193036E-3</c:v>
                </c:pt>
                <c:pt idx="1714">
                  <c:v>5.275578459528983E-3</c:v>
                </c:pt>
                <c:pt idx="1715">
                  <c:v>5.1446164772225075E-3</c:v>
                </c:pt>
                <c:pt idx="1716">
                  <c:v>5.2552635965928797E-3</c:v>
                </c:pt>
                <c:pt idx="1717">
                  <c:v>5.1053597078499742E-3</c:v>
                </c:pt>
                <c:pt idx="1718">
                  <c:v>5.0210185655381765E-3</c:v>
                </c:pt>
                <c:pt idx="1719">
                  <c:v>4.9343272556670497E-3</c:v>
                </c:pt>
                <c:pt idx="1720">
                  <c:v>5.0349970548674537E-3</c:v>
                </c:pt>
                <c:pt idx="1721">
                  <c:v>4.9323161236600813E-3</c:v>
                </c:pt>
                <c:pt idx="1722">
                  <c:v>6.3131596824570133E-3</c:v>
                </c:pt>
                <c:pt idx="1723">
                  <c:v>6.1275110158888523E-3</c:v>
                </c:pt>
                <c:pt idx="1724">
                  <c:v>5.9540281607221987E-3</c:v>
                </c:pt>
                <c:pt idx="1725">
                  <c:v>5.7538738652688224E-3</c:v>
                </c:pt>
                <c:pt idx="1726">
                  <c:v>5.5682923153454068E-3</c:v>
                </c:pt>
                <c:pt idx="1727">
                  <c:v>5.6859018127609923E-3</c:v>
                </c:pt>
                <c:pt idx="1728">
                  <c:v>5.7963978000850104E-3</c:v>
                </c:pt>
                <c:pt idx="1729">
                  <c:v>5.7783814920053635E-3</c:v>
                </c:pt>
                <c:pt idx="1730">
                  <c:v>8.1190983989636901E-3</c:v>
                </c:pt>
                <c:pt idx="1731">
                  <c:v>7.7608634049398245E-3</c:v>
                </c:pt>
                <c:pt idx="1732">
                  <c:v>7.4262139329388651E-3</c:v>
                </c:pt>
                <c:pt idx="1733">
                  <c:v>7.2058766815744895E-3</c:v>
                </c:pt>
                <c:pt idx="1734">
                  <c:v>7.39277906235706E-3</c:v>
                </c:pt>
                <c:pt idx="1735">
                  <c:v>7.2632820702902721E-3</c:v>
                </c:pt>
                <c:pt idx="1736">
                  <c:v>7.0147661023045003E-3</c:v>
                </c:pt>
                <c:pt idx="1737">
                  <c:v>7.0284678888871731E-3</c:v>
                </c:pt>
                <c:pt idx="1738">
                  <c:v>6.7455761118117826E-3</c:v>
                </c:pt>
                <c:pt idx="1739">
                  <c:v>6.4817337073587175E-3</c:v>
                </c:pt>
                <c:pt idx="1740">
                  <c:v>6.3500747487473495E-3</c:v>
                </c:pt>
                <c:pt idx="1741">
                  <c:v>7.2242258954943349E-3</c:v>
                </c:pt>
                <c:pt idx="1742">
                  <c:v>7.7304199268220129E-3</c:v>
                </c:pt>
                <c:pt idx="1743">
                  <c:v>7.4361972213759465E-3</c:v>
                </c:pt>
                <c:pt idx="1744">
                  <c:v>7.3247452698412038E-3</c:v>
                </c:pt>
                <c:pt idx="1745">
                  <c:v>7.0260871876056995E-3</c:v>
                </c:pt>
                <c:pt idx="1746">
                  <c:v>6.7433638795402666E-3</c:v>
                </c:pt>
                <c:pt idx="1747">
                  <c:v>6.4826067614492631E-3</c:v>
                </c:pt>
                <c:pt idx="1748">
                  <c:v>6.2446665576541566E-3</c:v>
                </c:pt>
                <c:pt idx="1749">
                  <c:v>6.017649179260556E-3</c:v>
                </c:pt>
                <c:pt idx="1750">
                  <c:v>5.8502573771755688E-3</c:v>
                </c:pt>
                <c:pt idx="1751">
                  <c:v>5.7403523630156911E-3</c:v>
                </c:pt>
                <c:pt idx="1752">
                  <c:v>5.5993461155421035E-3</c:v>
                </c:pt>
                <c:pt idx="1753">
                  <c:v>5.5263616317739635E-3</c:v>
                </c:pt>
                <c:pt idx="1754">
                  <c:v>5.4072757419816068E-3</c:v>
                </c:pt>
                <c:pt idx="1755">
                  <c:v>5.3482446247433207E-3</c:v>
                </c:pt>
                <c:pt idx="1756">
                  <c:v>5.2351004103796421E-3</c:v>
                </c:pt>
                <c:pt idx="1757">
                  <c:v>5.138783876883251E-3</c:v>
                </c:pt>
                <c:pt idx="1758">
                  <c:v>5.0054266220704666E-3</c:v>
                </c:pt>
                <c:pt idx="1759">
                  <c:v>4.8821476529461892E-3</c:v>
                </c:pt>
                <c:pt idx="1760">
                  <c:v>4.7632980202901645E-3</c:v>
                </c:pt>
                <c:pt idx="1761">
                  <c:v>4.8112728386740418E-3</c:v>
                </c:pt>
                <c:pt idx="1762">
                  <c:v>4.7108876991996344E-3</c:v>
                </c:pt>
                <c:pt idx="1763">
                  <c:v>4.6110448523538307E-3</c:v>
                </c:pt>
                <c:pt idx="1764">
                  <c:v>5.019409042821301E-3</c:v>
                </c:pt>
                <c:pt idx="1765">
                  <c:v>4.9296816261939491E-3</c:v>
                </c:pt>
                <c:pt idx="1766">
                  <c:v>4.8083026746330616E-3</c:v>
                </c:pt>
                <c:pt idx="1767">
                  <c:v>4.6963975562854029E-3</c:v>
                </c:pt>
                <c:pt idx="1768">
                  <c:v>4.5939748064074372E-3</c:v>
                </c:pt>
                <c:pt idx="1769">
                  <c:v>4.5046131814046823E-3</c:v>
                </c:pt>
                <c:pt idx="1770">
                  <c:v>5.3933156002711922E-3</c:v>
                </c:pt>
                <c:pt idx="1771">
                  <c:v>5.2861091010734211E-3</c:v>
                </c:pt>
                <c:pt idx="1772">
                  <c:v>6.5484059102092458E-3</c:v>
                </c:pt>
                <c:pt idx="1773">
                  <c:v>6.298872608264494E-3</c:v>
                </c:pt>
                <c:pt idx="1774">
                  <c:v>6.0676292089985396E-3</c:v>
                </c:pt>
                <c:pt idx="1775">
                  <c:v>5.9995014364172981E-3</c:v>
                </c:pt>
                <c:pt idx="1776">
                  <c:v>6.8984502476587611E-3</c:v>
                </c:pt>
                <c:pt idx="1777">
                  <c:v>7.9286323036757318E-3</c:v>
                </c:pt>
                <c:pt idx="1778">
                  <c:v>8.0096780790988656E-3</c:v>
                </c:pt>
                <c:pt idx="1779">
                  <c:v>1.3009852764382183E-2</c:v>
                </c:pt>
                <c:pt idx="1780">
                  <c:v>1.2359267399153009E-2</c:v>
                </c:pt>
                <c:pt idx="1781">
                  <c:v>1.1732921919159839E-2</c:v>
                </c:pt>
                <c:pt idx="1782">
                  <c:v>1.1224813433140515E-2</c:v>
                </c:pt>
                <c:pt idx="1783">
                  <c:v>1.0712074635217003E-2</c:v>
                </c:pt>
                <c:pt idx="1784">
                  <c:v>1.3187287640700675E-2</c:v>
                </c:pt>
                <c:pt idx="1785">
                  <c:v>1.2613814290267944E-2</c:v>
                </c:pt>
                <c:pt idx="1786">
                  <c:v>1.2207490972578873E-2</c:v>
                </c:pt>
                <c:pt idx="1787">
                  <c:v>1.1633245239924959E-2</c:v>
                </c:pt>
                <c:pt idx="1788">
                  <c:v>1.1238700504960994E-2</c:v>
                </c:pt>
                <c:pt idx="1789">
                  <c:v>1.0722869602317563E-2</c:v>
                </c:pt>
                <c:pt idx="1790">
                  <c:v>1.0269226212408259E-2</c:v>
                </c:pt>
                <c:pt idx="1791">
                  <c:v>9.7745410295671051E-3</c:v>
                </c:pt>
                <c:pt idx="1792">
                  <c:v>9.3613984517915035E-3</c:v>
                </c:pt>
                <c:pt idx="1793">
                  <c:v>8.93731363154311E-3</c:v>
                </c:pt>
                <c:pt idx="1794">
                  <c:v>8.5280202529125354E-3</c:v>
                </c:pt>
                <c:pt idx="1795">
                  <c:v>8.1725787322172744E-3</c:v>
                </c:pt>
                <c:pt idx="1796">
                  <c:v>8.0376887574322205E-3</c:v>
                </c:pt>
                <c:pt idx="1797">
                  <c:v>7.7520291908985302E-3</c:v>
                </c:pt>
                <c:pt idx="1798">
                  <c:v>7.7011665771752162E-3</c:v>
                </c:pt>
                <c:pt idx="1799">
                  <c:v>7.478467409340564E-3</c:v>
                </c:pt>
                <c:pt idx="1800">
                  <c:v>7.5973979784106438E-3</c:v>
                </c:pt>
                <c:pt idx="1801">
                  <c:v>7.2738613248924189E-3</c:v>
                </c:pt>
                <c:pt idx="1802">
                  <c:v>7.5981013490587198E-3</c:v>
                </c:pt>
                <c:pt idx="1803">
                  <c:v>7.444640488508408E-3</c:v>
                </c:pt>
              </c:numCache>
            </c:numRef>
          </c:val>
          <c:smooth val="0"/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cat>
            <c:numRef>
              <c:f>'Garch(1,1) Euro'!$A$15:$A$1818</c:f>
              <c:numCache>
                <c:formatCode>m/d/yyyy</c:formatCode>
                <c:ptCount val="1804"/>
                <c:pt idx="0">
                  <c:v>40279</c:v>
                </c:pt>
                <c:pt idx="1">
                  <c:v>40280</c:v>
                </c:pt>
                <c:pt idx="2">
                  <c:v>40281</c:v>
                </c:pt>
                <c:pt idx="3">
                  <c:v>40282</c:v>
                </c:pt>
                <c:pt idx="4">
                  <c:v>40283</c:v>
                </c:pt>
                <c:pt idx="5">
                  <c:v>40284</c:v>
                </c:pt>
                <c:pt idx="6">
                  <c:v>40285</c:v>
                </c:pt>
                <c:pt idx="7">
                  <c:v>40286</c:v>
                </c:pt>
                <c:pt idx="8">
                  <c:v>40287</c:v>
                </c:pt>
                <c:pt idx="9">
                  <c:v>40288</c:v>
                </c:pt>
                <c:pt idx="10">
                  <c:v>40289</c:v>
                </c:pt>
                <c:pt idx="11">
                  <c:v>40290</c:v>
                </c:pt>
                <c:pt idx="12">
                  <c:v>40291</c:v>
                </c:pt>
                <c:pt idx="13">
                  <c:v>40292</c:v>
                </c:pt>
                <c:pt idx="14">
                  <c:v>40293</c:v>
                </c:pt>
                <c:pt idx="15">
                  <c:v>40294</c:v>
                </c:pt>
                <c:pt idx="16">
                  <c:v>40295</c:v>
                </c:pt>
                <c:pt idx="17">
                  <c:v>40296</c:v>
                </c:pt>
                <c:pt idx="18">
                  <c:v>40297</c:v>
                </c:pt>
                <c:pt idx="19">
                  <c:v>40298</c:v>
                </c:pt>
                <c:pt idx="20">
                  <c:v>40299</c:v>
                </c:pt>
                <c:pt idx="21">
                  <c:v>40300</c:v>
                </c:pt>
                <c:pt idx="22">
                  <c:v>40301</c:v>
                </c:pt>
                <c:pt idx="23">
                  <c:v>40302</c:v>
                </c:pt>
                <c:pt idx="24">
                  <c:v>40303</c:v>
                </c:pt>
                <c:pt idx="25">
                  <c:v>40304</c:v>
                </c:pt>
                <c:pt idx="26">
                  <c:v>40305</c:v>
                </c:pt>
                <c:pt idx="27">
                  <c:v>40306</c:v>
                </c:pt>
                <c:pt idx="28">
                  <c:v>40307</c:v>
                </c:pt>
                <c:pt idx="29">
                  <c:v>40308</c:v>
                </c:pt>
                <c:pt idx="30">
                  <c:v>40309</c:v>
                </c:pt>
                <c:pt idx="31">
                  <c:v>40310</c:v>
                </c:pt>
                <c:pt idx="32">
                  <c:v>40311</c:v>
                </c:pt>
                <c:pt idx="33">
                  <c:v>40312</c:v>
                </c:pt>
                <c:pt idx="34">
                  <c:v>40313</c:v>
                </c:pt>
                <c:pt idx="35">
                  <c:v>40314</c:v>
                </c:pt>
                <c:pt idx="36">
                  <c:v>40315</c:v>
                </c:pt>
                <c:pt idx="37">
                  <c:v>40316</c:v>
                </c:pt>
                <c:pt idx="38">
                  <c:v>40317</c:v>
                </c:pt>
                <c:pt idx="39">
                  <c:v>40318</c:v>
                </c:pt>
                <c:pt idx="40">
                  <c:v>40319</c:v>
                </c:pt>
                <c:pt idx="41">
                  <c:v>40320</c:v>
                </c:pt>
                <c:pt idx="42">
                  <c:v>40321</c:v>
                </c:pt>
                <c:pt idx="43">
                  <c:v>40322</c:v>
                </c:pt>
                <c:pt idx="44">
                  <c:v>40323</c:v>
                </c:pt>
                <c:pt idx="45">
                  <c:v>40324</c:v>
                </c:pt>
                <c:pt idx="46">
                  <c:v>40325</c:v>
                </c:pt>
                <c:pt idx="47">
                  <c:v>40326</c:v>
                </c:pt>
                <c:pt idx="48">
                  <c:v>40327</c:v>
                </c:pt>
                <c:pt idx="49">
                  <c:v>40328</c:v>
                </c:pt>
                <c:pt idx="50">
                  <c:v>40329</c:v>
                </c:pt>
                <c:pt idx="51">
                  <c:v>40330</c:v>
                </c:pt>
                <c:pt idx="52">
                  <c:v>40331</c:v>
                </c:pt>
                <c:pt idx="53">
                  <c:v>40332</c:v>
                </c:pt>
                <c:pt idx="54">
                  <c:v>40333</c:v>
                </c:pt>
                <c:pt idx="55">
                  <c:v>40334</c:v>
                </c:pt>
                <c:pt idx="56">
                  <c:v>40335</c:v>
                </c:pt>
                <c:pt idx="57">
                  <c:v>40336</c:v>
                </c:pt>
                <c:pt idx="58">
                  <c:v>40337</c:v>
                </c:pt>
                <c:pt idx="59">
                  <c:v>40338</c:v>
                </c:pt>
                <c:pt idx="60">
                  <c:v>40339</c:v>
                </c:pt>
                <c:pt idx="61">
                  <c:v>40340</c:v>
                </c:pt>
                <c:pt idx="62">
                  <c:v>40341</c:v>
                </c:pt>
                <c:pt idx="63">
                  <c:v>40342</c:v>
                </c:pt>
                <c:pt idx="64">
                  <c:v>40343</c:v>
                </c:pt>
                <c:pt idx="65">
                  <c:v>40344</c:v>
                </c:pt>
                <c:pt idx="66">
                  <c:v>40345</c:v>
                </c:pt>
                <c:pt idx="67">
                  <c:v>40346</c:v>
                </c:pt>
                <c:pt idx="68">
                  <c:v>40347</c:v>
                </c:pt>
                <c:pt idx="69">
                  <c:v>40348</c:v>
                </c:pt>
                <c:pt idx="70">
                  <c:v>40349</c:v>
                </c:pt>
                <c:pt idx="71">
                  <c:v>40350</c:v>
                </c:pt>
                <c:pt idx="72">
                  <c:v>40351</c:v>
                </c:pt>
                <c:pt idx="73">
                  <c:v>40352</c:v>
                </c:pt>
                <c:pt idx="74">
                  <c:v>40353</c:v>
                </c:pt>
                <c:pt idx="75">
                  <c:v>40354</c:v>
                </c:pt>
                <c:pt idx="76">
                  <c:v>40355</c:v>
                </c:pt>
                <c:pt idx="77">
                  <c:v>40356</c:v>
                </c:pt>
                <c:pt idx="78">
                  <c:v>40357</c:v>
                </c:pt>
                <c:pt idx="79">
                  <c:v>40358</c:v>
                </c:pt>
                <c:pt idx="80">
                  <c:v>40359</c:v>
                </c:pt>
                <c:pt idx="81">
                  <c:v>40360</c:v>
                </c:pt>
                <c:pt idx="82">
                  <c:v>40361</c:v>
                </c:pt>
                <c:pt idx="83">
                  <c:v>40362</c:v>
                </c:pt>
                <c:pt idx="84">
                  <c:v>40363</c:v>
                </c:pt>
                <c:pt idx="85">
                  <c:v>40364</c:v>
                </c:pt>
                <c:pt idx="86">
                  <c:v>40365</c:v>
                </c:pt>
                <c:pt idx="87">
                  <c:v>40366</c:v>
                </c:pt>
                <c:pt idx="88">
                  <c:v>40367</c:v>
                </c:pt>
                <c:pt idx="89">
                  <c:v>40368</c:v>
                </c:pt>
                <c:pt idx="90">
                  <c:v>40369</c:v>
                </c:pt>
                <c:pt idx="91">
                  <c:v>40370</c:v>
                </c:pt>
                <c:pt idx="92">
                  <c:v>40371</c:v>
                </c:pt>
                <c:pt idx="93">
                  <c:v>40372</c:v>
                </c:pt>
                <c:pt idx="94">
                  <c:v>40373</c:v>
                </c:pt>
                <c:pt idx="95">
                  <c:v>40374</c:v>
                </c:pt>
                <c:pt idx="96">
                  <c:v>40375</c:v>
                </c:pt>
                <c:pt idx="97">
                  <c:v>40376</c:v>
                </c:pt>
                <c:pt idx="98">
                  <c:v>40377</c:v>
                </c:pt>
                <c:pt idx="99">
                  <c:v>40378</c:v>
                </c:pt>
                <c:pt idx="100">
                  <c:v>40379</c:v>
                </c:pt>
                <c:pt idx="101">
                  <c:v>40380</c:v>
                </c:pt>
                <c:pt idx="102">
                  <c:v>40381</c:v>
                </c:pt>
                <c:pt idx="103">
                  <c:v>40382</c:v>
                </c:pt>
                <c:pt idx="104">
                  <c:v>40383</c:v>
                </c:pt>
                <c:pt idx="105">
                  <c:v>40384</c:v>
                </c:pt>
                <c:pt idx="106">
                  <c:v>40385</c:v>
                </c:pt>
                <c:pt idx="107">
                  <c:v>40386</c:v>
                </c:pt>
                <c:pt idx="108">
                  <c:v>40387</c:v>
                </c:pt>
                <c:pt idx="109">
                  <c:v>40388</c:v>
                </c:pt>
                <c:pt idx="110">
                  <c:v>40389</c:v>
                </c:pt>
                <c:pt idx="111">
                  <c:v>40390</c:v>
                </c:pt>
                <c:pt idx="112">
                  <c:v>40391</c:v>
                </c:pt>
                <c:pt idx="113">
                  <c:v>40392</c:v>
                </c:pt>
                <c:pt idx="114">
                  <c:v>40393</c:v>
                </c:pt>
                <c:pt idx="115">
                  <c:v>40394</c:v>
                </c:pt>
                <c:pt idx="116">
                  <c:v>40395</c:v>
                </c:pt>
                <c:pt idx="117">
                  <c:v>40396</c:v>
                </c:pt>
                <c:pt idx="118">
                  <c:v>40397</c:v>
                </c:pt>
                <c:pt idx="119">
                  <c:v>40398</c:v>
                </c:pt>
                <c:pt idx="120">
                  <c:v>40399</c:v>
                </c:pt>
                <c:pt idx="121">
                  <c:v>40400</c:v>
                </c:pt>
                <c:pt idx="122">
                  <c:v>40401</c:v>
                </c:pt>
                <c:pt idx="123">
                  <c:v>40402</c:v>
                </c:pt>
                <c:pt idx="124">
                  <c:v>40403</c:v>
                </c:pt>
                <c:pt idx="125">
                  <c:v>40404</c:v>
                </c:pt>
                <c:pt idx="126">
                  <c:v>40405</c:v>
                </c:pt>
                <c:pt idx="127">
                  <c:v>40406</c:v>
                </c:pt>
                <c:pt idx="128">
                  <c:v>40407</c:v>
                </c:pt>
                <c:pt idx="129">
                  <c:v>40408</c:v>
                </c:pt>
                <c:pt idx="130">
                  <c:v>40409</c:v>
                </c:pt>
                <c:pt idx="131">
                  <c:v>40410</c:v>
                </c:pt>
                <c:pt idx="132">
                  <c:v>40411</c:v>
                </c:pt>
                <c:pt idx="133">
                  <c:v>40412</c:v>
                </c:pt>
                <c:pt idx="134">
                  <c:v>40413</c:v>
                </c:pt>
                <c:pt idx="135">
                  <c:v>40414</c:v>
                </c:pt>
                <c:pt idx="136">
                  <c:v>40415</c:v>
                </c:pt>
                <c:pt idx="137">
                  <c:v>40416</c:v>
                </c:pt>
                <c:pt idx="138">
                  <c:v>40417</c:v>
                </c:pt>
                <c:pt idx="139">
                  <c:v>40418</c:v>
                </c:pt>
                <c:pt idx="140">
                  <c:v>40419</c:v>
                </c:pt>
                <c:pt idx="141">
                  <c:v>40420</c:v>
                </c:pt>
                <c:pt idx="142">
                  <c:v>40421</c:v>
                </c:pt>
                <c:pt idx="143">
                  <c:v>40422</c:v>
                </c:pt>
                <c:pt idx="144">
                  <c:v>40423</c:v>
                </c:pt>
                <c:pt idx="145">
                  <c:v>40424</c:v>
                </c:pt>
                <c:pt idx="146">
                  <c:v>40425</c:v>
                </c:pt>
                <c:pt idx="147">
                  <c:v>40426</c:v>
                </c:pt>
                <c:pt idx="148">
                  <c:v>40427</c:v>
                </c:pt>
                <c:pt idx="149">
                  <c:v>40428</c:v>
                </c:pt>
                <c:pt idx="150">
                  <c:v>40429</c:v>
                </c:pt>
                <c:pt idx="151">
                  <c:v>40430</c:v>
                </c:pt>
                <c:pt idx="152">
                  <c:v>40431</c:v>
                </c:pt>
                <c:pt idx="153">
                  <c:v>40432</c:v>
                </c:pt>
                <c:pt idx="154">
                  <c:v>40433</c:v>
                </c:pt>
                <c:pt idx="155">
                  <c:v>40434</c:v>
                </c:pt>
                <c:pt idx="156">
                  <c:v>40435</c:v>
                </c:pt>
                <c:pt idx="157">
                  <c:v>40436</c:v>
                </c:pt>
                <c:pt idx="158">
                  <c:v>40437</c:v>
                </c:pt>
                <c:pt idx="159">
                  <c:v>40438</c:v>
                </c:pt>
                <c:pt idx="160">
                  <c:v>40439</c:v>
                </c:pt>
                <c:pt idx="161">
                  <c:v>40440</c:v>
                </c:pt>
                <c:pt idx="162">
                  <c:v>40441</c:v>
                </c:pt>
                <c:pt idx="163">
                  <c:v>40442</c:v>
                </c:pt>
                <c:pt idx="164">
                  <c:v>40443</c:v>
                </c:pt>
                <c:pt idx="165">
                  <c:v>40444</c:v>
                </c:pt>
                <c:pt idx="166">
                  <c:v>40445</c:v>
                </c:pt>
                <c:pt idx="167">
                  <c:v>40446</c:v>
                </c:pt>
                <c:pt idx="168">
                  <c:v>40447</c:v>
                </c:pt>
                <c:pt idx="169">
                  <c:v>40448</c:v>
                </c:pt>
                <c:pt idx="170">
                  <c:v>40449</c:v>
                </c:pt>
                <c:pt idx="171">
                  <c:v>40450</c:v>
                </c:pt>
                <c:pt idx="172">
                  <c:v>40451</c:v>
                </c:pt>
                <c:pt idx="173">
                  <c:v>40452</c:v>
                </c:pt>
                <c:pt idx="174">
                  <c:v>40453</c:v>
                </c:pt>
                <c:pt idx="175">
                  <c:v>40454</c:v>
                </c:pt>
                <c:pt idx="176">
                  <c:v>40455</c:v>
                </c:pt>
                <c:pt idx="177">
                  <c:v>40456</c:v>
                </c:pt>
                <c:pt idx="178">
                  <c:v>40457</c:v>
                </c:pt>
                <c:pt idx="179">
                  <c:v>40458</c:v>
                </c:pt>
                <c:pt idx="180">
                  <c:v>40459</c:v>
                </c:pt>
                <c:pt idx="181">
                  <c:v>40461</c:v>
                </c:pt>
                <c:pt idx="182">
                  <c:v>40462</c:v>
                </c:pt>
                <c:pt idx="183">
                  <c:v>40463</c:v>
                </c:pt>
                <c:pt idx="184">
                  <c:v>40464</c:v>
                </c:pt>
                <c:pt idx="185">
                  <c:v>40465</c:v>
                </c:pt>
                <c:pt idx="186">
                  <c:v>40466</c:v>
                </c:pt>
                <c:pt idx="187">
                  <c:v>40467</c:v>
                </c:pt>
                <c:pt idx="188">
                  <c:v>40468</c:v>
                </c:pt>
                <c:pt idx="189">
                  <c:v>40469</c:v>
                </c:pt>
                <c:pt idx="190">
                  <c:v>40470</c:v>
                </c:pt>
                <c:pt idx="191">
                  <c:v>40471</c:v>
                </c:pt>
                <c:pt idx="192">
                  <c:v>40472</c:v>
                </c:pt>
                <c:pt idx="193">
                  <c:v>40473</c:v>
                </c:pt>
                <c:pt idx="194">
                  <c:v>40474</c:v>
                </c:pt>
                <c:pt idx="195">
                  <c:v>40475</c:v>
                </c:pt>
                <c:pt idx="196">
                  <c:v>40476</c:v>
                </c:pt>
                <c:pt idx="197">
                  <c:v>40477</c:v>
                </c:pt>
                <c:pt idx="198">
                  <c:v>40478</c:v>
                </c:pt>
                <c:pt idx="199">
                  <c:v>40479</c:v>
                </c:pt>
                <c:pt idx="200">
                  <c:v>40480</c:v>
                </c:pt>
                <c:pt idx="201">
                  <c:v>40481</c:v>
                </c:pt>
                <c:pt idx="202">
                  <c:v>40482</c:v>
                </c:pt>
                <c:pt idx="203">
                  <c:v>40483</c:v>
                </c:pt>
                <c:pt idx="204">
                  <c:v>40484</c:v>
                </c:pt>
                <c:pt idx="205">
                  <c:v>40485</c:v>
                </c:pt>
                <c:pt idx="206">
                  <c:v>40486</c:v>
                </c:pt>
                <c:pt idx="207">
                  <c:v>40487</c:v>
                </c:pt>
                <c:pt idx="208">
                  <c:v>40488</c:v>
                </c:pt>
                <c:pt idx="209">
                  <c:v>40489</c:v>
                </c:pt>
                <c:pt idx="210">
                  <c:v>40490</c:v>
                </c:pt>
                <c:pt idx="211">
                  <c:v>40491</c:v>
                </c:pt>
                <c:pt idx="212">
                  <c:v>40492</c:v>
                </c:pt>
                <c:pt idx="213">
                  <c:v>40493</c:v>
                </c:pt>
                <c:pt idx="214">
                  <c:v>40494</c:v>
                </c:pt>
                <c:pt idx="215">
                  <c:v>40495</c:v>
                </c:pt>
                <c:pt idx="216">
                  <c:v>40496</c:v>
                </c:pt>
                <c:pt idx="217">
                  <c:v>40497</c:v>
                </c:pt>
                <c:pt idx="218">
                  <c:v>40498</c:v>
                </c:pt>
                <c:pt idx="219">
                  <c:v>40499</c:v>
                </c:pt>
                <c:pt idx="220">
                  <c:v>40500</c:v>
                </c:pt>
                <c:pt idx="221">
                  <c:v>40501</c:v>
                </c:pt>
                <c:pt idx="222">
                  <c:v>40502</c:v>
                </c:pt>
                <c:pt idx="223">
                  <c:v>40504</c:v>
                </c:pt>
                <c:pt idx="224">
                  <c:v>40505</c:v>
                </c:pt>
                <c:pt idx="225">
                  <c:v>40506</c:v>
                </c:pt>
                <c:pt idx="226">
                  <c:v>40507</c:v>
                </c:pt>
                <c:pt idx="227">
                  <c:v>40508</c:v>
                </c:pt>
                <c:pt idx="228">
                  <c:v>40509</c:v>
                </c:pt>
                <c:pt idx="229">
                  <c:v>40510</c:v>
                </c:pt>
                <c:pt idx="230">
                  <c:v>40511</c:v>
                </c:pt>
                <c:pt idx="231">
                  <c:v>40512</c:v>
                </c:pt>
                <c:pt idx="232">
                  <c:v>40513</c:v>
                </c:pt>
                <c:pt idx="233">
                  <c:v>40514</c:v>
                </c:pt>
                <c:pt idx="234">
                  <c:v>40515</c:v>
                </c:pt>
                <c:pt idx="235">
                  <c:v>40517</c:v>
                </c:pt>
                <c:pt idx="236">
                  <c:v>40518</c:v>
                </c:pt>
                <c:pt idx="237">
                  <c:v>40519</c:v>
                </c:pt>
                <c:pt idx="238">
                  <c:v>40520</c:v>
                </c:pt>
                <c:pt idx="239">
                  <c:v>40521</c:v>
                </c:pt>
                <c:pt idx="240">
                  <c:v>40522</c:v>
                </c:pt>
                <c:pt idx="241">
                  <c:v>40523</c:v>
                </c:pt>
                <c:pt idx="242">
                  <c:v>40524</c:v>
                </c:pt>
                <c:pt idx="243">
                  <c:v>40525</c:v>
                </c:pt>
                <c:pt idx="244">
                  <c:v>40526</c:v>
                </c:pt>
                <c:pt idx="245">
                  <c:v>40527</c:v>
                </c:pt>
                <c:pt idx="246">
                  <c:v>40528</c:v>
                </c:pt>
                <c:pt idx="247">
                  <c:v>40529</c:v>
                </c:pt>
                <c:pt idx="248">
                  <c:v>40530</c:v>
                </c:pt>
                <c:pt idx="249">
                  <c:v>40531</c:v>
                </c:pt>
                <c:pt idx="250">
                  <c:v>40532</c:v>
                </c:pt>
                <c:pt idx="251">
                  <c:v>40533</c:v>
                </c:pt>
                <c:pt idx="252">
                  <c:v>40534</c:v>
                </c:pt>
                <c:pt idx="253">
                  <c:v>40535</c:v>
                </c:pt>
                <c:pt idx="254">
                  <c:v>40536</c:v>
                </c:pt>
                <c:pt idx="255">
                  <c:v>40537</c:v>
                </c:pt>
                <c:pt idx="256">
                  <c:v>40538</c:v>
                </c:pt>
                <c:pt idx="257">
                  <c:v>40539</c:v>
                </c:pt>
                <c:pt idx="258">
                  <c:v>40540</c:v>
                </c:pt>
                <c:pt idx="259">
                  <c:v>40541</c:v>
                </c:pt>
                <c:pt idx="260">
                  <c:v>40542</c:v>
                </c:pt>
                <c:pt idx="261">
                  <c:v>40543</c:v>
                </c:pt>
                <c:pt idx="262">
                  <c:v>40546</c:v>
                </c:pt>
                <c:pt idx="263">
                  <c:v>40547</c:v>
                </c:pt>
                <c:pt idx="264">
                  <c:v>40548</c:v>
                </c:pt>
                <c:pt idx="265">
                  <c:v>40549</c:v>
                </c:pt>
                <c:pt idx="266">
                  <c:v>40550</c:v>
                </c:pt>
                <c:pt idx="267">
                  <c:v>40551</c:v>
                </c:pt>
                <c:pt idx="268">
                  <c:v>40552</c:v>
                </c:pt>
                <c:pt idx="269">
                  <c:v>40553</c:v>
                </c:pt>
                <c:pt idx="270">
                  <c:v>40554</c:v>
                </c:pt>
                <c:pt idx="271">
                  <c:v>40555</c:v>
                </c:pt>
                <c:pt idx="272">
                  <c:v>40556</c:v>
                </c:pt>
                <c:pt idx="273">
                  <c:v>40557</c:v>
                </c:pt>
                <c:pt idx="274">
                  <c:v>40558</c:v>
                </c:pt>
                <c:pt idx="275">
                  <c:v>40560</c:v>
                </c:pt>
                <c:pt idx="276">
                  <c:v>40561</c:v>
                </c:pt>
                <c:pt idx="277">
                  <c:v>40562</c:v>
                </c:pt>
                <c:pt idx="278">
                  <c:v>40563</c:v>
                </c:pt>
                <c:pt idx="279">
                  <c:v>40564</c:v>
                </c:pt>
                <c:pt idx="280">
                  <c:v>40565</c:v>
                </c:pt>
                <c:pt idx="281">
                  <c:v>40566</c:v>
                </c:pt>
                <c:pt idx="282">
                  <c:v>40567</c:v>
                </c:pt>
                <c:pt idx="283">
                  <c:v>40568</c:v>
                </c:pt>
                <c:pt idx="284">
                  <c:v>40569</c:v>
                </c:pt>
                <c:pt idx="285">
                  <c:v>40570</c:v>
                </c:pt>
                <c:pt idx="286">
                  <c:v>40571</c:v>
                </c:pt>
                <c:pt idx="287">
                  <c:v>40572</c:v>
                </c:pt>
                <c:pt idx="288">
                  <c:v>40574</c:v>
                </c:pt>
                <c:pt idx="289">
                  <c:v>40575</c:v>
                </c:pt>
                <c:pt idx="290">
                  <c:v>40576</c:v>
                </c:pt>
                <c:pt idx="291">
                  <c:v>40577</c:v>
                </c:pt>
                <c:pt idx="292">
                  <c:v>40578</c:v>
                </c:pt>
                <c:pt idx="293">
                  <c:v>40579</c:v>
                </c:pt>
                <c:pt idx="294">
                  <c:v>40580</c:v>
                </c:pt>
                <c:pt idx="295">
                  <c:v>40581</c:v>
                </c:pt>
                <c:pt idx="296">
                  <c:v>40582</c:v>
                </c:pt>
                <c:pt idx="297">
                  <c:v>40583</c:v>
                </c:pt>
                <c:pt idx="298">
                  <c:v>40584</c:v>
                </c:pt>
                <c:pt idx="299">
                  <c:v>40585</c:v>
                </c:pt>
                <c:pt idx="300">
                  <c:v>40586</c:v>
                </c:pt>
                <c:pt idx="301">
                  <c:v>40587</c:v>
                </c:pt>
                <c:pt idx="302">
                  <c:v>40588</c:v>
                </c:pt>
                <c:pt idx="303">
                  <c:v>40589</c:v>
                </c:pt>
                <c:pt idx="304">
                  <c:v>40590</c:v>
                </c:pt>
                <c:pt idx="305">
                  <c:v>40591</c:v>
                </c:pt>
                <c:pt idx="306">
                  <c:v>40592</c:v>
                </c:pt>
                <c:pt idx="307">
                  <c:v>40593</c:v>
                </c:pt>
                <c:pt idx="308">
                  <c:v>40594</c:v>
                </c:pt>
                <c:pt idx="309">
                  <c:v>40595</c:v>
                </c:pt>
                <c:pt idx="310">
                  <c:v>40596</c:v>
                </c:pt>
                <c:pt idx="311">
                  <c:v>40597</c:v>
                </c:pt>
                <c:pt idx="312">
                  <c:v>40598</c:v>
                </c:pt>
                <c:pt idx="313">
                  <c:v>40599</c:v>
                </c:pt>
                <c:pt idx="314">
                  <c:v>40600</c:v>
                </c:pt>
                <c:pt idx="315">
                  <c:v>40601</c:v>
                </c:pt>
                <c:pt idx="316">
                  <c:v>40602</c:v>
                </c:pt>
                <c:pt idx="317">
                  <c:v>40603</c:v>
                </c:pt>
                <c:pt idx="318">
                  <c:v>40604</c:v>
                </c:pt>
                <c:pt idx="319">
                  <c:v>40605</c:v>
                </c:pt>
                <c:pt idx="320">
                  <c:v>40606</c:v>
                </c:pt>
                <c:pt idx="321">
                  <c:v>40607</c:v>
                </c:pt>
                <c:pt idx="322">
                  <c:v>40608</c:v>
                </c:pt>
                <c:pt idx="323">
                  <c:v>40609</c:v>
                </c:pt>
                <c:pt idx="324">
                  <c:v>40610</c:v>
                </c:pt>
                <c:pt idx="325">
                  <c:v>40611</c:v>
                </c:pt>
                <c:pt idx="326">
                  <c:v>40612</c:v>
                </c:pt>
                <c:pt idx="327">
                  <c:v>40613</c:v>
                </c:pt>
                <c:pt idx="328">
                  <c:v>40614</c:v>
                </c:pt>
                <c:pt idx="329">
                  <c:v>40615</c:v>
                </c:pt>
                <c:pt idx="330">
                  <c:v>40616</c:v>
                </c:pt>
                <c:pt idx="331">
                  <c:v>40617</c:v>
                </c:pt>
                <c:pt idx="332">
                  <c:v>40618</c:v>
                </c:pt>
                <c:pt idx="333">
                  <c:v>40619</c:v>
                </c:pt>
                <c:pt idx="334">
                  <c:v>40620</c:v>
                </c:pt>
                <c:pt idx="335">
                  <c:v>40621</c:v>
                </c:pt>
                <c:pt idx="336">
                  <c:v>40622</c:v>
                </c:pt>
                <c:pt idx="337">
                  <c:v>40623</c:v>
                </c:pt>
                <c:pt idx="338">
                  <c:v>40624</c:v>
                </c:pt>
                <c:pt idx="339">
                  <c:v>40625</c:v>
                </c:pt>
                <c:pt idx="340">
                  <c:v>40626</c:v>
                </c:pt>
                <c:pt idx="341">
                  <c:v>40627</c:v>
                </c:pt>
                <c:pt idx="342">
                  <c:v>40628</c:v>
                </c:pt>
                <c:pt idx="343">
                  <c:v>40629</c:v>
                </c:pt>
                <c:pt idx="344">
                  <c:v>40630</c:v>
                </c:pt>
                <c:pt idx="345">
                  <c:v>40631</c:v>
                </c:pt>
                <c:pt idx="346">
                  <c:v>40632</c:v>
                </c:pt>
                <c:pt idx="347">
                  <c:v>40633</c:v>
                </c:pt>
                <c:pt idx="348">
                  <c:v>40634</c:v>
                </c:pt>
                <c:pt idx="349">
                  <c:v>40635</c:v>
                </c:pt>
                <c:pt idx="350">
                  <c:v>40636</c:v>
                </c:pt>
                <c:pt idx="351">
                  <c:v>40637</c:v>
                </c:pt>
                <c:pt idx="352">
                  <c:v>40638</c:v>
                </c:pt>
                <c:pt idx="353">
                  <c:v>40639</c:v>
                </c:pt>
                <c:pt idx="354">
                  <c:v>40640</c:v>
                </c:pt>
                <c:pt idx="355">
                  <c:v>40641</c:v>
                </c:pt>
                <c:pt idx="356">
                  <c:v>40642</c:v>
                </c:pt>
                <c:pt idx="357">
                  <c:v>40643</c:v>
                </c:pt>
                <c:pt idx="358">
                  <c:v>40644</c:v>
                </c:pt>
                <c:pt idx="359">
                  <c:v>40645</c:v>
                </c:pt>
                <c:pt idx="360">
                  <c:v>40646</c:v>
                </c:pt>
                <c:pt idx="361">
                  <c:v>40647</c:v>
                </c:pt>
                <c:pt idx="362">
                  <c:v>40648</c:v>
                </c:pt>
                <c:pt idx="363">
                  <c:v>40649</c:v>
                </c:pt>
                <c:pt idx="364">
                  <c:v>40650</c:v>
                </c:pt>
                <c:pt idx="365">
                  <c:v>40651</c:v>
                </c:pt>
                <c:pt idx="366">
                  <c:v>40652</c:v>
                </c:pt>
                <c:pt idx="367">
                  <c:v>40653</c:v>
                </c:pt>
                <c:pt idx="368">
                  <c:v>40654</c:v>
                </c:pt>
                <c:pt idx="369">
                  <c:v>40655</c:v>
                </c:pt>
                <c:pt idx="370">
                  <c:v>40656</c:v>
                </c:pt>
                <c:pt idx="371">
                  <c:v>40657</c:v>
                </c:pt>
                <c:pt idx="372">
                  <c:v>40658</c:v>
                </c:pt>
                <c:pt idx="373">
                  <c:v>40659</c:v>
                </c:pt>
                <c:pt idx="374">
                  <c:v>40660</c:v>
                </c:pt>
                <c:pt idx="375">
                  <c:v>40661</c:v>
                </c:pt>
                <c:pt idx="376">
                  <c:v>40662</c:v>
                </c:pt>
                <c:pt idx="377">
                  <c:v>40663</c:v>
                </c:pt>
                <c:pt idx="378">
                  <c:v>40664</c:v>
                </c:pt>
                <c:pt idx="379">
                  <c:v>40665</c:v>
                </c:pt>
                <c:pt idx="380">
                  <c:v>40666</c:v>
                </c:pt>
                <c:pt idx="381">
                  <c:v>40667</c:v>
                </c:pt>
                <c:pt idx="382">
                  <c:v>40668</c:v>
                </c:pt>
                <c:pt idx="383">
                  <c:v>40669</c:v>
                </c:pt>
                <c:pt idx="384">
                  <c:v>40670</c:v>
                </c:pt>
                <c:pt idx="385">
                  <c:v>40672</c:v>
                </c:pt>
                <c:pt idx="386">
                  <c:v>40673</c:v>
                </c:pt>
                <c:pt idx="387">
                  <c:v>40674</c:v>
                </c:pt>
                <c:pt idx="388">
                  <c:v>40675</c:v>
                </c:pt>
                <c:pt idx="389">
                  <c:v>40676</c:v>
                </c:pt>
                <c:pt idx="390">
                  <c:v>40677</c:v>
                </c:pt>
                <c:pt idx="391">
                  <c:v>40678</c:v>
                </c:pt>
                <c:pt idx="392">
                  <c:v>40679</c:v>
                </c:pt>
                <c:pt idx="393">
                  <c:v>40680</c:v>
                </c:pt>
                <c:pt idx="394">
                  <c:v>40681</c:v>
                </c:pt>
                <c:pt idx="395">
                  <c:v>40682</c:v>
                </c:pt>
                <c:pt idx="396">
                  <c:v>40683</c:v>
                </c:pt>
                <c:pt idx="397">
                  <c:v>40684</c:v>
                </c:pt>
                <c:pt idx="398">
                  <c:v>40685</c:v>
                </c:pt>
                <c:pt idx="399">
                  <c:v>40686</c:v>
                </c:pt>
                <c:pt idx="400">
                  <c:v>40687</c:v>
                </c:pt>
                <c:pt idx="401">
                  <c:v>40688</c:v>
                </c:pt>
                <c:pt idx="402">
                  <c:v>40689</c:v>
                </c:pt>
                <c:pt idx="403">
                  <c:v>40690</c:v>
                </c:pt>
                <c:pt idx="404">
                  <c:v>40691</c:v>
                </c:pt>
                <c:pt idx="405">
                  <c:v>40693</c:v>
                </c:pt>
                <c:pt idx="406">
                  <c:v>40694</c:v>
                </c:pt>
                <c:pt idx="407">
                  <c:v>40695</c:v>
                </c:pt>
                <c:pt idx="408">
                  <c:v>40696</c:v>
                </c:pt>
                <c:pt idx="409">
                  <c:v>40697</c:v>
                </c:pt>
                <c:pt idx="410">
                  <c:v>40698</c:v>
                </c:pt>
                <c:pt idx="411">
                  <c:v>40700</c:v>
                </c:pt>
                <c:pt idx="412">
                  <c:v>40701</c:v>
                </c:pt>
                <c:pt idx="413">
                  <c:v>40702</c:v>
                </c:pt>
                <c:pt idx="414">
                  <c:v>40703</c:v>
                </c:pt>
                <c:pt idx="415">
                  <c:v>40704</c:v>
                </c:pt>
                <c:pt idx="416">
                  <c:v>40705</c:v>
                </c:pt>
                <c:pt idx="417">
                  <c:v>40706</c:v>
                </c:pt>
                <c:pt idx="418">
                  <c:v>40707</c:v>
                </c:pt>
                <c:pt idx="419">
                  <c:v>40708</c:v>
                </c:pt>
                <c:pt idx="420">
                  <c:v>40709</c:v>
                </c:pt>
                <c:pt idx="421">
                  <c:v>40710</c:v>
                </c:pt>
                <c:pt idx="422">
                  <c:v>40711</c:v>
                </c:pt>
                <c:pt idx="423">
                  <c:v>40712</c:v>
                </c:pt>
                <c:pt idx="424">
                  <c:v>40713</c:v>
                </c:pt>
                <c:pt idx="425">
                  <c:v>40714</c:v>
                </c:pt>
                <c:pt idx="426">
                  <c:v>40715</c:v>
                </c:pt>
                <c:pt idx="427">
                  <c:v>40716</c:v>
                </c:pt>
                <c:pt idx="428">
                  <c:v>40717</c:v>
                </c:pt>
                <c:pt idx="429">
                  <c:v>40718</c:v>
                </c:pt>
                <c:pt idx="430">
                  <c:v>40719</c:v>
                </c:pt>
                <c:pt idx="431">
                  <c:v>40720</c:v>
                </c:pt>
                <c:pt idx="432">
                  <c:v>40721</c:v>
                </c:pt>
                <c:pt idx="433">
                  <c:v>40722</c:v>
                </c:pt>
                <c:pt idx="434">
                  <c:v>40723</c:v>
                </c:pt>
                <c:pt idx="435">
                  <c:v>40724</c:v>
                </c:pt>
                <c:pt idx="436">
                  <c:v>40725</c:v>
                </c:pt>
                <c:pt idx="437">
                  <c:v>40726</c:v>
                </c:pt>
                <c:pt idx="438">
                  <c:v>40727</c:v>
                </c:pt>
                <c:pt idx="439">
                  <c:v>40728</c:v>
                </c:pt>
                <c:pt idx="440">
                  <c:v>40729</c:v>
                </c:pt>
                <c:pt idx="441">
                  <c:v>40730</c:v>
                </c:pt>
                <c:pt idx="442">
                  <c:v>40731</c:v>
                </c:pt>
                <c:pt idx="443">
                  <c:v>40732</c:v>
                </c:pt>
                <c:pt idx="444">
                  <c:v>40733</c:v>
                </c:pt>
                <c:pt idx="445">
                  <c:v>40734</c:v>
                </c:pt>
                <c:pt idx="446">
                  <c:v>40735</c:v>
                </c:pt>
                <c:pt idx="447">
                  <c:v>40736</c:v>
                </c:pt>
                <c:pt idx="448">
                  <c:v>40737</c:v>
                </c:pt>
                <c:pt idx="449">
                  <c:v>40738</c:v>
                </c:pt>
                <c:pt idx="450">
                  <c:v>40739</c:v>
                </c:pt>
                <c:pt idx="451">
                  <c:v>40740</c:v>
                </c:pt>
                <c:pt idx="452">
                  <c:v>40741</c:v>
                </c:pt>
                <c:pt idx="453">
                  <c:v>40742</c:v>
                </c:pt>
                <c:pt idx="454">
                  <c:v>40743</c:v>
                </c:pt>
                <c:pt idx="455">
                  <c:v>40744</c:v>
                </c:pt>
                <c:pt idx="456">
                  <c:v>40745</c:v>
                </c:pt>
                <c:pt idx="457">
                  <c:v>40746</c:v>
                </c:pt>
                <c:pt idx="458">
                  <c:v>40747</c:v>
                </c:pt>
                <c:pt idx="459">
                  <c:v>40748</c:v>
                </c:pt>
                <c:pt idx="460">
                  <c:v>40749</c:v>
                </c:pt>
                <c:pt idx="461">
                  <c:v>40750</c:v>
                </c:pt>
                <c:pt idx="462">
                  <c:v>40751</c:v>
                </c:pt>
                <c:pt idx="463">
                  <c:v>40752</c:v>
                </c:pt>
                <c:pt idx="464">
                  <c:v>40753</c:v>
                </c:pt>
                <c:pt idx="465">
                  <c:v>40754</c:v>
                </c:pt>
                <c:pt idx="466">
                  <c:v>40755</c:v>
                </c:pt>
                <c:pt idx="467">
                  <c:v>40756</c:v>
                </c:pt>
                <c:pt idx="468">
                  <c:v>40757</c:v>
                </c:pt>
                <c:pt idx="469">
                  <c:v>40758</c:v>
                </c:pt>
                <c:pt idx="470">
                  <c:v>40759</c:v>
                </c:pt>
                <c:pt idx="471">
                  <c:v>40760</c:v>
                </c:pt>
                <c:pt idx="472">
                  <c:v>40761</c:v>
                </c:pt>
                <c:pt idx="473">
                  <c:v>40762</c:v>
                </c:pt>
                <c:pt idx="474">
                  <c:v>40763</c:v>
                </c:pt>
                <c:pt idx="475">
                  <c:v>40764</c:v>
                </c:pt>
                <c:pt idx="476">
                  <c:v>40765</c:v>
                </c:pt>
                <c:pt idx="477">
                  <c:v>40766</c:v>
                </c:pt>
                <c:pt idx="478">
                  <c:v>40767</c:v>
                </c:pt>
                <c:pt idx="479">
                  <c:v>40768</c:v>
                </c:pt>
                <c:pt idx="480">
                  <c:v>40769</c:v>
                </c:pt>
                <c:pt idx="481">
                  <c:v>40770</c:v>
                </c:pt>
                <c:pt idx="482">
                  <c:v>40771</c:v>
                </c:pt>
                <c:pt idx="483">
                  <c:v>40772</c:v>
                </c:pt>
                <c:pt idx="484">
                  <c:v>40773</c:v>
                </c:pt>
                <c:pt idx="485">
                  <c:v>40774</c:v>
                </c:pt>
                <c:pt idx="486">
                  <c:v>40775</c:v>
                </c:pt>
                <c:pt idx="487">
                  <c:v>40776</c:v>
                </c:pt>
                <c:pt idx="488">
                  <c:v>40777</c:v>
                </c:pt>
                <c:pt idx="489">
                  <c:v>40778</c:v>
                </c:pt>
                <c:pt idx="490">
                  <c:v>40779</c:v>
                </c:pt>
                <c:pt idx="491">
                  <c:v>40780</c:v>
                </c:pt>
                <c:pt idx="492">
                  <c:v>40781</c:v>
                </c:pt>
                <c:pt idx="493">
                  <c:v>40782</c:v>
                </c:pt>
                <c:pt idx="494">
                  <c:v>40783</c:v>
                </c:pt>
                <c:pt idx="495">
                  <c:v>40784</c:v>
                </c:pt>
                <c:pt idx="496">
                  <c:v>40785</c:v>
                </c:pt>
                <c:pt idx="497">
                  <c:v>40786</c:v>
                </c:pt>
                <c:pt idx="498">
                  <c:v>40787</c:v>
                </c:pt>
                <c:pt idx="499">
                  <c:v>40788</c:v>
                </c:pt>
                <c:pt idx="500">
                  <c:v>40789</c:v>
                </c:pt>
                <c:pt idx="501">
                  <c:v>40791</c:v>
                </c:pt>
                <c:pt idx="502">
                  <c:v>40792</c:v>
                </c:pt>
                <c:pt idx="503">
                  <c:v>40793</c:v>
                </c:pt>
                <c:pt idx="504">
                  <c:v>40794</c:v>
                </c:pt>
                <c:pt idx="505">
                  <c:v>40795</c:v>
                </c:pt>
                <c:pt idx="506">
                  <c:v>40796</c:v>
                </c:pt>
                <c:pt idx="507">
                  <c:v>40797</c:v>
                </c:pt>
                <c:pt idx="508">
                  <c:v>40798</c:v>
                </c:pt>
                <c:pt idx="509">
                  <c:v>40799</c:v>
                </c:pt>
                <c:pt idx="510">
                  <c:v>40800</c:v>
                </c:pt>
                <c:pt idx="511">
                  <c:v>40801</c:v>
                </c:pt>
                <c:pt idx="512">
                  <c:v>40802</c:v>
                </c:pt>
                <c:pt idx="513">
                  <c:v>40803</c:v>
                </c:pt>
                <c:pt idx="514">
                  <c:v>40804</c:v>
                </c:pt>
                <c:pt idx="515">
                  <c:v>40805</c:v>
                </c:pt>
                <c:pt idx="516">
                  <c:v>40806</c:v>
                </c:pt>
                <c:pt idx="517">
                  <c:v>40807</c:v>
                </c:pt>
                <c:pt idx="518">
                  <c:v>40808</c:v>
                </c:pt>
                <c:pt idx="519">
                  <c:v>40809</c:v>
                </c:pt>
                <c:pt idx="520">
                  <c:v>40810</c:v>
                </c:pt>
                <c:pt idx="521">
                  <c:v>40812</c:v>
                </c:pt>
                <c:pt idx="522">
                  <c:v>40813</c:v>
                </c:pt>
                <c:pt idx="523">
                  <c:v>40814</c:v>
                </c:pt>
                <c:pt idx="524">
                  <c:v>40815</c:v>
                </c:pt>
                <c:pt idx="525">
                  <c:v>40816</c:v>
                </c:pt>
                <c:pt idx="526">
                  <c:v>40817</c:v>
                </c:pt>
                <c:pt idx="527">
                  <c:v>40818</c:v>
                </c:pt>
                <c:pt idx="528">
                  <c:v>40819</c:v>
                </c:pt>
                <c:pt idx="529">
                  <c:v>40820</c:v>
                </c:pt>
                <c:pt idx="530">
                  <c:v>40821</c:v>
                </c:pt>
                <c:pt idx="531">
                  <c:v>40822</c:v>
                </c:pt>
                <c:pt idx="532">
                  <c:v>40823</c:v>
                </c:pt>
                <c:pt idx="533">
                  <c:v>40824</c:v>
                </c:pt>
                <c:pt idx="534">
                  <c:v>40825</c:v>
                </c:pt>
                <c:pt idx="535">
                  <c:v>40826</c:v>
                </c:pt>
                <c:pt idx="536">
                  <c:v>40827</c:v>
                </c:pt>
                <c:pt idx="537">
                  <c:v>40828</c:v>
                </c:pt>
                <c:pt idx="538">
                  <c:v>40829</c:v>
                </c:pt>
                <c:pt idx="539">
                  <c:v>40830</c:v>
                </c:pt>
                <c:pt idx="540">
                  <c:v>40831</c:v>
                </c:pt>
                <c:pt idx="541">
                  <c:v>40832</c:v>
                </c:pt>
                <c:pt idx="542">
                  <c:v>40833</c:v>
                </c:pt>
                <c:pt idx="543">
                  <c:v>40834</c:v>
                </c:pt>
                <c:pt idx="544">
                  <c:v>40835</c:v>
                </c:pt>
                <c:pt idx="545">
                  <c:v>40836</c:v>
                </c:pt>
                <c:pt idx="546">
                  <c:v>40837</c:v>
                </c:pt>
                <c:pt idx="547">
                  <c:v>40838</c:v>
                </c:pt>
                <c:pt idx="548">
                  <c:v>40839</c:v>
                </c:pt>
                <c:pt idx="549">
                  <c:v>40840</c:v>
                </c:pt>
                <c:pt idx="550">
                  <c:v>40841</c:v>
                </c:pt>
                <c:pt idx="551">
                  <c:v>40842</c:v>
                </c:pt>
                <c:pt idx="552">
                  <c:v>40843</c:v>
                </c:pt>
                <c:pt idx="553">
                  <c:v>40844</c:v>
                </c:pt>
                <c:pt idx="554">
                  <c:v>40845</c:v>
                </c:pt>
                <c:pt idx="555">
                  <c:v>40846</c:v>
                </c:pt>
                <c:pt idx="556">
                  <c:v>40847</c:v>
                </c:pt>
                <c:pt idx="557">
                  <c:v>40848</c:v>
                </c:pt>
                <c:pt idx="558">
                  <c:v>40849</c:v>
                </c:pt>
                <c:pt idx="559">
                  <c:v>40850</c:v>
                </c:pt>
                <c:pt idx="560">
                  <c:v>40851</c:v>
                </c:pt>
                <c:pt idx="561">
                  <c:v>40852</c:v>
                </c:pt>
                <c:pt idx="562">
                  <c:v>40853</c:v>
                </c:pt>
                <c:pt idx="563">
                  <c:v>40854</c:v>
                </c:pt>
                <c:pt idx="564">
                  <c:v>40855</c:v>
                </c:pt>
                <c:pt idx="565">
                  <c:v>40856</c:v>
                </c:pt>
                <c:pt idx="566">
                  <c:v>40857</c:v>
                </c:pt>
                <c:pt idx="567">
                  <c:v>40858</c:v>
                </c:pt>
                <c:pt idx="568">
                  <c:v>40859</c:v>
                </c:pt>
                <c:pt idx="569">
                  <c:v>40860</c:v>
                </c:pt>
                <c:pt idx="570">
                  <c:v>40861</c:v>
                </c:pt>
                <c:pt idx="571">
                  <c:v>40862</c:v>
                </c:pt>
                <c:pt idx="572">
                  <c:v>40863</c:v>
                </c:pt>
                <c:pt idx="573">
                  <c:v>40864</c:v>
                </c:pt>
                <c:pt idx="574">
                  <c:v>40865</c:v>
                </c:pt>
                <c:pt idx="575">
                  <c:v>40866</c:v>
                </c:pt>
                <c:pt idx="576">
                  <c:v>40867</c:v>
                </c:pt>
                <c:pt idx="577">
                  <c:v>40868</c:v>
                </c:pt>
                <c:pt idx="578">
                  <c:v>40869</c:v>
                </c:pt>
                <c:pt idx="579">
                  <c:v>40870</c:v>
                </c:pt>
                <c:pt idx="580">
                  <c:v>40871</c:v>
                </c:pt>
                <c:pt idx="581">
                  <c:v>40872</c:v>
                </c:pt>
                <c:pt idx="582">
                  <c:v>40873</c:v>
                </c:pt>
                <c:pt idx="583">
                  <c:v>40874</c:v>
                </c:pt>
                <c:pt idx="584">
                  <c:v>40875</c:v>
                </c:pt>
                <c:pt idx="585">
                  <c:v>40876</c:v>
                </c:pt>
                <c:pt idx="586">
                  <c:v>40877</c:v>
                </c:pt>
                <c:pt idx="587">
                  <c:v>40878</c:v>
                </c:pt>
                <c:pt idx="588">
                  <c:v>40879</c:v>
                </c:pt>
                <c:pt idx="589">
                  <c:v>40880</c:v>
                </c:pt>
                <c:pt idx="590">
                  <c:v>40881</c:v>
                </c:pt>
                <c:pt idx="591">
                  <c:v>40882</c:v>
                </c:pt>
                <c:pt idx="592">
                  <c:v>40883</c:v>
                </c:pt>
                <c:pt idx="593">
                  <c:v>40884</c:v>
                </c:pt>
                <c:pt idx="594">
                  <c:v>40885</c:v>
                </c:pt>
                <c:pt idx="595">
                  <c:v>40886</c:v>
                </c:pt>
                <c:pt idx="596">
                  <c:v>40887</c:v>
                </c:pt>
                <c:pt idx="597">
                  <c:v>40888</c:v>
                </c:pt>
                <c:pt idx="598">
                  <c:v>40889</c:v>
                </c:pt>
                <c:pt idx="599">
                  <c:v>40890</c:v>
                </c:pt>
                <c:pt idx="600">
                  <c:v>40891</c:v>
                </c:pt>
                <c:pt idx="601">
                  <c:v>40892</c:v>
                </c:pt>
                <c:pt idx="602">
                  <c:v>40893</c:v>
                </c:pt>
                <c:pt idx="603">
                  <c:v>40894</c:v>
                </c:pt>
                <c:pt idx="604">
                  <c:v>40895</c:v>
                </c:pt>
                <c:pt idx="605">
                  <c:v>40896</c:v>
                </c:pt>
                <c:pt idx="606">
                  <c:v>40897</c:v>
                </c:pt>
                <c:pt idx="607">
                  <c:v>40898</c:v>
                </c:pt>
                <c:pt idx="608">
                  <c:v>40899</c:v>
                </c:pt>
                <c:pt idx="609">
                  <c:v>40900</c:v>
                </c:pt>
                <c:pt idx="610">
                  <c:v>40901</c:v>
                </c:pt>
                <c:pt idx="611">
                  <c:v>40902</c:v>
                </c:pt>
                <c:pt idx="612">
                  <c:v>40903</c:v>
                </c:pt>
                <c:pt idx="613">
                  <c:v>40904</c:v>
                </c:pt>
                <c:pt idx="614">
                  <c:v>40905</c:v>
                </c:pt>
                <c:pt idx="615">
                  <c:v>40906</c:v>
                </c:pt>
                <c:pt idx="616">
                  <c:v>40907</c:v>
                </c:pt>
                <c:pt idx="617">
                  <c:v>40908</c:v>
                </c:pt>
                <c:pt idx="618">
                  <c:v>40909</c:v>
                </c:pt>
                <c:pt idx="619">
                  <c:v>40910</c:v>
                </c:pt>
                <c:pt idx="620">
                  <c:v>40911</c:v>
                </c:pt>
                <c:pt idx="621">
                  <c:v>40912</c:v>
                </c:pt>
                <c:pt idx="622">
                  <c:v>40913</c:v>
                </c:pt>
                <c:pt idx="623">
                  <c:v>40914</c:v>
                </c:pt>
                <c:pt idx="624">
                  <c:v>40915</c:v>
                </c:pt>
                <c:pt idx="625">
                  <c:v>40916</c:v>
                </c:pt>
                <c:pt idx="626">
                  <c:v>40917</c:v>
                </c:pt>
                <c:pt idx="627">
                  <c:v>40918</c:v>
                </c:pt>
                <c:pt idx="628">
                  <c:v>40919</c:v>
                </c:pt>
                <c:pt idx="629">
                  <c:v>40920</c:v>
                </c:pt>
                <c:pt idx="630">
                  <c:v>40921</c:v>
                </c:pt>
                <c:pt idx="631">
                  <c:v>40922</c:v>
                </c:pt>
                <c:pt idx="632">
                  <c:v>40923</c:v>
                </c:pt>
                <c:pt idx="633">
                  <c:v>40924</c:v>
                </c:pt>
                <c:pt idx="634">
                  <c:v>40925</c:v>
                </c:pt>
                <c:pt idx="635">
                  <c:v>40926</c:v>
                </c:pt>
                <c:pt idx="636">
                  <c:v>40927</c:v>
                </c:pt>
                <c:pt idx="637">
                  <c:v>40928</c:v>
                </c:pt>
                <c:pt idx="638">
                  <c:v>40929</c:v>
                </c:pt>
                <c:pt idx="639">
                  <c:v>40930</c:v>
                </c:pt>
                <c:pt idx="640">
                  <c:v>40931</c:v>
                </c:pt>
                <c:pt idx="641">
                  <c:v>40932</c:v>
                </c:pt>
                <c:pt idx="642">
                  <c:v>40933</c:v>
                </c:pt>
                <c:pt idx="643">
                  <c:v>40934</c:v>
                </c:pt>
                <c:pt idx="644">
                  <c:v>40935</c:v>
                </c:pt>
                <c:pt idx="645">
                  <c:v>40936</c:v>
                </c:pt>
                <c:pt idx="646">
                  <c:v>40937</c:v>
                </c:pt>
                <c:pt idx="647">
                  <c:v>40938</c:v>
                </c:pt>
                <c:pt idx="648">
                  <c:v>40939</c:v>
                </c:pt>
                <c:pt idx="649">
                  <c:v>40940</c:v>
                </c:pt>
                <c:pt idx="650">
                  <c:v>40941</c:v>
                </c:pt>
                <c:pt idx="651">
                  <c:v>40942</c:v>
                </c:pt>
                <c:pt idx="652">
                  <c:v>40943</c:v>
                </c:pt>
                <c:pt idx="653">
                  <c:v>40944</c:v>
                </c:pt>
                <c:pt idx="654">
                  <c:v>40945</c:v>
                </c:pt>
                <c:pt idx="655">
                  <c:v>40946</c:v>
                </c:pt>
                <c:pt idx="656">
                  <c:v>40947</c:v>
                </c:pt>
                <c:pt idx="657">
                  <c:v>40948</c:v>
                </c:pt>
                <c:pt idx="658">
                  <c:v>40949</c:v>
                </c:pt>
                <c:pt idx="659">
                  <c:v>40950</c:v>
                </c:pt>
                <c:pt idx="660">
                  <c:v>40951</c:v>
                </c:pt>
                <c:pt idx="661">
                  <c:v>40952</c:v>
                </c:pt>
                <c:pt idx="662">
                  <c:v>40953</c:v>
                </c:pt>
                <c:pt idx="663">
                  <c:v>40954</c:v>
                </c:pt>
                <c:pt idx="664">
                  <c:v>40955</c:v>
                </c:pt>
                <c:pt idx="665">
                  <c:v>40956</c:v>
                </c:pt>
                <c:pt idx="666">
                  <c:v>40957</c:v>
                </c:pt>
                <c:pt idx="667">
                  <c:v>40958</c:v>
                </c:pt>
                <c:pt idx="668">
                  <c:v>40959</c:v>
                </c:pt>
                <c:pt idx="669">
                  <c:v>40960</c:v>
                </c:pt>
                <c:pt idx="670">
                  <c:v>40961</c:v>
                </c:pt>
                <c:pt idx="671">
                  <c:v>40962</c:v>
                </c:pt>
                <c:pt idx="672">
                  <c:v>40963</c:v>
                </c:pt>
                <c:pt idx="673">
                  <c:v>40964</c:v>
                </c:pt>
                <c:pt idx="674">
                  <c:v>40965</c:v>
                </c:pt>
                <c:pt idx="675">
                  <c:v>40966</c:v>
                </c:pt>
                <c:pt idx="676">
                  <c:v>40967</c:v>
                </c:pt>
                <c:pt idx="677">
                  <c:v>40968</c:v>
                </c:pt>
                <c:pt idx="678">
                  <c:v>40969</c:v>
                </c:pt>
                <c:pt idx="679">
                  <c:v>40970</c:v>
                </c:pt>
                <c:pt idx="680">
                  <c:v>40971</c:v>
                </c:pt>
                <c:pt idx="681">
                  <c:v>40972</c:v>
                </c:pt>
                <c:pt idx="682">
                  <c:v>40973</c:v>
                </c:pt>
                <c:pt idx="683">
                  <c:v>40974</c:v>
                </c:pt>
                <c:pt idx="684">
                  <c:v>40975</c:v>
                </c:pt>
                <c:pt idx="685">
                  <c:v>40976</c:v>
                </c:pt>
                <c:pt idx="686">
                  <c:v>40977</c:v>
                </c:pt>
                <c:pt idx="687">
                  <c:v>40978</c:v>
                </c:pt>
                <c:pt idx="688">
                  <c:v>40979</c:v>
                </c:pt>
                <c:pt idx="689">
                  <c:v>40980</c:v>
                </c:pt>
                <c:pt idx="690">
                  <c:v>40981</c:v>
                </c:pt>
                <c:pt idx="691">
                  <c:v>40982</c:v>
                </c:pt>
                <c:pt idx="692">
                  <c:v>40983</c:v>
                </c:pt>
                <c:pt idx="693">
                  <c:v>40984</c:v>
                </c:pt>
                <c:pt idx="694">
                  <c:v>40985</c:v>
                </c:pt>
                <c:pt idx="695">
                  <c:v>40986</c:v>
                </c:pt>
                <c:pt idx="696">
                  <c:v>40987</c:v>
                </c:pt>
                <c:pt idx="697">
                  <c:v>40988</c:v>
                </c:pt>
                <c:pt idx="698">
                  <c:v>40989</c:v>
                </c:pt>
                <c:pt idx="699">
                  <c:v>40990</c:v>
                </c:pt>
                <c:pt idx="700">
                  <c:v>40991</c:v>
                </c:pt>
                <c:pt idx="701">
                  <c:v>40992</c:v>
                </c:pt>
                <c:pt idx="702">
                  <c:v>40993</c:v>
                </c:pt>
                <c:pt idx="703">
                  <c:v>40994</c:v>
                </c:pt>
                <c:pt idx="704">
                  <c:v>40995</c:v>
                </c:pt>
                <c:pt idx="705">
                  <c:v>40996</c:v>
                </c:pt>
                <c:pt idx="706">
                  <c:v>40997</c:v>
                </c:pt>
                <c:pt idx="707">
                  <c:v>40998</c:v>
                </c:pt>
                <c:pt idx="708">
                  <c:v>40999</c:v>
                </c:pt>
                <c:pt idx="709">
                  <c:v>41000</c:v>
                </c:pt>
                <c:pt idx="710">
                  <c:v>41001</c:v>
                </c:pt>
                <c:pt idx="711">
                  <c:v>41002</c:v>
                </c:pt>
                <c:pt idx="712">
                  <c:v>41003</c:v>
                </c:pt>
                <c:pt idx="713">
                  <c:v>41004</c:v>
                </c:pt>
                <c:pt idx="714">
                  <c:v>41005</c:v>
                </c:pt>
                <c:pt idx="715">
                  <c:v>41006</c:v>
                </c:pt>
                <c:pt idx="716">
                  <c:v>41007</c:v>
                </c:pt>
                <c:pt idx="717">
                  <c:v>41008</c:v>
                </c:pt>
                <c:pt idx="718">
                  <c:v>41009</c:v>
                </c:pt>
                <c:pt idx="719">
                  <c:v>41010</c:v>
                </c:pt>
                <c:pt idx="720">
                  <c:v>41011</c:v>
                </c:pt>
                <c:pt idx="721">
                  <c:v>41012</c:v>
                </c:pt>
                <c:pt idx="722">
                  <c:v>41013</c:v>
                </c:pt>
                <c:pt idx="723">
                  <c:v>41014</c:v>
                </c:pt>
                <c:pt idx="724">
                  <c:v>41015</c:v>
                </c:pt>
                <c:pt idx="725">
                  <c:v>41016</c:v>
                </c:pt>
                <c:pt idx="726">
                  <c:v>41017</c:v>
                </c:pt>
                <c:pt idx="727">
                  <c:v>41018</c:v>
                </c:pt>
                <c:pt idx="728">
                  <c:v>41019</c:v>
                </c:pt>
                <c:pt idx="729">
                  <c:v>41020</c:v>
                </c:pt>
                <c:pt idx="730">
                  <c:v>41021</c:v>
                </c:pt>
                <c:pt idx="731">
                  <c:v>41022</c:v>
                </c:pt>
                <c:pt idx="732">
                  <c:v>41023</c:v>
                </c:pt>
                <c:pt idx="733">
                  <c:v>41024</c:v>
                </c:pt>
                <c:pt idx="734">
                  <c:v>41025</c:v>
                </c:pt>
                <c:pt idx="735">
                  <c:v>41026</c:v>
                </c:pt>
                <c:pt idx="736">
                  <c:v>41027</c:v>
                </c:pt>
                <c:pt idx="737">
                  <c:v>41028</c:v>
                </c:pt>
                <c:pt idx="738">
                  <c:v>41029</c:v>
                </c:pt>
                <c:pt idx="739">
                  <c:v>41030</c:v>
                </c:pt>
                <c:pt idx="740">
                  <c:v>41031</c:v>
                </c:pt>
                <c:pt idx="741">
                  <c:v>41032</c:v>
                </c:pt>
                <c:pt idx="742">
                  <c:v>41033</c:v>
                </c:pt>
                <c:pt idx="743">
                  <c:v>41034</c:v>
                </c:pt>
                <c:pt idx="744">
                  <c:v>41035</c:v>
                </c:pt>
                <c:pt idx="745">
                  <c:v>41036</c:v>
                </c:pt>
                <c:pt idx="746">
                  <c:v>41037</c:v>
                </c:pt>
                <c:pt idx="747">
                  <c:v>41038</c:v>
                </c:pt>
                <c:pt idx="748">
                  <c:v>41039</c:v>
                </c:pt>
                <c:pt idx="749">
                  <c:v>41040</c:v>
                </c:pt>
                <c:pt idx="750">
                  <c:v>41041</c:v>
                </c:pt>
                <c:pt idx="751">
                  <c:v>41042</c:v>
                </c:pt>
                <c:pt idx="752">
                  <c:v>41043</c:v>
                </c:pt>
                <c:pt idx="753">
                  <c:v>41044</c:v>
                </c:pt>
                <c:pt idx="754">
                  <c:v>41045</c:v>
                </c:pt>
                <c:pt idx="755">
                  <c:v>41046</c:v>
                </c:pt>
                <c:pt idx="756">
                  <c:v>41047</c:v>
                </c:pt>
                <c:pt idx="757">
                  <c:v>41048</c:v>
                </c:pt>
                <c:pt idx="758">
                  <c:v>41049</c:v>
                </c:pt>
                <c:pt idx="759">
                  <c:v>41050</c:v>
                </c:pt>
                <c:pt idx="760">
                  <c:v>41051</c:v>
                </c:pt>
                <c:pt idx="761">
                  <c:v>41052</c:v>
                </c:pt>
                <c:pt idx="762">
                  <c:v>41053</c:v>
                </c:pt>
                <c:pt idx="763">
                  <c:v>41054</c:v>
                </c:pt>
                <c:pt idx="764">
                  <c:v>41055</c:v>
                </c:pt>
                <c:pt idx="765">
                  <c:v>41056</c:v>
                </c:pt>
                <c:pt idx="766">
                  <c:v>41057</c:v>
                </c:pt>
                <c:pt idx="767">
                  <c:v>41058</c:v>
                </c:pt>
                <c:pt idx="768">
                  <c:v>41059</c:v>
                </c:pt>
                <c:pt idx="769">
                  <c:v>41060</c:v>
                </c:pt>
                <c:pt idx="770">
                  <c:v>41061</c:v>
                </c:pt>
                <c:pt idx="771">
                  <c:v>41062</c:v>
                </c:pt>
                <c:pt idx="772">
                  <c:v>41063</c:v>
                </c:pt>
                <c:pt idx="773">
                  <c:v>41064</c:v>
                </c:pt>
                <c:pt idx="774">
                  <c:v>41065</c:v>
                </c:pt>
                <c:pt idx="775">
                  <c:v>41066</c:v>
                </c:pt>
                <c:pt idx="776">
                  <c:v>41067</c:v>
                </c:pt>
                <c:pt idx="777">
                  <c:v>41068</c:v>
                </c:pt>
                <c:pt idx="778">
                  <c:v>41069</c:v>
                </c:pt>
                <c:pt idx="779">
                  <c:v>41070</c:v>
                </c:pt>
                <c:pt idx="780">
                  <c:v>41071</c:v>
                </c:pt>
                <c:pt idx="781">
                  <c:v>41072</c:v>
                </c:pt>
                <c:pt idx="782">
                  <c:v>41073</c:v>
                </c:pt>
                <c:pt idx="783">
                  <c:v>41074</c:v>
                </c:pt>
                <c:pt idx="784">
                  <c:v>41075</c:v>
                </c:pt>
                <c:pt idx="785">
                  <c:v>41076</c:v>
                </c:pt>
                <c:pt idx="786">
                  <c:v>41077</c:v>
                </c:pt>
                <c:pt idx="787">
                  <c:v>41078</c:v>
                </c:pt>
                <c:pt idx="788">
                  <c:v>41079</c:v>
                </c:pt>
                <c:pt idx="789">
                  <c:v>41080</c:v>
                </c:pt>
                <c:pt idx="790">
                  <c:v>41081</c:v>
                </c:pt>
                <c:pt idx="791">
                  <c:v>41082</c:v>
                </c:pt>
                <c:pt idx="792">
                  <c:v>41083</c:v>
                </c:pt>
                <c:pt idx="793">
                  <c:v>41084</c:v>
                </c:pt>
                <c:pt idx="794">
                  <c:v>41085</c:v>
                </c:pt>
                <c:pt idx="795">
                  <c:v>41086</c:v>
                </c:pt>
                <c:pt idx="796">
                  <c:v>41087</c:v>
                </c:pt>
                <c:pt idx="797">
                  <c:v>41088</c:v>
                </c:pt>
                <c:pt idx="798">
                  <c:v>41089</c:v>
                </c:pt>
                <c:pt idx="799">
                  <c:v>41090</c:v>
                </c:pt>
                <c:pt idx="800">
                  <c:v>41091</c:v>
                </c:pt>
                <c:pt idx="801">
                  <c:v>41092</c:v>
                </c:pt>
                <c:pt idx="802">
                  <c:v>41093</c:v>
                </c:pt>
                <c:pt idx="803">
                  <c:v>41094</c:v>
                </c:pt>
                <c:pt idx="804">
                  <c:v>41095</c:v>
                </c:pt>
                <c:pt idx="805">
                  <c:v>41096</c:v>
                </c:pt>
                <c:pt idx="806">
                  <c:v>41097</c:v>
                </c:pt>
                <c:pt idx="807">
                  <c:v>41098</c:v>
                </c:pt>
                <c:pt idx="808">
                  <c:v>41099</c:v>
                </c:pt>
                <c:pt idx="809">
                  <c:v>41100</c:v>
                </c:pt>
                <c:pt idx="810">
                  <c:v>41101</c:v>
                </c:pt>
                <c:pt idx="811">
                  <c:v>41102</c:v>
                </c:pt>
                <c:pt idx="812">
                  <c:v>41103</c:v>
                </c:pt>
                <c:pt idx="813">
                  <c:v>41104</c:v>
                </c:pt>
                <c:pt idx="814">
                  <c:v>41106</c:v>
                </c:pt>
                <c:pt idx="815">
                  <c:v>41107</c:v>
                </c:pt>
                <c:pt idx="816">
                  <c:v>41108</c:v>
                </c:pt>
                <c:pt idx="817">
                  <c:v>41109</c:v>
                </c:pt>
                <c:pt idx="818">
                  <c:v>41110</c:v>
                </c:pt>
                <c:pt idx="819">
                  <c:v>41111</c:v>
                </c:pt>
                <c:pt idx="820">
                  <c:v>41112</c:v>
                </c:pt>
                <c:pt idx="821">
                  <c:v>41113</c:v>
                </c:pt>
                <c:pt idx="822">
                  <c:v>41114</c:v>
                </c:pt>
                <c:pt idx="823">
                  <c:v>41115</c:v>
                </c:pt>
                <c:pt idx="824">
                  <c:v>41116</c:v>
                </c:pt>
                <c:pt idx="825">
                  <c:v>41117</c:v>
                </c:pt>
                <c:pt idx="826">
                  <c:v>41118</c:v>
                </c:pt>
                <c:pt idx="827">
                  <c:v>41119</c:v>
                </c:pt>
                <c:pt idx="828">
                  <c:v>41120</c:v>
                </c:pt>
                <c:pt idx="829">
                  <c:v>41121</c:v>
                </c:pt>
                <c:pt idx="830">
                  <c:v>41122</c:v>
                </c:pt>
                <c:pt idx="831">
                  <c:v>41123</c:v>
                </c:pt>
                <c:pt idx="832">
                  <c:v>41124</c:v>
                </c:pt>
                <c:pt idx="833">
                  <c:v>41125</c:v>
                </c:pt>
                <c:pt idx="834">
                  <c:v>41126</c:v>
                </c:pt>
                <c:pt idx="835">
                  <c:v>41127</c:v>
                </c:pt>
                <c:pt idx="836">
                  <c:v>41128</c:v>
                </c:pt>
                <c:pt idx="837">
                  <c:v>41129</c:v>
                </c:pt>
                <c:pt idx="838">
                  <c:v>41130</c:v>
                </c:pt>
                <c:pt idx="839">
                  <c:v>41131</c:v>
                </c:pt>
                <c:pt idx="840">
                  <c:v>41132</c:v>
                </c:pt>
                <c:pt idx="841">
                  <c:v>41133</c:v>
                </c:pt>
                <c:pt idx="842">
                  <c:v>41134</c:v>
                </c:pt>
                <c:pt idx="843">
                  <c:v>41135</c:v>
                </c:pt>
                <c:pt idx="844">
                  <c:v>41136</c:v>
                </c:pt>
                <c:pt idx="845">
                  <c:v>41137</c:v>
                </c:pt>
                <c:pt idx="846">
                  <c:v>41138</c:v>
                </c:pt>
                <c:pt idx="847">
                  <c:v>41139</c:v>
                </c:pt>
                <c:pt idx="848">
                  <c:v>41140</c:v>
                </c:pt>
                <c:pt idx="849">
                  <c:v>41141</c:v>
                </c:pt>
                <c:pt idx="850">
                  <c:v>41142</c:v>
                </c:pt>
                <c:pt idx="851">
                  <c:v>41143</c:v>
                </c:pt>
                <c:pt idx="852">
                  <c:v>41144</c:v>
                </c:pt>
                <c:pt idx="853">
                  <c:v>41145</c:v>
                </c:pt>
                <c:pt idx="854">
                  <c:v>41146</c:v>
                </c:pt>
                <c:pt idx="855">
                  <c:v>41147</c:v>
                </c:pt>
                <c:pt idx="856">
                  <c:v>41148</c:v>
                </c:pt>
                <c:pt idx="857">
                  <c:v>41149</c:v>
                </c:pt>
                <c:pt idx="858">
                  <c:v>41150</c:v>
                </c:pt>
                <c:pt idx="859">
                  <c:v>41151</c:v>
                </c:pt>
                <c:pt idx="860">
                  <c:v>41152</c:v>
                </c:pt>
                <c:pt idx="861">
                  <c:v>41153</c:v>
                </c:pt>
                <c:pt idx="862">
                  <c:v>41154</c:v>
                </c:pt>
                <c:pt idx="863">
                  <c:v>41155</c:v>
                </c:pt>
                <c:pt idx="864">
                  <c:v>41156</c:v>
                </c:pt>
                <c:pt idx="865">
                  <c:v>41157</c:v>
                </c:pt>
                <c:pt idx="866">
                  <c:v>41158</c:v>
                </c:pt>
                <c:pt idx="867">
                  <c:v>41159</c:v>
                </c:pt>
                <c:pt idx="868">
                  <c:v>41160</c:v>
                </c:pt>
                <c:pt idx="869">
                  <c:v>41161</c:v>
                </c:pt>
                <c:pt idx="870">
                  <c:v>41162</c:v>
                </c:pt>
                <c:pt idx="871">
                  <c:v>41163</c:v>
                </c:pt>
                <c:pt idx="872">
                  <c:v>41164</c:v>
                </c:pt>
                <c:pt idx="873">
                  <c:v>41165</c:v>
                </c:pt>
                <c:pt idx="874">
                  <c:v>41166</c:v>
                </c:pt>
                <c:pt idx="875">
                  <c:v>41167</c:v>
                </c:pt>
                <c:pt idx="876">
                  <c:v>41168</c:v>
                </c:pt>
                <c:pt idx="877">
                  <c:v>41169</c:v>
                </c:pt>
                <c:pt idx="878">
                  <c:v>41170</c:v>
                </c:pt>
                <c:pt idx="879">
                  <c:v>41171</c:v>
                </c:pt>
                <c:pt idx="880">
                  <c:v>41172</c:v>
                </c:pt>
                <c:pt idx="881">
                  <c:v>41173</c:v>
                </c:pt>
                <c:pt idx="882">
                  <c:v>41174</c:v>
                </c:pt>
                <c:pt idx="883">
                  <c:v>41175</c:v>
                </c:pt>
                <c:pt idx="884">
                  <c:v>41176</c:v>
                </c:pt>
                <c:pt idx="885">
                  <c:v>41177</c:v>
                </c:pt>
                <c:pt idx="886">
                  <c:v>41178</c:v>
                </c:pt>
                <c:pt idx="887">
                  <c:v>41179</c:v>
                </c:pt>
                <c:pt idx="888">
                  <c:v>41180</c:v>
                </c:pt>
                <c:pt idx="889">
                  <c:v>41181</c:v>
                </c:pt>
                <c:pt idx="890">
                  <c:v>41182</c:v>
                </c:pt>
                <c:pt idx="891">
                  <c:v>41183</c:v>
                </c:pt>
                <c:pt idx="892">
                  <c:v>41184</c:v>
                </c:pt>
                <c:pt idx="893">
                  <c:v>41185</c:v>
                </c:pt>
                <c:pt idx="894">
                  <c:v>41186</c:v>
                </c:pt>
                <c:pt idx="895">
                  <c:v>41187</c:v>
                </c:pt>
                <c:pt idx="896">
                  <c:v>41188</c:v>
                </c:pt>
                <c:pt idx="897">
                  <c:v>41189</c:v>
                </c:pt>
                <c:pt idx="898">
                  <c:v>41190</c:v>
                </c:pt>
                <c:pt idx="899">
                  <c:v>41191</c:v>
                </c:pt>
                <c:pt idx="900">
                  <c:v>41192</c:v>
                </c:pt>
                <c:pt idx="901">
                  <c:v>41193</c:v>
                </c:pt>
                <c:pt idx="902">
                  <c:v>41194</c:v>
                </c:pt>
                <c:pt idx="903">
                  <c:v>41195</c:v>
                </c:pt>
                <c:pt idx="904">
                  <c:v>41196</c:v>
                </c:pt>
                <c:pt idx="905">
                  <c:v>41197</c:v>
                </c:pt>
                <c:pt idx="906">
                  <c:v>41198</c:v>
                </c:pt>
                <c:pt idx="907">
                  <c:v>41199</c:v>
                </c:pt>
                <c:pt idx="908">
                  <c:v>41200</c:v>
                </c:pt>
                <c:pt idx="909">
                  <c:v>41201</c:v>
                </c:pt>
                <c:pt idx="910">
                  <c:v>41202</c:v>
                </c:pt>
                <c:pt idx="911">
                  <c:v>41203</c:v>
                </c:pt>
                <c:pt idx="912">
                  <c:v>41204</c:v>
                </c:pt>
                <c:pt idx="913">
                  <c:v>41205</c:v>
                </c:pt>
                <c:pt idx="914">
                  <c:v>41206</c:v>
                </c:pt>
                <c:pt idx="915">
                  <c:v>41207</c:v>
                </c:pt>
                <c:pt idx="916">
                  <c:v>41208</c:v>
                </c:pt>
                <c:pt idx="917">
                  <c:v>41209</c:v>
                </c:pt>
                <c:pt idx="918">
                  <c:v>41210</c:v>
                </c:pt>
                <c:pt idx="919">
                  <c:v>41211</c:v>
                </c:pt>
                <c:pt idx="920">
                  <c:v>41212</c:v>
                </c:pt>
                <c:pt idx="921">
                  <c:v>41213</c:v>
                </c:pt>
                <c:pt idx="922">
                  <c:v>41214</c:v>
                </c:pt>
                <c:pt idx="923">
                  <c:v>41215</c:v>
                </c:pt>
                <c:pt idx="924">
                  <c:v>41216</c:v>
                </c:pt>
                <c:pt idx="925">
                  <c:v>41217</c:v>
                </c:pt>
                <c:pt idx="926">
                  <c:v>41218</c:v>
                </c:pt>
                <c:pt idx="927">
                  <c:v>41219</c:v>
                </c:pt>
                <c:pt idx="928">
                  <c:v>41220</c:v>
                </c:pt>
                <c:pt idx="929">
                  <c:v>41221</c:v>
                </c:pt>
                <c:pt idx="930">
                  <c:v>41222</c:v>
                </c:pt>
                <c:pt idx="931">
                  <c:v>41223</c:v>
                </c:pt>
                <c:pt idx="932">
                  <c:v>41224</c:v>
                </c:pt>
                <c:pt idx="933">
                  <c:v>41225</c:v>
                </c:pt>
                <c:pt idx="934">
                  <c:v>41226</c:v>
                </c:pt>
                <c:pt idx="935">
                  <c:v>41227</c:v>
                </c:pt>
                <c:pt idx="936">
                  <c:v>41228</c:v>
                </c:pt>
                <c:pt idx="937">
                  <c:v>41229</c:v>
                </c:pt>
                <c:pt idx="938">
                  <c:v>41230</c:v>
                </c:pt>
                <c:pt idx="939">
                  <c:v>41231</c:v>
                </c:pt>
                <c:pt idx="940">
                  <c:v>41232</c:v>
                </c:pt>
                <c:pt idx="941">
                  <c:v>41233</c:v>
                </c:pt>
                <c:pt idx="942">
                  <c:v>41234</c:v>
                </c:pt>
                <c:pt idx="943">
                  <c:v>41235</c:v>
                </c:pt>
                <c:pt idx="944">
                  <c:v>41236</c:v>
                </c:pt>
                <c:pt idx="945">
                  <c:v>41237</c:v>
                </c:pt>
                <c:pt idx="946">
                  <c:v>41238</c:v>
                </c:pt>
                <c:pt idx="947">
                  <c:v>41239</c:v>
                </c:pt>
                <c:pt idx="948">
                  <c:v>41240</c:v>
                </c:pt>
                <c:pt idx="949">
                  <c:v>41241</c:v>
                </c:pt>
                <c:pt idx="950">
                  <c:v>41242</c:v>
                </c:pt>
                <c:pt idx="951">
                  <c:v>41243</c:v>
                </c:pt>
                <c:pt idx="952">
                  <c:v>41244</c:v>
                </c:pt>
                <c:pt idx="953">
                  <c:v>41245</c:v>
                </c:pt>
                <c:pt idx="954">
                  <c:v>41246</c:v>
                </c:pt>
                <c:pt idx="955">
                  <c:v>41247</c:v>
                </c:pt>
                <c:pt idx="956">
                  <c:v>41248</c:v>
                </c:pt>
                <c:pt idx="957">
                  <c:v>41249</c:v>
                </c:pt>
                <c:pt idx="958">
                  <c:v>41250</c:v>
                </c:pt>
                <c:pt idx="959">
                  <c:v>41251</c:v>
                </c:pt>
                <c:pt idx="960">
                  <c:v>41252</c:v>
                </c:pt>
                <c:pt idx="961">
                  <c:v>41253</c:v>
                </c:pt>
                <c:pt idx="962">
                  <c:v>41254</c:v>
                </c:pt>
                <c:pt idx="963">
                  <c:v>41255</c:v>
                </c:pt>
                <c:pt idx="964">
                  <c:v>41256</c:v>
                </c:pt>
                <c:pt idx="965">
                  <c:v>41257</c:v>
                </c:pt>
                <c:pt idx="966">
                  <c:v>41258</c:v>
                </c:pt>
                <c:pt idx="967">
                  <c:v>41259</c:v>
                </c:pt>
                <c:pt idx="968">
                  <c:v>41260</c:v>
                </c:pt>
                <c:pt idx="969">
                  <c:v>41261</c:v>
                </c:pt>
                <c:pt idx="970">
                  <c:v>41262</c:v>
                </c:pt>
                <c:pt idx="971">
                  <c:v>41263</c:v>
                </c:pt>
                <c:pt idx="972">
                  <c:v>41264</c:v>
                </c:pt>
                <c:pt idx="973">
                  <c:v>41265</c:v>
                </c:pt>
                <c:pt idx="974">
                  <c:v>41266</c:v>
                </c:pt>
                <c:pt idx="975">
                  <c:v>41267</c:v>
                </c:pt>
                <c:pt idx="976">
                  <c:v>41268</c:v>
                </c:pt>
                <c:pt idx="977">
                  <c:v>41269</c:v>
                </c:pt>
                <c:pt idx="978">
                  <c:v>41270</c:v>
                </c:pt>
                <c:pt idx="979">
                  <c:v>41271</c:v>
                </c:pt>
                <c:pt idx="980">
                  <c:v>41272</c:v>
                </c:pt>
                <c:pt idx="981">
                  <c:v>41273</c:v>
                </c:pt>
                <c:pt idx="982">
                  <c:v>41274</c:v>
                </c:pt>
                <c:pt idx="983">
                  <c:v>41275</c:v>
                </c:pt>
                <c:pt idx="984">
                  <c:v>41276</c:v>
                </c:pt>
                <c:pt idx="985">
                  <c:v>41277</c:v>
                </c:pt>
                <c:pt idx="986">
                  <c:v>41278</c:v>
                </c:pt>
                <c:pt idx="987">
                  <c:v>41279</c:v>
                </c:pt>
                <c:pt idx="988">
                  <c:v>41280</c:v>
                </c:pt>
                <c:pt idx="989">
                  <c:v>41281</c:v>
                </c:pt>
                <c:pt idx="990">
                  <c:v>41282</c:v>
                </c:pt>
                <c:pt idx="991">
                  <c:v>41283</c:v>
                </c:pt>
                <c:pt idx="992">
                  <c:v>41284</c:v>
                </c:pt>
                <c:pt idx="993">
                  <c:v>41285</c:v>
                </c:pt>
                <c:pt idx="994">
                  <c:v>41286</c:v>
                </c:pt>
                <c:pt idx="995">
                  <c:v>41287</c:v>
                </c:pt>
                <c:pt idx="996">
                  <c:v>41288</c:v>
                </c:pt>
                <c:pt idx="997">
                  <c:v>41289</c:v>
                </c:pt>
                <c:pt idx="998">
                  <c:v>41290</c:v>
                </c:pt>
                <c:pt idx="999">
                  <c:v>41291</c:v>
                </c:pt>
                <c:pt idx="1000">
                  <c:v>41292</c:v>
                </c:pt>
                <c:pt idx="1001">
                  <c:v>41293</c:v>
                </c:pt>
                <c:pt idx="1002">
                  <c:v>41294</c:v>
                </c:pt>
                <c:pt idx="1003">
                  <c:v>41295</c:v>
                </c:pt>
                <c:pt idx="1004">
                  <c:v>41296</c:v>
                </c:pt>
                <c:pt idx="1005">
                  <c:v>41297</c:v>
                </c:pt>
                <c:pt idx="1006">
                  <c:v>41298</c:v>
                </c:pt>
                <c:pt idx="1007">
                  <c:v>41299</c:v>
                </c:pt>
                <c:pt idx="1008">
                  <c:v>41300</c:v>
                </c:pt>
                <c:pt idx="1009">
                  <c:v>41301</c:v>
                </c:pt>
                <c:pt idx="1010">
                  <c:v>41302</c:v>
                </c:pt>
                <c:pt idx="1011">
                  <c:v>41303</c:v>
                </c:pt>
                <c:pt idx="1012">
                  <c:v>41304</c:v>
                </c:pt>
                <c:pt idx="1013">
                  <c:v>41305</c:v>
                </c:pt>
                <c:pt idx="1014">
                  <c:v>41306</c:v>
                </c:pt>
                <c:pt idx="1015">
                  <c:v>41307</c:v>
                </c:pt>
                <c:pt idx="1016">
                  <c:v>41308</c:v>
                </c:pt>
                <c:pt idx="1017">
                  <c:v>41309</c:v>
                </c:pt>
                <c:pt idx="1018">
                  <c:v>41310</c:v>
                </c:pt>
                <c:pt idx="1019">
                  <c:v>41311</c:v>
                </c:pt>
                <c:pt idx="1020">
                  <c:v>41312</c:v>
                </c:pt>
                <c:pt idx="1021">
                  <c:v>41313</c:v>
                </c:pt>
                <c:pt idx="1022">
                  <c:v>41314</c:v>
                </c:pt>
                <c:pt idx="1023">
                  <c:v>41315</c:v>
                </c:pt>
                <c:pt idx="1024">
                  <c:v>41316</c:v>
                </c:pt>
                <c:pt idx="1025">
                  <c:v>41317</c:v>
                </c:pt>
                <c:pt idx="1026">
                  <c:v>41318</c:v>
                </c:pt>
                <c:pt idx="1027">
                  <c:v>41319</c:v>
                </c:pt>
                <c:pt idx="1028">
                  <c:v>41320</c:v>
                </c:pt>
                <c:pt idx="1029">
                  <c:v>41321</c:v>
                </c:pt>
                <c:pt idx="1030">
                  <c:v>41322</c:v>
                </c:pt>
                <c:pt idx="1031">
                  <c:v>41323</c:v>
                </c:pt>
                <c:pt idx="1032">
                  <c:v>41324</c:v>
                </c:pt>
                <c:pt idx="1033">
                  <c:v>41325</c:v>
                </c:pt>
                <c:pt idx="1034">
                  <c:v>41326</c:v>
                </c:pt>
                <c:pt idx="1035">
                  <c:v>41327</c:v>
                </c:pt>
                <c:pt idx="1036">
                  <c:v>41328</c:v>
                </c:pt>
                <c:pt idx="1037">
                  <c:v>41329</c:v>
                </c:pt>
                <c:pt idx="1038">
                  <c:v>41330</c:v>
                </c:pt>
                <c:pt idx="1039">
                  <c:v>41331</c:v>
                </c:pt>
                <c:pt idx="1040">
                  <c:v>41332</c:v>
                </c:pt>
                <c:pt idx="1041">
                  <c:v>41333</c:v>
                </c:pt>
                <c:pt idx="1042">
                  <c:v>41334</c:v>
                </c:pt>
                <c:pt idx="1043">
                  <c:v>41335</c:v>
                </c:pt>
                <c:pt idx="1044">
                  <c:v>41336</c:v>
                </c:pt>
                <c:pt idx="1045">
                  <c:v>41337</c:v>
                </c:pt>
                <c:pt idx="1046">
                  <c:v>41338</c:v>
                </c:pt>
                <c:pt idx="1047">
                  <c:v>41339</c:v>
                </c:pt>
                <c:pt idx="1048">
                  <c:v>41340</c:v>
                </c:pt>
                <c:pt idx="1049">
                  <c:v>41341</c:v>
                </c:pt>
                <c:pt idx="1050">
                  <c:v>41342</c:v>
                </c:pt>
                <c:pt idx="1051">
                  <c:v>41344</c:v>
                </c:pt>
                <c:pt idx="1052">
                  <c:v>41345</c:v>
                </c:pt>
                <c:pt idx="1053">
                  <c:v>41346</c:v>
                </c:pt>
                <c:pt idx="1054">
                  <c:v>41347</c:v>
                </c:pt>
                <c:pt idx="1055">
                  <c:v>41348</c:v>
                </c:pt>
                <c:pt idx="1056">
                  <c:v>41349</c:v>
                </c:pt>
                <c:pt idx="1057">
                  <c:v>41350</c:v>
                </c:pt>
                <c:pt idx="1058">
                  <c:v>41351</c:v>
                </c:pt>
                <c:pt idx="1059">
                  <c:v>41352</c:v>
                </c:pt>
                <c:pt idx="1060">
                  <c:v>41353</c:v>
                </c:pt>
                <c:pt idx="1061">
                  <c:v>41354</c:v>
                </c:pt>
                <c:pt idx="1062">
                  <c:v>41355</c:v>
                </c:pt>
                <c:pt idx="1063">
                  <c:v>41356</c:v>
                </c:pt>
                <c:pt idx="1064">
                  <c:v>41357</c:v>
                </c:pt>
                <c:pt idx="1065">
                  <c:v>41358</c:v>
                </c:pt>
                <c:pt idx="1066">
                  <c:v>41359</c:v>
                </c:pt>
                <c:pt idx="1067">
                  <c:v>41360</c:v>
                </c:pt>
                <c:pt idx="1068">
                  <c:v>41361</c:v>
                </c:pt>
                <c:pt idx="1069">
                  <c:v>41362</c:v>
                </c:pt>
                <c:pt idx="1070">
                  <c:v>41363</c:v>
                </c:pt>
                <c:pt idx="1071">
                  <c:v>41364</c:v>
                </c:pt>
                <c:pt idx="1072">
                  <c:v>41365</c:v>
                </c:pt>
                <c:pt idx="1073">
                  <c:v>41366</c:v>
                </c:pt>
                <c:pt idx="1074">
                  <c:v>41367</c:v>
                </c:pt>
                <c:pt idx="1075">
                  <c:v>41368</c:v>
                </c:pt>
                <c:pt idx="1076">
                  <c:v>41369</c:v>
                </c:pt>
                <c:pt idx="1077">
                  <c:v>41370</c:v>
                </c:pt>
                <c:pt idx="1078">
                  <c:v>41371</c:v>
                </c:pt>
                <c:pt idx="1079">
                  <c:v>41372</c:v>
                </c:pt>
                <c:pt idx="1080">
                  <c:v>41373</c:v>
                </c:pt>
                <c:pt idx="1081">
                  <c:v>41374</c:v>
                </c:pt>
                <c:pt idx="1082">
                  <c:v>41375</c:v>
                </c:pt>
                <c:pt idx="1083">
                  <c:v>41376</c:v>
                </c:pt>
                <c:pt idx="1084">
                  <c:v>41377</c:v>
                </c:pt>
                <c:pt idx="1085">
                  <c:v>41379</c:v>
                </c:pt>
                <c:pt idx="1086">
                  <c:v>41380</c:v>
                </c:pt>
                <c:pt idx="1087">
                  <c:v>41381</c:v>
                </c:pt>
                <c:pt idx="1088">
                  <c:v>41382</c:v>
                </c:pt>
                <c:pt idx="1089">
                  <c:v>41383</c:v>
                </c:pt>
                <c:pt idx="1090">
                  <c:v>41384</c:v>
                </c:pt>
                <c:pt idx="1091">
                  <c:v>41385</c:v>
                </c:pt>
                <c:pt idx="1092">
                  <c:v>41386</c:v>
                </c:pt>
                <c:pt idx="1093">
                  <c:v>41387</c:v>
                </c:pt>
                <c:pt idx="1094">
                  <c:v>41388</c:v>
                </c:pt>
                <c:pt idx="1095">
                  <c:v>41389</c:v>
                </c:pt>
                <c:pt idx="1096">
                  <c:v>41390</c:v>
                </c:pt>
                <c:pt idx="1097">
                  <c:v>41391</c:v>
                </c:pt>
                <c:pt idx="1098">
                  <c:v>41392</c:v>
                </c:pt>
                <c:pt idx="1099">
                  <c:v>41393</c:v>
                </c:pt>
                <c:pt idx="1100">
                  <c:v>41394</c:v>
                </c:pt>
                <c:pt idx="1101">
                  <c:v>41395</c:v>
                </c:pt>
                <c:pt idx="1102">
                  <c:v>41396</c:v>
                </c:pt>
                <c:pt idx="1103">
                  <c:v>41397</c:v>
                </c:pt>
                <c:pt idx="1104">
                  <c:v>41398</c:v>
                </c:pt>
                <c:pt idx="1105">
                  <c:v>41399</c:v>
                </c:pt>
                <c:pt idx="1106">
                  <c:v>41400</c:v>
                </c:pt>
                <c:pt idx="1107">
                  <c:v>41401</c:v>
                </c:pt>
                <c:pt idx="1108">
                  <c:v>41402</c:v>
                </c:pt>
                <c:pt idx="1109">
                  <c:v>41403</c:v>
                </c:pt>
                <c:pt idx="1110">
                  <c:v>41404</c:v>
                </c:pt>
                <c:pt idx="1111">
                  <c:v>41405</c:v>
                </c:pt>
                <c:pt idx="1112">
                  <c:v>41406</c:v>
                </c:pt>
                <c:pt idx="1113">
                  <c:v>41407</c:v>
                </c:pt>
                <c:pt idx="1114">
                  <c:v>41408</c:v>
                </c:pt>
                <c:pt idx="1115">
                  <c:v>41409</c:v>
                </c:pt>
                <c:pt idx="1116">
                  <c:v>41410</c:v>
                </c:pt>
                <c:pt idx="1117">
                  <c:v>41411</c:v>
                </c:pt>
                <c:pt idx="1118">
                  <c:v>41412</c:v>
                </c:pt>
                <c:pt idx="1119">
                  <c:v>41413</c:v>
                </c:pt>
                <c:pt idx="1120">
                  <c:v>41414</c:v>
                </c:pt>
                <c:pt idx="1121">
                  <c:v>41415</c:v>
                </c:pt>
                <c:pt idx="1122">
                  <c:v>41416</c:v>
                </c:pt>
                <c:pt idx="1123">
                  <c:v>41417</c:v>
                </c:pt>
                <c:pt idx="1124">
                  <c:v>41418</c:v>
                </c:pt>
                <c:pt idx="1125">
                  <c:v>41419</c:v>
                </c:pt>
                <c:pt idx="1126">
                  <c:v>41420</c:v>
                </c:pt>
                <c:pt idx="1127">
                  <c:v>41421</c:v>
                </c:pt>
                <c:pt idx="1128">
                  <c:v>41422</c:v>
                </c:pt>
                <c:pt idx="1129">
                  <c:v>41423</c:v>
                </c:pt>
                <c:pt idx="1130">
                  <c:v>41424</c:v>
                </c:pt>
                <c:pt idx="1131">
                  <c:v>41425</c:v>
                </c:pt>
                <c:pt idx="1132">
                  <c:v>41426</c:v>
                </c:pt>
                <c:pt idx="1133">
                  <c:v>41427</c:v>
                </c:pt>
                <c:pt idx="1134">
                  <c:v>41428</c:v>
                </c:pt>
                <c:pt idx="1135">
                  <c:v>41429</c:v>
                </c:pt>
                <c:pt idx="1136">
                  <c:v>41430</c:v>
                </c:pt>
                <c:pt idx="1137">
                  <c:v>41431</c:v>
                </c:pt>
                <c:pt idx="1138">
                  <c:v>41432</c:v>
                </c:pt>
                <c:pt idx="1139">
                  <c:v>41433</c:v>
                </c:pt>
                <c:pt idx="1140">
                  <c:v>41434</c:v>
                </c:pt>
                <c:pt idx="1141">
                  <c:v>41435</c:v>
                </c:pt>
                <c:pt idx="1142">
                  <c:v>41436</c:v>
                </c:pt>
                <c:pt idx="1143">
                  <c:v>41437</c:v>
                </c:pt>
                <c:pt idx="1144">
                  <c:v>41438</c:v>
                </c:pt>
                <c:pt idx="1145">
                  <c:v>41439</c:v>
                </c:pt>
                <c:pt idx="1146">
                  <c:v>41440</c:v>
                </c:pt>
                <c:pt idx="1147">
                  <c:v>41441</c:v>
                </c:pt>
                <c:pt idx="1148">
                  <c:v>41442</c:v>
                </c:pt>
                <c:pt idx="1149">
                  <c:v>41443</c:v>
                </c:pt>
                <c:pt idx="1150">
                  <c:v>41444</c:v>
                </c:pt>
                <c:pt idx="1151">
                  <c:v>41445</c:v>
                </c:pt>
                <c:pt idx="1152">
                  <c:v>41446</c:v>
                </c:pt>
                <c:pt idx="1153">
                  <c:v>41447</c:v>
                </c:pt>
                <c:pt idx="1154">
                  <c:v>41448</c:v>
                </c:pt>
                <c:pt idx="1155">
                  <c:v>41449</c:v>
                </c:pt>
                <c:pt idx="1156">
                  <c:v>41450</c:v>
                </c:pt>
                <c:pt idx="1157">
                  <c:v>41451</c:v>
                </c:pt>
                <c:pt idx="1158">
                  <c:v>41452</c:v>
                </c:pt>
                <c:pt idx="1159">
                  <c:v>41453</c:v>
                </c:pt>
                <c:pt idx="1160">
                  <c:v>41454</c:v>
                </c:pt>
                <c:pt idx="1161">
                  <c:v>41455</c:v>
                </c:pt>
                <c:pt idx="1162">
                  <c:v>41456</c:v>
                </c:pt>
                <c:pt idx="1163">
                  <c:v>41457</c:v>
                </c:pt>
                <c:pt idx="1164">
                  <c:v>41458</c:v>
                </c:pt>
                <c:pt idx="1165">
                  <c:v>41459</c:v>
                </c:pt>
                <c:pt idx="1166">
                  <c:v>41460</c:v>
                </c:pt>
                <c:pt idx="1167">
                  <c:v>41461</c:v>
                </c:pt>
                <c:pt idx="1168">
                  <c:v>41462</c:v>
                </c:pt>
                <c:pt idx="1169">
                  <c:v>41463</c:v>
                </c:pt>
                <c:pt idx="1170">
                  <c:v>41464</c:v>
                </c:pt>
                <c:pt idx="1171">
                  <c:v>41465</c:v>
                </c:pt>
                <c:pt idx="1172">
                  <c:v>41466</c:v>
                </c:pt>
                <c:pt idx="1173">
                  <c:v>41467</c:v>
                </c:pt>
                <c:pt idx="1174">
                  <c:v>41468</c:v>
                </c:pt>
                <c:pt idx="1175">
                  <c:v>41469</c:v>
                </c:pt>
                <c:pt idx="1176">
                  <c:v>41470</c:v>
                </c:pt>
                <c:pt idx="1177">
                  <c:v>41471</c:v>
                </c:pt>
                <c:pt idx="1178">
                  <c:v>41472</c:v>
                </c:pt>
                <c:pt idx="1179">
                  <c:v>41473</c:v>
                </c:pt>
                <c:pt idx="1180">
                  <c:v>41474</c:v>
                </c:pt>
                <c:pt idx="1181">
                  <c:v>41475</c:v>
                </c:pt>
                <c:pt idx="1182">
                  <c:v>41476</c:v>
                </c:pt>
                <c:pt idx="1183">
                  <c:v>41477</c:v>
                </c:pt>
                <c:pt idx="1184">
                  <c:v>41478</c:v>
                </c:pt>
                <c:pt idx="1185">
                  <c:v>41479</c:v>
                </c:pt>
                <c:pt idx="1186">
                  <c:v>41480</c:v>
                </c:pt>
                <c:pt idx="1187">
                  <c:v>41481</c:v>
                </c:pt>
                <c:pt idx="1188">
                  <c:v>41482</c:v>
                </c:pt>
                <c:pt idx="1189">
                  <c:v>41483</c:v>
                </c:pt>
                <c:pt idx="1190">
                  <c:v>41484</c:v>
                </c:pt>
                <c:pt idx="1191">
                  <c:v>41485</c:v>
                </c:pt>
                <c:pt idx="1192">
                  <c:v>41486</c:v>
                </c:pt>
                <c:pt idx="1193">
                  <c:v>41487</c:v>
                </c:pt>
                <c:pt idx="1194">
                  <c:v>41488</c:v>
                </c:pt>
                <c:pt idx="1195">
                  <c:v>41489</c:v>
                </c:pt>
                <c:pt idx="1196">
                  <c:v>41490</c:v>
                </c:pt>
                <c:pt idx="1197">
                  <c:v>41491</c:v>
                </c:pt>
                <c:pt idx="1198">
                  <c:v>41492</c:v>
                </c:pt>
                <c:pt idx="1199">
                  <c:v>41493</c:v>
                </c:pt>
                <c:pt idx="1200">
                  <c:v>41494</c:v>
                </c:pt>
                <c:pt idx="1201">
                  <c:v>41495</c:v>
                </c:pt>
                <c:pt idx="1202">
                  <c:v>41496</c:v>
                </c:pt>
                <c:pt idx="1203">
                  <c:v>41497</c:v>
                </c:pt>
                <c:pt idx="1204">
                  <c:v>41498</c:v>
                </c:pt>
                <c:pt idx="1205">
                  <c:v>41499</c:v>
                </c:pt>
                <c:pt idx="1206">
                  <c:v>41500</c:v>
                </c:pt>
                <c:pt idx="1207">
                  <c:v>41501</c:v>
                </c:pt>
                <c:pt idx="1208">
                  <c:v>41502</c:v>
                </c:pt>
                <c:pt idx="1209">
                  <c:v>41503</c:v>
                </c:pt>
                <c:pt idx="1210">
                  <c:v>41505</c:v>
                </c:pt>
                <c:pt idx="1211">
                  <c:v>41506</c:v>
                </c:pt>
                <c:pt idx="1212">
                  <c:v>41507</c:v>
                </c:pt>
                <c:pt idx="1213">
                  <c:v>41508</c:v>
                </c:pt>
                <c:pt idx="1214">
                  <c:v>41509</c:v>
                </c:pt>
                <c:pt idx="1215">
                  <c:v>41510</c:v>
                </c:pt>
                <c:pt idx="1216">
                  <c:v>41511</c:v>
                </c:pt>
                <c:pt idx="1217">
                  <c:v>41512</c:v>
                </c:pt>
                <c:pt idx="1218">
                  <c:v>41513</c:v>
                </c:pt>
                <c:pt idx="1219">
                  <c:v>41514</c:v>
                </c:pt>
                <c:pt idx="1220">
                  <c:v>41515</c:v>
                </c:pt>
                <c:pt idx="1221">
                  <c:v>41516</c:v>
                </c:pt>
                <c:pt idx="1222">
                  <c:v>41517</c:v>
                </c:pt>
                <c:pt idx="1223">
                  <c:v>41518</c:v>
                </c:pt>
                <c:pt idx="1224">
                  <c:v>41519</c:v>
                </c:pt>
                <c:pt idx="1225">
                  <c:v>41520</c:v>
                </c:pt>
                <c:pt idx="1226">
                  <c:v>41521</c:v>
                </c:pt>
                <c:pt idx="1227">
                  <c:v>41522</c:v>
                </c:pt>
                <c:pt idx="1228">
                  <c:v>41523</c:v>
                </c:pt>
                <c:pt idx="1229">
                  <c:v>41524</c:v>
                </c:pt>
                <c:pt idx="1230">
                  <c:v>41525</c:v>
                </c:pt>
                <c:pt idx="1231">
                  <c:v>41526</c:v>
                </c:pt>
                <c:pt idx="1232">
                  <c:v>41527</c:v>
                </c:pt>
                <c:pt idx="1233">
                  <c:v>41528</c:v>
                </c:pt>
                <c:pt idx="1234">
                  <c:v>41529</c:v>
                </c:pt>
                <c:pt idx="1235">
                  <c:v>41530</c:v>
                </c:pt>
                <c:pt idx="1236">
                  <c:v>41531</c:v>
                </c:pt>
                <c:pt idx="1237">
                  <c:v>41532</c:v>
                </c:pt>
                <c:pt idx="1238">
                  <c:v>41533</c:v>
                </c:pt>
                <c:pt idx="1239">
                  <c:v>41534</c:v>
                </c:pt>
                <c:pt idx="1240">
                  <c:v>41535</c:v>
                </c:pt>
                <c:pt idx="1241">
                  <c:v>41536</c:v>
                </c:pt>
                <c:pt idx="1242">
                  <c:v>41537</c:v>
                </c:pt>
                <c:pt idx="1243">
                  <c:v>41538</c:v>
                </c:pt>
                <c:pt idx="1244">
                  <c:v>41539</c:v>
                </c:pt>
                <c:pt idx="1245">
                  <c:v>41540</c:v>
                </c:pt>
                <c:pt idx="1246">
                  <c:v>41541</c:v>
                </c:pt>
                <c:pt idx="1247">
                  <c:v>41542</c:v>
                </c:pt>
                <c:pt idx="1248">
                  <c:v>41543</c:v>
                </c:pt>
                <c:pt idx="1249">
                  <c:v>41544</c:v>
                </c:pt>
                <c:pt idx="1250">
                  <c:v>41545</c:v>
                </c:pt>
                <c:pt idx="1251">
                  <c:v>41546</c:v>
                </c:pt>
                <c:pt idx="1252">
                  <c:v>41547</c:v>
                </c:pt>
                <c:pt idx="1253">
                  <c:v>41548</c:v>
                </c:pt>
                <c:pt idx="1254">
                  <c:v>41549</c:v>
                </c:pt>
                <c:pt idx="1255">
                  <c:v>41550</c:v>
                </c:pt>
                <c:pt idx="1256">
                  <c:v>41551</c:v>
                </c:pt>
                <c:pt idx="1257">
                  <c:v>41552</c:v>
                </c:pt>
                <c:pt idx="1258">
                  <c:v>41553</c:v>
                </c:pt>
                <c:pt idx="1259">
                  <c:v>41554</c:v>
                </c:pt>
                <c:pt idx="1260">
                  <c:v>41555</c:v>
                </c:pt>
                <c:pt idx="1261">
                  <c:v>41556</c:v>
                </c:pt>
                <c:pt idx="1262">
                  <c:v>41557</c:v>
                </c:pt>
                <c:pt idx="1263">
                  <c:v>41558</c:v>
                </c:pt>
                <c:pt idx="1264">
                  <c:v>41559</c:v>
                </c:pt>
                <c:pt idx="1265">
                  <c:v>41560</c:v>
                </c:pt>
                <c:pt idx="1266">
                  <c:v>41561</c:v>
                </c:pt>
                <c:pt idx="1267">
                  <c:v>41562</c:v>
                </c:pt>
                <c:pt idx="1268">
                  <c:v>41563</c:v>
                </c:pt>
                <c:pt idx="1269">
                  <c:v>41564</c:v>
                </c:pt>
                <c:pt idx="1270">
                  <c:v>41565</c:v>
                </c:pt>
                <c:pt idx="1271">
                  <c:v>41566</c:v>
                </c:pt>
                <c:pt idx="1272">
                  <c:v>41567</c:v>
                </c:pt>
                <c:pt idx="1273">
                  <c:v>41568</c:v>
                </c:pt>
                <c:pt idx="1274">
                  <c:v>41569</c:v>
                </c:pt>
                <c:pt idx="1275">
                  <c:v>41570</c:v>
                </c:pt>
                <c:pt idx="1276">
                  <c:v>41571</c:v>
                </c:pt>
                <c:pt idx="1277">
                  <c:v>41572</c:v>
                </c:pt>
                <c:pt idx="1278">
                  <c:v>41573</c:v>
                </c:pt>
                <c:pt idx="1279">
                  <c:v>41574</c:v>
                </c:pt>
                <c:pt idx="1280">
                  <c:v>41575</c:v>
                </c:pt>
                <c:pt idx="1281">
                  <c:v>41576</c:v>
                </c:pt>
                <c:pt idx="1282">
                  <c:v>41577</c:v>
                </c:pt>
                <c:pt idx="1283">
                  <c:v>41578</c:v>
                </c:pt>
                <c:pt idx="1284">
                  <c:v>41579</c:v>
                </c:pt>
                <c:pt idx="1285">
                  <c:v>41580</c:v>
                </c:pt>
                <c:pt idx="1286">
                  <c:v>41581</c:v>
                </c:pt>
                <c:pt idx="1287">
                  <c:v>41582</c:v>
                </c:pt>
                <c:pt idx="1288">
                  <c:v>41583</c:v>
                </c:pt>
                <c:pt idx="1289">
                  <c:v>41584</c:v>
                </c:pt>
                <c:pt idx="1290">
                  <c:v>41585</c:v>
                </c:pt>
                <c:pt idx="1291">
                  <c:v>41586</c:v>
                </c:pt>
                <c:pt idx="1292">
                  <c:v>41587</c:v>
                </c:pt>
                <c:pt idx="1293">
                  <c:v>41588</c:v>
                </c:pt>
                <c:pt idx="1294">
                  <c:v>41589</c:v>
                </c:pt>
                <c:pt idx="1295">
                  <c:v>41590</c:v>
                </c:pt>
                <c:pt idx="1296">
                  <c:v>41591</c:v>
                </c:pt>
                <c:pt idx="1297">
                  <c:v>41592</c:v>
                </c:pt>
                <c:pt idx="1298">
                  <c:v>41593</c:v>
                </c:pt>
                <c:pt idx="1299">
                  <c:v>41594</c:v>
                </c:pt>
                <c:pt idx="1300">
                  <c:v>41595</c:v>
                </c:pt>
                <c:pt idx="1301">
                  <c:v>41596</c:v>
                </c:pt>
                <c:pt idx="1302">
                  <c:v>41597</c:v>
                </c:pt>
                <c:pt idx="1303">
                  <c:v>41598</c:v>
                </c:pt>
                <c:pt idx="1304">
                  <c:v>41599</c:v>
                </c:pt>
                <c:pt idx="1305">
                  <c:v>41600</c:v>
                </c:pt>
                <c:pt idx="1306">
                  <c:v>41601</c:v>
                </c:pt>
                <c:pt idx="1307">
                  <c:v>41602</c:v>
                </c:pt>
                <c:pt idx="1308">
                  <c:v>41603</c:v>
                </c:pt>
                <c:pt idx="1309">
                  <c:v>41604</c:v>
                </c:pt>
                <c:pt idx="1310">
                  <c:v>41605</c:v>
                </c:pt>
                <c:pt idx="1311">
                  <c:v>41606</c:v>
                </c:pt>
                <c:pt idx="1312">
                  <c:v>41607</c:v>
                </c:pt>
                <c:pt idx="1313">
                  <c:v>41608</c:v>
                </c:pt>
                <c:pt idx="1314">
                  <c:v>41609</c:v>
                </c:pt>
                <c:pt idx="1315">
                  <c:v>41610</c:v>
                </c:pt>
                <c:pt idx="1316">
                  <c:v>41611</c:v>
                </c:pt>
                <c:pt idx="1317">
                  <c:v>41612</c:v>
                </c:pt>
                <c:pt idx="1318">
                  <c:v>41613</c:v>
                </c:pt>
                <c:pt idx="1319">
                  <c:v>41614</c:v>
                </c:pt>
                <c:pt idx="1320">
                  <c:v>41615</c:v>
                </c:pt>
                <c:pt idx="1321">
                  <c:v>41616</c:v>
                </c:pt>
                <c:pt idx="1322">
                  <c:v>41617</c:v>
                </c:pt>
                <c:pt idx="1323">
                  <c:v>41618</c:v>
                </c:pt>
                <c:pt idx="1324">
                  <c:v>41619</c:v>
                </c:pt>
                <c:pt idx="1325">
                  <c:v>41620</c:v>
                </c:pt>
                <c:pt idx="1326">
                  <c:v>41621</c:v>
                </c:pt>
                <c:pt idx="1327">
                  <c:v>41622</c:v>
                </c:pt>
                <c:pt idx="1328">
                  <c:v>41623</c:v>
                </c:pt>
                <c:pt idx="1329">
                  <c:v>41624</c:v>
                </c:pt>
                <c:pt idx="1330">
                  <c:v>41625</c:v>
                </c:pt>
                <c:pt idx="1331">
                  <c:v>41626</c:v>
                </c:pt>
                <c:pt idx="1332">
                  <c:v>41627</c:v>
                </c:pt>
                <c:pt idx="1333">
                  <c:v>41628</c:v>
                </c:pt>
                <c:pt idx="1334">
                  <c:v>41629</c:v>
                </c:pt>
                <c:pt idx="1335">
                  <c:v>41630</c:v>
                </c:pt>
                <c:pt idx="1336">
                  <c:v>41631</c:v>
                </c:pt>
                <c:pt idx="1337">
                  <c:v>41632</c:v>
                </c:pt>
                <c:pt idx="1338">
                  <c:v>41633</c:v>
                </c:pt>
                <c:pt idx="1339">
                  <c:v>41634</c:v>
                </c:pt>
                <c:pt idx="1340">
                  <c:v>41635</c:v>
                </c:pt>
                <c:pt idx="1341">
                  <c:v>41636</c:v>
                </c:pt>
                <c:pt idx="1342">
                  <c:v>41637</c:v>
                </c:pt>
                <c:pt idx="1343">
                  <c:v>41638</c:v>
                </c:pt>
                <c:pt idx="1344">
                  <c:v>41639</c:v>
                </c:pt>
                <c:pt idx="1345">
                  <c:v>41640</c:v>
                </c:pt>
                <c:pt idx="1346">
                  <c:v>41641</c:v>
                </c:pt>
                <c:pt idx="1347">
                  <c:v>41642</c:v>
                </c:pt>
                <c:pt idx="1348">
                  <c:v>41643</c:v>
                </c:pt>
                <c:pt idx="1349">
                  <c:v>41644</c:v>
                </c:pt>
                <c:pt idx="1350">
                  <c:v>41645</c:v>
                </c:pt>
                <c:pt idx="1351">
                  <c:v>41646</c:v>
                </c:pt>
                <c:pt idx="1352">
                  <c:v>41647</c:v>
                </c:pt>
                <c:pt idx="1353">
                  <c:v>41648</c:v>
                </c:pt>
                <c:pt idx="1354">
                  <c:v>41649</c:v>
                </c:pt>
                <c:pt idx="1355">
                  <c:v>41650</c:v>
                </c:pt>
                <c:pt idx="1356">
                  <c:v>41651</c:v>
                </c:pt>
                <c:pt idx="1357">
                  <c:v>41652</c:v>
                </c:pt>
                <c:pt idx="1358">
                  <c:v>41653</c:v>
                </c:pt>
                <c:pt idx="1359">
                  <c:v>41654</c:v>
                </c:pt>
                <c:pt idx="1360">
                  <c:v>41655</c:v>
                </c:pt>
                <c:pt idx="1361">
                  <c:v>41656</c:v>
                </c:pt>
                <c:pt idx="1362">
                  <c:v>41657</c:v>
                </c:pt>
                <c:pt idx="1363">
                  <c:v>41658</c:v>
                </c:pt>
                <c:pt idx="1364">
                  <c:v>41659</c:v>
                </c:pt>
                <c:pt idx="1365">
                  <c:v>41660</c:v>
                </c:pt>
                <c:pt idx="1366">
                  <c:v>41661</c:v>
                </c:pt>
                <c:pt idx="1367">
                  <c:v>41662</c:v>
                </c:pt>
                <c:pt idx="1368">
                  <c:v>41663</c:v>
                </c:pt>
                <c:pt idx="1369">
                  <c:v>41664</c:v>
                </c:pt>
                <c:pt idx="1370">
                  <c:v>41665</c:v>
                </c:pt>
                <c:pt idx="1371">
                  <c:v>41666</c:v>
                </c:pt>
                <c:pt idx="1372">
                  <c:v>41667</c:v>
                </c:pt>
                <c:pt idx="1373">
                  <c:v>41668</c:v>
                </c:pt>
                <c:pt idx="1374">
                  <c:v>41669</c:v>
                </c:pt>
                <c:pt idx="1375">
                  <c:v>41670</c:v>
                </c:pt>
                <c:pt idx="1376">
                  <c:v>41671</c:v>
                </c:pt>
                <c:pt idx="1377">
                  <c:v>41672</c:v>
                </c:pt>
                <c:pt idx="1378">
                  <c:v>41673</c:v>
                </c:pt>
                <c:pt idx="1379">
                  <c:v>41674</c:v>
                </c:pt>
                <c:pt idx="1380">
                  <c:v>41675</c:v>
                </c:pt>
                <c:pt idx="1381">
                  <c:v>41676</c:v>
                </c:pt>
                <c:pt idx="1382">
                  <c:v>41677</c:v>
                </c:pt>
                <c:pt idx="1383">
                  <c:v>41678</c:v>
                </c:pt>
                <c:pt idx="1384">
                  <c:v>41679</c:v>
                </c:pt>
                <c:pt idx="1385">
                  <c:v>41680</c:v>
                </c:pt>
                <c:pt idx="1386">
                  <c:v>41681</c:v>
                </c:pt>
                <c:pt idx="1387">
                  <c:v>41682</c:v>
                </c:pt>
                <c:pt idx="1388">
                  <c:v>41683</c:v>
                </c:pt>
                <c:pt idx="1389">
                  <c:v>41684</c:v>
                </c:pt>
                <c:pt idx="1390">
                  <c:v>41685</c:v>
                </c:pt>
                <c:pt idx="1391">
                  <c:v>41686</c:v>
                </c:pt>
                <c:pt idx="1392">
                  <c:v>41687</c:v>
                </c:pt>
                <c:pt idx="1393">
                  <c:v>41688</c:v>
                </c:pt>
                <c:pt idx="1394">
                  <c:v>41689</c:v>
                </c:pt>
                <c:pt idx="1395">
                  <c:v>41690</c:v>
                </c:pt>
                <c:pt idx="1396">
                  <c:v>41691</c:v>
                </c:pt>
                <c:pt idx="1397">
                  <c:v>41692</c:v>
                </c:pt>
                <c:pt idx="1398">
                  <c:v>41693</c:v>
                </c:pt>
                <c:pt idx="1399">
                  <c:v>41694</c:v>
                </c:pt>
                <c:pt idx="1400">
                  <c:v>41695</c:v>
                </c:pt>
                <c:pt idx="1401">
                  <c:v>41696</c:v>
                </c:pt>
                <c:pt idx="1402">
                  <c:v>41697</c:v>
                </c:pt>
                <c:pt idx="1403">
                  <c:v>41698</c:v>
                </c:pt>
                <c:pt idx="1404">
                  <c:v>41699</c:v>
                </c:pt>
                <c:pt idx="1405">
                  <c:v>41700</c:v>
                </c:pt>
                <c:pt idx="1406">
                  <c:v>41701</c:v>
                </c:pt>
                <c:pt idx="1407">
                  <c:v>41702</c:v>
                </c:pt>
                <c:pt idx="1408">
                  <c:v>41703</c:v>
                </c:pt>
                <c:pt idx="1409">
                  <c:v>41704</c:v>
                </c:pt>
                <c:pt idx="1410">
                  <c:v>41705</c:v>
                </c:pt>
                <c:pt idx="1411">
                  <c:v>41706</c:v>
                </c:pt>
                <c:pt idx="1412">
                  <c:v>41707</c:v>
                </c:pt>
                <c:pt idx="1413">
                  <c:v>41708</c:v>
                </c:pt>
                <c:pt idx="1414">
                  <c:v>41709</c:v>
                </c:pt>
                <c:pt idx="1415">
                  <c:v>41710</c:v>
                </c:pt>
                <c:pt idx="1416">
                  <c:v>41711</c:v>
                </c:pt>
                <c:pt idx="1417">
                  <c:v>41712</c:v>
                </c:pt>
                <c:pt idx="1418">
                  <c:v>41713</c:v>
                </c:pt>
                <c:pt idx="1419">
                  <c:v>41714</c:v>
                </c:pt>
                <c:pt idx="1420">
                  <c:v>41715</c:v>
                </c:pt>
                <c:pt idx="1421">
                  <c:v>41716</c:v>
                </c:pt>
                <c:pt idx="1422">
                  <c:v>41717</c:v>
                </c:pt>
                <c:pt idx="1423">
                  <c:v>41718</c:v>
                </c:pt>
                <c:pt idx="1424">
                  <c:v>41719</c:v>
                </c:pt>
                <c:pt idx="1425">
                  <c:v>41720</c:v>
                </c:pt>
                <c:pt idx="1426">
                  <c:v>41721</c:v>
                </c:pt>
                <c:pt idx="1427">
                  <c:v>41722</c:v>
                </c:pt>
                <c:pt idx="1428">
                  <c:v>41723</c:v>
                </c:pt>
                <c:pt idx="1429">
                  <c:v>41724</c:v>
                </c:pt>
                <c:pt idx="1430">
                  <c:v>41725</c:v>
                </c:pt>
                <c:pt idx="1431">
                  <c:v>41726</c:v>
                </c:pt>
                <c:pt idx="1432">
                  <c:v>41727</c:v>
                </c:pt>
                <c:pt idx="1433">
                  <c:v>41728</c:v>
                </c:pt>
                <c:pt idx="1434">
                  <c:v>41729</c:v>
                </c:pt>
                <c:pt idx="1435">
                  <c:v>41730</c:v>
                </c:pt>
                <c:pt idx="1436">
                  <c:v>41731</c:v>
                </c:pt>
                <c:pt idx="1437">
                  <c:v>41732</c:v>
                </c:pt>
                <c:pt idx="1438">
                  <c:v>41733</c:v>
                </c:pt>
                <c:pt idx="1439">
                  <c:v>41734</c:v>
                </c:pt>
                <c:pt idx="1440">
                  <c:v>41735</c:v>
                </c:pt>
                <c:pt idx="1441">
                  <c:v>41736</c:v>
                </c:pt>
                <c:pt idx="1442">
                  <c:v>41737</c:v>
                </c:pt>
                <c:pt idx="1443">
                  <c:v>41738</c:v>
                </c:pt>
                <c:pt idx="1444">
                  <c:v>41739</c:v>
                </c:pt>
                <c:pt idx="1445">
                  <c:v>41740</c:v>
                </c:pt>
                <c:pt idx="1446">
                  <c:v>41741</c:v>
                </c:pt>
                <c:pt idx="1447">
                  <c:v>41742</c:v>
                </c:pt>
                <c:pt idx="1448">
                  <c:v>41743</c:v>
                </c:pt>
                <c:pt idx="1449">
                  <c:v>41744</c:v>
                </c:pt>
                <c:pt idx="1450">
                  <c:v>41745</c:v>
                </c:pt>
                <c:pt idx="1451">
                  <c:v>41746</c:v>
                </c:pt>
                <c:pt idx="1452">
                  <c:v>41747</c:v>
                </c:pt>
                <c:pt idx="1453">
                  <c:v>41748</c:v>
                </c:pt>
                <c:pt idx="1454">
                  <c:v>41749</c:v>
                </c:pt>
                <c:pt idx="1455">
                  <c:v>41750</c:v>
                </c:pt>
                <c:pt idx="1456">
                  <c:v>41751</c:v>
                </c:pt>
                <c:pt idx="1457">
                  <c:v>41752</c:v>
                </c:pt>
                <c:pt idx="1458">
                  <c:v>41753</c:v>
                </c:pt>
                <c:pt idx="1459">
                  <c:v>41754</c:v>
                </c:pt>
                <c:pt idx="1460">
                  <c:v>41755</c:v>
                </c:pt>
                <c:pt idx="1461">
                  <c:v>41756</c:v>
                </c:pt>
                <c:pt idx="1462">
                  <c:v>41757</c:v>
                </c:pt>
                <c:pt idx="1463">
                  <c:v>41758</c:v>
                </c:pt>
                <c:pt idx="1464">
                  <c:v>41759</c:v>
                </c:pt>
                <c:pt idx="1465">
                  <c:v>41760</c:v>
                </c:pt>
                <c:pt idx="1466">
                  <c:v>41761</c:v>
                </c:pt>
                <c:pt idx="1467">
                  <c:v>41762</c:v>
                </c:pt>
                <c:pt idx="1468">
                  <c:v>41763</c:v>
                </c:pt>
                <c:pt idx="1469">
                  <c:v>41764</c:v>
                </c:pt>
                <c:pt idx="1470">
                  <c:v>41765</c:v>
                </c:pt>
                <c:pt idx="1471">
                  <c:v>41766</c:v>
                </c:pt>
                <c:pt idx="1472">
                  <c:v>41767</c:v>
                </c:pt>
                <c:pt idx="1473">
                  <c:v>41768</c:v>
                </c:pt>
                <c:pt idx="1474">
                  <c:v>41769</c:v>
                </c:pt>
                <c:pt idx="1475">
                  <c:v>41770</c:v>
                </c:pt>
                <c:pt idx="1476">
                  <c:v>41771</c:v>
                </c:pt>
                <c:pt idx="1477">
                  <c:v>41772</c:v>
                </c:pt>
                <c:pt idx="1478">
                  <c:v>41773</c:v>
                </c:pt>
                <c:pt idx="1479">
                  <c:v>41774</c:v>
                </c:pt>
                <c:pt idx="1480">
                  <c:v>41775</c:v>
                </c:pt>
                <c:pt idx="1481">
                  <c:v>41776</c:v>
                </c:pt>
                <c:pt idx="1482">
                  <c:v>41778</c:v>
                </c:pt>
                <c:pt idx="1483">
                  <c:v>41779</c:v>
                </c:pt>
                <c:pt idx="1484">
                  <c:v>41780</c:v>
                </c:pt>
                <c:pt idx="1485">
                  <c:v>41781</c:v>
                </c:pt>
                <c:pt idx="1486">
                  <c:v>41782</c:v>
                </c:pt>
                <c:pt idx="1487">
                  <c:v>41783</c:v>
                </c:pt>
                <c:pt idx="1488">
                  <c:v>41784</c:v>
                </c:pt>
                <c:pt idx="1489">
                  <c:v>41785</c:v>
                </c:pt>
                <c:pt idx="1490">
                  <c:v>41786</c:v>
                </c:pt>
                <c:pt idx="1491">
                  <c:v>41787</c:v>
                </c:pt>
                <c:pt idx="1492">
                  <c:v>41788</c:v>
                </c:pt>
                <c:pt idx="1493">
                  <c:v>41789</c:v>
                </c:pt>
                <c:pt idx="1494">
                  <c:v>41790</c:v>
                </c:pt>
                <c:pt idx="1495">
                  <c:v>41791</c:v>
                </c:pt>
                <c:pt idx="1496">
                  <c:v>41792</c:v>
                </c:pt>
                <c:pt idx="1497">
                  <c:v>41793</c:v>
                </c:pt>
                <c:pt idx="1498">
                  <c:v>41794</c:v>
                </c:pt>
                <c:pt idx="1499">
                  <c:v>41795</c:v>
                </c:pt>
                <c:pt idx="1500">
                  <c:v>41796</c:v>
                </c:pt>
                <c:pt idx="1501">
                  <c:v>41797</c:v>
                </c:pt>
                <c:pt idx="1502">
                  <c:v>41798</c:v>
                </c:pt>
                <c:pt idx="1503">
                  <c:v>41799</c:v>
                </c:pt>
                <c:pt idx="1504">
                  <c:v>41800</c:v>
                </c:pt>
                <c:pt idx="1505">
                  <c:v>41801</c:v>
                </c:pt>
                <c:pt idx="1506">
                  <c:v>41802</c:v>
                </c:pt>
                <c:pt idx="1507">
                  <c:v>41803</c:v>
                </c:pt>
                <c:pt idx="1508">
                  <c:v>41804</c:v>
                </c:pt>
                <c:pt idx="1509">
                  <c:v>41805</c:v>
                </c:pt>
                <c:pt idx="1510">
                  <c:v>41806</c:v>
                </c:pt>
                <c:pt idx="1511">
                  <c:v>41807</c:v>
                </c:pt>
                <c:pt idx="1512">
                  <c:v>41808</c:v>
                </c:pt>
                <c:pt idx="1513">
                  <c:v>41809</c:v>
                </c:pt>
                <c:pt idx="1514">
                  <c:v>41810</c:v>
                </c:pt>
                <c:pt idx="1515">
                  <c:v>41811</c:v>
                </c:pt>
                <c:pt idx="1516">
                  <c:v>41812</c:v>
                </c:pt>
                <c:pt idx="1517">
                  <c:v>41813</c:v>
                </c:pt>
                <c:pt idx="1518">
                  <c:v>41814</c:v>
                </c:pt>
                <c:pt idx="1519">
                  <c:v>41815</c:v>
                </c:pt>
                <c:pt idx="1520">
                  <c:v>41816</c:v>
                </c:pt>
                <c:pt idx="1521">
                  <c:v>41817</c:v>
                </c:pt>
                <c:pt idx="1522">
                  <c:v>41818</c:v>
                </c:pt>
                <c:pt idx="1523">
                  <c:v>41819</c:v>
                </c:pt>
                <c:pt idx="1524">
                  <c:v>41820</c:v>
                </c:pt>
                <c:pt idx="1525">
                  <c:v>41821</c:v>
                </c:pt>
                <c:pt idx="1526">
                  <c:v>41822</c:v>
                </c:pt>
                <c:pt idx="1527">
                  <c:v>41823</c:v>
                </c:pt>
                <c:pt idx="1528">
                  <c:v>41824</c:v>
                </c:pt>
                <c:pt idx="1529">
                  <c:v>41825</c:v>
                </c:pt>
                <c:pt idx="1530">
                  <c:v>41826</c:v>
                </c:pt>
                <c:pt idx="1531">
                  <c:v>41827</c:v>
                </c:pt>
                <c:pt idx="1532">
                  <c:v>41828</c:v>
                </c:pt>
                <c:pt idx="1533">
                  <c:v>41829</c:v>
                </c:pt>
                <c:pt idx="1534">
                  <c:v>41830</c:v>
                </c:pt>
                <c:pt idx="1535">
                  <c:v>41831</c:v>
                </c:pt>
                <c:pt idx="1536">
                  <c:v>41832</c:v>
                </c:pt>
                <c:pt idx="1537">
                  <c:v>41833</c:v>
                </c:pt>
                <c:pt idx="1538">
                  <c:v>41834</c:v>
                </c:pt>
                <c:pt idx="1539">
                  <c:v>41835</c:v>
                </c:pt>
                <c:pt idx="1540">
                  <c:v>41836</c:v>
                </c:pt>
                <c:pt idx="1541">
                  <c:v>41837</c:v>
                </c:pt>
                <c:pt idx="1542">
                  <c:v>41838</c:v>
                </c:pt>
                <c:pt idx="1543">
                  <c:v>41839</c:v>
                </c:pt>
                <c:pt idx="1544">
                  <c:v>41840</c:v>
                </c:pt>
                <c:pt idx="1545">
                  <c:v>41841</c:v>
                </c:pt>
                <c:pt idx="1546">
                  <c:v>41842</c:v>
                </c:pt>
                <c:pt idx="1547">
                  <c:v>41843</c:v>
                </c:pt>
                <c:pt idx="1548">
                  <c:v>41844</c:v>
                </c:pt>
                <c:pt idx="1549">
                  <c:v>41845</c:v>
                </c:pt>
                <c:pt idx="1550">
                  <c:v>41846</c:v>
                </c:pt>
                <c:pt idx="1551">
                  <c:v>41847</c:v>
                </c:pt>
                <c:pt idx="1552">
                  <c:v>41848</c:v>
                </c:pt>
                <c:pt idx="1553">
                  <c:v>41849</c:v>
                </c:pt>
                <c:pt idx="1554">
                  <c:v>41850</c:v>
                </c:pt>
                <c:pt idx="1555">
                  <c:v>41851</c:v>
                </c:pt>
                <c:pt idx="1556">
                  <c:v>41852</c:v>
                </c:pt>
                <c:pt idx="1557">
                  <c:v>41853</c:v>
                </c:pt>
                <c:pt idx="1558">
                  <c:v>41854</c:v>
                </c:pt>
                <c:pt idx="1559">
                  <c:v>41855</c:v>
                </c:pt>
                <c:pt idx="1560">
                  <c:v>41856</c:v>
                </c:pt>
                <c:pt idx="1561">
                  <c:v>41857</c:v>
                </c:pt>
                <c:pt idx="1562">
                  <c:v>41858</c:v>
                </c:pt>
                <c:pt idx="1563">
                  <c:v>41859</c:v>
                </c:pt>
                <c:pt idx="1564">
                  <c:v>41860</c:v>
                </c:pt>
                <c:pt idx="1565">
                  <c:v>41861</c:v>
                </c:pt>
                <c:pt idx="1566">
                  <c:v>41862</c:v>
                </c:pt>
                <c:pt idx="1567">
                  <c:v>41863</c:v>
                </c:pt>
                <c:pt idx="1568">
                  <c:v>41864</c:v>
                </c:pt>
                <c:pt idx="1569">
                  <c:v>41865</c:v>
                </c:pt>
                <c:pt idx="1570">
                  <c:v>41866</c:v>
                </c:pt>
                <c:pt idx="1571">
                  <c:v>41867</c:v>
                </c:pt>
                <c:pt idx="1572">
                  <c:v>41868</c:v>
                </c:pt>
                <c:pt idx="1573">
                  <c:v>41869</c:v>
                </c:pt>
                <c:pt idx="1574">
                  <c:v>41870</c:v>
                </c:pt>
                <c:pt idx="1575">
                  <c:v>41871</c:v>
                </c:pt>
                <c:pt idx="1576">
                  <c:v>41872</c:v>
                </c:pt>
                <c:pt idx="1577">
                  <c:v>41873</c:v>
                </c:pt>
                <c:pt idx="1578">
                  <c:v>41874</c:v>
                </c:pt>
                <c:pt idx="1579">
                  <c:v>41875</c:v>
                </c:pt>
                <c:pt idx="1580">
                  <c:v>41876</c:v>
                </c:pt>
                <c:pt idx="1581">
                  <c:v>41877</c:v>
                </c:pt>
                <c:pt idx="1582">
                  <c:v>41878</c:v>
                </c:pt>
                <c:pt idx="1583">
                  <c:v>41879</c:v>
                </c:pt>
                <c:pt idx="1584">
                  <c:v>41880</c:v>
                </c:pt>
                <c:pt idx="1585">
                  <c:v>41881</c:v>
                </c:pt>
                <c:pt idx="1586">
                  <c:v>41882</c:v>
                </c:pt>
                <c:pt idx="1587">
                  <c:v>41883</c:v>
                </c:pt>
                <c:pt idx="1588">
                  <c:v>41884</c:v>
                </c:pt>
                <c:pt idx="1589">
                  <c:v>41885</c:v>
                </c:pt>
                <c:pt idx="1590">
                  <c:v>41886</c:v>
                </c:pt>
                <c:pt idx="1591">
                  <c:v>41887</c:v>
                </c:pt>
                <c:pt idx="1592">
                  <c:v>41888</c:v>
                </c:pt>
                <c:pt idx="1593">
                  <c:v>41889</c:v>
                </c:pt>
                <c:pt idx="1594">
                  <c:v>41890</c:v>
                </c:pt>
                <c:pt idx="1595">
                  <c:v>41891</c:v>
                </c:pt>
                <c:pt idx="1596">
                  <c:v>41892</c:v>
                </c:pt>
                <c:pt idx="1597">
                  <c:v>41893</c:v>
                </c:pt>
                <c:pt idx="1598">
                  <c:v>41894</c:v>
                </c:pt>
                <c:pt idx="1599">
                  <c:v>41895</c:v>
                </c:pt>
                <c:pt idx="1600">
                  <c:v>41896</c:v>
                </c:pt>
                <c:pt idx="1601">
                  <c:v>41897</c:v>
                </c:pt>
                <c:pt idx="1602">
                  <c:v>41898</c:v>
                </c:pt>
                <c:pt idx="1603">
                  <c:v>41899</c:v>
                </c:pt>
                <c:pt idx="1604">
                  <c:v>41900</c:v>
                </c:pt>
                <c:pt idx="1605">
                  <c:v>41901</c:v>
                </c:pt>
                <c:pt idx="1606">
                  <c:v>41902</c:v>
                </c:pt>
                <c:pt idx="1607">
                  <c:v>41903</c:v>
                </c:pt>
                <c:pt idx="1608">
                  <c:v>41904</c:v>
                </c:pt>
                <c:pt idx="1609">
                  <c:v>41905</c:v>
                </c:pt>
                <c:pt idx="1610">
                  <c:v>41906</c:v>
                </c:pt>
                <c:pt idx="1611">
                  <c:v>41907</c:v>
                </c:pt>
                <c:pt idx="1612">
                  <c:v>41908</c:v>
                </c:pt>
                <c:pt idx="1613">
                  <c:v>41909</c:v>
                </c:pt>
                <c:pt idx="1614">
                  <c:v>41910</c:v>
                </c:pt>
                <c:pt idx="1615">
                  <c:v>41911</c:v>
                </c:pt>
                <c:pt idx="1616">
                  <c:v>41912</c:v>
                </c:pt>
                <c:pt idx="1617">
                  <c:v>41913</c:v>
                </c:pt>
                <c:pt idx="1618">
                  <c:v>41914</c:v>
                </c:pt>
                <c:pt idx="1619">
                  <c:v>41915</c:v>
                </c:pt>
                <c:pt idx="1620">
                  <c:v>41916</c:v>
                </c:pt>
                <c:pt idx="1621">
                  <c:v>41917</c:v>
                </c:pt>
                <c:pt idx="1622">
                  <c:v>41918</c:v>
                </c:pt>
                <c:pt idx="1623">
                  <c:v>41919</c:v>
                </c:pt>
                <c:pt idx="1624">
                  <c:v>41920</c:v>
                </c:pt>
                <c:pt idx="1625">
                  <c:v>41921</c:v>
                </c:pt>
                <c:pt idx="1626">
                  <c:v>41922</c:v>
                </c:pt>
                <c:pt idx="1627">
                  <c:v>41923</c:v>
                </c:pt>
                <c:pt idx="1628">
                  <c:v>41924</c:v>
                </c:pt>
                <c:pt idx="1629">
                  <c:v>41925</c:v>
                </c:pt>
                <c:pt idx="1630">
                  <c:v>41926</c:v>
                </c:pt>
                <c:pt idx="1631">
                  <c:v>41927</c:v>
                </c:pt>
                <c:pt idx="1632">
                  <c:v>41928</c:v>
                </c:pt>
                <c:pt idx="1633">
                  <c:v>41929</c:v>
                </c:pt>
                <c:pt idx="1634">
                  <c:v>41930</c:v>
                </c:pt>
                <c:pt idx="1635">
                  <c:v>41931</c:v>
                </c:pt>
                <c:pt idx="1636">
                  <c:v>41932</c:v>
                </c:pt>
                <c:pt idx="1637">
                  <c:v>41933</c:v>
                </c:pt>
                <c:pt idx="1638">
                  <c:v>41934</c:v>
                </c:pt>
                <c:pt idx="1639">
                  <c:v>41935</c:v>
                </c:pt>
                <c:pt idx="1640">
                  <c:v>41936</c:v>
                </c:pt>
                <c:pt idx="1641">
                  <c:v>41937</c:v>
                </c:pt>
                <c:pt idx="1642">
                  <c:v>41938</c:v>
                </c:pt>
                <c:pt idx="1643">
                  <c:v>41939</c:v>
                </c:pt>
                <c:pt idx="1644">
                  <c:v>41940</c:v>
                </c:pt>
                <c:pt idx="1645">
                  <c:v>41941</c:v>
                </c:pt>
                <c:pt idx="1646">
                  <c:v>41942</c:v>
                </c:pt>
                <c:pt idx="1647">
                  <c:v>41943</c:v>
                </c:pt>
                <c:pt idx="1648">
                  <c:v>41944</c:v>
                </c:pt>
                <c:pt idx="1649">
                  <c:v>41946</c:v>
                </c:pt>
                <c:pt idx="1650">
                  <c:v>41947</c:v>
                </c:pt>
                <c:pt idx="1651">
                  <c:v>41948</c:v>
                </c:pt>
                <c:pt idx="1652">
                  <c:v>41949</c:v>
                </c:pt>
                <c:pt idx="1653">
                  <c:v>41950</c:v>
                </c:pt>
                <c:pt idx="1654">
                  <c:v>41951</c:v>
                </c:pt>
                <c:pt idx="1655">
                  <c:v>41952</c:v>
                </c:pt>
                <c:pt idx="1656">
                  <c:v>41953</c:v>
                </c:pt>
                <c:pt idx="1657">
                  <c:v>41954</c:v>
                </c:pt>
                <c:pt idx="1658">
                  <c:v>41955</c:v>
                </c:pt>
                <c:pt idx="1659">
                  <c:v>41956</c:v>
                </c:pt>
                <c:pt idx="1660">
                  <c:v>41957</c:v>
                </c:pt>
                <c:pt idx="1661">
                  <c:v>41958</c:v>
                </c:pt>
                <c:pt idx="1662">
                  <c:v>41959</c:v>
                </c:pt>
                <c:pt idx="1663">
                  <c:v>41960</c:v>
                </c:pt>
                <c:pt idx="1664">
                  <c:v>41961</c:v>
                </c:pt>
                <c:pt idx="1665">
                  <c:v>41962</c:v>
                </c:pt>
                <c:pt idx="1666">
                  <c:v>41963</c:v>
                </c:pt>
                <c:pt idx="1667">
                  <c:v>41964</c:v>
                </c:pt>
                <c:pt idx="1668">
                  <c:v>41965</c:v>
                </c:pt>
                <c:pt idx="1669">
                  <c:v>41966</c:v>
                </c:pt>
                <c:pt idx="1670">
                  <c:v>41967</c:v>
                </c:pt>
                <c:pt idx="1671">
                  <c:v>41968</c:v>
                </c:pt>
                <c:pt idx="1672">
                  <c:v>41969</c:v>
                </c:pt>
                <c:pt idx="1673">
                  <c:v>41970</c:v>
                </c:pt>
                <c:pt idx="1674">
                  <c:v>41971</c:v>
                </c:pt>
                <c:pt idx="1675">
                  <c:v>41972</c:v>
                </c:pt>
                <c:pt idx="1676">
                  <c:v>41973</c:v>
                </c:pt>
                <c:pt idx="1677">
                  <c:v>41974</c:v>
                </c:pt>
                <c:pt idx="1678">
                  <c:v>41975</c:v>
                </c:pt>
                <c:pt idx="1679">
                  <c:v>41976</c:v>
                </c:pt>
                <c:pt idx="1680">
                  <c:v>41977</c:v>
                </c:pt>
                <c:pt idx="1681">
                  <c:v>41978</c:v>
                </c:pt>
                <c:pt idx="1682">
                  <c:v>41979</c:v>
                </c:pt>
                <c:pt idx="1683">
                  <c:v>41980</c:v>
                </c:pt>
                <c:pt idx="1684">
                  <c:v>41981</c:v>
                </c:pt>
                <c:pt idx="1685">
                  <c:v>41982</c:v>
                </c:pt>
                <c:pt idx="1686">
                  <c:v>41983</c:v>
                </c:pt>
                <c:pt idx="1687">
                  <c:v>41984</c:v>
                </c:pt>
                <c:pt idx="1688">
                  <c:v>41985</c:v>
                </c:pt>
                <c:pt idx="1689">
                  <c:v>41986</c:v>
                </c:pt>
                <c:pt idx="1690">
                  <c:v>41987</c:v>
                </c:pt>
                <c:pt idx="1691">
                  <c:v>41988</c:v>
                </c:pt>
                <c:pt idx="1692">
                  <c:v>41989</c:v>
                </c:pt>
                <c:pt idx="1693">
                  <c:v>41990</c:v>
                </c:pt>
                <c:pt idx="1694">
                  <c:v>41991</c:v>
                </c:pt>
                <c:pt idx="1695">
                  <c:v>41992</c:v>
                </c:pt>
                <c:pt idx="1696">
                  <c:v>41993</c:v>
                </c:pt>
                <c:pt idx="1697">
                  <c:v>41995</c:v>
                </c:pt>
                <c:pt idx="1698">
                  <c:v>41996</c:v>
                </c:pt>
                <c:pt idx="1699">
                  <c:v>41997</c:v>
                </c:pt>
                <c:pt idx="1700">
                  <c:v>41998</c:v>
                </c:pt>
                <c:pt idx="1701">
                  <c:v>41999</c:v>
                </c:pt>
                <c:pt idx="1702">
                  <c:v>42000</c:v>
                </c:pt>
                <c:pt idx="1703">
                  <c:v>42001</c:v>
                </c:pt>
                <c:pt idx="1704">
                  <c:v>42002</c:v>
                </c:pt>
                <c:pt idx="1705">
                  <c:v>42003</c:v>
                </c:pt>
                <c:pt idx="1706">
                  <c:v>42004</c:v>
                </c:pt>
                <c:pt idx="1707">
                  <c:v>42005</c:v>
                </c:pt>
                <c:pt idx="1708">
                  <c:v>42006</c:v>
                </c:pt>
                <c:pt idx="1709">
                  <c:v>42007</c:v>
                </c:pt>
                <c:pt idx="1710">
                  <c:v>42008</c:v>
                </c:pt>
                <c:pt idx="1711">
                  <c:v>42009</c:v>
                </c:pt>
                <c:pt idx="1712">
                  <c:v>42010</c:v>
                </c:pt>
                <c:pt idx="1713">
                  <c:v>42011</c:v>
                </c:pt>
                <c:pt idx="1714">
                  <c:v>42012</c:v>
                </c:pt>
                <c:pt idx="1715">
                  <c:v>42013</c:v>
                </c:pt>
                <c:pt idx="1716">
                  <c:v>42014</c:v>
                </c:pt>
                <c:pt idx="1717">
                  <c:v>42015</c:v>
                </c:pt>
                <c:pt idx="1718">
                  <c:v>42016</c:v>
                </c:pt>
                <c:pt idx="1719">
                  <c:v>42017</c:v>
                </c:pt>
                <c:pt idx="1720">
                  <c:v>42018</c:v>
                </c:pt>
                <c:pt idx="1721">
                  <c:v>42019</c:v>
                </c:pt>
                <c:pt idx="1722">
                  <c:v>42020</c:v>
                </c:pt>
                <c:pt idx="1723">
                  <c:v>42021</c:v>
                </c:pt>
                <c:pt idx="1724">
                  <c:v>42022</c:v>
                </c:pt>
                <c:pt idx="1725">
                  <c:v>42023</c:v>
                </c:pt>
                <c:pt idx="1726">
                  <c:v>42024</c:v>
                </c:pt>
                <c:pt idx="1727">
                  <c:v>42025</c:v>
                </c:pt>
                <c:pt idx="1728">
                  <c:v>42026</c:v>
                </c:pt>
                <c:pt idx="1729">
                  <c:v>42027</c:v>
                </c:pt>
                <c:pt idx="1730">
                  <c:v>42028</c:v>
                </c:pt>
                <c:pt idx="1731">
                  <c:v>42029</c:v>
                </c:pt>
                <c:pt idx="1732">
                  <c:v>42030</c:v>
                </c:pt>
                <c:pt idx="1733">
                  <c:v>42031</c:v>
                </c:pt>
                <c:pt idx="1734">
                  <c:v>42032</c:v>
                </c:pt>
                <c:pt idx="1735">
                  <c:v>42033</c:v>
                </c:pt>
                <c:pt idx="1736">
                  <c:v>42034</c:v>
                </c:pt>
                <c:pt idx="1737">
                  <c:v>42035</c:v>
                </c:pt>
                <c:pt idx="1738">
                  <c:v>42036</c:v>
                </c:pt>
                <c:pt idx="1739">
                  <c:v>42037</c:v>
                </c:pt>
                <c:pt idx="1740">
                  <c:v>42038</c:v>
                </c:pt>
                <c:pt idx="1741">
                  <c:v>42039</c:v>
                </c:pt>
                <c:pt idx="1742">
                  <c:v>42040</c:v>
                </c:pt>
                <c:pt idx="1743">
                  <c:v>42041</c:v>
                </c:pt>
                <c:pt idx="1744">
                  <c:v>42042</c:v>
                </c:pt>
                <c:pt idx="1745">
                  <c:v>42043</c:v>
                </c:pt>
                <c:pt idx="1746">
                  <c:v>42044</c:v>
                </c:pt>
                <c:pt idx="1747">
                  <c:v>42045</c:v>
                </c:pt>
                <c:pt idx="1748">
                  <c:v>42046</c:v>
                </c:pt>
                <c:pt idx="1749">
                  <c:v>42047</c:v>
                </c:pt>
                <c:pt idx="1750">
                  <c:v>42048</c:v>
                </c:pt>
                <c:pt idx="1751">
                  <c:v>42049</c:v>
                </c:pt>
                <c:pt idx="1752">
                  <c:v>42050</c:v>
                </c:pt>
                <c:pt idx="1753">
                  <c:v>42051</c:v>
                </c:pt>
                <c:pt idx="1754">
                  <c:v>42052</c:v>
                </c:pt>
                <c:pt idx="1755">
                  <c:v>42053</c:v>
                </c:pt>
                <c:pt idx="1756">
                  <c:v>42054</c:v>
                </c:pt>
                <c:pt idx="1757">
                  <c:v>42055</c:v>
                </c:pt>
                <c:pt idx="1758">
                  <c:v>42056</c:v>
                </c:pt>
                <c:pt idx="1759">
                  <c:v>42057</c:v>
                </c:pt>
                <c:pt idx="1760">
                  <c:v>42058</c:v>
                </c:pt>
                <c:pt idx="1761">
                  <c:v>42059</c:v>
                </c:pt>
                <c:pt idx="1762">
                  <c:v>42060</c:v>
                </c:pt>
                <c:pt idx="1763">
                  <c:v>42061</c:v>
                </c:pt>
                <c:pt idx="1764">
                  <c:v>42062</c:v>
                </c:pt>
                <c:pt idx="1765">
                  <c:v>42063</c:v>
                </c:pt>
                <c:pt idx="1766">
                  <c:v>42064</c:v>
                </c:pt>
                <c:pt idx="1767">
                  <c:v>42065</c:v>
                </c:pt>
                <c:pt idx="1768">
                  <c:v>42066</c:v>
                </c:pt>
                <c:pt idx="1769">
                  <c:v>42067</c:v>
                </c:pt>
                <c:pt idx="1770">
                  <c:v>42068</c:v>
                </c:pt>
                <c:pt idx="1771">
                  <c:v>42069</c:v>
                </c:pt>
                <c:pt idx="1772">
                  <c:v>42070</c:v>
                </c:pt>
                <c:pt idx="1773">
                  <c:v>42071</c:v>
                </c:pt>
                <c:pt idx="1774">
                  <c:v>42072</c:v>
                </c:pt>
                <c:pt idx="1775">
                  <c:v>42073</c:v>
                </c:pt>
                <c:pt idx="1776">
                  <c:v>42074</c:v>
                </c:pt>
                <c:pt idx="1777">
                  <c:v>42075</c:v>
                </c:pt>
                <c:pt idx="1778">
                  <c:v>42076</c:v>
                </c:pt>
                <c:pt idx="1779">
                  <c:v>42077</c:v>
                </c:pt>
                <c:pt idx="1780">
                  <c:v>42078</c:v>
                </c:pt>
                <c:pt idx="1781">
                  <c:v>42079</c:v>
                </c:pt>
                <c:pt idx="1782">
                  <c:v>42080</c:v>
                </c:pt>
                <c:pt idx="1783">
                  <c:v>42081</c:v>
                </c:pt>
                <c:pt idx="1784">
                  <c:v>42082</c:v>
                </c:pt>
                <c:pt idx="1785">
                  <c:v>42083</c:v>
                </c:pt>
                <c:pt idx="1786">
                  <c:v>42084</c:v>
                </c:pt>
                <c:pt idx="1787">
                  <c:v>42086</c:v>
                </c:pt>
                <c:pt idx="1788">
                  <c:v>42087</c:v>
                </c:pt>
                <c:pt idx="1789">
                  <c:v>42088</c:v>
                </c:pt>
                <c:pt idx="1790">
                  <c:v>42089</c:v>
                </c:pt>
                <c:pt idx="1791">
                  <c:v>42090</c:v>
                </c:pt>
                <c:pt idx="1792">
                  <c:v>42091</c:v>
                </c:pt>
                <c:pt idx="1793">
                  <c:v>42092</c:v>
                </c:pt>
                <c:pt idx="1794">
                  <c:v>42093</c:v>
                </c:pt>
                <c:pt idx="1795">
                  <c:v>42094</c:v>
                </c:pt>
                <c:pt idx="1796">
                  <c:v>42095</c:v>
                </c:pt>
                <c:pt idx="1797">
                  <c:v>42096</c:v>
                </c:pt>
                <c:pt idx="1798">
                  <c:v>42097</c:v>
                </c:pt>
                <c:pt idx="1799">
                  <c:v>42098</c:v>
                </c:pt>
                <c:pt idx="1800">
                  <c:v>42099</c:v>
                </c:pt>
                <c:pt idx="1801">
                  <c:v>42100</c:v>
                </c:pt>
                <c:pt idx="1802">
                  <c:v>42101</c:v>
                </c:pt>
                <c:pt idx="1803">
                  <c:v>42102</c:v>
                </c:pt>
              </c:numCache>
            </c:numRef>
          </c:cat>
          <c:val>
            <c:numRef>
              <c:f>'Garch(1,1) Euro'!$J$15:$J$1818</c:f>
              <c:numCache>
                <c:formatCode>0.0000</c:formatCode>
                <c:ptCount val="1804"/>
                <c:pt idx="0">
                  <c:v>5.4233926257759718E-3</c:v>
                </c:pt>
                <c:pt idx="1">
                  <c:v>5.4233926257759718E-3</c:v>
                </c:pt>
                <c:pt idx="2">
                  <c:v>5.4233926257759718E-3</c:v>
                </c:pt>
                <c:pt idx="3">
                  <c:v>5.4233926257759718E-3</c:v>
                </c:pt>
                <c:pt idx="4">
                  <c:v>5.4233926257759718E-3</c:v>
                </c:pt>
                <c:pt idx="5">
                  <c:v>5.4233926257759718E-3</c:v>
                </c:pt>
                <c:pt idx="6">
                  <c:v>5.4233926257759718E-3</c:v>
                </c:pt>
                <c:pt idx="7">
                  <c:v>5.4233926257759718E-3</c:v>
                </c:pt>
                <c:pt idx="8">
                  <c:v>5.4233926257759718E-3</c:v>
                </c:pt>
                <c:pt idx="9">
                  <c:v>5.4233926257759718E-3</c:v>
                </c:pt>
                <c:pt idx="10">
                  <c:v>5.4233926257759718E-3</c:v>
                </c:pt>
                <c:pt idx="11">
                  <c:v>5.4233926257759718E-3</c:v>
                </c:pt>
                <c:pt idx="12">
                  <c:v>5.4233926257759718E-3</c:v>
                </c:pt>
                <c:pt idx="13">
                  <c:v>5.4233926257759718E-3</c:v>
                </c:pt>
                <c:pt idx="14">
                  <c:v>5.4233926257759718E-3</c:v>
                </c:pt>
                <c:pt idx="15">
                  <c:v>5.4233926257759718E-3</c:v>
                </c:pt>
                <c:pt idx="16">
                  <c:v>5.4233926257759718E-3</c:v>
                </c:pt>
                <c:pt idx="17">
                  <c:v>5.4233926257759718E-3</c:v>
                </c:pt>
                <c:pt idx="18">
                  <c:v>5.4233926257759718E-3</c:v>
                </c:pt>
                <c:pt idx="19">
                  <c:v>5.4233926257759718E-3</c:v>
                </c:pt>
                <c:pt idx="20">
                  <c:v>5.4233926257759718E-3</c:v>
                </c:pt>
                <c:pt idx="21">
                  <c:v>5.4233926257759718E-3</c:v>
                </c:pt>
                <c:pt idx="22">
                  <c:v>5.4233926257759718E-3</c:v>
                </c:pt>
                <c:pt idx="23">
                  <c:v>5.4233926257759718E-3</c:v>
                </c:pt>
                <c:pt idx="24">
                  <c:v>5.4233926257759718E-3</c:v>
                </c:pt>
                <c:pt idx="25">
                  <c:v>5.4233926257759718E-3</c:v>
                </c:pt>
                <c:pt idx="26">
                  <c:v>5.4233926257759718E-3</c:v>
                </c:pt>
                <c:pt idx="27">
                  <c:v>5.4233926257759718E-3</c:v>
                </c:pt>
                <c:pt idx="28">
                  <c:v>5.4233926257759718E-3</c:v>
                </c:pt>
                <c:pt idx="29">
                  <c:v>5.4233926257759718E-3</c:v>
                </c:pt>
                <c:pt idx="30">
                  <c:v>5.4233926257759718E-3</c:v>
                </c:pt>
                <c:pt idx="31">
                  <c:v>5.4233926257759718E-3</c:v>
                </c:pt>
                <c:pt idx="32">
                  <c:v>5.4233926257759718E-3</c:v>
                </c:pt>
                <c:pt idx="33">
                  <c:v>5.4233926257759718E-3</c:v>
                </c:pt>
                <c:pt idx="34">
                  <c:v>5.4233926257759718E-3</c:v>
                </c:pt>
                <c:pt idx="35">
                  <c:v>5.4233926257759718E-3</c:v>
                </c:pt>
                <c:pt idx="36">
                  <c:v>5.4233926257759718E-3</c:v>
                </c:pt>
                <c:pt idx="37">
                  <c:v>5.4233926257759718E-3</c:v>
                </c:pt>
                <c:pt idx="38">
                  <c:v>5.4233926257759718E-3</c:v>
                </c:pt>
                <c:pt idx="39">
                  <c:v>5.4233926257759718E-3</c:v>
                </c:pt>
                <c:pt idx="40">
                  <c:v>5.4233926257759718E-3</c:v>
                </c:pt>
                <c:pt idx="41">
                  <c:v>5.4233926257759718E-3</c:v>
                </c:pt>
                <c:pt idx="42">
                  <c:v>5.4233926257759718E-3</c:v>
                </c:pt>
                <c:pt idx="43">
                  <c:v>5.4233926257759718E-3</c:v>
                </c:pt>
                <c:pt idx="44">
                  <c:v>5.4233926257759718E-3</c:v>
                </c:pt>
                <c:pt idx="45">
                  <c:v>5.4233926257759718E-3</c:v>
                </c:pt>
                <c:pt idx="46">
                  <c:v>5.4233926257759718E-3</c:v>
                </c:pt>
                <c:pt idx="47">
                  <c:v>5.4233926257759718E-3</c:v>
                </c:pt>
                <c:pt idx="48">
                  <c:v>5.4233926257759718E-3</c:v>
                </c:pt>
                <c:pt idx="49">
                  <c:v>5.4233926257759718E-3</c:v>
                </c:pt>
                <c:pt idx="50">
                  <c:v>5.4233926257759718E-3</c:v>
                </c:pt>
                <c:pt idx="51">
                  <c:v>5.4233926257759718E-3</c:v>
                </c:pt>
                <c:pt idx="52">
                  <c:v>5.4233926257759718E-3</c:v>
                </c:pt>
                <c:pt idx="53">
                  <c:v>5.4233926257759718E-3</c:v>
                </c:pt>
                <c:pt idx="54">
                  <c:v>5.4233926257759718E-3</c:v>
                </c:pt>
                <c:pt idx="55">
                  <c:v>5.4233926257759718E-3</c:v>
                </c:pt>
                <c:pt idx="56">
                  <c:v>5.4233926257759718E-3</c:v>
                </c:pt>
                <c:pt idx="57">
                  <c:v>5.4233926257759718E-3</c:v>
                </c:pt>
                <c:pt idx="58">
                  <c:v>5.4233926257759718E-3</c:v>
                </c:pt>
                <c:pt idx="59">
                  <c:v>5.4233926257759718E-3</c:v>
                </c:pt>
                <c:pt idx="60">
                  <c:v>5.4233926257759718E-3</c:v>
                </c:pt>
                <c:pt idx="61">
                  <c:v>5.4233926257759718E-3</c:v>
                </c:pt>
                <c:pt idx="62">
                  <c:v>5.4233926257759718E-3</c:v>
                </c:pt>
                <c:pt idx="63">
                  <c:v>5.4233926257759718E-3</c:v>
                </c:pt>
                <c:pt idx="64">
                  <c:v>5.4233926257759718E-3</c:v>
                </c:pt>
                <c:pt idx="65">
                  <c:v>5.4233926257759718E-3</c:v>
                </c:pt>
                <c:pt idx="66">
                  <c:v>5.4233926257759718E-3</c:v>
                </c:pt>
                <c:pt idx="67">
                  <c:v>5.4233926257759718E-3</c:v>
                </c:pt>
                <c:pt idx="68">
                  <c:v>5.4233926257759718E-3</c:v>
                </c:pt>
                <c:pt idx="69">
                  <c:v>5.4233926257759718E-3</c:v>
                </c:pt>
                <c:pt idx="70">
                  <c:v>5.4233926257759718E-3</c:v>
                </c:pt>
                <c:pt idx="71">
                  <c:v>5.4233926257759718E-3</c:v>
                </c:pt>
                <c:pt idx="72">
                  <c:v>5.4233926257759718E-3</c:v>
                </c:pt>
                <c:pt idx="73">
                  <c:v>5.4233926257759718E-3</c:v>
                </c:pt>
                <c:pt idx="74">
                  <c:v>5.4233926257759718E-3</c:v>
                </c:pt>
                <c:pt idx="75">
                  <c:v>5.4233926257759718E-3</c:v>
                </c:pt>
                <c:pt idx="76">
                  <c:v>5.4233926257759718E-3</c:v>
                </c:pt>
                <c:pt idx="77">
                  <c:v>5.4233926257759718E-3</c:v>
                </c:pt>
                <c:pt idx="78">
                  <c:v>5.4233926257759718E-3</c:v>
                </c:pt>
                <c:pt idx="79">
                  <c:v>5.4233926257759718E-3</c:v>
                </c:pt>
                <c:pt idx="80">
                  <c:v>5.4233926257759718E-3</c:v>
                </c:pt>
                <c:pt idx="81">
                  <c:v>5.4233926257759718E-3</c:v>
                </c:pt>
                <c:pt idx="82">
                  <c:v>5.4233926257759718E-3</c:v>
                </c:pt>
                <c:pt idx="83">
                  <c:v>5.4233926257759718E-3</c:v>
                </c:pt>
                <c:pt idx="84">
                  <c:v>5.4233926257759718E-3</c:v>
                </c:pt>
                <c:pt idx="85">
                  <c:v>5.4233926257759718E-3</c:v>
                </c:pt>
                <c:pt idx="86">
                  <c:v>5.4233926257759718E-3</c:v>
                </c:pt>
                <c:pt idx="87">
                  <c:v>5.4233926257759718E-3</c:v>
                </c:pt>
                <c:pt idx="88">
                  <c:v>5.4233926257759718E-3</c:v>
                </c:pt>
                <c:pt idx="89">
                  <c:v>5.4233926257759718E-3</c:v>
                </c:pt>
                <c:pt idx="90">
                  <c:v>5.4233926257759718E-3</c:v>
                </c:pt>
                <c:pt idx="91">
                  <c:v>5.4233926257759718E-3</c:v>
                </c:pt>
                <c:pt idx="92">
                  <c:v>5.4233926257759718E-3</c:v>
                </c:pt>
                <c:pt idx="93">
                  <c:v>5.4233926257759718E-3</c:v>
                </c:pt>
                <c:pt idx="94">
                  <c:v>5.4233926257759718E-3</c:v>
                </c:pt>
                <c:pt idx="95">
                  <c:v>5.4233926257759718E-3</c:v>
                </c:pt>
                <c:pt idx="96">
                  <c:v>5.4233926257759718E-3</c:v>
                </c:pt>
                <c:pt idx="97">
                  <c:v>5.4233926257759718E-3</c:v>
                </c:pt>
                <c:pt idx="98">
                  <c:v>5.4233926257759718E-3</c:v>
                </c:pt>
                <c:pt idx="99">
                  <c:v>5.4233926257759718E-3</c:v>
                </c:pt>
                <c:pt idx="100">
                  <c:v>5.4233926257759718E-3</c:v>
                </c:pt>
                <c:pt idx="101">
                  <c:v>5.4233926257759718E-3</c:v>
                </c:pt>
                <c:pt idx="102">
                  <c:v>5.4233926257759718E-3</c:v>
                </c:pt>
                <c:pt idx="103">
                  <c:v>5.4233926257759718E-3</c:v>
                </c:pt>
                <c:pt idx="104">
                  <c:v>5.4233926257759718E-3</c:v>
                </c:pt>
                <c:pt idx="105">
                  <c:v>5.4233926257759718E-3</c:v>
                </c:pt>
                <c:pt idx="106">
                  <c:v>5.4233926257759718E-3</c:v>
                </c:pt>
                <c:pt idx="107">
                  <c:v>5.4233926257759718E-3</c:v>
                </c:pt>
                <c:pt idx="108">
                  <c:v>5.4233926257759718E-3</c:v>
                </c:pt>
                <c:pt idx="109">
                  <c:v>5.4233926257759718E-3</c:v>
                </c:pt>
                <c:pt idx="110">
                  <c:v>5.4233926257759718E-3</c:v>
                </c:pt>
                <c:pt idx="111">
                  <c:v>5.4233926257759718E-3</c:v>
                </c:pt>
                <c:pt idx="112">
                  <c:v>5.4233926257759718E-3</c:v>
                </c:pt>
                <c:pt idx="113">
                  <c:v>5.4233926257759718E-3</c:v>
                </c:pt>
                <c:pt idx="114">
                  <c:v>5.4233926257759718E-3</c:v>
                </c:pt>
                <c:pt idx="115">
                  <c:v>5.4233926257759718E-3</c:v>
                </c:pt>
                <c:pt idx="116">
                  <c:v>5.4233926257759718E-3</c:v>
                </c:pt>
                <c:pt idx="117">
                  <c:v>5.4233926257759718E-3</c:v>
                </c:pt>
                <c:pt idx="118">
                  <c:v>5.4233926257759718E-3</c:v>
                </c:pt>
                <c:pt idx="119">
                  <c:v>5.4233926257759718E-3</c:v>
                </c:pt>
                <c:pt idx="120">
                  <c:v>5.4233926257759718E-3</c:v>
                </c:pt>
                <c:pt idx="121">
                  <c:v>5.4233926257759718E-3</c:v>
                </c:pt>
                <c:pt idx="122">
                  <c:v>5.4233926257759718E-3</c:v>
                </c:pt>
                <c:pt idx="123">
                  <c:v>5.4233926257759718E-3</c:v>
                </c:pt>
                <c:pt idx="124">
                  <c:v>5.4233926257759718E-3</c:v>
                </c:pt>
                <c:pt idx="125">
                  <c:v>5.4233926257759718E-3</c:v>
                </c:pt>
                <c:pt idx="126">
                  <c:v>5.4233926257759718E-3</c:v>
                </c:pt>
                <c:pt idx="127">
                  <c:v>5.4233926257759718E-3</c:v>
                </c:pt>
                <c:pt idx="128">
                  <c:v>5.4233926257759718E-3</c:v>
                </c:pt>
                <c:pt idx="129">
                  <c:v>5.4233926257759718E-3</c:v>
                </c:pt>
                <c:pt idx="130">
                  <c:v>5.4233926257759718E-3</c:v>
                </c:pt>
                <c:pt idx="131">
                  <c:v>5.4233926257759718E-3</c:v>
                </c:pt>
                <c:pt idx="132">
                  <c:v>5.4233926257759718E-3</c:v>
                </c:pt>
                <c:pt idx="133">
                  <c:v>5.4233926257759718E-3</c:v>
                </c:pt>
                <c:pt idx="134">
                  <c:v>5.4233926257759718E-3</c:v>
                </c:pt>
                <c:pt idx="135">
                  <c:v>5.4233926257759718E-3</c:v>
                </c:pt>
                <c:pt idx="136">
                  <c:v>5.4233926257759718E-3</c:v>
                </c:pt>
                <c:pt idx="137">
                  <c:v>5.4233926257759718E-3</c:v>
                </c:pt>
                <c:pt idx="138">
                  <c:v>5.4233926257759718E-3</c:v>
                </c:pt>
                <c:pt idx="139">
                  <c:v>5.4233926257759718E-3</c:v>
                </c:pt>
                <c:pt idx="140">
                  <c:v>5.4233926257759718E-3</c:v>
                </c:pt>
                <c:pt idx="141">
                  <c:v>5.4233926257759718E-3</c:v>
                </c:pt>
                <c:pt idx="142">
                  <c:v>5.4233926257759718E-3</c:v>
                </c:pt>
                <c:pt idx="143">
                  <c:v>5.4233926257759718E-3</c:v>
                </c:pt>
                <c:pt idx="144">
                  <c:v>5.4233926257759718E-3</c:v>
                </c:pt>
                <c:pt idx="145">
                  <c:v>5.4233926257759718E-3</c:v>
                </c:pt>
                <c:pt idx="146">
                  <c:v>5.4233926257759718E-3</c:v>
                </c:pt>
                <c:pt idx="147">
                  <c:v>5.4233926257759718E-3</c:v>
                </c:pt>
                <c:pt idx="148">
                  <c:v>5.4233926257759718E-3</c:v>
                </c:pt>
                <c:pt idx="149">
                  <c:v>5.4233926257759718E-3</c:v>
                </c:pt>
                <c:pt idx="150">
                  <c:v>5.4233926257759718E-3</c:v>
                </c:pt>
                <c:pt idx="151">
                  <c:v>5.4233926257759718E-3</c:v>
                </c:pt>
                <c:pt idx="152">
                  <c:v>5.4233926257759718E-3</c:v>
                </c:pt>
                <c:pt idx="153">
                  <c:v>5.4233926257759718E-3</c:v>
                </c:pt>
                <c:pt idx="154">
                  <c:v>5.4233926257759718E-3</c:v>
                </c:pt>
                <c:pt idx="155">
                  <c:v>5.4233926257759718E-3</c:v>
                </c:pt>
                <c:pt idx="156">
                  <c:v>5.4233926257759718E-3</c:v>
                </c:pt>
                <c:pt idx="157">
                  <c:v>5.4233926257759718E-3</c:v>
                </c:pt>
                <c:pt idx="158">
                  <c:v>5.4233926257759718E-3</c:v>
                </c:pt>
                <c:pt idx="159">
                  <c:v>5.4233926257759718E-3</c:v>
                </c:pt>
                <c:pt idx="160">
                  <c:v>5.4233926257759718E-3</c:v>
                </c:pt>
                <c:pt idx="161">
                  <c:v>5.4233926257759718E-3</c:v>
                </c:pt>
                <c:pt idx="162">
                  <c:v>5.4233926257759718E-3</c:v>
                </c:pt>
                <c:pt idx="163">
                  <c:v>5.4233926257759718E-3</c:v>
                </c:pt>
                <c:pt idx="164">
                  <c:v>5.4233926257759718E-3</c:v>
                </c:pt>
                <c:pt idx="165">
                  <c:v>5.4233926257759718E-3</c:v>
                </c:pt>
                <c:pt idx="166">
                  <c:v>5.4233926257759718E-3</c:v>
                </c:pt>
                <c:pt idx="167">
                  <c:v>5.4233926257759718E-3</c:v>
                </c:pt>
                <c:pt idx="168">
                  <c:v>5.4233926257759718E-3</c:v>
                </c:pt>
                <c:pt idx="169">
                  <c:v>5.4233926257759718E-3</c:v>
                </c:pt>
                <c:pt idx="170">
                  <c:v>5.4233926257759718E-3</c:v>
                </c:pt>
                <c:pt idx="171">
                  <c:v>5.4233926257759718E-3</c:v>
                </c:pt>
                <c:pt idx="172">
                  <c:v>5.4233926257759718E-3</c:v>
                </c:pt>
                <c:pt idx="173">
                  <c:v>5.4233926257759718E-3</c:v>
                </c:pt>
                <c:pt idx="174">
                  <c:v>5.4233926257759718E-3</c:v>
                </c:pt>
                <c:pt idx="175">
                  <c:v>5.4233926257759718E-3</c:v>
                </c:pt>
                <c:pt idx="176">
                  <c:v>5.4233926257759718E-3</c:v>
                </c:pt>
                <c:pt idx="177">
                  <c:v>5.4233926257759718E-3</c:v>
                </c:pt>
                <c:pt idx="178">
                  <c:v>5.4233926257759718E-3</c:v>
                </c:pt>
                <c:pt idx="179">
                  <c:v>5.4233926257759718E-3</c:v>
                </c:pt>
                <c:pt idx="180">
                  <c:v>5.4233926257759718E-3</c:v>
                </c:pt>
                <c:pt idx="181">
                  <c:v>5.4233926257759718E-3</c:v>
                </c:pt>
                <c:pt idx="182">
                  <c:v>5.4233926257759718E-3</c:v>
                </c:pt>
                <c:pt idx="183">
                  <c:v>5.4233926257759718E-3</c:v>
                </c:pt>
                <c:pt idx="184">
                  <c:v>5.4233926257759718E-3</c:v>
                </c:pt>
                <c:pt idx="185">
                  <c:v>5.4233926257759718E-3</c:v>
                </c:pt>
                <c:pt idx="186">
                  <c:v>5.4233926257759718E-3</c:v>
                </c:pt>
                <c:pt idx="187">
                  <c:v>5.4233926257759718E-3</c:v>
                </c:pt>
                <c:pt idx="188">
                  <c:v>5.4233926257759718E-3</c:v>
                </c:pt>
                <c:pt idx="189">
                  <c:v>5.4233926257759718E-3</c:v>
                </c:pt>
                <c:pt idx="190">
                  <c:v>5.4233926257759718E-3</c:v>
                </c:pt>
                <c:pt idx="191">
                  <c:v>5.4233926257759718E-3</c:v>
                </c:pt>
                <c:pt idx="192">
                  <c:v>5.4233926257759718E-3</c:v>
                </c:pt>
                <c:pt idx="193">
                  <c:v>5.4233926257759718E-3</c:v>
                </c:pt>
                <c:pt idx="194">
                  <c:v>5.4233926257759718E-3</c:v>
                </c:pt>
                <c:pt idx="195">
                  <c:v>5.4233926257759718E-3</c:v>
                </c:pt>
                <c:pt idx="196">
                  <c:v>5.4233926257759718E-3</c:v>
                </c:pt>
                <c:pt idx="197">
                  <c:v>5.4233926257759718E-3</c:v>
                </c:pt>
                <c:pt idx="198">
                  <c:v>5.4233926257759718E-3</c:v>
                </c:pt>
                <c:pt idx="199">
                  <c:v>5.4233926257759718E-3</c:v>
                </c:pt>
                <c:pt idx="200">
                  <c:v>5.4233926257759718E-3</c:v>
                </c:pt>
                <c:pt idx="201">
                  <c:v>5.4233926257759718E-3</c:v>
                </c:pt>
                <c:pt idx="202">
                  <c:v>5.4233926257759718E-3</c:v>
                </c:pt>
                <c:pt idx="203">
                  <c:v>5.4233926257759718E-3</c:v>
                </c:pt>
                <c:pt idx="204">
                  <c:v>5.4233926257759718E-3</c:v>
                </c:pt>
                <c:pt idx="205">
                  <c:v>5.4233926257759718E-3</c:v>
                </c:pt>
                <c:pt idx="206">
                  <c:v>5.4233926257759718E-3</c:v>
                </c:pt>
                <c:pt idx="207">
                  <c:v>5.4233926257759718E-3</c:v>
                </c:pt>
                <c:pt idx="208">
                  <c:v>5.4233926257759718E-3</c:v>
                </c:pt>
                <c:pt idx="209">
                  <c:v>5.4233926257759718E-3</c:v>
                </c:pt>
                <c:pt idx="210">
                  <c:v>5.4233926257759718E-3</c:v>
                </c:pt>
                <c:pt idx="211">
                  <c:v>5.4233926257759718E-3</c:v>
                </c:pt>
                <c:pt idx="212">
                  <c:v>5.4233926257759718E-3</c:v>
                </c:pt>
                <c:pt idx="213">
                  <c:v>5.4233926257759718E-3</c:v>
                </c:pt>
                <c:pt idx="214">
                  <c:v>5.4233926257759718E-3</c:v>
                </c:pt>
                <c:pt idx="215">
                  <c:v>5.4233926257759718E-3</c:v>
                </c:pt>
                <c:pt idx="216">
                  <c:v>5.4233926257759718E-3</c:v>
                </c:pt>
                <c:pt idx="217">
                  <c:v>5.4233926257759718E-3</c:v>
                </c:pt>
                <c:pt idx="218">
                  <c:v>5.4233926257759718E-3</c:v>
                </c:pt>
                <c:pt idx="219">
                  <c:v>5.4233926257759718E-3</c:v>
                </c:pt>
                <c:pt idx="220">
                  <c:v>5.4233926257759718E-3</c:v>
                </c:pt>
                <c:pt idx="221">
                  <c:v>5.4233926257759718E-3</c:v>
                </c:pt>
                <c:pt idx="222">
                  <c:v>5.4233926257759718E-3</c:v>
                </c:pt>
                <c:pt idx="223">
                  <c:v>5.4233926257759718E-3</c:v>
                </c:pt>
                <c:pt idx="224">
                  <c:v>5.4233926257759718E-3</c:v>
                </c:pt>
                <c:pt idx="225">
                  <c:v>5.4233926257759718E-3</c:v>
                </c:pt>
                <c:pt idx="226">
                  <c:v>5.4233926257759718E-3</c:v>
                </c:pt>
                <c:pt idx="227">
                  <c:v>5.4233926257759718E-3</c:v>
                </c:pt>
                <c:pt idx="228">
                  <c:v>5.4233926257759718E-3</c:v>
                </c:pt>
                <c:pt idx="229">
                  <c:v>5.4233926257759718E-3</c:v>
                </c:pt>
                <c:pt idx="230">
                  <c:v>5.4233926257759718E-3</c:v>
                </c:pt>
                <c:pt idx="231">
                  <c:v>5.4233926257759718E-3</c:v>
                </c:pt>
                <c:pt idx="232">
                  <c:v>5.4233926257759718E-3</c:v>
                </c:pt>
                <c:pt idx="233">
                  <c:v>5.4233926257759718E-3</c:v>
                </c:pt>
                <c:pt idx="234">
                  <c:v>5.4233926257759718E-3</c:v>
                </c:pt>
                <c:pt idx="235">
                  <c:v>5.4233926257759718E-3</c:v>
                </c:pt>
                <c:pt idx="236">
                  <c:v>5.4233926257759718E-3</c:v>
                </c:pt>
                <c:pt idx="237">
                  <c:v>5.4233926257759718E-3</c:v>
                </c:pt>
                <c:pt idx="238">
                  <c:v>5.4233926257759718E-3</c:v>
                </c:pt>
                <c:pt idx="239">
                  <c:v>5.4233926257759718E-3</c:v>
                </c:pt>
                <c:pt idx="240">
                  <c:v>5.4233926257759718E-3</c:v>
                </c:pt>
                <c:pt idx="241">
                  <c:v>5.4233926257759718E-3</c:v>
                </c:pt>
                <c:pt idx="242">
                  <c:v>5.4233926257759718E-3</c:v>
                </c:pt>
                <c:pt idx="243">
                  <c:v>5.4233926257759718E-3</c:v>
                </c:pt>
                <c:pt idx="244">
                  <c:v>5.4233926257759718E-3</c:v>
                </c:pt>
                <c:pt idx="245">
                  <c:v>5.4233926257759718E-3</c:v>
                </c:pt>
                <c:pt idx="246">
                  <c:v>5.4233926257759718E-3</c:v>
                </c:pt>
                <c:pt idx="247">
                  <c:v>5.4233926257759718E-3</c:v>
                </c:pt>
                <c:pt idx="248">
                  <c:v>5.4233926257759718E-3</c:v>
                </c:pt>
                <c:pt idx="249">
                  <c:v>5.4233926257759718E-3</c:v>
                </c:pt>
                <c:pt idx="250">
                  <c:v>5.4233926257759718E-3</c:v>
                </c:pt>
                <c:pt idx="251">
                  <c:v>5.4233926257759718E-3</c:v>
                </c:pt>
                <c:pt idx="252">
                  <c:v>5.4233926257759718E-3</c:v>
                </c:pt>
                <c:pt idx="253">
                  <c:v>5.4233926257759718E-3</c:v>
                </c:pt>
                <c:pt idx="254">
                  <c:v>5.4233926257759718E-3</c:v>
                </c:pt>
                <c:pt idx="255">
                  <c:v>5.4233926257759718E-3</c:v>
                </c:pt>
                <c:pt idx="256">
                  <c:v>5.4233926257759718E-3</c:v>
                </c:pt>
                <c:pt idx="257">
                  <c:v>5.4233926257759718E-3</c:v>
                </c:pt>
                <c:pt idx="258">
                  <c:v>5.4233926257759718E-3</c:v>
                </c:pt>
                <c:pt idx="259">
                  <c:v>5.4233926257759718E-3</c:v>
                </c:pt>
                <c:pt idx="260">
                  <c:v>5.4233926257759718E-3</c:v>
                </c:pt>
                <c:pt idx="261">
                  <c:v>5.4233926257759718E-3</c:v>
                </c:pt>
                <c:pt idx="262">
                  <c:v>5.4233926257759718E-3</c:v>
                </c:pt>
                <c:pt idx="263">
                  <c:v>5.4233926257759718E-3</c:v>
                </c:pt>
                <c:pt idx="264">
                  <c:v>5.4233926257759718E-3</c:v>
                </c:pt>
                <c:pt idx="265">
                  <c:v>5.4233926257759718E-3</c:v>
                </c:pt>
                <c:pt idx="266">
                  <c:v>5.4233926257759718E-3</c:v>
                </c:pt>
                <c:pt idx="267">
                  <c:v>5.4233926257759718E-3</c:v>
                </c:pt>
                <c:pt idx="268">
                  <c:v>5.4233926257759718E-3</c:v>
                </c:pt>
                <c:pt idx="269">
                  <c:v>5.4233926257759718E-3</c:v>
                </c:pt>
                <c:pt idx="270">
                  <c:v>5.4233926257759718E-3</c:v>
                </c:pt>
                <c:pt idx="271">
                  <c:v>5.4233926257759718E-3</c:v>
                </c:pt>
                <c:pt idx="272">
                  <c:v>5.4233926257759718E-3</c:v>
                </c:pt>
                <c:pt idx="273">
                  <c:v>5.4233926257759718E-3</c:v>
                </c:pt>
                <c:pt idx="274">
                  <c:v>5.4233926257759718E-3</c:v>
                </c:pt>
                <c:pt idx="275">
                  <c:v>5.4233926257759718E-3</c:v>
                </c:pt>
                <c:pt idx="276">
                  <c:v>5.4233926257759718E-3</c:v>
                </c:pt>
                <c:pt idx="277">
                  <c:v>5.4233926257759718E-3</c:v>
                </c:pt>
                <c:pt idx="278">
                  <c:v>5.4233926257759718E-3</c:v>
                </c:pt>
                <c:pt idx="279">
                  <c:v>5.4233926257759718E-3</c:v>
                </c:pt>
                <c:pt idx="280">
                  <c:v>5.4233926257759718E-3</c:v>
                </c:pt>
                <c:pt idx="281">
                  <c:v>5.4233926257759718E-3</c:v>
                </c:pt>
                <c:pt idx="282">
                  <c:v>5.4233926257759718E-3</c:v>
                </c:pt>
                <c:pt idx="283">
                  <c:v>5.4233926257759718E-3</c:v>
                </c:pt>
                <c:pt idx="284">
                  <c:v>5.4233926257759718E-3</c:v>
                </c:pt>
                <c:pt idx="285">
                  <c:v>5.4233926257759718E-3</c:v>
                </c:pt>
                <c:pt idx="286">
                  <c:v>5.4233926257759718E-3</c:v>
                </c:pt>
                <c:pt idx="287">
                  <c:v>5.4233926257759718E-3</c:v>
                </c:pt>
                <c:pt idx="288">
                  <c:v>5.4233926257759718E-3</c:v>
                </c:pt>
                <c:pt idx="289">
                  <c:v>5.4233926257759718E-3</c:v>
                </c:pt>
                <c:pt idx="290">
                  <c:v>5.4233926257759718E-3</c:v>
                </c:pt>
                <c:pt idx="291">
                  <c:v>5.4233926257759718E-3</c:v>
                </c:pt>
                <c:pt idx="292">
                  <c:v>5.4233926257759718E-3</c:v>
                </c:pt>
                <c:pt idx="293">
                  <c:v>5.4233926257759718E-3</c:v>
                </c:pt>
                <c:pt idx="294">
                  <c:v>5.4233926257759718E-3</c:v>
                </c:pt>
                <c:pt idx="295">
                  <c:v>5.4233926257759718E-3</c:v>
                </c:pt>
                <c:pt idx="296">
                  <c:v>5.4233926257759718E-3</c:v>
                </c:pt>
                <c:pt idx="297">
                  <c:v>5.4233926257759718E-3</c:v>
                </c:pt>
                <c:pt idx="298">
                  <c:v>5.4233926257759718E-3</c:v>
                </c:pt>
                <c:pt idx="299">
                  <c:v>5.4233926257759718E-3</c:v>
                </c:pt>
                <c:pt idx="300">
                  <c:v>5.4233926257759718E-3</c:v>
                </c:pt>
                <c:pt idx="301">
                  <c:v>5.4233926257759718E-3</c:v>
                </c:pt>
                <c:pt idx="302">
                  <c:v>5.4233926257759718E-3</c:v>
                </c:pt>
                <c:pt idx="303">
                  <c:v>5.4233926257759718E-3</c:v>
                </c:pt>
                <c:pt idx="304">
                  <c:v>5.4233926257759718E-3</c:v>
                </c:pt>
                <c:pt idx="305">
                  <c:v>5.4233926257759718E-3</c:v>
                </c:pt>
                <c:pt idx="306">
                  <c:v>5.4233926257759718E-3</c:v>
                </c:pt>
                <c:pt idx="307">
                  <c:v>5.4233926257759718E-3</c:v>
                </c:pt>
                <c:pt idx="308">
                  <c:v>5.4233926257759718E-3</c:v>
                </c:pt>
                <c:pt idx="309">
                  <c:v>5.4233926257759718E-3</c:v>
                </c:pt>
                <c:pt idx="310">
                  <c:v>5.4233926257759718E-3</c:v>
                </c:pt>
                <c:pt idx="311">
                  <c:v>5.4233926257759718E-3</c:v>
                </c:pt>
                <c:pt idx="312">
                  <c:v>5.4233926257759718E-3</c:v>
                </c:pt>
                <c:pt idx="313">
                  <c:v>5.4233926257759718E-3</c:v>
                </c:pt>
                <c:pt idx="314">
                  <c:v>5.4233926257759718E-3</c:v>
                </c:pt>
                <c:pt idx="315">
                  <c:v>5.4233926257759718E-3</c:v>
                </c:pt>
                <c:pt idx="316">
                  <c:v>5.4233926257759718E-3</c:v>
                </c:pt>
                <c:pt idx="317">
                  <c:v>5.4233926257759718E-3</c:v>
                </c:pt>
                <c:pt idx="318">
                  <c:v>5.4233926257759718E-3</c:v>
                </c:pt>
                <c:pt idx="319">
                  <c:v>5.4233926257759718E-3</c:v>
                </c:pt>
                <c:pt idx="320">
                  <c:v>5.4233926257759718E-3</c:v>
                </c:pt>
                <c:pt idx="321">
                  <c:v>5.4233926257759718E-3</c:v>
                </c:pt>
                <c:pt idx="322">
                  <c:v>5.4233926257759718E-3</c:v>
                </c:pt>
                <c:pt idx="323">
                  <c:v>5.4233926257759718E-3</c:v>
                </c:pt>
                <c:pt idx="324">
                  <c:v>5.4233926257759718E-3</c:v>
                </c:pt>
                <c:pt idx="325">
                  <c:v>5.4233926257759718E-3</c:v>
                </c:pt>
                <c:pt idx="326">
                  <c:v>5.4233926257759718E-3</c:v>
                </c:pt>
                <c:pt idx="327">
                  <c:v>5.4233926257759718E-3</c:v>
                </c:pt>
                <c:pt idx="328">
                  <c:v>5.4233926257759718E-3</c:v>
                </c:pt>
                <c:pt idx="329">
                  <c:v>5.4233926257759718E-3</c:v>
                </c:pt>
                <c:pt idx="330">
                  <c:v>5.4233926257759718E-3</c:v>
                </c:pt>
                <c:pt idx="331">
                  <c:v>5.4233926257759718E-3</c:v>
                </c:pt>
                <c:pt idx="332">
                  <c:v>5.4233926257759718E-3</c:v>
                </c:pt>
                <c:pt idx="333">
                  <c:v>5.4233926257759718E-3</c:v>
                </c:pt>
                <c:pt idx="334">
                  <c:v>5.4233926257759718E-3</c:v>
                </c:pt>
                <c:pt idx="335">
                  <c:v>5.4233926257759718E-3</c:v>
                </c:pt>
                <c:pt idx="336">
                  <c:v>5.4233926257759718E-3</c:v>
                </c:pt>
                <c:pt idx="337">
                  <c:v>5.4233926257759718E-3</c:v>
                </c:pt>
                <c:pt idx="338">
                  <c:v>5.4233926257759718E-3</c:v>
                </c:pt>
                <c:pt idx="339">
                  <c:v>5.4233926257759718E-3</c:v>
                </c:pt>
                <c:pt idx="340">
                  <c:v>5.4233926257759718E-3</c:v>
                </c:pt>
                <c:pt idx="341">
                  <c:v>5.4233926257759718E-3</c:v>
                </c:pt>
                <c:pt idx="342">
                  <c:v>5.4233926257759718E-3</c:v>
                </c:pt>
                <c:pt idx="343">
                  <c:v>5.4233926257759718E-3</c:v>
                </c:pt>
                <c:pt idx="344">
                  <c:v>5.4233926257759718E-3</c:v>
                </c:pt>
                <c:pt idx="345">
                  <c:v>5.4233926257759718E-3</c:v>
                </c:pt>
                <c:pt idx="346">
                  <c:v>5.4233926257759718E-3</c:v>
                </c:pt>
                <c:pt idx="347">
                  <c:v>5.4233926257759718E-3</c:v>
                </c:pt>
                <c:pt idx="348">
                  <c:v>5.4233926257759718E-3</c:v>
                </c:pt>
                <c:pt idx="349">
                  <c:v>5.4233926257759718E-3</c:v>
                </c:pt>
                <c:pt idx="350">
                  <c:v>5.4233926257759718E-3</c:v>
                </c:pt>
                <c:pt idx="351">
                  <c:v>5.4233926257759718E-3</c:v>
                </c:pt>
                <c:pt idx="352">
                  <c:v>5.4233926257759718E-3</c:v>
                </c:pt>
                <c:pt idx="353">
                  <c:v>5.4233926257759718E-3</c:v>
                </c:pt>
                <c:pt idx="354">
                  <c:v>5.4233926257759718E-3</c:v>
                </c:pt>
                <c:pt idx="355">
                  <c:v>5.4233926257759718E-3</c:v>
                </c:pt>
                <c:pt idx="356">
                  <c:v>5.4233926257759718E-3</c:v>
                </c:pt>
                <c:pt idx="357">
                  <c:v>5.4233926257759718E-3</c:v>
                </c:pt>
                <c:pt idx="358">
                  <c:v>5.4233926257759718E-3</c:v>
                </c:pt>
                <c:pt idx="359">
                  <c:v>5.4233926257759718E-3</c:v>
                </c:pt>
                <c:pt idx="360">
                  <c:v>5.4233926257759718E-3</c:v>
                </c:pt>
                <c:pt idx="361">
                  <c:v>5.4233926257759718E-3</c:v>
                </c:pt>
                <c:pt idx="362">
                  <c:v>5.4233926257759718E-3</c:v>
                </c:pt>
                <c:pt idx="363">
                  <c:v>5.4233926257759718E-3</c:v>
                </c:pt>
                <c:pt idx="364">
                  <c:v>5.4233926257759718E-3</c:v>
                </c:pt>
                <c:pt idx="365">
                  <c:v>5.4233926257759718E-3</c:v>
                </c:pt>
                <c:pt idx="366">
                  <c:v>5.4233926257759718E-3</c:v>
                </c:pt>
                <c:pt idx="367">
                  <c:v>5.4233926257759718E-3</c:v>
                </c:pt>
                <c:pt idx="368">
                  <c:v>5.4233926257759718E-3</c:v>
                </c:pt>
                <c:pt idx="369">
                  <c:v>5.4233926257759718E-3</c:v>
                </c:pt>
                <c:pt idx="370">
                  <c:v>5.4233926257759718E-3</c:v>
                </c:pt>
                <c:pt idx="371">
                  <c:v>5.4233926257759718E-3</c:v>
                </c:pt>
                <c:pt idx="372">
                  <c:v>5.4233926257759718E-3</c:v>
                </c:pt>
                <c:pt idx="373">
                  <c:v>5.4233926257759718E-3</c:v>
                </c:pt>
                <c:pt idx="374">
                  <c:v>5.4233926257759718E-3</c:v>
                </c:pt>
                <c:pt idx="375">
                  <c:v>5.4233926257759718E-3</c:v>
                </c:pt>
                <c:pt idx="376">
                  <c:v>5.4233926257759718E-3</c:v>
                </c:pt>
                <c:pt idx="377">
                  <c:v>5.4233926257759718E-3</c:v>
                </c:pt>
                <c:pt idx="378">
                  <c:v>5.4233926257759718E-3</c:v>
                </c:pt>
                <c:pt idx="379">
                  <c:v>5.4233926257759718E-3</c:v>
                </c:pt>
                <c:pt idx="380">
                  <c:v>5.4233926257759718E-3</c:v>
                </c:pt>
                <c:pt idx="381">
                  <c:v>5.4233926257759718E-3</c:v>
                </c:pt>
                <c:pt idx="382">
                  <c:v>5.4233926257759718E-3</c:v>
                </c:pt>
                <c:pt idx="383">
                  <c:v>5.4233926257759718E-3</c:v>
                </c:pt>
                <c:pt idx="384">
                  <c:v>5.4233926257759718E-3</c:v>
                </c:pt>
                <c:pt idx="385">
                  <c:v>5.4233926257759718E-3</c:v>
                </c:pt>
                <c:pt idx="386">
                  <c:v>5.4233926257759718E-3</c:v>
                </c:pt>
                <c:pt idx="387">
                  <c:v>5.4233926257759718E-3</c:v>
                </c:pt>
                <c:pt idx="388">
                  <c:v>5.4233926257759718E-3</c:v>
                </c:pt>
                <c:pt idx="389">
                  <c:v>5.4233926257759718E-3</c:v>
                </c:pt>
                <c:pt idx="390">
                  <c:v>5.4233926257759718E-3</c:v>
                </c:pt>
                <c:pt idx="391">
                  <c:v>5.4233926257759718E-3</c:v>
                </c:pt>
                <c:pt idx="392">
                  <c:v>5.4233926257759718E-3</c:v>
                </c:pt>
                <c:pt idx="393">
                  <c:v>5.4233926257759718E-3</c:v>
                </c:pt>
                <c:pt idx="394">
                  <c:v>5.4233926257759718E-3</c:v>
                </c:pt>
                <c:pt idx="395">
                  <c:v>5.4233926257759718E-3</c:v>
                </c:pt>
                <c:pt idx="396">
                  <c:v>5.4233926257759718E-3</c:v>
                </c:pt>
                <c:pt idx="397">
                  <c:v>5.4233926257759718E-3</c:v>
                </c:pt>
                <c:pt idx="398">
                  <c:v>5.4233926257759718E-3</c:v>
                </c:pt>
                <c:pt idx="399">
                  <c:v>5.4233926257759718E-3</c:v>
                </c:pt>
                <c:pt idx="400">
                  <c:v>5.4233926257759718E-3</c:v>
                </c:pt>
                <c:pt idx="401">
                  <c:v>5.4233926257759718E-3</c:v>
                </c:pt>
                <c:pt idx="402">
                  <c:v>5.4233926257759718E-3</c:v>
                </c:pt>
                <c:pt idx="403">
                  <c:v>5.4233926257759718E-3</c:v>
                </c:pt>
                <c:pt idx="404">
                  <c:v>5.4233926257759718E-3</c:v>
                </c:pt>
                <c:pt idx="405">
                  <c:v>5.4233926257759718E-3</c:v>
                </c:pt>
                <c:pt idx="406">
                  <c:v>5.4233926257759718E-3</c:v>
                </c:pt>
                <c:pt idx="407">
                  <c:v>5.4233926257759718E-3</c:v>
                </c:pt>
                <c:pt idx="408">
                  <c:v>5.4233926257759718E-3</c:v>
                </c:pt>
                <c:pt idx="409">
                  <c:v>5.4233926257759718E-3</c:v>
                </c:pt>
                <c:pt idx="410">
                  <c:v>5.4233926257759718E-3</c:v>
                </c:pt>
                <c:pt idx="411">
                  <c:v>5.4233926257759718E-3</c:v>
                </c:pt>
                <c:pt idx="412">
                  <c:v>5.4233926257759718E-3</c:v>
                </c:pt>
                <c:pt idx="413">
                  <c:v>5.4233926257759718E-3</c:v>
                </c:pt>
                <c:pt idx="414">
                  <c:v>5.4233926257759718E-3</c:v>
                </c:pt>
                <c:pt idx="415">
                  <c:v>5.4233926257759718E-3</c:v>
                </c:pt>
                <c:pt idx="416">
                  <c:v>5.4233926257759718E-3</c:v>
                </c:pt>
                <c:pt idx="417">
                  <c:v>5.4233926257759718E-3</c:v>
                </c:pt>
                <c:pt idx="418">
                  <c:v>5.4233926257759718E-3</c:v>
                </c:pt>
                <c:pt idx="419">
                  <c:v>5.4233926257759718E-3</c:v>
                </c:pt>
                <c:pt idx="420">
                  <c:v>5.4233926257759718E-3</c:v>
                </c:pt>
                <c:pt idx="421">
                  <c:v>5.4233926257759718E-3</c:v>
                </c:pt>
                <c:pt idx="422">
                  <c:v>5.4233926257759718E-3</c:v>
                </c:pt>
                <c:pt idx="423">
                  <c:v>5.4233926257759718E-3</c:v>
                </c:pt>
                <c:pt idx="424">
                  <c:v>5.4233926257759718E-3</c:v>
                </c:pt>
                <c:pt idx="425">
                  <c:v>5.4233926257759718E-3</c:v>
                </c:pt>
                <c:pt idx="426">
                  <c:v>5.4233926257759718E-3</c:v>
                </c:pt>
                <c:pt idx="427">
                  <c:v>5.4233926257759718E-3</c:v>
                </c:pt>
                <c:pt idx="428">
                  <c:v>5.4233926257759718E-3</c:v>
                </c:pt>
                <c:pt idx="429">
                  <c:v>5.4233926257759718E-3</c:v>
                </c:pt>
                <c:pt idx="430">
                  <c:v>5.4233926257759718E-3</c:v>
                </c:pt>
                <c:pt idx="431">
                  <c:v>5.4233926257759718E-3</c:v>
                </c:pt>
                <c:pt idx="432">
                  <c:v>5.4233926257759718E-3</c:v>
                </c:pt>
                <c:pt idx="433">
                  <c:v>5.4233926257759718E-3</c:v>
                </c:pt>
                <c:pt idx="434">
                  <c:v>5.4233926257759718E-3</c:v>
                </c:pt>
                <c:pt idx="435">
                  <c:v>5.4233926257759718E-3</c:v>
                </c:pt>
                <c:pt idx="436">
                  <c:v>5.4233926257759718E-3</c:v>
                </c:pt>
                <c:pt idx="437">
                  <c:v>5.4233926257759718E-3</c:v>
                </c:pt>
                <c:pt idx="438">
                  <c:v>5.4233926257759718E-3</c:v>
                </c:pt>
                <c:pt idx="439">
                  <c:v>5.4233926257759718E-3</c:v>
                </c:pt>
                <c:pt idx="440">
                  <c:v>5.4233926257759718E-3</c:v>
                </c:pt>
                <c:pt idx="441">
                  <c:v>5.4233926257759718E-3</c:v>
                </c:pt>
                <c:pt idx="442">
                  <c:v>5.4233926257759718E-3</c:v>
                </c:pt>
                <c:pt idx="443">
                  <c:v>5.4233926257759718E-3</c:v>
                </c:pt>
                <c:pt idx="444">
                  <c:v>5.4233926257759718E-3</c:v>
                </c:pt>
                <c:pt idx="445">
                  <c:v>5.4233926257759718E-3</c:v>
                </c:pt>
                <c:pt idx="446">
                  <c:v>5.4233926257759718E-3</c:v>
                </c:pt>
                <c:pt idx="447">
                  <c:v>5.4233926257759718E-3</c:v>
                </c:pt>
                <c:pt idx="448">
                  <c:v>5.4233926257759718E-3</c:v>
                </c:pt>
                <c:pt idx="449">
                  <c:v>5.4233926257759718E-3</c:v>
                </c:pt>
                <c:pt idx="450">
                  <c:v>5.4233926257759718E-3</c:v>
                </c:pt>
                <c:pt idx="451">
                  <c:v>5.4233926257759718E-3</c:v>
                </c:pt>
                <c:pt idx="452">
                  <c:v>5.4233926257759718E-3</c:v>
                </c:pt>
                <c:pt idx="453">
                  <c:v>5.4233926257759718E-3</c:v>
                </c:pt>
                <c:pt idx="454">
                  <c:v>5.4233926257759718E-3</c:v>
                </c:pt>
                <c:pt idx="455">
                  <c:v>5.4233926257759718E-3</c:v>
                </c:pt>
                <c:pt idx="456">
                  <c:v>5.4233926257759718E-3</c:v>
                </c:pt>
                <c:pt idx="457">
                  <c:v>5.4233926257759718E-3</c:v>
                </c:pt>
                <c:pt idx="458">
                  <c:v>5.4233926257759718E-3</c:v>
                </c:pt>
                <c:pt idx="459">
                  <c:v>5.4233926257759718E-3</c:v>
                </c:pt>
                <c:pt idx="460">
                  <c:v>5.4233926257759718E-3</c:v>
                </c:pt>
                <c:pt idx="461">
                  <c:v>5.4233926257759718E-3</c:v>
                </c:pt>
                <c:pt idx="462">
                  <c:v>5.4233926257759718E-3</c:v>
                </c:pt>
                <c:pt idx="463">
                  <c:v>5.4233926257759718E-3</c:v>
                </c:pt>
                <c:pt idx="464">
                  <c:v>5.4233926257759718E-3</c:v>
                </c:pt>
                <c:pt idx="465">
                  <c:v>5.4233926257759718E-3</c:v>
                </c:pt>
                <c:pt idx="466">
                  <c:v>5.4233926257759718E-3</c:v>
                </c:pt>
                <c:pt idx="467">
                  <c:v>5.4233926257759718E-3</c:v>
                </c:pt>
                <c:pt idx="468">
                  <c:v>5.4233926257759718E-3</c:v>
                </c:pt>
                <c:pt idx="469">
                  <c:v>5.4233926257759718E-3</c:v>
                </c:pt>
                <c:pt idx="470">
                  <c:v>5.4233926257759718E-3</c:v>
                </c:pt>
                <c:pt idx="471">
                  <c:v>5.4233926257759718E-3</c:v>
                </c:pt>
                <c:pt idx="472">
                  <c:v>5.4233926257759718E-3</c:v>
                </c:pt>
                <c:pt idx="473">
                  <c:v>5.4233926257759718E-3</c:v>
                </c:pt>
                <c:pt idx="474">
                  <c:v>5.4233926257759718E-3</c:v>
                </c:pt>
                <c:pt idx="475">
                  <c:v>5.4233926257759718E-3</c:v>
                </c:pt>
                <c:pt idx="476">
                  <c:v>5.4233926257759718E-3</c:v>
                </c:pt>
                <c:pt idx="477">
                  <c:v>5.4233926257759718E-3</c:v>
                </c:pt>
                <c:pt idx="478">
                  <c:v>5.4233926257759718E-3</c:v>
                </c:pt>
                <c:pt idx="479">
                  <c:v>5.4233926257759718E-3</c:v>
                </c:pt>
                <c:pt idx="480">
                  <c:v>5.4233926257759718E-3</c:v>
                </c:pt>
                <c:pt idx="481">
                  <c:v>5.4233926257759718E-3</c:v>
                </c:pt>
                <c:pt idx="482">
                  <c:v>5.4233926257759718E-3</c:v>
                </c:pt>
                <c:pt idx="483">
                  <c:v>5.4233926257759718E-3</c:v>
                </c:pt>
                <c:pt idx="484">
                  <c:v>5.4233926257759718E-3</c:v>
                </c:pt>
                <c:pt idx="485">
                  <c:v>5.4233926257759718E-3</c:v>
                </c:pt>
                <c:pt idx="486">
                  <c:v>5.4233926257759718E-3</c:v>
                </c:pt>
                <c:pt idx="487">
                  <c:v>5.4233926257759718E-3</c:v>
                </c:pt>
                <c:pt idx="488">
                  <c:v>5.4233926257759718E-3</c:v>
                </c:pt>
                <c:pt idx="489">
                  <c:v>5.4233926257759718E-3</c:v>
                </c:pt>
                <c:pt idx="490">
                  <c:v>5.4233926257759718E-3</c:v>
                </c:pt>
                <c:pt idx="491">
                  <c:v>5.4233926257759718E-3</c:v>
                </c:pt>
                <c:pt idx="492">
                  <c:v>5.4233926257759718E-3</c:v>
                </c:pt>
                <c:pt idx="493">
                  <c:v>5.4233926257759718E-3</c:v>
                </c:pt>
                <c:pt idx="494">
                  <c:v>5.4233926257759718E-3</c:v>
                </c:pt>
                <c:pt idx="495">
                  <c:v>5.4233926257759718E-3</c:v>
                </c:pt>
                <c:pt idx="496">
                  <c:v>5.4233926257759718E-3</c:v>
                </c:pt>
                <c:pt idx="497">
                  <c:v>5.4233926257759718E-3</c:v>
                </c:pt>
                <c:pt idx="498">
                  <c:v>5.4233926257759718E-3</c:v>
                </c:pt>
                <c:pt idx="499">
                  <c:v>5.4233926257759718E-3</c:v>
                </c:pt>
                <c:pt idx="500">
                  <c:v>5.4233926257759718E-3</c:v>
                </c:pt>
                <c:pt idx="501">
                  <c:v>5.4233926257759718E-3</c:v>
                </c:pt>
                <c:pt idx="502">
                  <c:v>5.4233926257759718E-3</c:v>
                </c:pt>
                <c:pt idx="503">
                  <c:v>5.4233926257759718E-3</c:v>
                </c:pt>
                <c:pt idx="504">
                  <c:v>5.4233926257759718E-3</c:v>
                </c:pt>
                <c:pt idx="505">
                  <c:v>5.4233926257759718E-3</c:v>
                </c:pt>
                <c:pt idx="506">
                  <c:v>5.4233926257759718E-3</c:v>
                </c:pt>
                <c:pt idx="507">
                  <c:v>5.4233926257759718E-3</c:v>
                </c:pt>
                <c:pt idx="508">
                  <c:v>5.4233926257759718E-3</c:v>
                </c:pt>
                <c:pt idx="509">
                  <c:v>5.4233926257759718E-3</c:v>
                </c:pt>
                <c:pt idx="510">
                  <c:v>5.4233926257759718E-3</c:v>
                </c:pt>
                <c:pt idx="511">
                  <c:v>5.4233926257759718E-3</c:v>
                </c:pt>
                <c:pt idx="512">
                  <c:v>5.4233926257759718E-3</c:v>
                </c:pt>
                <c:pt idx="513">
                  <c:v>5.4233926257759718E-3</c:v>
                </c:pt>
                <c:pt idx="514">
                  <c:v>5.4233926257759718E-3</c:v>
                </c:pt>
                <c:pt idx="515">
                  <c:v>5.4233926257759718E-3</c:v>
                </c:pt>
                <c:pt idx="516">
                  <c:v>5.4233926257759718E-3</c:v>
                </c:pt>
                <c:pt idx="517">
                  <c:v>5.4233926257759718E-3</c:v>
                </c:pt>
                <c:pt idx="518">
                  <c:v>5.4233926257759718E-3</c:v>
                </c:pt>
                <c:pt idx="519">
                  <c:v>5.4233926257759718E-3</c:v>
                </c:pt>
                <c:pt idx="520">
                  <c:v>5.4233926257759718E-3</c:v>
                </c:pt>
                <c:pt idx="521">
                  <c:v>5.4233926257759718E-3</c:v>
                </c:pt>
                <c:pt idx="522">
                  <c:v>5.4233926257759718E-3</c:v>
                </c:pt>
                <c:pt idx="523">
                  <c:v>5.4233926257759718E-3</c:v>
                </c:pt>
                <c:pt idx="524">
                  <c:v>5.4233926257759718E-3</c:v>
                </c:pt>
                <c:pt idx="525">
                  <c:v>5.4233926257759718E-3</c:v>
                </c:pt>
                <c:pt idx="526">
                  <c:v>5.4233926257759718E-3</c:v>
                </c:pt>
                <c:pt idx="527">
                  <c:v>5.4233926257759718E-3</c:v>
                </c:pt>
                <c:pt idx="528">
                  <c:v>5.4233926257759718E-3</c:v>
                </c:pt>
                <c:pt idx="529">
                  <c:v>5.4233926257759718E-3</c:v>
                </c:pt>
                <c:pt idx="530">
                  <c:v>5.4233926257759718E-3</c:v>
                </c:pt>
                <c:pt idx="531">
                  <c:v>5.4233926257759718E-3</c:v>
                </c:pt>
                <c:pt idx="532">
                  <c:v>5.4233926257759718E-3</c:v>
                </c:pt>
                <c:pt idx="533">
                  <c:v>5.4233926257759718E-3</c:v>
                </c:pt>
                <c:pt idx="534">
                  <c:v>5.4233926257759718E-3</c:v>
                </c:pt>
                <c:pt idx="535">
                  <c:v>5.4233926257759718E-3</c:v>
                </c:pt>
                <c:pt idx="536">
                  <c:v>5.4233926257759718E-3</c:v>
                </c:pt>
                <c:pt idx="537">
                  <c:v>5.4233926257759718E-3</c:v>
                </c:pt>
                <c:pt idx="538">
                  <c:v>5.4233926257759718E-3</c:v>
                </c:pt>
                <c:pt idx="539">
                  <c:v>5.4233926257759718E-3</c:v>
                </c:pt>
                <c:pt idx="540">
                  <c:v>5.4233926257759718E-3</c:v>
                </c:pt>
                <c:pt idx="541">
                  <c:v>5.4233926257759718E-3</c:v>
                </c:pt>
                <c:pt idx="542">
                  <c:v>5.4233926257759718E-3</c:v>
                </c:pt>
                <c:pt idx="543">
                  <c:v>5.4233926257759718E-3</c:v>
                </c:pt>
                <c:pt idx="544">
                  <c:v>5.4233926257759718E-3</c:v>
                </c:pt>
                <c:pt idx="545">
                  <c:v>5.4233926257759718E-3</c:v>
                </c:pt>
                <c:pt idx="546">
                  <c:v>5.4233926257759718E-3</c:v>
                </c:pt>
                <c:pt idx="547">
                  <c:v>5.4233926257759718E-3</c:v>
                </c:pt>
                <c:pt idx="548">
                  <c:v>5.4233926257759718E-3</c:v>
                </c:pt>
                <c:pt idx="549">
                  <c:v>5.4233926257759718E-3</c:v>
                </c:pt>
                <c:pt idx="550">
                  <c:v>5.4233926257759718E-3</c:v>
                </c:pt>
                <c:pt idx="551">
                  <c:v>5.4233926257759718E-3</c:v>
                </c:pt>
                <c:pt idx="552">
                  <c:v>5.4233926257759718E-3</c:v>
                </c:pt>
                <c:pt idx="553">
                  <c:v>5.4233926257759718E-3</c:v>
                </c:pt>
                <c:pt idx="554">
                  <c:v>5.4233926257759718E-3</c:v>
                </c:pt>
                <c:pt idx="555">
                  <c:v>5.4233926257759718E-3</c:v>
                </c:pt>
                <c:pt idx="556">
                  <c:v>5.4233926257759718E-3</c:v>
                </c:pt>
                <c:pt idx="557">
                  <c:v>5.4233926257759718E-3</c:v>
                </c:pt>
                <c:pt idx="558">
                  <c:v>5.4233926257759718E-3</c:v>
                </c:pt>
                <c:pt idx="559">
                  <c:v>5.4233926257759718E-3</c:v>
                </c:pt>
                <c:pt idx="560">
                  <c:v>5.4233926257759718E-3</c:v>
                </c:pt>
                <c:pt idx="561">
                  <c:v>5.4233926257759718E-3</c:v>
                </c:pt>
                <c:pt idx="562">
                  <c:v>5.4233926257759718E-3</c:v>
                </c:pt>
                <c:pt idx="563">
                  <c:v>5.4233926257759718E-3</c:v>
                </c:pt>
                <c:pt idx="564">
                  <c:v>5.4233926257759718E-3</c:v>
                </c:pt>
                <c:pt idx="565">
                  <c:v>5.4233926257759718E-3</c:v>
                </c:pt>
                <c:pt idx="566">
                  <c:v>5.4233926257759718E-3</c:v>
                </c:pt>
                <c:pt idx="567">
                  <c:v>5.4233926257759718E-3</c:v>
                </c:pt>
                <c:pt idx="568">
                  <c:v>5.4233926257759718E-3</c:v>
                </c:pt>
                <c:pt idx="569">
                  <c:v>5.4233926257759718E-3</c:v>
                </c:pt>
                <c:pt idx="570">
                  <c:v>5.4233926257759718E-3</c:v>
                </c:pt>
                <c:pt idx="571">
                  <c:v>5.4233926257759718E-3</c:v>
                </c:pt>
                <c:pt idx="572">
                  <c:v>5.4233926257759718E-3</c:v>
                </c:pt>
                <c:pt idx="573">
                  <c:v>5.4233926257759718E-3</c:v>
                </c:pt>
                <c:pt idx="574">
                  <c:v>5.4233926257759718E-3</c:v>
                </c:pt>
                <c:pt idx="575">
                  <c:v>5.4233926257759718E-3</c:v>
                </c:pt>
                <c:pt idx="576">
                  <c:v>5.4233926257759718E-3</c:v>
                </c:pt>
                <c:pt idx="577">
                  <c:v>5.4233926257759718E-3</c:v>
                </c:pt>
                <c:pt idx="578">
                  <c:v>5.4233926257759718E-3</c:v>
                </c:pt>
                <c:pt idx="579">
                  <c:v>5.4233926257759718E-3</c:v>
                </c:pt>
                <c:pt idx="580">
                  <c:v>5.4233926257759718E-3</c:v>
                </c:pt>
                <c:pt idx="581">
                  <c:v>5.4233926257759718E-3</c:v>
                </c:pt>
                <c:pt idx="582">
                  <c:v>5.4233926257759718E-3</c:v>
                </c:pt>
                <c:pt idx="583">
                  <c:v>5.4233926257759718E-3</c:v>
                </c:pt>
                <c:pt idx="584">
                  <c:v>5.4233926257759718E-3</c:v>
                </c:pt>
                <c:pt idx="585">
                  <c:v>5.4233926257759718E-3</c:v>
                </c:pt>
                <c:pt idx="586">
                  <c:v>5.4233926257759718E-3</c:v>
                </c:pt>
                <c:pt idx="587">
                  <c:v>5.4233926257759718E-3</c:v>
                </c:pt>
                <c:pt idx="588">
                  <c:v>5.4233926257759718E-3</c:v>
                </c:pt>
                <c:pt idx="589">
                  <c:v>5.4233926257759718E-3</c:v>
                </c:pt>
                <c:pt idx="590">
                  <c:v>5.4233926257759718E-3</c:v>
                </c:pt>
                <c:pt idx="591">
                  <c:v>5.4233926257759718E-3</c:v>
                </c:pt>
                <c:pt idx="592">
                  <c:v>5.4233926257759718E-3</c:v>
                </c:pt>
                <c:pt idx="593">
                  <c:v>5.4233926257759718E-3</c:v>
                </c:pt>
                <c:pt idx="594">
                  <c:v>5.4233926257759718E-3</c:v>
                </c:pt>
                <c:pt idx="595">
                  <c:v>5.4233926257759718E-3</c:v>
                </c:pt>
                <c:pt idx="596">
                  <c:v>5.4233926257759718E-3</c:v>
                </c:pt>
                <c:pt idx="597">
                  <c:v>5.4233926257759718E-3</c:v>
                </c:pt>
                <c:pt idx="598">
                  <c:v>5.4233926257759718E-3</c:v>
                </c:pt>
                <c:pt idx="599">
                  <c:v>5.4233926257759718E-3</c:v>
                </c:pt>
                <c:pt idx="600">
                  <c:v>5.4233926257759718E-3</c:v>
                </c:pt>
                <c:pt idx="601">
                  <c:v>5.4233926257759718E-3</c:v>
                </c:pt>
                <c:pt idx="602">
                  <c:v>5.4233926257759718E-3</c:v>
                </c:pt>
                <c:pt idx="603">
                  <c:v>5.4233926257759718E-3</c:v>
                </c:pt>
                <c:pt idx="604">
                  <c:v>5.4233926257759718E-3</c:v>
                </c:pt>
                <c:pt idx="605">
                  <c:v>5.4233926257759718E-3</c:v>
                </c:pt>
                <c:pt idx="606">
                  <c:v>5.4233926257759718E-3</c:v>
                </c:pt>
                <c:pt idx="607">
                  <c:v>5.4233926257759718E-3</c:v>
                </c:pt>
                <c:pt idx="608">
                  <c:v>5.4233926257759718E-3</c:v>
                </c:pt>
                <c:pt idx="609">
                  <c:v>5.4233926257759718E-3</c:v>
                </c:pt>
                <c:pt idx="610">
                  <c:v>5.4233926257759718E-3</c:v>
                </c:pt>
                <c:pt idx="611">
                  <c:v>5.4233926257759718E-3</c:v>
                </c:pt>
                <c:pt idx="612">
                  <c:v>5.4233926257759718E-3</c:v>
                </c:pt>
                <c:pt idx="613">
                  <c:v>5.4233926257759718E-3</c:v>
                </c:pt>
                <c:pt idx="614">
                  <c:v>5.4233926257759718E-3</c:v>
                </c:pt>
                <c:pt idx="615">
                  <c:v>5.4233926257759718E-3</c:v>
                </c:pt>
                <c:pt idx="616">
                  <c:v>5.4233926257759718E-3</c:v>
                </c:pt>
                <c:pt idx="617">
                  <c:v>5.4233926257759718E-3</c:v>
                </c:pt>
                <c:pt idx="618">
                  <c:v>5.4233926257759718E-3</c:v>
                </c:pt>
                <c:pt idx="619">
                  <c:v>5.4233926257759718E-3</c:v>
                </c:pt>
                <c:pt idx="620">
                  <c:v>5.4233926257759718E-3</c:v>
                </c:pt>
                <c:pt idx="621">
                  <c:v>5.4233926257759718E-3</c:v>
                </c:pt>
                <c:pt idx="622">
                  <c:v>5.4233926257759718E-3</c:v>
                </c:pt>
                <c:pt idx="623">
                  <c:v>5.4233926257759718E-3</c:v>
                </c:pt>
                <c:pt idx="624">
                  <c:v>5.4233926257759718E-3</c:v>
                </c:pt>
                <c:pt idx="625">
                  <c:v>5.4233926257759718E-3</c:v>
                </c:pt>
                <c:pt idx="626">
                  <c:v>5.4233926257759718E-3</c:v>
                </c:pt>
                <c:pt idx="627">
                  <c:v>5.4233926257759718E-3</c:v>
                </c:pt>
                <c:pt idx="628">
                  <c:v>5.4233926257759718E-3</c:v>
                </c:pt>
                <c:pt idx="629">
                  <c:v>5.4233926257759718E-3</c:v>
                </c:pt>
                <c:pt idx="630">
                  <c:v>5.4233926257759718E-3</c:v>
                </c:pt>
                <c:pt idx="631">
                  <c:v>5.4233926257759718E-3</c:v>
                </c:pt>
                <c:pt idx="632">
                  <c:v>5.4233926257759718E-3</c:v>
                </c:pt>
                <c:pt idx="633">
                  <c:v>5.4233926257759718E-3</c:v>
                </c:pt>
                <c:pt idx="634">
                  <c:v>5.4233926257759718E-3</c:v>
                </c:pt>
                <c:pt idx="635">
                  <c:v>5.4233926257759718E-3</c:v>
                </c:pt>
                <c:pt idx="636">
                  <c:v>5.4233926257759718E-3</c:v>
                </c:pt>
                <c:pt idx="637">
                  <c:v>5.4233926257759718E-3</c:v>
                </c:pt>
                <c:pt idx="638">
                  <c:v>5.4233926257759718E-3</c:v>
                </c:pt>
                <c:pt idx="639">
                  <c:v>5.4233926257759718E-3</c:v>
                </c:pt>
                <c:pt idx="640">
                  <c:v>5.4233926257759718E-3</c:v>
                </c:pt>
                <c:pt idx="641">
                  <c:v>5.4233926257759718E-3</c:v>
                </c:pt>
                <c:pt idx="642">
                  <c:v>5.4233926257759718E-3</c:v>
                </c:pt>
                <c:pt idx="643">
                  <c:v>5.4233926257759718E-3</c:v>
                </c:pt>
                <c:pt idx="644">
                  <c:v>5.4233926257759718E-3</c:v>
                </c:pt>
                <c:pt idx="645">
                  <c:v>5.4233926257759718E-3</c:v>
                </c:pt>
                <c:pt idx="646">
                  <c:v>5.4233926257759718E-3</c:v>
                </c:pt>
                <c:pt idx="647">
                  <c:v>5.4233926257759718E-3</c:v>
                </c:pt>
                <c:pt idx="648">
                  <c:v>5.4233926257759718E-3</c:v>
                </c:pt>
                <c:pt idx="649">
                  <c:v>5.4233926257759718E-3</c:v>
                </c:pt>
                <c:pt idx="650">
                  <c:v>5.4233926257759718E-3</c:v>
                </c:pt>
                <c:pt idx="651">
                  <c:v>5.4233926257759718E-3</c:v>
                </c:pt>
                <c:pt idx="652">
                  <c:v>5.4233926257759718E-3</c:v>
                </c:pt>
                <c:pt idx="653">
                  <c:v>5.4233926257759718E-3</c:v>
                </c:pt>
                <c:pt idx="654">
                  <c:v>5.4233926257759718E-3</c:v>
                </c:pt>
                <c:pt idx="655">
                  <c:v>5.4233926257759718E-3</c:v>
                </c:pt>
                <c:pt idx="656">
                  <c:v>5.4233926257759718E-3</c:v>
                </c:pt>
                <c:pt idx="657">
                  <c:v>5.4233926257759718E-3</c:v>
                </c:pt>
                <c:pt idx="658">
                  <c:v>5.4233926257759718E-3</c:v>
                </c:pt>
                <c:pt idx="659">
                  <c:v>5.4233926257759718E-3</c:v>
                </c:pt>
                <c:pt idx="660">
                  <c:v>5.4233926257759718E-3</c:v>
                </c:pt>
                <c:pt idx="661">
                  <c:v>5.4233926257759718E-3</c:v>
                </c:pt>
                <c:pt idx="662">
                  <c:v>5.4233926257759718E-3</c:v>
                </c:pt>
                <c:pt idx="663">
                  <c:v>5.4233926257759718E-3</c:v>
                </c:pt>
                <c:pt idx="664">
                  <c:v>5.4233926257759718E-3</c:v>
                </c:pt>
                <c:pt idx="665">
                  <c:v>5.4233926257759718E-3</c:v>
                </c:pt>
                <c:pt idx="666">
                  <c:v>5.4233926257759718E-3</c:v>
                </c:pt>
                <c:pt idx="667">
                  <c:v>5.4233926257759718E-3</c:v>
                </c:pt>
                <c:pt idx="668">
                  <c:v>5.4233926257759718E-3</c:v>
                </c:pt>
                <c:pt idx="669">
                  <c:v>5.4233926257759718E-3</c:v>
                </c:pt>
                <c:pt idx="670">
                  <c:v>5.4233926257759718E-3</c:v>
                </c:pt>
                <c:pt idx="671">
                  <c:v>5.4233926257759718E-3</c:v>
                </c:pt>
                <c:pt idx="672">
                  <c:v>5.4233926257759718E-3</c:v>
                </c:pt>
                <c:pt idx="673">
                  <c:v>5.4233926257759718E-3</c:v>
                </c:pt>
                <c:pt idx="674">
                  <c:v>5.4233926257759718E-3</c:v>
                </c:pt>
                <c:pt idx="675">
                  <c:v>5.4233926257759718E-3</c:v>
                </c:pt>
                <c:pt idx="676">
                  <c:v>5.4233926257759718E-3</c:v>
                </c:pt>
                <c:pt idx="677">
                  <c:v>5.4233926257759718E-3</c:v>
                </c:pt>
                <c:pt idx="678">
                  <c:v>5.4233926257759718E-3</c:v>
                </c:pt>
                <c:pt idx="679">
                  <c:v>5.4233926257759718E-3</c:v>
                </c:pt>
                <c:pt idx="680">
                  <c:v>5.4233926257759718E-3</c:v>
                </c:pt>
                <c:pt idx="681">
                  <c:v>5.4233926257759718E-3</c:v>
                </c:pt>
                <c:pt idx="682">
                  <c:v>5.4233926257759718E-3</c:v>
                </c:pt>
                <c:pt idx="683">
                  <c:v>5.4233926257759718E-3</c:v>
                </c:pt>
                <c:pt idx="684">
                  <c:v>5.4233926257759718E-3</c:v>
                </c:pt>
                <c:pt idx="685">
                  <c:v>5.4233926257759718E-3</c:v>
                </c:pt>
                <c:pt idx="686">
                  <c:v>5.4233926257759718E-3</c:v>
                </c:pt>
                <c:pt idx="687">
                  <c:v>5.4233926257759718E-3</c:v>
                </c:pt>
                <c:pt idx="688">
                  <c:v>5.4233926257759718E-3</c:v>
                </c:pt>
                <c:pt idx="689">
                  <c:v>5.4233926257759718E-3</c:v>
                </c:pt>
                <c:pt idx="690">
                  <c:v>5.4233926257759718E-3</c:v>
                </c:pt>
                <c:pt idx="691">
                  <c:v>5.4233926257759718E-3</c:v>
                </c:pt>
                <c:pt idx="692">
                  <c:v>5.4233926257759718E-3</c:v>
                </c:pt>
                <c:pt idx="693">
                  <c:v>5.4233926257759718E-3</c:v>
                </c:pt>
                <c:pt idx="694">
                  <c:v>5.4233926257759718E-3</c:v>
                </c:pt>
                <c:pt idx="695">
                  <c:v>5.4233926257759718E-3</c:v>
                </c:pt>
                <c:pt idx="696">
                  <c:v>5.4233926257759718E-3</c:v>
                </c:pt>
                <c:pt idx="697">
                  <c:v>5.4233926257759718E-3</c:v>
                </c:pt>
                <c:pt idx="698">
                  <c:v>5.4233926257759718E-3</c:v>
                </c:pt>
                <c:pt idx="699">
                  <c:v>5.4233926257759718E-3</c:v>
                </c:pt>
                <c:pt idx="700">
                  <c:v>5.4233926257759718E-3</c:v>
                </c:pt>
                <c:pt idx="701">
                  <c:v>5.4233926257759718E-3</c:v>
                </c:pt>
                <c:pt idx="702">
                  <c:v>5.4233926257759718E-3</c:v>
                </c:pt>
                <c:pt idx="703">
                  <c:v>5.4233926257759718E-3</c:v>
                </c:pt>
                <c:pt idx="704">
                  <c:v>5.4233926257759718E-3</c:v>
                </c:pt>
                <c:pt idx="705">
                  <c:v>5.4233926257759718E-3</c:v>
                </c:pt>
                <c:pt idx="706">
                  <c:v>5.4233926257759718E-3</c:v>
                </c:pt>
                <c:pt idx="707">
                  <c:v>5.4233926257759718E-3</c:v>
                </c:pt>
                <c:pt idx="708">
                  <c:v>5.4233926257759718E-3</c:v>
                </c:pt>
                <c:pt idx="709">
                  <c:v>5.4233926257759718E-3</c:v>
                </c:pt>
                <c:pt idx="710">
                  <c:v>5.4233926257759718E-3</c:v>
                </c:pt>
                <c:pt idx="711">
                  <c:v>5.4233926257759718E-3</c:v>
                </c:pt>
                <c:pt idx="712">
                  <c:v>5.4233926257759718E-3</c:v>
                </c:pt>
                <c:pt idx="713">
                  <c:v>5.4233926257759718E-3</c:v>
                </c:pt>
                <c:pt idx="714">
                  <c:v>5.4233926257759718E-3</c:v>
                </c:pt>
                <c:pt idx="715">
                  <c:v>5.4233926257759718E-3</c:v>
                </c:pt>
                <c:pt idx="716">
                  <c:v>5.4233926257759718E-3</c:v>
                </c:pt>
                <c:pt idx="717">
                  <c:v>5.4233926257759718E-3</c:v>
                </c:pt>
                <c:pt idx="718">
                  <c:v>5.4233926257759718E-3</c:v>
                </c:pt>
                <c:pt idx="719">
                  <c:v>5.4233926257759718E-3</c:v>
                </c:pt>
                <c:pt idx="720">
                  <c:v>5.4233926257759718E-3</c:v>
                </c:pt>
                <c:pt idx="721">
                  <c:v>5.4233926257759718E-3</c:v>
                </c:pt>
                <c:pt idx="722">
                  <c:v>5.4233926257759718E-3</c:v>
                </c:pt>
                <c:pt idx="723">
                  <c:v>5.4233926257759718E-3</c:v>
                </c:pt>
                <c:pt idx="724">
                  <c:v>5.4233926257759718E-3</c:v>
                </c:pt>
                <c:pt idx="725">
                  <c:v>5.4233926257759718E-3</c:v>
                </c:pt>
                <c:pt idx="726">
                  <c:v>5.4233926257759718E-3</c:v>
                </c:pt>
                <c:pt idx="727">
                  <c:v>5.4233926257759718E-3</c:v>
                </c:pt>
                <c:pt idx="728">
                  <c:v>5.4233926257759718E-3</c:v>
                </c:pt>
                <c:pt idx="729">
                  <c:v>5.4233926257759718E-3</c:v>
                </c:pt>
                <c:pt idx="730">
                  <c:v>5.4233926257759718E-3</c:v>
                </c:pt>
                <c:pt idx="731">
                  <c:v>5.4233926257759718E-3</c:v>
                </c:pt>
                <c:pt idx="732">
                  <c:v>5.4233926257759718E-3</c:v>
                </c:pt>
                <c:pt idx="733">
                  <c:v>5.4233926257759718E-3</c:v>
                </c:pt>
                <c:pt idx="734">
                  <c:v>5.4233926257759718E-3</c:v>
                </c:pt>
                <c:pt idx="735">
                  <c:v>5.4233926257759718E-3</c:v>
                </c:pt>
                <c:pt idx="736">
                  <c:v>5.4233926257759718E-3</c:v>
                </c:pt>
                <c:pt idx="737">
                  <c:v>5.4233926257759718E-3</c:v>
                </c:pt>
                <c:pt idx="738">
                  <c:v>5.4233926257759718E-3</c:v>
                </c:pt>
                <c:pt idx="739">
                  <c:v>5.4233926257759718E-3</c:v>
                </c:pt>
                <c:pt idx="740">
                  <c:v>5.4233926257759718E-3</c:v>
                </c:pt>
                <c:pt idx="741">
                  <c:v>5.4233926257759718E-3</c:v>
                </c:pt>
                <c:pt idx="742">
                  <c:v>5.4233926257759718E-3</c:v>
                </c:pt>
                <c:pt idx="743">
                  <c:v>5.4233926257759718E-3</c:v>
                </c:pt>
                <c:pt idx="744">
                  <c:v>5.4233926257759718E-3</c:v>
                </c:pt>
                <c:pt idx="745">
                  <c:v>5.4233926257759718E-3</c:v>
                </c:pt>
                <c:pt idx="746">
                  <c:v>5.4233926257759718E-3</c:v>
                </c:pt>
                <c:pt idx="747">
                  <c:v>5.4233926257759718E-3</c:v>
                </c:pt>
                <c:pt idx="748">
                  <c:v>5.4233926257759718E-3</c:v>
                </c:pt>
                <c:pt idx="749">
                  <c:v>5.4233926257759718E-3</c:v>
                </c:pt>
                <c:pt idx="750">
                  <c:v>5.4233926257759718E-3</c:v>
                </c:pt>
                <c:pt idx="751">
                  <c:v>5.4233926257759718E-3</c:v>
                </c:pt>
                <c:pt idx="752">
                  <c:v>5.4233926257759718E-3</c:v>
                </c:pt>
                <c:pt idx="753">
                  <c:v>5.4233926257759718E-3</c:v>
                </c:pt>
                <c:pt idx="754">
                  <c:v>5.4233926257759718E-3</c:v>
                </c:pt>
                <c:pt idx="755">
                  <c:v>5.4233926257759718E-3</c:v>
                </c:pt>
                <c:pt idx="756">
                  <c:v>5.4233926257759718E-3</c:v>
                </c:pt>
                <c:pt idx="757">
                  <c:v>5.4233926257759718E-3</c:v>
                </c:pt>
                <c:pt idx="758">
                  <c:v>5.4233926257759718E-3</c:v>
                </c:pt>
                <c:pt idx="759">
                  <c:v>5.4233926257759718E-3</c:v>
                </c:pt>
                <c:pt idx="760">
                  <c:v>5.4233926257759718E-3</c:v>
                </c:pt>
                <c:pt idx="761">
                  <c:v>5.4233926257759718E-3</c:v>
                </c:pt>
                <c:pt idx="762">
                  <c:v>5.4233926257759718E-3</c:v>
                </c:pt>
                <c:pt idx="763">
                  <c:v>5.4233926257759718E-3</c:v>
                </c:pt>
                <c:pt idx="764">
                  <c:v>5.4233926257759718E-3</c:v>
                </c:pt>
                <c:pt idx="765">
                  <c:v>5.4233926257759718E-3</c:v>
                </c:pt>
                <c:pt idx="766">
                  <c:v>5.4233926257759718E-3</c:v>
                </c:pt>
                <c:pt idx="767">
                  <c:v>5.4233926257759718E-3</c:v>
                </c:pt>
                <c:pt idx="768">
                  <c:v>5.4233926257759718E-3</c:v>
                </c:pt>
                <c:pt idx="769">
                  <c:v>5.4233926257759718E-3</c:v>
                </c:pt>
                <c:pt idx="770">
                  <c:v>5.4233926257759718E-3</c:v>
                </c:pt>
                <c:pt idx="771">
                  <c:v>5.4233926257759718E-3</c:v>
                </c:pt>
                <c:pt idx="772">
                  <c:v>5.4233926257759718E-3</c:v>
                </c:pt>
                <c:pt idx="773">
                  <c:v>5.4233926257759718E-3</c:v>
                </c:pt>
                <c:pt idx="774">
                  <c:v>5.4233926257759718E-3</c:v>
                </c:pt>
                <c:pt idx="775">
                  <c:v>5.4233926257759718E-3</c:v>
                </c:pt>
                <c:pt idx="776">
                  <c:v>5.4233926257759718E-3</c:v>
                </c:pt>
                <c:pt idx="777">
                  <c:v>5.4233926257759718E-3</c:v>
                </c:pt>
                <c:pt idx="778">
                  <c:v>5.4233926257759718E-3</c:v>
                </c:pt>
                <c:pt idx="779">
                  <c:v>5.4233926257759718E-3</c:v>
                </c:pt>
                <c:pt idx="780">
                  <c:v>5.4233926257759718E-3</c:v>
                </c:pt>
                <c:pt idx="781">
                  <c:v>5.4233926257759718E-3</c:v>
                </c:pt>
                <c:pt idx="782">
                  <c:v>5.4233926257759718E-3</c:v>
                </c:pt>
                <c:pt idx="783">
                  <c:v>5.4233926257759718E-3</c:v>
                </c:pt>
                <c:pt idx="784">
                  <c:v>5.4233926257759718E-3</c:v>
                </c:pt>
                <c:pt idx="785">
                  <c:v>5.4233926257759718E-3</c:v>
                </c:pt>
                <c:pt idx="786">
                  <c:v>5.4233926257759718E-3</c:v>
                </c:pt>
                <c:pt idx="787">
                  <c:v>5.4233926257759718E-3</c:v>
                </c:pt>
                <c:pt idx="788">
                  <c:v>5.4233926257759718E-3</c:v>
                </c:pt>
                <c:pt idx="789">
                  <c:v>5.4233926257759718E-3</c:v>
                </c:pt>
                <c:pt idx="790">
                  <c:v>5.4233926257759718E-3</c:v>
                </c:pt>
                <c:pt idx="791">
                  <c:v>5.4233926257759718E-3</c:v>
                </c:pt>
                <c:pt idx="792">
                  <c:v>5.4233926257759718E-3</c:v>
                </c:pt>
                <c:pt idx="793">
                  <c:v>5.4233926257759718E-3</c:v>
                </c:pt>
                <c:pt idx="794">
                  <c:v>5.4233926257759718E-3</c:v>
                </c:pt>
                <c:pt idx="795">
                  <c:v>5.4233926257759718E-3</c:v>
                </c:pt>
                <c:pt idx="796">
                  <c:v>5.4233926257759718E-3</c:v>
                </c:pt>
                <c:pt idx="797">
                  <c:v>5.4233926257759718E-3</c:v>
                </c:pt>
                <c:pt idx="798">
                  <c:v>5.4233926257759718E-3</c:v>
                </c:pt>
                <c:pt idx="799">
                  <c:v>5.4233926257759718E-3</c:v>
                </c:pt>
                <c:pt idx="800">
                  <c:v>5.4233926257759718E-3</c:v>
                </c:pt>
                <c:pt idx="801">
                  <c:v>5.4233926257759718E-3</c:v>
                </c:pt>
                <c:pt idx="802">
                  <c:v>5.4233926257759718E-3</c:v>
                </c:pt>
                <c:pt idx="803">
                  <c:v>5.4233926257759718E-3</c:v>
                </c:pt>
                <c:pt idx="804">
                  <c:v>5.4233926257759718E-3</c:v>
                </c:pt>
                <c:pt idx="805">
                  <c:v>5.4233926257759718E-3</c:v>
                </c:pt>
                <c:pt idx="806">
                  <c:v>5.4233926257759718E-3</c:v>
                </c:pt>
                <c:pt idx="807">
                  <c:v>5.4233926257759718E-3</c:v>
                </c:pt>
                <c:pt idx="808">
                  <c:v>5.4233926257759718E-3</c:v>
                </c:pt>
                <c:pt idx="809">
                  <c:v>5.4233926257759718E-3</c:v>
                </c:pt>
                <c:pt idx="810">
                  <c:v>5.4233926257759718E-3</c:v>
                </c:pt>
                <c:pt idx="811">
                  <c:v>5.4233926257759718E-3</c:v>
                </c:pt>
                <c:pt idx="812">
                  <c:v>5.4233926257759718E-3</c:v>
                </c:pt>
                <c:pt idx="813">
                  <c:v>5.4233926257759718E-3</c:v>
                </c:pt>
                <c:pt idx="814">
                  <c:v>5.4233926257759718E-3</c:v>
                </c:pt>
                <c:pt idx="815">
                  <c:v>5.4233926257759718E-3</c:v>
                </c:pt>
                <c:pt idx="816">
                  <c:v>5.4233926257759718E-3</c:v>
                </c:pt>
                <c:pt idx="817">
                  <c:v>5.4233926257759718E-3</c:v>
                </c:pt>
                <c:pt idx="818">
                  <c:v>5.4233926257759718E-3</c:v>
                </c:pt>
                <c:pt idx="819">
                  <c:v>5.4233926257759718E-3</c:v>
                </c:pt>
                <c:pt idx="820">
                  <c:v>5.4233926257759718E-3</c:v>
                </c:pt>
                <c:pt idx="821">
                  <c:v>5.4233926257759718E-3</c:v>
                </c:pt>
                <c:pt idx="822">
                  <c:v>5.4233926257759718E-3</c:v>
                </c:pt>
                <c:pt idx="823">
                  <c:v>5.4233926257759718E-3</c:v>
                </c:pt>
                <c:pt idx="824">
                  <c:v>5.4233926257759718E-3</c:v>
                </c:pt>
                <c:pt idx="825">
                  <c:v>5.4233926257759718E-3</c:v>
                </c:pt>
                <c:pt idx="826">
                  <c:v>5.4233926257759718E-3</c:v>
                </c:pt>
                <c:pt idx="827">
                  <c:v>5.4233926257759718E-3</c:v>
                </c:pt>
                <c:pt idx="828">
                  <c:v>5.4233926257759718E-3</c:v>
                </c:pt>
                <c:pt idx="829">
                  <c:v>5.4233926257759718E-3</c:v>
                </c:pt>
                <c:pt idx="830">
                  <c:v>5.4233926257759718E-3</c:v>
                </c:pt>
                <c:pt idx="831">
                  <c:v>5.4233926257759718E-3</c:v>
                </c:pt>
                <c:pt idx="832">
                  <c:v>5.4233926257759718E-3</c:v>
                </c:pt>
                <c:pt idx="833">
                  <c:v>5.4233926257759718E-3</c:v>
                </c:pt>
                <c:pt idx="834">
                  <c:v>5.4233926257759718E-3</c:v>
                </c:pt>
                <c:pt idx="835">
                  <c:v>5.4233926257759718E-3</c:v>
                </c:pt>
                <c:pt idx="836">
                  <c:v>5.4233926257759718E-3</c:v>
                </c:pt>
                <c:pt idx="837">
                  <c:v>5.4233926257759718E-3</c:v>
                </c:pt>
                <c:pt idx="838">
                  <c:v>5.4233926257759718E-3</c:v>
                </c:pt>
                <c:pt idx="839">
                  <c:v>5.4233926257759718E-3</c:v>
                </c:pt>
                <c:pt idx="840">
                  <c:v>5.4233926257759718E-3</c:v>
                </c:pt>
                <c:pt idx="841">
                  <c:v>5.4233926257759718E-3</c:v>
                </c:pt>
                <c:pt idx="842">
                  <c:v>5.4233926257759718E-3</c:v>
                </c:pt>
                <c:pt idx="843">
                  <c:v>5.4233926257759718E-3</c:v>
                </c:pt>
                <c:pt idx="844">
                  <c:v>5.4233926257759718E-3</c:v>
                </c:pt>
                <c:pt idx="845">
                  <c:v>5.4233926257759718E-3</c:v>
                </c:pt>
                <c:pt idx="846">
                  <c:v>5.4233926257759718E-3</c:v>
                </c:pt>
                <c:pt idx="847">
                  <c:v>5.4233926257759718E-3</c:v>
                </c:pt>
                <c:pt idx="848">
                  <c:v>5.4233926257759718E-3</c:v>
                </c:pt>
                <c:pt idx="849">
                  <c:v>5.4233926257759718E-3</c:v>
                </c:pt>
                <c:pt idx="850">
                  <c:v>5.4233926257759718E-3</c:v>
                </c:pt>
                <c:pt idx="851">
                  <c:v>5.4233926257759718E-3</c:v>
                </c:pt>
                <c:pt idx="852">
                  <c:v>5.4233926257759718E-3</c:v>
                </c:pt>
                <c:pt idx="853">
                  <c:v>5.4233926257759718E-3</c:v>
                </c:pt>
                <c:pt idx="854">
                  <c:v>5.4233926257759718E-3</c:v>
                </c:pt>
                <c:pt idx="855">
                  <c:v>5.4233926257759718E-3</c:v>
                </c:pt>
                <c:pt idx="856">
                  <c:v>5.4233926257759718E-3</c:v>
                </c:pt>
                <c:pt idx="857">
                  <c:v>5.4233926257759718E-3</c:v>
                </c:pt>
                <c:pt idx="858">
                  <c:v>5.4233926257759718E-3</c:v>
                </c:pt>
                <c:pt idx="859">
                  <c:v>5.4233926257759718E-3</c:v>
                </c:pt>
                <c:pt idx="860">
                  <c:v>5.4233926257759718E-3</c:v>
                </c:pt>
                <c:pt idx="861">
                  <c:v>5.4233926257759718E-3</c:v>
                </c:pt>
                <c:pt idx="862">
                  <c:v>5.4233926257759718E-3</c:v>
                </c:pt>
                <c:pt idx="863">
                  <c:v>5.4233926257759718E-3</c:v>
                </c:pt>
                <c:pt idx="864">
                  <c:v>5.4233926257759718E-3</c:v>
                </c:pt>
                <c:pt idx="865">
                  <c:v>5.4233926257759718E-3</c:v>
                </c:pt>
                <c:pt idx="866">
                  <c:v>5.4233926257759718E-3</c:v>
                </c:pt>
                <c:pt idx="867">
                  <c:v>5.4233926257759718E-3</c:v>
                </c:pt>
                <c:pt idx="868">
                  <c:v>5.4233926257759718E-3</c:v>
                </c:pt>
                <c:pt idx="869">
                  <c:v>5.4233926257759718E-3</c:v>
                </c:pt>
                <c:pt idx="870">
                  <c:v>5.4233926257759718E-3</c:v>
                </c:pt>
                <c:pt idx="871">
                  <c:v>5.4233926257759718E-3</c:v>
                </c:pt>
                <c:pt idx="872">
                  <c:v>5.4233926257759718E-3</c:v>
                </c:pt>
                <c:pt idx="873">
                  <c:v>5.4233926257759718E-3</c:v>
                </c:pt>
                <c:pt idx="874">
                  <c:v>5.4233926257759718E-3</c:v>
                </c:pt>
                <c:pt idx="875">
                  <c:v>5.4233926257759718E-3</c:v>
                </c:pt>
                <c:pt idx="876">
                  <c:v>5.4233926257759718E-3</c:v>
                </c:pt>
                <c:pt idx="877">
                  <c:v>5.4233926257759718E-3</c:v>
                </c:pt>
                <c:pt idx="878">
                  <c:v>5.4233926257759718E-3</c:v>
                </c:pt>
                <c:pt idx="879">
                  <c:v>5.4233926257759718E-3</c:v>
                </c:pt>
                <c:pt idx="880">
                  <c:v>5.4233926257759718E-3</c:v>
                </c:pt>
                <c:pt idx="881">
                  <c:v>5.4233926257759718E-3</c:v>
                </c:pt>
                <c:pt idx="882">
                  <c:v>5.4233926257759718E-3</c:v>
                </c:pt>
                <c:pt idx="883">
                  <c:v>5.4233926257759718E-3</c:v>
                </c:pt>
                <c:pt idx="884">
                  <c:v>5.4233926257759718E-3</c:v>
                </c:pt>
                <c:pt idx="885">
                  <c:v>5.4233926257759718E-3</c:v>
                </c:pt>
                <c:pt idx="886">
                  <c:v>5.4233926257759718E-3</c:v>
                </c:pt>
                <c:pt idx="887">
                  <c:v>5.4233926257759718E-3</c:v>
                </c:pt>
                <c:pt idx="888">
                  <c:v>5.4233926257759718E-3</c:v>
                </c:pt>
                <c:pt idx="889">
                  <c:v>5.4233926257759718E-3</c:v>
                </c:pt>
                <c:pt idx="890">
                  <c:v>5.4233926257759718E-3</c:v>
                </c:pt>
                <c:pt idx="891">
                  <c:v>5.4233926257759718E-3</c:v>
                </c:pt>
                <c:pt idx="892">
                  <c:v>5.4233926257759718E-3</c:v>
                </c:pt>
                <c:pt idx="893">
                  <c:v>5.4233926257759718E-3</c:v>
                </c:pt>
                <c:pt idx="894">
                  <c:v>5.4233926257759718E-3</c:v>
                </c:pt>
                <c:pt idx="895">
                  <c:v>5.4233926257759718E-3</c:v>
                </c:pt>
                <c:pt idx="896">
                  <c:v>5.4233926257759718E-3</c:v>
                </c:pt>
                <c:pt idx="897">
                  <c:v>5.4233926257759718E-3</c:v>
                </c:pt>
                <c:pt idx="898">
                  <c:v>5.4233926257759718E-3</c:v>
                </c:pt>
                <c:pt idx="899">
                  <c:v>5.4233926257759718E-3</c:v>
                </c:pt>
                <c:pt idx="900">
                  <c:v>5.4233926257759718E-3</c:v>
                </c:pt>
                <c:pt idx="901">
                  <c:v>5.4233926257759718E-3</c:v>
                </c:pt>
                <c:pt idx="902">
                  <c:v>5.4233926257759718E-3</c:v>
                </c:pt>
                <c:pt idx="903">
                  <c:v>5.4233926257759718E-3</c:v>
                </c:pt>
                <c:pt idx="904">
                  <c:v>5.4233926257759718E-3</c:v>
                </c:pt>
                <c:pt idx="905">
                  <c:v>5.4233926257759718E-3</c:v>
                </c:pt>
                <c:pt idx="906">
                  <c:v>5.4233926257759718E-3</c:v>
                </c:pt>
                <c:pt idx="907">
                  <c:v>5.4233926257759718E-3</c:v>
                </c:pt>
                <c:pt idx="908">
                  <c:v>5.4233926257759718E-3</c:v>
                </c:pt>
                <c:pt idx="909">
                  <c:v>5.4233926257759718E-3</c:v>
                </c:pt>
                <c:pt idx="910">
                  <c:v>5.4233926257759718E-3</c:v>
                </c:pt>
                <c:pt idx="911">
                  <c:v>5.4233926257759718E-3</c:v>
                </c:pt>
                <c:pt idx="912">
                  <c:v>5.4233926257759718E-3</c:v>
                </c:pt>
                <c:pt idx="913">
                  <c:v>5.4233926257759718E-3</c:v>
                </c:pt>
                <c:pt idx="914">
                  <c:v>5.4233926257759718E-3</c:v>
                </c:pt>
                <c:pt idx="915">
                  <c:v>5.4233926257759718E-3</c:v>
                </c:pt>
                <c:pt idx="916">
                  <c:v>5.4233926257759718E-3</c:v>
                </c:pt>
                <c:pt idx="917">
                  <c:v>5.4233926257759718E-3</c:v>
                </c:pt>
                <c:pt idx="918">
                  <c:v>5.4233926257759718E-3</c:v>
                </c:pt>
                <c:pt idx="919">
                  <c:v>5.4233926257759718E-3</c:v>
                </c:pt>
                <c:pt idx="920">
                  <c:v>5.4233926257759718E-3</c:v>
                </c:pt>
                <c:pt idx="921">
                  <c:v>5.4233926257759718E-3</c:v>
                </c:pt>
                <c:pt idx="922">
                  <c:v>5.4233926257759718E-3</c:v>
                </c:pt>
                <c:pt idx="923">
                  <c:v>5.4233926257759718E-3</c:v>
                </c:pt>
                <c:pt idx="924">
                  <c:v>5.4233926257759718E-3</c:v>
                </c:pt>
                <c:pt idx="925">
                  <c:v>5.4233926257759718E-3</c:v>
                </c:pt>
                <c:pt idx="926">
                  <c:v>5.4233926257759718E-3</c:v>
                </c:pt>
                <c:pt idx="927">
                  <c:v>5.4233926257759718E-3</c:v>
                </c:pt>
                <c:pt idx="928">
                  <c:v>5.4233926257759718E-3</c:v>
                </c:pt>
                <c:pt idx="929">
                  <c:v>5.4233926257759718E-3</c:v>
                </c:pt>
                <c:pt idx="930">
                  <c:v>5.4233926257759718E-3</c:v>
                </c:pt>
                <c:pt idx="931">
                  <c:v>5.4233926257759718E-3</c:v>
                </c:pt>
                <c:pt idx="932">
                  <c:v>5.4233926257759718E-3</c:v>
                </c:pt>
                <c:pt idx="933">
                  <c:v>5.4233926257759718E-3</c:v>
                </c:pt>
                <c:pt idx="934">
                  <c:v>5.4233926257759718E-3</c:v>
                </c:pt>
                <c:pt idx="935">
                  <c:v>5.4233926257759718E-3</c:v>
                </c:pt>
                <c:pt idx="936">
                  <c:v>5.4233926257759718E-3</c:v>
                </c:pt>
                <c:pt idx="937">
                  <c:v>5.4233926257759718E-3</c:v>
                </c:pt>
                <c:pt idx="938">
                  <c:v>5.4233926257759718E-3</c:v>
                </c:pt>
                <c:pt idx="939">
                  <c:v>5.4233926257759718E-3</c:v>
                </c:pt>
                <c:pt idx="940">
                  <c:v>5.4233926257759718E-3</c:v>
                </c:pt>
                <c:pt idx="941">
                  <c:v>5.4233926257759718E-3</c:v>
                </c:pt>
                <c:pt idx="942">
                  <c:v>5.4233926257759718E-3</c:v>
                </c:pt>
                <c:pt idx="943">
                  <c:v>5.4233926257759718E-3</c:v>
                </c:pt>
                <c:pt idx="944">
                  <c:v>5.4233926257759718E-3</c:v>
                </c:pt>
                <c:pt idx="945">
                  <c:v>5.4233926257759718E-3</c:v>
                </c:pt>
                <c:pt idx="946">
                  <c:v>5.4233926257759718E-3</c:v>
                </c:pt>
                <c:pt idx="947">
                  <c:v>5.4233926257759718E-3</c:v>
                </c:pt>
                <c:pt idx="948">
                  <c:v>5.4233926257759718E-3</c:v>
                </c:pt>
                <c:pt idx="949">
                  <c:v>5.4233926257759718E-3</c:v>
                </c:pt>
                <c:pt idx="950">
                  <c:v>5.4233926257759718E-3</c:v>
                </c:pt>
                <c:pt idx="951">
                  <c:v>5.4233926257759718E-3</c:v>
                </c:pt>
                <c:pt idx="952">
                  <c:v>5.4233926257759718E-3</c:v>
                </c:pt>
                <c:pt idx="953">
                  <c:v>5.4233926257759718E-3</c:v>
                </c:pt>
                <c:pt idx="954">
                  <c:v>5.4233926257759718E-3</c:v>
                </c:pt>
                <c:pt idx="955">
                  <c:v>5.4233926257759718E-3</c:v>
                </c:pt>
                <c:pt idx="956">
                  <c:v>5.4233926257759718E-3</c:v>
                </c:pt>
                <c:pt idx="957">
                  <c:v>5.4233926257759718E-3</c:v>
                </c:pt>
                <c:pt idx="958">
                  <c:v>5.4233926257759718E-3</c:v>
                </c:pt>
                <c:pt idx="959">
                  <c:v>5.4233926257759718E-3</c:v>
                </c:pt>
                <c:pt idx="960">
                  <c:v>5.4233926257759718E-3</c:v>
                </c:pt>
                <c:pt idx="961">
                  <c:v>5.4233926257759718E-3</c:v>
                </c:pt>
                <c:pt idx="962">
                  <c:v>5.4233926257759718E-3</c:v>
                </c:pt>
                <c:pt idx="963">
                  <c:v>5.4233926257759718E-3</c:v>
                </c:pt>
                <c:pt idx="964">
                  <c:v>5.4233926257759718E-3</c:v>
                </c:pt>
                <c:pt idx="965">
                  <c:v>5.4233926257759718E-3</c:v>
                </c:pt>
                <c:pt idx="966">
                  <c:v>5.4233926257759718E-3</c:v>
                </c:pt>
                <c:pt idx="967">
                  <c:v>5.4233926257759718E-3</c:v>
                </c:pt>
                <c:pt idx="968">
                  <c:v>5.4233926257759718E-3</c:v>
                </c:pt>
                <c:pt idx="969">
                  <c:v>5.4233926257759718E-3</c:v>
                </c:pt>
                <c:pt idx="970">
                  <c:v>5.4233926257759718E-3</c:v>
                </c:pt>
                <c:pt idx="971">
                  <c:v>5.4233926257759718E-3</c:v>
                </c:pt>
                <c:pt idx="972">
                  <c:v>5.4233926257759718E-3</c:v>
                </c:pt>
                <c:pt idx="973">
                  <c:v>5.4233926257759718E-3</c:v>
                </c:pt>
                <c:pt idx="974">
                  <c:v>5.4233926257759718E-3</c:v>
                </c:pt>
                <c:pt idx="975">
                  <c:v>5.4233926257759718E-3</c:v>
                </c:pt>
                <c:pt idx="976">
                  <c:v>5.4233926257759718E-3</c:v>
                </c:pt>
                <c:pt idx="977">
                  <c:v>5.4233926257759718E-3</c:v>
                </c:pt>
                <c:pt idx="978">
                  <c:v>5.4233926257759718E-3</c:v>
                </c:pt>
                <c:pt idx="979">
                  <c:v>5.4233926257759718E-3</c:v>
                </c:pt>
                <c:pt idx="980">
                  <c:v>5.4233926257759718E-3</c:v>
                </c:pt>
                <c:pt idx="981">
                  <c:v>5.4233926257759718E-3</c:v>
                </c:pt>
                <c:pt idx="982">
                  <c:v>5.4233926257759718E-3</c:v>
                </c:pt>
                <c:pt idx="983">
                  <c:v>5.4233926257759718E-3</c:v>
                </c:pt>
                <c:pt idx="984">
                  <c:v>5.4233926257759718E-3</c:v>
                </c:pt>
                <c:pt idx="985">
                  <c:v>5.4233926257759718E-3</c:v>
                </c:pt>
                <c:pt idx="986">
                  <c:v>5.4233926257759718E-3</c:v>
                </c:pt>
                <c:pt idx="987">
                  <c:v>5.4233926257759718E-3</c:v>
                </c:pt>
                <c:pt idx="988">
                  <c:v>5.4233926257759718E-3</c:v>
                </c:pt>
                <c:pt idx="989">
                  <c:v>5.4233926257759718E-3</c:v>
                </c:pt>
                <c:pt idx="990">
                  <c:v>5.4233926257759718E-3</c:v>
                </c:pt>
                <c:pt idx="991">
                  <c:v>5.4233926257759718E-3</c:v>
                </c:pt>
                <c:pt idx="992">
                  <c:v>5.4233926257759718E-3</c:v>
                </c:pt>
                <c:pt idx="993">
                  <c:v>5.4233926257759718E-3</c:v>
                </c:pt>
                <c:pt idx="994">
                  <c:v>5.4233926257759718E-3</c:v>
                </c:pt>
                <c:pt idx="995">
                  <c:v>5.4233926257759718E-3</c:v>
                </c:pt>
                <c:pt idx="996">
                  <c:v>5.4233926257759718E-3</c:v>
                </c:pt>
                <c:pt idx="997">
                  <c:v>5.4233926257759718E-3</c:v>
                </c:pt>
                <c:pt idx="998">
                  <c:v>5.4233926257759718E-3</c:v>
                </c:pt>
                <c:pt idx="999">
                  <c:v>5.4233926257759718E-3</c:v>
                </c:pt>
                <c:pt idx="1000">
                  <c:v>5.4233926257759718E-3</c:v>
                </c:pt>
                <c:pt idx="1001">
                  <c:v>5.4233926257759718E-3</c:v>
                </c:pt>
                <c:pt idx="1002">
                  <c:v>5.4233926257759718E-3</c:v>
                </c:pt>
                <c:pt idx="1003">
                  <c:v>5.4233926257759718E-3</c:v>
                </c:pt>
                <c:pt idx="1004">
                  <c:v>5.4233926257759718E-3</c:v>
                </c:pt>
                <c:pt idx="1005">
                  <c:v>5.4233926257759718E-3</c:v>
                </c:pt>
                <c:pt idx="1006">
                  <c:v>5.4233926257759718E-3</c:v>
                </c:pt>
                <c:pt idx="1007">
                  <c:v>5.4233926257759718E-3</c:v>
                </c:pt>
                <c:pt idx="1008">
                  <c:v>5.4233926257759718E-3</c:v>
                </c:pt>
                <c:pt idx="1009">
                  <c:v>5.4233926257759718E-3</c:v>
                </c:pt>
                <c:pt idx="1010">
                  <c:v>5.4233926257759718E-3</c:v>
                </c:pt>
                <c:pt idx="1011">
                  <c:v>5.4233926257759718E-3</c:v>
                </c:pt>
                <c:pt idx="1012">
                  <c:v>5.4233926257759718E-3</c:v>
                </c:pt>
                <c:pt idx="1013">
                  <c:v>5.4233926257759718E-3</c:v>
                </c:pt>
                <c:pt idx="1014">
                  <c:v>5.4233926257759718E-3</c:v>
                </c:pt>
                <c:pt idx="1015">
                  <c:v>5.4233926257759718E-3</c:v>
                </c:pt>
                <c:pt idx="1016">
                  <c:v>5.4233926257759718E-3</c:v>
                </c:pt>
                <c:pt idx="1017">
                  <c:v>5.4233926257759718E-3</c:v>
                </c:pt>
                <c:pt idx="1018">
                  <c:v>5.4233926257759718E-3</c:v>
                </c:pt>
                <c:pt idx="1019">
                  <c:v>5.4233926257759718E-3</c:v>
                </c:pt>
                <c:pt idx="1020">
                  <c:v>5.4233926257759718E-3</c:v>
                </c:pt>
                <c:pt idx="1021">
                  <c:v>5.4233926257759718E-3</c:v>
                </c:pt>
                <c:pt idx="1022">
                  <c:v>5.4233926257759718E-3</c:v>
                </c:pt>
                <c:pt idx="1023">
                  <c:v>5.4233926257759718E-3</c:v>
                </c:pt>
                <c:pt idx="1024">
                  <c:v>5.4233926257759718E-3</c:v>
                </c:pt>
                <c:pt idx="1025">
                  <c:v>5.4233926257759718E-3</c:v>
                </c:pt>
                <c:pt idx="1026">
                  <c:v>5.4233926257759718E-3</c:v>
                </c:pt>
                <c:pt idx="1027">
                  <c:v>5.4233926257759718E-3</c:v>
                </c:pt>
                <c:pt idx="1028">
                  <c:v>5.4233926257759718E-3</c:v>
                </c:pt>
                <c:pt idx="1029">
                  <c:v>5.4233926257759718E-3</c:v>
                </c:pt>
                <c:pt idx="1030">
                  <c:v>5.4233926257759718E-3</c:v>
                </c:pt>
                <c:pt idx="1031">
                  <c:v>5.4233926257759718E-3</c:v>
                </c:pt>
                <c:pt idx="1032">
                  <c:v>5.4233926257759718E-3</c:v>
                </c:pt>
                <c:pt idx="1033">
                  <c:v>5.4233926257759718E-3</c:v>
                </c:pt>
                <c:pt idx="1034">
                  <c:v>5.4233926257759718E-3</c:v>
                </c:pt>
                <c:pt idx="1035">
                  <c:v>5.4233926257759718E-3</c:v>
                </c:pt>
                <c:pt idx="1036">
                  <c:v>5.4233926257759718E-3</c:v>
                </c:pt>
                <c:pt idx="1037">
                  <c:v>5.4233926257759718E-3</c:v>
                </c:pt>
                <c:pt idx="1038">
                  <c:v>5.4233926257759718E-3</c:v>
                </c:pt>
                <c:pt idx="1039">
                  <c:v>5.4233926257759718E-3</c:v>
                </c:pt>
                <c:pt idx="1040">
                  <c:v>5.4233926257759718E-3</c:v>
                </c:pt>
                <c:pt idx="1041">
                  <c:v>5.4233926257759718E-3</c:v>
                </c:pt>
                <c:pt idx="1042">
                  <c:v>5.4233926257759718E-3</c:v>
                </c:pt>
                <c:pt idx="1043">
                  <c:v>5.4233926257759718E-3</c:v>
                </c:pt>
                <c:pt idx="1044">
                  <c:v>5.4233926257759718E-3</c:v>
                </c:pt>
                <c:pt idx="1045">
                  <c:v>5.4233926257759718E-3</c:v>
                </c:pt>
                <c:pt idx="1046">
                  <c:v>5.4233926257759718E-3</c:v>
                </c:pt>
                <c:pt idx="1047">
                  <c:v>5.4233926257759718E-3</c:v>
                </c:pt>
                <c:pt idx="1048">
                  <c:v>5.4233926257759718E-3</c:v>
                </c:pt>
                <c:pt idx="1049">
                  <c:v>5.4233926257759718E-3</c:v>
                </c:pt>
                <c:pt idx="1050">
                  <c:v>5.4233926257759718E-3</c:v>
                </c:pt>
                <c:pt idx="1051">
                  <c:v>5.4233926257759718E-3</c:v>
                </c:pt>
                <c:pt idx="1052">
                  <c:v>5.4233926257759718E-3</c:v>
                </c:pt>
                <c:pt idx="1053">
                  <c:v>5.4233926257759718E-3</c:v>
                </c:pt>
                <c:pt idx="1054">
                  <c:v>5.4233926257759718E-3</c:v>
                </c:pt>
                <c:pt idx="1055">
                  <c:v>5.4233926257759718E-3</c:v>
                </c:pt>
                <c:pt idx="1056">
                  <c:v>5.4233926257759718E-3</c:v>
                </c:pt>
                <c:pt idx="1057">
                  <c:v>5.4233926257759718E-3</c:v>
                </c:pt>
                <c:pt idx="1058">
                  <c:v>5.4233926257759718E-3</c:v>
                </c:pt>
                <c:pt idx="1059">
                  <c:v>5.4233926257759718E-3</c:v>
                </c:pt>
                <c:pt idx="1060">
                  <c:v>5.4233926257759718E-3</c:v>
                </c:pt>
                <c:pt idx="1061">
                  <c:v>5.4233926257759718E-3</c:v>
                </c:pt>
                <c:pt idx="1062">
                  <c:v>5.4233926257759718E-3</c:v>
                </c:pt>
                <c:pt idx="1063">
                  <c:v>5.4233926257759718E-3</c:v>
                </c:pt>
                <c:pt idx="1064">
                  <c:v>5.4233926257759718E-3</c:v>
                </c:pt>
                <c:pt idx="1065">
                  <c:v>5.4233926257759718E-3</c:v>
                </c:pt>
                <c:pt idx="1066">
                  <c:v>5.4233926257759718E-3</c:v>
                </c:pt>
                <c:pt idx="1067">
                  <c:v>5.4233926257759718E-3</c:v>
                </c:pt>
                <c:pt idx="1068">
                  <c:v>5.4233926257759718E-3</c:v>
                </c:pt>
                <c:pt idx="1069">
                  <c:v>5.4233926257759718E-3</c:v>
                </c:pt>
                <c:pt idx="1070">
                  <c:v>5.4233926257759718E-3</c:v>
                </c:pt>
                <c:pt idx="1071">
                  <c:v>5.4233926257759718E-3</c:v>
                </c:pt>
                <c:pt idx="1072">
                  <c:v>5.4233926257759718E-3</c:v>
                </c:pt>
                <c:pt idx="1073">
                  <c:v>5.4233926257759718E-3</c:v>
                </c:pt>
                <c:pt idx="1074">
                  <c:v>5.4233926257759718E-3</c:v>
                </c:pt>
                <c:pt idx="1075">
                  <c:v>5.4233926257759718E-3</c:v>
                </c:pt>
                <c:pt idx="1076">
                  <c:v>5.4233926257759718E-3</c:v>
                </c:pt>
                <c:pt idx="1077">
                  <c:v>5.4233926257759718E-3</c:v>
                </c:pt>
                <c:pt idx="1078">
                  <c:v>5.4233926257759718E-3</c:v>
                </c:pt>
                <c:pt idx="1079">
                  <c:v>5.4233926257759718E-3</c:v>
                </c:pt>
                <c:pt idx="1080">
                  <c:v>5.4233926257759718E-3</c:v>
                </c:pt>
                <c:pt idx="1081">
                  <c:v>5.4233926257759718E-3</c:v>
                </c:pt>
                <c:pt idx="1082">
                  <c:v>5.4233926257759718E-3</c:v>
                </c:pt>
                <c:pt idx="1083">
                  <c:v>5.4233926257759718E-3</c:v>
                </c:pt>
                <c:pt idx="1084">
                  <c:v>5.4233926257759718E-3</c:v>
                </c:pt>
                <c:pt idx="1085">
                  <c:v>5.4233926257759718E-3</c:v>
                </c:pt>
                <c:pt idx="1086">
                  <c:v>5.4233926257759718E-3</c:v>
                </c:pt>
                <c:pt idx="1087">
                  <c:v>5.4233926257759718E-3</c:v>
                </c:pt>
                <c:pt idx="1088">
                  <c:v>5.4233926257759718E-3</c:v>
                </c:pt>
                <c:pt idx="1089">
                  <c:v>5.4233926257759718E-3</c:v>
                </c:pt>
                <c:pt idx="1090">
                  <c:v>5.4233926257759718E-3</c:v>
                </c:pt>
                <c:pt idx="1091">
                  <c:v>5.4233926257759718E-3</c:v>
                </c:pt>
                <c:pt idx="1092">
                  <c:v>5.4233926257759718E-3</c:v>
                </c:pt>
                <c:pt idx="1093">
                  <c:v>5.4233926257759718E-3</c:v>
                </c:pt>
                <c:pt idx="1094">
                  <c:v>5.4233926257759718E-3</c:v>
                </c:pt>
                <c:pt idx="1095">
                  <c:v>5.4233926257759718E-3</c:v>
                </c:pt>
                <c:pt idx="1096">
                  <c:v>5.4233926257759718E-3</c:v>
                </c:pt>
                <c:pt idx="1097">
                  <c:v>5.4233926257759718E-3</c:v>
                </c:pt>
                <c:pt idx="1098">
                  <c:v>5.4233926257759718E-3</c:v>
                </c:pt>
                <c:pt idx="1099">
                  <c:v>5.4233926257759718E-3</c:v>
                </c:pt>
                <c:pt idx="1100">
                  <c:v>5.4233926257759718E-3</c:v>
                </c:pt>
                <c:pt idx="1101">
                  <c:v>5.4233926257759718E-3</c:v>
                </c:pt>
                <c:pt idx="1102">
                  <c:v>5.4233926257759718E-3</c:v>
                </c:pt>
                <c:pt idx="1103">
                  <c:v>5.4233926257759718E-3</c:v>
                </c:pt>
                <c:pt idx="1104">
                  <c:v>5.4233926257759718E-3</c:v>
                </c:pt>
                <c:pt idx="1105">
                  <c:v>5.4233926257759718E-3</c:v>
                </c:pt>
                <c:pt idx="1106">
                  <c:v>5.4233926257759718E-3</c:v>
                </c:pt>
                <c:pt idx="1107">
                  <c:v>5.4233926257759718E-3</c:v>
                </c:pt>
                <c:pt idx="1108">
                  <c:v>5.4233926257759718E-3</c:v>
                </c:pt>
                <c:pt idx="1109">
                  <c:v>5.4233926257759718E-3</c:v>
                </c:pt>
                <c:pt idx="1110">
                  <c:v>5.4233926257759718E-3</c:v>
                </c:pt>
                <c:pt idx="1111">
                  <c:v>5.4233926257759718E-3</c:v>
                </c:pt>
                <c:pt idx="1112">
                  <c:v>5.4233926257759718E-3</c:v>
                </c:pt>
                <c:pt idx="1113">
                  <c:v>5.4233926257759718E-3</c:v>
                </c:pt>
                <c:pt idx="1114">
                  <c:v>5.4233926257759718E-3</c:v>
                </c:pt>
                <c:pt idx="1115">
                  <c:v>5.4233926257759718E-3</c:v>
                </c:pt>
                <c:pt idx="1116">
                  <c:v>5.4233926257759718E-3</c:v>
                </c:pt>
                <c:pt idx="1117">
                  <c:v>5.4233926257759718E-3</c:v>
                </c:pt>
                <c:pt idx="1118">
                  <c:v>5.4233926257759718E-3</c:v>
                </c:pt>
                <c:pt idx="1119">
                  <c:v>5.4233926257759718E-3</c:v>
                </c:pt>
                <c:pt idx="1120">
                  <c:v>5.4233926257759718E-3</c:v>
                </c:pt>
                <c:pt idx="1121">
                  <c:v>5.4233926257759718E-3</c:v>
                </c:pt>
                <c:pt idx="1122">
                  <c:v>5.4233926257759718E-3</c:v>
                </c:pt>
                <c:pt idx="1123">
                  <c:v>5.4233926257759718E-3</c:v>
                </c:pt>
                <c:pt idx="1124">
                  <c:v>5.4233926257759718E-3</c:v>
                </c:pt>
                <c:pt idx="1125">
                  <c:v>5.4233926257759718E-3</c:v>
                </c:pt>
                <c:pt idx="1126">
                  <c:v>5.4233926257759718E-3</c:v>
                </c:pt>
                <c:pt idx="1127">
                  <c:v>5.4233926257759718E-3</c:v>
                </c:pt>
                <c:pt idx="1128">
                  <c:v>5.4233926257759718E-3</c:v>
                </c:pt>
                <c:pt idx="1129">
                  <c:v>5.4233926257759718E-3</c:v>
                </c:pt>
                <c:pt idx="1130">
                  <c:v>5.4233926257759718E-3</c:v>
                </c:pt>
                <c:pt idx="1131">
                  <c:v>5.4233926257759718E-3</c:v>
                </c:pt>
                <c:pt idx="1132">
                  <c:v>5.4233926257759718E-3</c:v>
                </c:pt>
                <c:pt idx="1133">
                  <c:v>5.4233926257759718E-3</c:v>
                </c:pt>
                <c:pt idx="1134">
                  <c:v>5.4233926257759718E-3</c:v>
                </c:pt>
                <c:pt idx="1135">
                  <c:v>5.4233926257759718E-3</c:v>
                </c:pt>
                <c:pt idx="1136">
                  <c:v>5.4233926257759718E-3</c:v>
                </c:pt>
                <c:pt idx="1137">
                  <c:v>5.4233926257759718E-3</c:v>
                </c:pt>
                <c:pt idx="1138">
                  <c:v>5.4233926257759718E-3</c:v>
                </c:pt>
                <c:pt idx="1139">
                  <c:v>5.4233926257759718E-3</c:v>
                </c:pt>
                <c:pt idx="1140">
                  <c:v>5.4233926257759718E-3</c:v>
                </c:pt>
                <c:pt idx="1141">
                  <c:v>5.4233926257759718E-3</c:v>
                </c:pt>
                <c:pt idx="1142">
                  <c:v>5.4233926257759718E-3</c:v>
                </c:pt>
                <c:pt idx="1143">
                  <c:v>5.4233926257759718E-3</c:v>
                </c:pt>
                <c:pt idx="1144">
                  <c:v>5.4233926257759718E-3</c:v>
                </c:pt>
                <c:pt idx="1145">
                  <c:v>5.4233926257759718E-3</c:v>
                </c:pt>
                <c:pt idx="1146">
                  <c:v>5.4233926257759718E-3</c:v>
                </c:pt>
                <c:pt idx="1147">
                  <c:v>5.4233926257759718E-3</c:v>
                </c:pt>
                <c:pt idx="1148">
                  <c:v>5.4233926257759718E-3</c:v>
                </c:pt>
                <c:pt idx="1149">
                  <c:v>5.4233926257759718E-3</c:v>
                </c:pt>
                <c:pt idx="1150">
                  <c:v>5.4233926257759718E-3</c:v>
                </c:pt>
                <c:pt idx="1151">
                  <c:v>5.4233926257759718E-3</c:v>
                </c:pt>
                <c:pt idx="1152">
                  <c:v>5.4233926257759718E-3</c:v>
                </c:pt>
                <c:pt idx="1153">
                  <c:v>5.4233926257759718E-3</c:v>
                </c:pt>
                <c:pt idx="1154">
                  <c:v>5.4233926257759718E-3</c:v>
                </c:pt>
                <c:pt idx="1155">
                  <c:v>5.4233926257759718E-3</c:v>
                </c:pt>
                <c:pt idx="1156">
                  <c:v>5.4233926257759718E-3</c:v>
                </c:pt>
                <c:pt idx="1157">
                  <c:v>5.4233926257759718E-3</c:v>
                </c:pt>
                <c:pt idx="1158">
                  <c:v>5.4233926257759718E-3</c:v>
                </c:pt>
                <c:pt idx="1159">
                  <c:v>5.4233926257759718E-3</c:v>
                </c:pt>
                <c:pt idx="1160">
                  <c:v>5.4233926257759718E-3</c:v>
                </c:pt>
                <c:pt idx="1161">
                  <c:v>5.4233926257759718E-3</c:v>
                </c:pt>
                <c:pt idx="1162">
                  <c:v>5.4233926257759718E-3</c:v>
                </c:pt>
                <c:pt idx="1163">
                  <c:v>5.4233926257759718E-3</c:v>
                </c:pt>
                <c:pt idx="1164">
                  <c:v>5.4233926257759718E-3</c:v>
                </c:pt>
                <c:pt idx="1165">
                  <c:v>5.4233926257759718E-3</c:v>
                </c:pt>
                <c:pt idx="1166">
                  <c:v>5.4233926257759718E-3</c:v>
                </c:pt>
                <c:pt idx="1167">
                  <c:v>5.4233926257759718E-3</c:v>
                </c:pt>
                <c:pt idx="1168">
                  <c:v>5.4233926257759718E-3</c:v>
                </c:pt>
                <c:pt idx="1169">
                  <c:v>5.4233926257759718E-3</c:v>
                </c:pt>
                <c:pt idx="1170">
                  <c:v>5.4233926257759718E-3</c:v>
                </c:pt>
                <c:pt idx="1171">
                  <c:v>5.4233926257759718E-3</c:v>
                </c:pt>
                <c:pt idx="1172">
                  <c:v>5.4233926257759718E-3</c:v>
                </c:pt>
                <c:pt idx="1173">
                  <c:v>5.4233926257759718E-3</c:v>
                </c:pt>
                <c:pt idx="1174">
                  <c:v>5.4233926257759718E-3</c:v>
                </c:pt>
                <c:pt idx="1175">
                  <c:v>5.4233926257759718E-3</c:v>
                </c:pt>
                <c:pt idx="1176">
                  <c:v>5.4233926257759718E-3</c:v>
                </c:pt>
                <c:pt idx="1177">
                  <c:v>5.4233926257759718E-3</c:v>
                </c:pt>
                <c:pt idx="1178">
                  <c:v>5.4233926257759718E-3</c:v>
                </c:pt>
                <c:pt idx="1179">
                  <c:v>5.4233926257759718E-3</c:v>
                </c:pt>
                <c:pt idx="1180">
                  <c:v>5.4233926257759718E-3</c:v>
                </c:pt>
                <c:pt idx="1181">
                  <c:v>5.4233926257759718E-3</c:v>
                </c:pt>
                <c:pt idx="1182">
                  <c:v>5.4233926257759718E-3</c:v>
                </c:pt>
                <c:pt idx="1183">
                  <c:v>5.4233926257759718E-3</c:v>
                </c:pt>
                <c:pt idx="1184">
                  <c:v>5.4233926257759718E-3</c:v>
                </c:pt>
                <c:pt idx="1185">
                  <c:v>5.4233926257759718E-3</c:v>
                </c:pt>
                <c:pt idx="1186">
                  <c:v>5.4233926257759718E-3</c:v>
                </c:pt>
                <c:pt idx="1187">
                  <c:v>5.4233926257759718E-3</c:v>
                </c:pt>
                <c:pt idx="1188">
                  <c:v>5.4233926257759718E-3</c:v>
                </c:pt>
                <c:pt idx="1189">
                  <c:v>5.4233926257759718E-3</c:v>
                </c:pt>
                <c:pt idx="1190">
                  <c:v>5.4233926257759718E-3</c:v>
                </c:pt>
                <c:pt idx="1191">
                  <c:v>5.4233926257759718E-3</c:v>
                </c:pt>
                <c:pt idx="1192">
                  <c:v>5.4233926257759718E-3</c:v>
                </c:pt>
                <c:pt idx="1193">
                  <c:v>5.4233926257759718E-3</c:v>
                </c:pt>
                <c:pt idx="1194">
                  <c:v>5.4233926257759718E-3</c:v>
                </c:pt>
                <c:pt idx="1195">
                  <c:v>5.4233926257759718E-3</c:v>
                </c:pt>
                <c:pt idx="1196">
                  <c:v>5.4233926257759718E-3</c:v>
                </c:pt>
                <c:pt idx="1197">
                  <c:v>5.4233926257759718E-3</c:v>
                </c:pt>
                <c:pt idx="1198">
                  <c:v>5.4233926257759718E-3</c:v>
                </c:pt>
                <c:pt idx="1199">
                  <c:v>5.4233926257759718E-3</c:v>
                </c:pt>
                <c:pt idx="1200">
                  <c:v>5.4233926257759718E-3</c:v>
                </c:pt>
                <c:pt idx="1201">
                  <c:v>5.4233926257759718E-3</c:v>
                </c:pt>
                <c:pt idx="1202">
                  <c:v>5.4233926257759718E-3</c:v>
                </c:pt>
                <c:pt idx="1203">
                  <c:v>5.4233926257759718E-3</c:v>
                </c:pt>
                <c:pt idx="1204">
                  <c:v>5.4233926257759718E-3</c:v>
                </c:pt>
                <c:pt idx="1205">
                  <c:v>5.4233926257759718E-3</c:v>
                </c:pt>
                <c:pt idx="1206">
                  <c:v>5.4233926257759718E-3</c:v>
                </c:pt>
                <c:pt idx="1207">
                  <c:v>5.4233926257759718E-3</c:v>
                </c:pt>
                <c:pt idx="1208">
                  <c:v>5.4233926257759718E-3</c:v>
                </c:pt>
                <c:pt idx="1209">
                  <c:v>5.4233926257759718E-3</c:v>
                </c:pt>
                <c:pt idx="1210">
                  <c:v>5.4233926257759718E-3</c:v>
                </c:pt>
                <c:pt idx="1211">
                  <c:v>5.4233926257759718E-3</c:v>
                </c:pt>
                <c:pt idx="1212">
                  <c:v>5.4233926257759718E-3</c:v>
                </c:pt>
                <c:pt idx="1213">
                  <c:v>5.4233926257759718E-3</c:v>
                </c:pt>
                <c:pt idx="1214">
                  <c:v>5.4233926257759718E-3</c:v>
                </c:pt>
                <c:pt idx="1215">
                  <c:v>5.4233926257759718E-3</c:v>
                </c:pt>
                <c:pt idx="1216">
                  <c:v>5.4233926257759718E-3</c:v>
                </c:pt>
                <c:pt idx="1217">
                  <c:v>5.4233926257759718E-3</c:v>
                </c:pt>
                <c:pt idx="1218">
                  <c:v>5.4233926257759718E-3</c:v>
                </c:pt>
                <c:pt idx="1219">
                  <c:v>5.4233926257759718E-3</c:v>
                </c:pt>
                <c:pt idx="1220">
                  <c:v>5.4233926257759718E-3</c:v>
                </c:pt>
                <c:pt idx="1221">
                  <c:v>5.4233926257759718E-3</c:v>
                </c:pt>
                <c:pt idx="1222">
                  <c:v>5.4233926257759718E-3</c:v>
                </c:pt>
                <c:pt idx="1223">
                  <c:v>5.4233926257759718E-3</c:v>
                </c:pt>
                <c:pt idx="1224">
                  <c:v>5.4233926257759718E-3</c:v>
                </c:pt>
                <c:pt idx="1225">
                  <c:v>5.4233926257759718E-3</c:v>
                </c:pt>
                <c:pt idx="1226">
                  <c:v>5.4233926257759718E-3</c:v>
                </c:pt>
                <c:pt idx="1227">
                  <c:v>5.4233926257759718E-3</c:v>
                </c:pt>
                <c:pt idx="1228">
                  <c:v>5.4233926257759718E-3</c:v>
                </c:pt>
                <c:pt idx="1229">
                  <c:v>5.4233926257759718E-3</c:v>
                </c:pt>
                <c:pt idx="1230">
                  <c:v>5.4233926257759718E-3</c:v>
                </c:pt>
                <c:pt idx="1231">
                  <c:v>5.4233926257759718E-3</c:v>
                </c:pt>
                <c:pt idx="1232">
                  <c:v>5.4233926257759718E-3</c:v>
                </c:pt>
                <c:pt idx="1233">
                  <c:v>5.4233926257759718E-3</c:v>
                </c:pt>
                <c:pt idx="1234">
                  <c:v>5.4233926257759718E-3</c:v>
                </c:pt>
                <c:pt idx="1235">
                  <c:v>5.4233926257759718E-3</c:v>
                </c:pt>
                <c:pt idx="1236">
                  <c:v>5.4233926257759718E-3</c:v>
                </c:pt>
                <c:pt idx="1237">
                  <c:v>5.4233926257759718E-3</c:v>
                </c:pt>
                <c:pt idx="1238">
                  <c:v>5.4233926257759718E-3</c:v>
                </c:pt>
                <c:pt idx="1239">
                  <c:v>5.4233926257759718E-3</c:v>
                </c:pt>
                <c:pt idx="1240">
                  <c:v>5.4233926257759718E-3</c:v>
                </c:pt>
                <c:pt idx="1241">
                  <c:v>5.4233926257759718E-3</c:v>
                </c:pt>
                <c:pt idx="1242">
                  <c:v>5.4233926257759718E-3</c:v>
                </c:pt>
                <c:pt idx="1243">
                  <c:v>5.4233926257759718E-3</c:v>
                </c:pt>
                <c:pt idx="1244">
                  <c:v>5.4233926257759718E-3</c:v>
                </c:pt>
                <c:pt idx="1245">
                  <c:v>5.4233926257759718E-3</c:v>
                </c:pt>
                <c:pt idx="1246">
                  <c:v>5.4233926257759718E-3</c:v>
                </c:pt>
                <c:pt idx="1247">
                  <c:v>5.4233926257759718E-3</c:v>
                </c:pt>
                <c:pt idx="1248">
                  <c:v>5.4233926257759718E-3</c:v>
                </c:pt>
                <c:pt idx="1249">
                  <c:v>5.4233926257759718E-3</c:v>
                </c:pt>
                <c:pt idx="1250">
                  <c:v>5.4233926257759718E-3</c:v>
                </c:pt>
                <c:pt idx="1251">
                  <c:v>5.4233926257759718E-3</c:v>
                </c:pt>
                <c:pt idx="1252">
                  <c:v>5.4233926257759718E-3</c:v>
                </c:pt>
                <c:pt idx="1253">
                  <c:v>5.4233926257759718E-3</c:v>
                </c:pt>
                <c:pt idx="1254">
                  <c:v>5.4233926257759718E-3</c:v>
                </c:pt>
                <c:pt idx="1255">
                  <c:v>5.4233926257759718E-3</c:v>
                </c:pt>
                <c:pt idx="1256">
                  <c:v>5.4233926257759718E-3</c:v>
                </c:pt>
                <c:pt idx="1257">
                  <c:v>5.4233926257759718E-3</c:v>
                </c:pt>
                <c:pt idx="1258">
                  <c:v>5.4233926257759718E-3</c:v>
                </c:pt>
                <c:pt idx="1259">
                  <c:v>5.4233926257759718E-3</c:v>
                </c:pt>
                <c:pt idx="1260">
                  <c:v>5.4233926257759718E-3</c:v>
                </c:pt>
                <c:pt idx="1261">
                  <c:v>5.4233926257759718E-3</c:v>
                </c:pt>
                <c:pt idx="1262">
                  <c:v>5.4233926257759718E-3</c:v>
                </c:pt>
                <c:pt idx="1263">
                  <c:v>5.4233926257759718E-3</c:v>
                </c:pt>
                <c:pt idx="1264">
                  <c:v>5.4233926257759718E-3</c:v>
                </c:pt>
                <c:pt idx="1265">
                  <c:v>5.4233926257759718E-3</c:v>
                </c:pt>
                <c:pt idx="1266">
                  <c:v>5.4233926257759718E-3</c:v>
                </c:pt>
                <c:pt idx="1267">
                  <c:v>5.4233926257759718E-3</c:v>
                </c:pt>
                <c:pt idx="1268">
                  <c:v>5.4233926257759718E-3</c:v>
                </c:pt>
                <c:pt idx="1269">
                  <c:v>5.4233926257759718E-3</c:v>
                </c:pt>
                <c:pt idx="1270">
                  <c:v>5.4233926257759718E-3</c:v>
                </c:pt>
                <c:pt idx="1271">
                  <c:v>5.4233926257759718E-3</c:v>
                </c:pt>
                <c:pt idx="1272">
                  <c:v>5.4233926257759718E-3</c:v>
                </c:pt>
                <c:pt idx="1273">
                  <c:v>5.4233926257759718E-3</c:v>
                </c:pt>
                <c:pt idx="1274">
                  <c:v>5.4233926257759718E-3</c:v>
                </c:pt>
                <c:pt idx="1275">
                  <c:v>5.4233926257759718E-3</c:v>
                </c:pt>
                <c:pt idx="1276">
                  <c:v>5.4233926257759718E-3</c:v>
                </c:pt>
                <c:pt idx="1277">
                  <c:v>5.4233926257759718E-3</c:v>
                </c:pt>
                <c:pt idx="1278">
                  <c:v>5.4233926257759718E-3</c:v>
                </c:pt>
                <c:pt idx="1279">
                  <c:v>5.4233926257759718E-3</c:v>
                </c:pt>
                <c:pt idx="1280">
                  <c:v>5.4233926257759718E-3</c:v>
                </c:pt>
                <c:pt idx="1281">
                  <c:v>5.4233926257759718E-3</c:v>
                </c:pt>
                <c:pt idx="1282">
                  <c:v>5.4233926257759718E-3</c:v>
                </c:pt>
                <c:pt idx="1283">
                  <c:v>5.4233926257759718E-3</c:v>
                </c:pt>
                <c:pt idx="1284">
                  <c:v>5.4233926257759718E-3</c:v>
                </c:pt>
                <c:pt idx="1285">
                  <c:v>5.4233926257759718E-3</c:v>
                </c:pt>
                <c:pt idx="1286">
                  <c:v>5.4233926257759718E-3</c:v>
                </c:pt>
                <c:pt idx="1287">
                  <c:v>5.4233926257759718E-3</c:v>
                </c:pt>
                <c:pt idx="1288">
                  <c:v>5.4233926257759718E-3</c:v>
                </c:pt>
                <c:pt idx="1289">
                  <c:v>5.4233926257759718E-3</c:v>
                </c:pt>
                <c:pt idx="1290">
                  <c:v>5.4233926257759718E-3</c:v>
                </c:pt>
                <c:pt idx="1291">
                  <c:v>5.4233926257759718E-3</c:v>
                </c:pt>
                <c:pt idx="1292">
                  <c:v>5.4233926257759718E-3</c:v>
                </c:pt>
                <c:pt idx="1293">
                  <c:v>5.4233926257759718E-3</c:v>
                </c:pt>
                <c:pt idx="1294">
                  <c:v>5.4233926257759718E-3</c:v>
                </c:pt>
                <c:pt idx="1295">
                  <c:v>5.4233926257759718E-3</c:v>
                </c:pt>
                <c:pt idx="1296">
                  <c:v>5.4233926257759718E-3</c:v>
                </c:pt>
                <c:pt idx="1297">
                  <c:v>5.4233926257759718E-3</c:v>
                </c:pt>
                <c:pt idx="1298">
                  <c:v>5.4233926257759718E-3</c:v>
                </c:pt>
                <c:pt idx="1299">
                  <c:v>5.4233926257759718E-3</c:v>
                </c:pt>
                <c:pt idx="1300">
                  <c:v>5.4233926257759718E-3</c:v>
                </c:pt>
                <c:pt idx="1301">
                  <c:v>5.4233926257759718E-3</c:v>
                </c:pt>
                <c:pt idx="1302">
                  <c:v>5.4233926257759718E-3</c:v>
                </c:pt>
                <c:pt idx="1303">
                  <c:v>5.4233926257759718E-3</c:v>
                </c:pt>
                <c:pt idx="1304">
                  <c:v>5.4233926257759718E-3</c:v>
                </c:pt>
                <c:pt idx="1305">
                  <c:v>5.4233926257759718E-3</c:v>
                </c:pt>
                <c:pt idx="1306">
                  <c:v>5.4233926257759718E-3</c:v>
                </c:pt>
                <c:pt idx="1307">
                  <c:v>5.4233926257759718E-3</c:v>
                </c:pt>
                <c:pt idx="1308">
                  <c:v>5.4233926257759718E-3</c:v>
                </c:pt>
                <c:pt idx="1309">
                  <c:v>5.4233926257759718E-3</c:v>
                </c:pt>
                <c:pt idx="1310">
                  <c:v>5.4233926257759718E-3</c:v>
                </c:pt>
                <c:pt idx="1311">
                  <c:v>5.4233926257759718E-3</c:v>
                </c:pt>
                <c:pt idx="1312">
                  <c:v>5.4233926257759718E-3</c:v>
                </c:pt>
                <c:pt idx="1313">
                  <c:v>5.4233926257759718E-3</c:v>
                </c:pt>
                <c:pt idx="1314">
                  <c:v>5.4233926257759718E-3</c:v>
                </c:pt>
                <c:pt idx="1315">
                  <c:v>5.4233926257759718E-3</c:v>
                </c:pt>
                <c:pt idx="1316">
                  <c:v>5.4233926257759718E-3</c:v>
                </c:pt>
                <c:pt idx="1317">
                  <c:v>5.4233926257759718E-3</c:v>
                </c:pt>
                <c:pt idx="1318">
                  <c:v>5.4233926257759718E-3</c:v>
                </c:pt>
                <c:pt idx="1319">
                  <c:v>5.4233926257759718E-3</c:v>
                </c:pt>
                <c:pt idx="1320">
                  <c:v>5.4233926257759718E-3</c:v>
                </c:pt>
                <c:pt idx="1321">
                  <c:v>5.4233926257759718E-3</c:v>
                </c:pt>
                <c:pt idx="1322">
                  <c:v>5.4233926257759718E-3</c:v>
                </c:pt>
                <c:pt idx="1323">
                  <c:v>5.4233926257759718E-3</c:v>
                </c:pt>
                <c:pt idx="1324">
                  <c:v>5.4233926257759718E-3</c:v>
                </c:pt>
                <c:pt idx="1325">
                  <c:v>5.4233926257759718E-3</c:v>
                </c:pt>
                <c:pt idx="1326">
                  <c:v>5.4233926257759718E-3</c:v>
                </c:pt>
                <c:pt idx="1327">
                  <c:v>5.4233926257759718E-3</c:v>
                </c:pt>
                <c:pt idx="1328">
                  <c:v>5.4233926257759718E-3</c:v>
                </c:pt>
                <c:pt idx="1329">
                  <c:v>5.4233926257759718E-3</c:v>
                </c:pt>
                <c:pt idx="1330">
                  <c:v>5.4233926257759718E-3</c:v>
                </c:pt>
                <c:pt idx="1331">
                  <c:v>5.4233926257759718E-3</c:v>
                </c:pt>
                <c:pt idx="1332">
                  <c:v>5.4233926257759718E-3</c:v>
                </c:pt>
                <c:pt idx="1333">
                  <c:v>5.4233926257759718E-3</c:v>
                </c:pt>
                <c:pt idx="1334">
                  <c:v>5.4233926257759718E-3</c:v>
                </c:pt>
                <c:pt idx="1335">
                  <c:v>5.4233926257759718E-3</c:v>
                </c:pt>
                <c:pt idx="1336">
                  <c:v>5.4233926257759718E-3</c:v>
                </c:pt>
                <c:pt idx="1337">
                  <c:v>5.4233926257759718E-3</c:v>
                </c:pt>
                <c:pt idx="1338">
                  <c:v>5.4233926257759718E-3</c:v>
                </c:pt>
                <c:pt idx="1339">
                  <c:v>5.4233926257759718E-3</c:v>
                </c:pt>
                <c:pt idx="1340">
                  <c:v>5.4233926257759718E-3</c:v>
                </c:pt>
                <c:pt idx="1341">
                  <c:v>5.4233926257759718E-3</c:v>
                </c:pt>
                <c:pt idx="1342">
                  <c:v>5.4233926257759718E-3</c:v>
                </c:pt>
                <c:pt idx="1343">
                  <c:v>5.4233926257759718E-3</c:v>
                </c:pt>
                <c:pt idx="1344">
                  <c:v>5.4233926257759718E-3</c:v>
                </c:pt>
                <c:pt idx="1345">
                  <c:v>5.4233926257759718E-3</c:v>
                </c:pt>
                <c:pt idx="1346">
                  <c:v>5.4233926257759718E-3</c:v>
                </c:pt>
                <c:pt idx="1347">
                  <c:v>5.4233926257759718E-3</c:v>
                </c:pt>
                <c:pt idx="1348">
                  <c:v>5.4233926257759718E-3</c:v>
                </c:pt>
                <c:pt idx="1349">
                  <c:v>5.4233926257759718E-3</c:v>
                </c:pt>
                <c:pt idx="1350">
                  <c:v>5.4233926257759718E-3</c:v>
                </c:pt>
                <c:pt idx="1351">
                  <c:v>5.4233926257759718E-3</c:v>
                </c:pt>
                <c:pt idx="1352">
                  <c:v>5.4233926257759718E-3</c:v>
                </c:pt>
                <c:pt idx="1353">
                  <c:v>5.4233926257759718E-3</c:v>
                </c:pt>
                <c:pt idx="1354">
                  <c:v>5.4233926257759718E-3</c:v>
                </c:pt>
                <c:pt idx="1355">
                  <c:v>5.4233926257759718E-3</c:v>
                </c:pt>
                <c:pt idx="1356">
                  <c:v>5.4233926257759718E-3</c:v>
                </c:pt>
                <c:pt idx="1357">
                  <c:v>5.4233926257759718E-3</c:v>
                </c:pt>
                <c:pt idx="1358">
                  <c:v>5.4233926257759718E-3</c:v>
                </c:pt>
                <c:pt idx="1359">
                  <c:v>5.4233926257759718E-3</c:v>
                </c:pt>
                <c:pt idx="1360">
                  <c:v>5.4233926257759718E-3</c:v>
                </c:pt>
                <c:pt idx="1361">
                  <c:v>5.4233926257759718E-3</c:v>
                </c:pt>
                <c:pt idx="1362">
                  <c:v>5.4233926257759718E-3</c:v>
                </c:pt>
                <c:pt idx="1363">
                  <c:v>5.4233926257759718E-3</c:v>
                </c:pt>
                <c:pt idx="1364">
                  <c:v>5.4233926257759718E-3</c:v>
                </c:pt>
                <c:pt idx="1365">
                  <c:v>5.4233926257759718E-3</c:v>
                </c:pt>
                <c:pt idx="1366">
                  <c:v>5.4233926257759718E-3</c:v>
                </c:pt>
                <c:pt idx="1367">
                  <c:v>5.4233926257759718E-3</c:v>
                </c:pt>
                <c:pt idx="1368">
                  <c:v>5.4233926257759718E-3</c:v>
                </c:pt>
                <c:pt idx="1369">
                  <c:v>5.4233926257759718E-3</c:v>
                </c:pt>
                <c:pt idx="1370">
                  <c:v>5.4233926257759718E-3</c:v>
                </c:pt>
                <c:pt idx="1371">
                  <c:v>5.4233926257759718E-3</c:v>
                </c:pt>
                <c:pt idx="1372">
                  <c:v>5.4233926257759718E-3</c:v>
                </c:pt>
                <c:pt idx="1373">
                  <c:v>5.4233926257759718E-3</c:v>
                </c:pt>
                <c:pt idx="1374">
                  <c:v>5.4233926257759718E-3</c:v>
                </c:pt>
                <c:pt idx="1375">
                  <c:v>5.4233926257759718E-3</c:v>
                </c:pt>
                <c:pt idx="1376">
                  <c:v>5.4233926257759718E-3</c:v>
                </c:pt>
                <c:pt idx="1377">
                  <c:v>5.4233926257759718E-3</c:v>
                </c:pt>
                <c:pt idx="1378">
                  <c:v>5.4233926257759718E-3</c:v>
                </c:pt>
                <c:pt idx="1379">
                  <c:v>5.4233926257759718E-3</c:v>
                </c:pt>
                <c:pt idx="1380">
                  <c:v>5.4233926257759718E-3</c:v>
                </c:pt>
                <c:pt idx="1381">
                  <c:v>5.4233926257759718E-3</c:v>
                </c:pt>
                <c:pt idx="1382">
                  <c:v>5.4233926257759718E-3</c:v>
                </c:pt>
                <c:pt idx="1383">
                  <c:v>5.4233926257759718E-3</c:v>
                </c:pt>
                <c:pt idx="1384">
                  <c:v>5.4233926257759718E-3</c:v>
                </c:pt>
                <c:pt idx="1385">
                  <c:v>5.4233926257759718E-3</c:v>
                </c:pt>
                <c:pt idx="1386">
                  <c:v>5.4233926257759718E-3</c:v>
                </c:pt>
                <c:pt idx="1387">
                  <c:v>5.4233926257759718E-3</c:v>
                </c:pt>
                <c:pt idx="1388">
                  <c:v>5.4233926257759718E-3</c:v>
                </c:pt>
                <c:pt idx="1389">
                  <c:v>5.4233926257759718E-3</c:v>
                </c:pt>
                <c:pt idx="1390">
                  <c:v>5.4233926257759718E-3</c:v>
                </c:pt>
                <c:pt idx="1391">
                  <c:v>5.4233926257759718E-3</c:v>
                </c:pt>
                <c:pt idx="1392">
                  <c:v>5.4233926257759718E-3</c:v>
                </c:pt>
                <c:pt idx="1393">
                  <c:v>5.4233926257759718E-3</c:v>
                </c:pt>
                <c:pt idx="1394">
                  <c:v>5.4233926257759718E-3</c:v>
                </c:pt>
                <c:pt idx="1395">
                  <c:v>5.4233926257759718E-3</c:v>
                </c:pt>
                <c:pt idx="1396">
                  <c:v>5.4233926257759718E-3</c:v>
                </c:pt>
                <c:pt idx="1397">
                  <c:v>5.4233926257759718E-3</c:v>
                </c:pt>
                <c:pt idx="1398">
                  <c:v>5.4233926257759718E-3</c:v>
                </c:pt>
                <c:pt idx="1399">
                  <c:v>5.4233926257759718E-3</c:v>
                </c:pt>
                <c:pt idx="1400">
                  <c:v>5.4233926257759718E-3</c:v>
                </c:pt>
                <c:pt idx="1401">
                  <c:v>5.4233926257759718E-3</c:v>
                </c:pt>
                <c:pt idx="1402">
                  <c:v>5.4233926257759718E-3</c:v>
                </c:pt>
                <c:pt idx="1403">
                  <c:v>5.4233926257759718E-3</c:v>
                </c:pt>
                <c:pt idx="1404">
                  <c:v>5.4233926257759718E-3</c:v>
                </c:pt>
                <c:pt idx="1405">
                  <c:v>5.4233926257759718E-3</c:v>
                </c:pt>
                <c:pt idx="1406">
                  <c:v>5.4233926257759718E-3</c:v>
                </c:pt>
                <c:pt idx="1407">
                  <c:v>5.4233926257759718E-3</c:v>
                </c:pt>
                <c:pt idx="1408">
                  <c:v>5.4233926257759718E-3</c:v>
                </c:pt>
                <c:pt idx="1409">
                  <c:v>5.4233926257759718E-3</c:v>
                </c:pt>
                <c:pt idx="1410">
                  <c:v>5.4233926257759718E-3</c:v>
                </c:pt>
                <c:pt idx="1411">
                  <c:v>5.4233926257759718E-3</c:v>
                </c:pt>
                <c:pt idx="1412">
                  <c:v>5.4233926257759718E-3</c:v>
                </c:pt>
                <c:pt idx="1413">
                  <c:v>5.4233926257759718E-3</c:v>
                </c:pt>
                <c:pt idx="1414">
                  <c:v>5.4233926257759718E-3</c:v>
                </c:pt>
                <c:pt idx="1415">
                  <c:v>5.4233926257759718E-3</c:v>
                </c:pt>
                <c:pt idx="1416">
                  <c:v>5.4233926257759718E-3</c:v>
                </c:pt>
                <c:pt idx="1417">
                  <c:v>5.4233926257759718E-3</c:v>
                </c:pt>
                <c:pt idx="1418">
                  <c:v>5.4233926257759718E-3</c:v>
                </c:pt>
                <c:pt idx="1419">
                  <c:v>5.4233926257759718E-3</c:v>
                </c:pt>
                <c:pt idx="1420">
                  <c:v>5.4233926257759718E-3</c:v>
                </c:pt>
                <c:pt idx="1421">
                  <c:v>5.4233926257759718E-3</c:v>
                </c:pt>
                <c:pt idx="1422">
                  <c:v>5.4233926257759718E-3</c:v>
                </c:pt>
                <c:pt idx="1423">
                  <c:v>5.4233926257759718E-3</c:v>
                </c:pt>
                <c:pt idx="1424">
                  <c:v>5.4233926257759718E-3</c:v>
                </c:pt>
                <c:pt idx="1425">
                  <c:v>5.4233926257759718E-3</c:v>
                </c:pt>
                <c:pt idx="1426">
                  <c:v>5.4233926257759718E-3</c:v>
                </c:pt>
                <c:pt idx="1427">
                  <c:v>5.4233926257759718E-3</c:v>
                </c:pt>
                <c:pt idx="1428">
                  <c:v>5.4233926257759718E-3</c:v>
                </c:pt>
                <c:pt idx="1429">
                  <c:v>5.4233926257759718E-3</c:v>
                </c:pt>
                <c:pt idx="1430">
                  <c:v>5.4233926257759718E-3</c:v>
                </c:pt>
                <c:pt idx="1431">
                  <c:v>5.4233926257759718E-3</c:v>
                </c:pt>
                <c:pt idx="1432">
                  <c:v>5.4233926257759718E-3</c:v>
                </c:pt>
                <c:pt idx="1433">
                  <c:v>5.4233926257759718E-3</c:v>
                </c:pt>
                <c:pt idx="1434">
                  <c:v>5.4233926257759718E-3</c:v>
                </c:pt>
                <c:pt idx="1435">
                  <c:v>5.4233926257759718E-3</c:v>
                </c:pt>
                <c:pt idx="1436">
                  <c:v>5.4233926257759718E-3</c:v>
                </c:pt>
                <c:pt idx="1437">
                  <c:v>5.4233926257759718E-3</c:v>
                </c:pt>
                <c:pt idx="1438">
                  <c:v>5.4233926257759718E-3</c:v>
                </c:pt>
                <c:pt idx="1439">
                  <c:v>5.4233926257759718E-3</c:v>
                </c:pt>
                <c:pt idx="1440">
                  <c:v>5.4233926257759718E-3</c:v>
                </c:pt>
                <c:pt idx="1441">
                  <c:v>5.4233926257759718E-3</c:v>
                </c:pt>
                <c:pt idx="1442">
                  <c:v>5.4233926257759718E-3</c:v>
                </c:pt>
                <c:pt idx="1443">
                  <c:v>5.4233926257759718E-3</c:v>
                </c:pt>
                <c:pt idx="1444">
                  <c:v>5.4233926257759718E-3</c:v>
                </c:pt>
                <c:pt idx="1445">
                  <c:v>5.4233926257759718E-3</c:v>
                </c:pt>
                <c:pt idx="1446">
                  <c:v>5.4233926257759718E-3</c:v>
                </c:pt>
                <c:pt idx="1447">
                  <c:v>5.4233926257759718E-3</c:v>
                </c:pt>
                <c:pt idx="1448">
                  <c:v>5.4233926257759718E-3</c:v>
                </c:pt>
                <c:pt idx="1449">
                  <c:v>5.4233926257759718E-3</c:v>
                </c:pt>
                <c:pt idx="1450">
                  <c:v>5.4233926257759718E-3</c:v>
                </c:pt>
                <c:pt idx="1451">
                  <c:v>5.4233926257759718E-3</c:v>
                </c:pt>
                <c:pt idx="1452">
                  <c:v>5.4233926257759718E-3</c:v>
                </c:pt>
                <c:pt idx="1453">
                  <c:v>5.4233926257759718E-3</c:v>
                </c:pt>
                <c:pt idx="1454">
                  <c:v>5.4233926257759718E-3</c:v>
                </c:pt>
                <c:pt idx="1455">
                  <c:v>5.4233926257759718E-3</c:v>
                </c:pt>
                <c:pt idx="1456">
                  <c:v>5.4233926257759718E-3</c:v>
                </c:pt>
                <c:pt idx="1457">
                  <c:v>5.4233926257759718E-3</c:v>
                </c:pt>
                <c:pt idx="1458">
                  <c:v>5.4233926257759718E-3</c:v>
                </c:pt>
                <c:pt idx="1459">
                  <c:v>5.4233926257759718E-3</c:v>
                </c:pt>
                <c:pt idx="1460">
                  <c:v>5.4233926257759718E-3</c:v>
                </c:pt>
                <c:pt idx="1461">
                  <c:v>5.4233926257759718E-3</c:v>
                </c:pt>
                <c:pt idx="1462">
                  <c:v>5.4233926257759718E-3</c:v>
                </c:pt>
                <c:pt idx="1463">
                  <c:v>5.4233926257759718E-3</c:v>
                </c:pt>
                <c:pt idx="1464">
                  <c:v>5.4233926257759718E-3</c:v>
                </c:pt>
                <c:pt idx="1465">
                  <c:v>5.4233926257759718E-3</c:v>
                </c:pt>
                <c:pt idx="1466">
                  <c:v>5.4233926257759718E-3</c:v>
                </c:pt>
                <c:pt idx="1467">
                  <c:v>5.4233926257759718E-3</c:v>
                </c:pt>
                <c:pt idx="1468">
                  <c:v>5.4233926257759718E-3</c:v>
                </c:pt>
                <c:pt idx="1469">
                  <c:v>5.4233926257759718E-3</c:v>
                </c:pt>
                <c:pt idx="1470">
                  <c:v>5.4233926257759718E-3</c:v>
                </c:pt>
                <c:pt idx="1471">
                  <c:v>5.4233926257759718E-3</c:v>
                </c:pt>
                <c:pt idx="1472">
                  <c:v>5.4233926257759718E-3</c:v>
                </c:pt>
                <c:pt idx="1473">
                  <c:v>5.4233926257759718E-3</c:v>
                </c:pt>
                <c:pt idx="1474">
                  <c:v>5.4233926257759718E-3</c:v>
                </c:pt>
                <c:pt idx="1475">
                  <c:v>5.4233926257759718E-3</c:v>
                </c:pt>
                <c:pt idx="1476">
                  <c:v>5.4233926257759718E-3</c:v>
                </c:pt>
                <c:pt idx="1477">
                  <c:v>5.4233926257759718E-3</c:v>
                </c:pt>
                <c:pt idx="1478">
                  <c:v>5.4233926257759718E-3</c:v>
                </c:pt>
                <c:pt idx="1479">
                  <c:v>5.4233926257759718E-3</c:v>
                </c:pt>
                <c:pt idx="1480">
                  <c:v>5.4233926257759718E-3</c:v>
                </c:pt>
                <c:pt idx="1481">
                  <c:v>5.4233926257759718E-3</c:v>
                </c:pt>
                <c:pt idx="1482">
                  <c:v>5.4233926257759718E-3</c:v>
                </c:pt>
                <c:pt idx="1483">
                  <c:v>5.4233926257759718E-3</c:v>
                </c:pt>
                <c:pt idx="1484">
                  <c:v>5.4233926257759718E-3</c:v>
                </c:pt>
                <c:pt idx="1485">
                  <c:v>5.4233926257759718E-3</c:v>
                </c:pt>
                <c:pt idx="1486">
                  <c:v>5.4233926257759718E-3</c:v>
                </c:pt>
                <c:pt idx="1487">
                  <c:v>5.4233926257759718E-3</c:v>
                </c:pt>
                <c:pt idx="1488">
                  <c:v>5.4233926257759718E-3</c:v>
                </c:pt>
                <c:pt idx="1489">
                  <c:v>5.4233926257759718E-3</c:v>
                </c:pt>
                <c:pt idx="1490">
                  <c:v>5.4233926257759718E-3</c:v>
                </c:pt>
                <c:pt idx="1491">
                  <c:v>5.4233926257759718E-3</c:v>
                </c:pt>
                <c:pt idx="1492">
                  <c:v>5.4233926257759718E-3</c:v>
                </c:pt>
                <c:pt idx="1493">
                  <c:v>5.4233926257759718E-3</c:v>
                </c:pt>
                <c:pt idx="1494">
                  <c:v>5.4233926257759718E-3</c:v>
                </c:pt>
                <c:pt idx="1495">
                  <c:v>5.4233926257759718E-3</c:v>
                </c:pt>
                <c:pt idx="1496">
                  <c:v>5.4233926257759718E-3</c:v>
                </c:pt>
                <c:pt idx="1497">
                  <c:v>5.4233926257759718E-3</c:v>
                </c:pt>
                <c:pt idx="1498">
                  <c:v>5.4233926257759718E-3</c:v>
                </c:pt>
                <c:pt idx="1499">
                  <c:v>5.4233926257759718E-3</c:v>
                </c:pt>
                <c:pt idx="1500">
                  <c:v>5.4233926257759718E-3</c:v>
                </c:pt>
                <c:pt idx="1501">
                  <c:v>5.4233926257759718E-3</c:v>
                </c:pt>
                <c:pt idx="1502">
                  <c:v>5.4233926257759718E-3</c:v>
                </c:pt>
                <c:pt idx="1503">
                  <c:v>5.4233926257759718E-3</c:v>
                </c:pt>
                <c:pt idx="1504">
                  <c:v>5.4233926257759718E-3</c:v>
                </c:pt>
                <c:pt idx="1505">
                  <c:v>5.4233926257759718E-3</c:v>
                </c:pt>
                <c:pt idx="1506">
                  <c:v>5.4233926257759718E-3</c:v>
                </c:pt>
                <c:pt idx="1507">
                  <c:v>5.4233926257759718E-3</c:v>
                </c:pt>
                <c:pt idx="1508">
                  <c:v>5.4233926257759718E-3</c:v>
                </c:pt>
                <c:pt idx="1509">
                  <c:v>5.4233926257759718E-3</c:v>
                </c:pt>
                <c:pt idx="1510">
                  <c:v>5.4233926257759718E-3</c:v>
                </c:pt>
                <c:pt idx="1511">
                  <c:v>5.4233926257759718E-3</c:v>
                </c:pt>
                <c:pt idx="1512">
                  <c:v>5.4233926257759718E-3</c:v>
                </c:pt>
                <c:pt idx="1513">
                  <c:v>5.4233926257759718E-3</c:v>
                </c:pt>
                <c:pt idx="1514">
                  <c:v>5.4233926257759718E-3</c:v>
                </c:pt>
                <c:pt idx="1515">
                  <c:v>5.4233926257759718E-3</c:v>
                </c:pt>
                <c:pt idx="1516">
                  <c:v>5.4233926257759718E-3</c:v>
                </c:pt>
                <c:pt idx="1517">
                  <c:v>5.4233926257759718E-3</c:v>
                </c:pt>
                <c:pt idx="1518">
                  <c:v>5.4233926257759718E-3</c:v>
                </c:pt>
                <c:pt idx="1519">
                  <c:v>5.4233926257759718E-3</c:v>
                </c:pt>
                <c:pt idx="1520">
                  <c:v>5.4233926257759718E-3</c:v>
                </c:pt>
                <c:pt idx="1521">
                  <c:v>5.4233926257759718E-3</c:v>
                </c:pt>
                <c:pt idx="1522">
                  <c:v>5.4233926257759718E-3</c:v>
                </c:pt>
                <c:pt idx="1523">
                  <c:v>5.4233926257759718E-3</c:v>
                </c:pt>
                <c:pt idx="1524">
                  <c:v>5.4233926257759718E-3</c:v>
                </c:pt>
                <c:pt idx="1525">
                  <c:v>5.4233926257759718E-3</c:v>
                </c:pt>
                <c:pt idx="1526">
                  <c:v>5.4233926257759718E-3</c:v>
                </c:pt>
                <c:pt idx="1527">
                  <c:v>5.4233926257759718E-3</c:v>
                </c:pt>
                <c:pt idx="1528">
                  <c:v>5.4233926257759718E-3</c:v>
                </c:pt>
                <c:pt idx="1529">
                  <c:v>5.4233926257759718E-3</c:v>
                </c:pt>
                <c:pt idx="1530">
                  <c:v>5.4233926257759718E-3</c:v>
                </c:pt>
                <c:pt idx="1531">
                  <c:v>5.4233926257759718E-3</c:v>
                </c:pt>
                <c:pt idx="1532">
                  <c:v>5.4233926257759718E-3</c:v>
                </c:pt>
                <c:pt idx="1533">
                  <c:v>5.4233926257759718E-3</c:v>
                </c:pt>
                <c:pt idx="1534">
                  <c:v>5.4233926257759718E-3</c:v>
                </c:pt>
                <c:pt idx="1535">
                  <c:v>5.4233926257759718E-3</c:v>
                </c:pt>
                <c:pt idx="1536">
                  <c:v>5.4233926257759718E-3</c:v>
                </c:pt>
                <c:pt idx="1537">
                  <c:v>5.4233926257759718E-3</c:v>
                </c:pt>
                <c:pt idx="1538">
                  <c:v>5.4233926257759718E-3</c:v>
                </c:pt>
                <c:pt idx="1539">
                  <c:v>5.4233926257759718E-3</c:v>
                </c:pt>
                <c:pt idx="1540">
                  <c:v>5.4233926257759718E-3</c:v>
                </c:pt>
                <c:pt idx="1541">
                  <c:v>5.4233926257759718E-3</c:v>
                </c:pt>
                <c:pt idx="1542">
                  <c:v>5.4233926257759718E-3</c:v>
                </c:pt>
                <c:pt idx="1543">
                  <c:v>5.4233926257759718E-3</c:v>
                </c:pt>
                <c:pt idx="1544">
                  <c:v>5.4233926257759718E-3</c:v>
                </c:pt>
                <c:pt idx="1545">
                  <c:v>5.4233926257759718E-3</c:v>
                </c:pt>
                <c:pt idx="1546">
                  <c:v>5.4233926257759718E-3</c:v>
                </c:pt>
                <c:pt idx="1547">
                  <c:v>5.4233926257759718E-3</c:v>
                </c:pt>
                <c:pt idx="1548">
                  <c:v>5.4233926257759718E-3</c:v>
                </c:pt>
                <c:pt idx="1549">
                  <c:v>5.4233926257759718E-3</c:v>
                </c:pt>
                <c:pt idx="1550">
                  <c:v>5.4233926257759718E-3</c:v>
                </c:pt>
                <c:pt idx="1551">
                  <c:v>5.4233926257759718E-3</c:v>
                </c:pt>
                <c:pt idx="1552">
                  <c:v>5.4233926257759718E-3</c:v>
                </c:pt>
                <c:pt idx="1553">
                  <c:v>5.4233926257759718E-3</c:v>
                </c:pt>
                <c:pt idx="1554">
                  <c:v>5.4233926257759718E-3</c:v>
                </c:pt>
                <c:pt idx="1555">
                  <c:v>5.4233926257759718E-3</c:v>
                </c:pt>
                <c:pt idx="1556">
                  <c:v>5.4233926257759718E-3</c:v>
                </c:pt>
                <c:pt idx="1557">
                  <c:v>5.4233926257759718E-3</c:v>
                </c:pt>
                <c:pt idx="1558">
                  <c:v>5.4233926257759718E-3</c:v>
                </c:pt>
                <c:pt idx="1559">
                  <c:v>5.4233926257759718E-3</c:v>
                </c:pt>
                <c:pt idx="1560">
                  <c:v>5.4233926257759718E-3</c:v>
                </c:pt>
                <c:pt idx="1561">
                  <c:v>5.4233926257759718E-3</c:v>
                </c:pt>
                <c:pt idx="1562">
                  <c:v>5.4233926257759718E-3</c:v>
                </c:pt>
                <c:pt idx="1563">
                  <c:v>5.4233926257759718E-3</c:v>
                </c:pt>
                <c:pt idx="1564">
                  <c:v>5.4233926257759718E-3</c:v>
                </c:pt>
                <c:pt idx="1565">
                  <c:v>5.4233926257759718E-3</c:v>
                </c:pt>
                <c:pt idx="1566">
                  <c:v>5.4233926257759718E-3</c:v>
                </c:pt>
                <c:pt idx="1567">
                  <c:v>5.4233926257759718E-3</c:v>
                </c:pt>
                <c:pt idx="1568">
                  <c:v>5.4233926257759718E-3</c:v>
                </c:pt>
                <c:pt idx="1569">
                  <c:v>5.4233926257759718E-3</c:v>
                </c:pt>
                <c:pt idx="1570">
                  <c:v>5.4233926257759718E-3</c:v>
                </c:pt>
                <c:pt idx="1571">
                  <c:v>5.4233926257759718E-3</c:v>
                </c:pt>
                <c:pt idx="1572">
                  <c:v>5.4233926257759718E-3</c:v>
                </c:pt>
                <c:pt idx="1573">
                  <c:v>5.4233926257759718E-3</c:v>
                </c:pt>
                <c:pt idx="1574">
                  <c:v>5.4233926257759718E-3</c:v>
                </c:pt>
                <c:pt idx="1575">
                  <c:v>5.4233926257759718E-3</c:v>
                </c:pt>
                <c:pt idx="1576">
                  <c:v>5.4233926257759718E-3</c:v>
                </c:pt>
                <c:pt idx="1577">
                  <c:v>5.4233926257759718E-3</c:v>
                </c:pt>
                <c:pt idx="1578">
                  <c:v>5.4233926257759718E-3</c:v>
                </c:pt>
                <c:pt idx="1579">
                  <c:v>5.4233926257759718E-3</c:v>
                </c:pt>
                <c:pt idx="1580">
                  <c:v>5.4233926257759718E-3</c:v>
                </c:pt>
                <c:pt idx="1581">
                  <c:v>5.4233926257759718E-3</c:v>
                </c:pt>
                <c:pt idx="1582">
                  <c:v>5.4233926257759718E-3</c:v>
                </c:pt>
                <c:pt idx="1583">
                  <c:v>5.4233926257759718E-3</c:v>
                </c:pt>
                <c:pt idx="1584">
                  <c:v>5.4233926257759718E-3</c:v>
                </c:pt>
                <c:pt idx="1585">
                  <c:v>5.4233926257759718E-3</c:v>
                </c:pt>
                <c:pt idx="1586">
                  <c:v>5.4233926257759718E-3</c:v>
                </c:pt>
                <c:pt idx="1587">
                  <c:v>5.4233926257759718E-3</c:v>
                </c:pt>
                <c:pt idx="1588">
                  <c:v>5.4233926257759718E-3</c:v>
                </c:pt>
                <c:pt idx="1589">
                  <c:v>5.4233926257759718E-3</c:v>
                </c:pt>
                <c:pt idx="1590">
                  <c:v>5.4233926257759718E-3</c:v>
                </c:pt>
                <c:pt idx="1591">
                  <c:v>5.4233926257759718E-3</c:v>
                </c:pt>
                <c:pt idx="1592">
                  <c:v>5.4233926257759718E-3</c:v>
                </c:pt>
                <c:pt idx="1593">
                  <c:v>5.4233926257759718E-3</c:v>
                </c:pt>
                <c:pt idx="1594">
                  <c:v>5.4233926257759718E-3</c:v>
                </c:pt>
                <c:pt idx="1595">
                  <c:v>5.4233926257759718E-3</c:v>
                </c:pt>
                <c:pt idx="1596">
                  <c:v>5.4233926257759718E-3</c:v>
                </c:pt>
                <c:pt idx="1597">
                  <c:v>5.4233926257759718E-3</c:v>
                </c:pt>
                <c:pt idx="1598">
                  <c:v>5.4233926257759718E-3</c:v>
                </c:pt>
                <c:pt idx="1599">
                  <c:v>5.4233926257759718E-3</c:v>
                </c:pt>
                <c:pt idx="1600">
                  <c:v>5.4233926257759718E-3</c:v>
                </c:pt>
                <c:pt idx="1601">
                  <c:v>5.4233926257759718E-3</c:v>
                </c:pt>
                <c:pt idx="1602">
                  <c:v>5.4233926257759718E-3</c:v>
                </c:pt>
                <c:pt idx="1603">
                  <c:v>5.4233926257759718E-3</c:v>
                </c:pt>
                <c:pt idx="1604">
                  <c:v>5.4233926257759718E-3</c:v>
                </c:pt>
                <c:pt idx="1605">
                  <c:v>5.4233926257759718E-3</c:v>
                </c:pt>
                <c:pt idx="1606">
                  <c:v>5.4233926257759718E-3</c:v>
                </c:pt>
                <c:pt idx="1607">
                  <c:v>5.4233926257759718E-3</c:v>
                </c:pt>
                <c:pt idx="1608">
                  <c:v>5.4233926257759718E-3</c:v>
                </c:pt>
                <c:pt idx="1609">
                  <c:v>5.4233926257759718E-3</c:v>
                </c:pt>
                <c:pt idx="1610">
                  <c:v>5.4233926257759718E-3</c:v>
                </c:pt>
                <c:pt idx="1611">
                  <c:v>5.4233926257759718E-3</c:v>
                </c:pt>
                <c:pt idx="1612">
                  <c:v>5.4233926257759718E-3</c:v>
                </c:pt>
                <c:pt idx="1613">
                  <c:v>5.4233926257759718E-3</c:v>
                </c:pt>
                <c:pt idx="1614">
                  <c:v>5.4233926257759718E-3</c:v>
                </c:pt>
                <c:pt idx="1615">
                  <c:v>5.4233926257759718E-3</c:v>
                </c:pt>
                <c:pt idx="1616">
                  <c:v>5.4233926257759718E-3</c:v>
                </c:pt>
                <c:pt idx="1617">
                  <c:v>5.4233926257759718E-3</c:v>
                </c:pt>
                <c:pt idx="1618">
                  <c:v>5.4233926257759718E-3</c:v>
                </c:pt>
                <c:pt idx="1619">
                  <c:v>5.4233926257759718E-3</c:v>
                </c:pt>
                <c:pt idx="1620">
                  <c:v>5.4233926257759718E-3</c:v>
                </c:pt>
                <c:pt idx="1621">
                  <c:v>5.4233926257759718E-3</c:v>
                </c:pt>
                <c:pt idx="1622">
                  <c:v>5.4233926257759718E-3</c:v>
                </c:pt>
                <c:pt idx="1623">
                  <c:v>5.4233926257759718E-3</c:v>
                </c:pt>
                <c:pt idx="1624">
                  <c:v>5.4233926257759718E-3</c:v>
                </c:pt>
                <c:pt idx="1625">
                  <c:v>5.4233926257759718E-3</c:v>
                </c:pt>
                <c:pt idx="1626">
                  <c:v>5.4233926257759718E-3</c:v>
                </c:pt>
                <c:pt idx="1627">
                  <c:v>5.4233926257759718E-3</c:v>
                </c:pt>
                <c:pt idx="1628">
                  <c:v>5.4233926257759718E-3</c:v>
                </c:pt>
                <c:pt idx="1629">
                  <c:v>5.4233926257759718E-3</c:v>
                </c:pt>
                <c:pt idx="1630">
                  <c:v>5.4233926257759718E-3</c:v>
                </c:pt>
                <c:pt idx="1631">
                  <c:v>5.4233926257759718E-3</c:v>
                </c:pt>
                <c:pt idx="1632">
                  <c:v>5.4233926257759718E-3</c:v>
                </c:pt>
                <c:pt idx="1633">
                  <c:v>5.4233926257759718E-3</c:v>
                </c:pt>
                <c:pt idx="1634">
                  <c:v>5.4233926257759718E-3</c:v>
                </c:pt>
                <c:pt idx="1635">
                  <c:v>5.4233926257759718E-3</c:v>
                </c:pt>
                <c:pt idx="1636">
                  <c:v>5.4233926257759718E-3</c:v>
                </c:pt>
                <c:pt idx="1637">
                  <c:v>5.4233926257759718E-3</c:v>
                </c:pt>
                <c:pt idx="1638">
                  <c:v>5.4233926257759718E-3</c:v>
                </c:pt>
                <c:pt idx="1639">
                  <c:v>5.4233926257759718E-3</c:v>
                </c:pt>
                <c:pt idx="1640">
                  <c:v>5.4233926257759718E-3</c:v>
                </c:pt>
                <c:pt idx="1641">
                  <c:v>5.4233926257759718E-3</c:v>
                </c:pt>
                <c:pt idx="1642">
                  <c:v>5.4233926257759718E-3</c:v>
                </c:pt>
                <c:pt idx="1643">
                  <c:v>5.4233926257759718E-3</c:v>
                </c:pt>
                <c:pt idx="1644">
                  <c:v>5.4233926257759718E-3</c:v>
                </c:pt>
                <c:pt idx="1645">
                  <c:v>5.4233926257759718E-3</c:v>
                </c:pt>
                <c:pt idx="1646">
                  <c:v>5.4233926257759718E-3</c:v>
                </c:pt>
                <c:pt idx="1647">
                  <c:v>5.4233926257759718E-3</c:v>
                </c:pt>
                <c:pt idx="1648">
                  <c:v>5.4233926257759718E-3</c:v>
                </c:pt>
                <c:pt idx="1649">
                  <c:v>5.4233926257759718E-3</c:v>
                </c:pt>
                <c:pt idx="1650">
                  <c:v>5.4233926257759718E-3</c:v>
                </c:pt>
                <c:pt idx="1651">
                  <c:v>5.4233926257759718E-3</c:v>
                </c:pt>
                <c:pt idx="1652">
                  <c:v>5.4233926257759718E-3</c:v>
                </c:pt>
                <c:pt idx="1653">
                  <c:v>5.4233926257759718E-3</c:v>
                </c:pt>
                <c:pt idx="1654">
                  <c:v>5.4233926257759718E-3</c:v>
                </c:pt>
                <c:pt idx="1655">
                  <c:v>5.4233926257759718E-3</c:v>
                </c:pt>
                <c:pt idx="1656">
                  <c:v>5.4233926257759718E-3</c:v>
                </c:pt>
                <c:pt idx="1657">
                  <c:v>5.4233926257759718E-3</c:v>
                </c:pt>
                <c:pt idx="1658">
                  <c:v>5.4233926257759718E-3</c:v>
                </c:pt>
                <c:pt idx="1659">
                  <c:v>5.4233926257759718E-3</c:v>
                </c:pt>
                <c:pt idx="1660">
                  <c:v>5.4233926257759718E-3</c:v>
                </c:pt>
                <c:pt idx="1661">
                  <c:v>5.4233926257759718E-3</c:v>
                </c:pt>
                <c:pt idx="1662">
                  <c:v>5.4233926257759718E-3</c:v>
                </c:pt>
                <c:pt idx="1663">
                  <c:v>5.4233926257759718E-3</c:v>
                </c:pt>
                <c:pt idx="1664">
                  <c:v>5.4233926257759718E-3</c:v>
                </c:pt>
                <c:pt idx="1665">
                  <c:v>5.4233926257759718E-3</c:v>
                </c:pt>
                <c:pt idx="1666">
                  <c:v>5.4233926257759718E-3</c:v>
                </c:pt>
                <c:pt idx="1667">
                  <c:v>5.4233926257759718E-3</c:v>
                </c:pt>
                <c:pt idx="1668">
                  <c:v>5.4233926257759718E-3</c:v>
                </c:pt>
                <c:pt idx="1669">
                  <c:v>5.4233926257759718E-3</c:v>
                </c:pt>
                <c:pt idx="1670">
                  <c:v>5.4233926257759718E-3</c:v>
                </c:pt>
                <c:pt idx="1671">
                  <c:v>5.4233926257759718E-3</c:v>
                </c:pt>
                <c:pt idx="1672">
                  <c:v>5.4233926257759718E-3</c:v>
                </c:pt>
                <c:pt idx="1673">
                  <c:v>5.4233926257759718E-3</c:v>
                </c:pt>
                <c:pt idx="1674">
                  <c:v>5.4233926257759718E-3</c:v>
                </c:pt>
                <c:pt idx="1675">
                  <c:v>5.4233926257759718E-3</c:v>
                </c:pt>
                <c:pt idx="1676">
                  <c:v>5.4233926257759718E-3</c:v>
                </c:pt>
                <c:pt idx="1677">
                  <c:v>5.4233926257759718E-3</c:v>
                </c:pt>
                <c:pt idx="1678">
                  <c:v>5.4233926257759718E-3</c:v>
                </c:pt>
                <c:pt idx="1679">
                  <c:v>5.4233926257759718E-3</c:v>
                </c:pt>
                <c:pt idx="1680">
                  <c:v>5.4233926257759718E-3</c:v>
                </c:pt>
                <c:pt idx="1681">
                  <c:v>5.4233926257759718E-3</c:v>
                </c:pt>
                <c:pt idx="1682">
                  <c:v>5.4233926257759718E-3</c:v>
                </c:pt>
                <c:pt idx="1683">
                  <c:v>5.4233926257759718E-3</c:v>
                </c:pt>
                <c:pt idx="1684">
                  <c:v>5.4233926257759718E-3</c:v>
                </c:pt>
                <c:pt idx="1685">
                  <c:v>5.4233926257759718E-3</c:v>
                </c:pt>
                <c:pt idx="1686">
                  <c:v>5.4233926257759718E-3</c:v>
                </c:pt>
                <c:pt idx="1687">
                  <c:v>5.4233926257759718E-3</c:v>
                </c:pt>
                <c:pt idx="1688">
                  <c:v>5.4233926257759718E-3</c:v>
                </c:pt>
                <c:pt idx="1689">
                  <c:v>5.4233926257759718E-3</c:v>
                </c:pt>
                <c:pt idx="1690">
                  <c:v>5.4233926257759718E-3</c:v>
                </c:pt>
                <c:pt idx="1691">
                  <c:v>5.4233926257759718E-3</c:v>
                </c:pt>
                <c:pt idx="1692">
                  <c:v>5.4233926257759718E-3</c:v>
                </c:pt>
                <c:pt idx="1693">
                  <c:v>5.4233926257759718E-3</c:v>
                </c:pt>
                <c:pt idx="1694">
                  <c:v>5.4233926257759718E-3</c:v>
                </c:pt>
                <c:pt idx="1695">
                  <c:v>5.4233926257759718E-3</c:v>
                </c:pt>
                <c:pt idx="1696">
                  <c:v>5.4233926257759718E-3</c:v>
                </c:pt>
                <c:pt idx="1697">
                  <c:v>5.4233926257759718E-3</c:v>
                </c:pt>
                <c:pt idx="1698">
                  <c:v>5.4233926257759718E-3</c:v>
                </c:pt>
                <c:pt idx="1699">
                  <c:v>5.4233926257759718E-3</c:v>
                </c:pt>
                <c:pt idx="1700">
                  <c:v>5.4233926257759718E-3</c:v>
                </c:pt>
                <c:pt idx="1701">
                  <c:v>5.4233926257759718E-3</c:v>
                </c:pt>
                <c:pt idx="1702">
                  <c:v>5.4233926257759718E-3</c:v>
                </c:pt>
                <c:pt idx="1703">
                  <c:v>5.4233926257759718E-3</c:v>
                </c:pt>
                <c:pt idx="1704">
                  <c:v>5.4233926257759718E-3</c:v>
                </c:pt>
                <c:pt idx="1705">
                  <c:v>5.4233926257759718E-3</c:v>
                </c:pt>
                <c:pt idx="1706">
                  <c:v>5.4233926257759718E-3</c:v>
                </c:pt>
                <c:pt idx="1707">
                  <c:v>5.4233926257759718E-3</c:v>
                </c:pt>
                <c:pt idx="1708">
                  <c:v>5.4233926257759718E-3</c:v>
                </c:pt>
                <c:pt idx="1709">
                  <c:v>5.4233926257759718E-3</c:v>
                </c:pt>
                <c:pt idx="1710">
                  <c:v>5.4233926257759718E-3</c:v>
                </c:pt>
                <c:pt idx="1711">
                  <c:v>5.4233926257759718E-3</c:v>
                </c:pt>
                <c:pt idx="1712">
                  <c:v>5.4233926257759718E-3</c:v>
                </c:pt>
                <c:pt idx="1713">
                  <c:v>5.4233926257759718E-3</c:v>
                </c:pt>
                <c:pt idx="1714">
                  <c:v>5.4233926257759718E-3</c:v>
                </c:pt>
                <c:pt idx="1715">
                  <c:v>5.4233926257759718E-3</c:v>
                </c:pt>
                <c:pt idx="1716">
                  <c:v>5.4233926257759718E-3</c:v>
                </c:pt>
                <c:pt idx="1717">
                  <c:v>5.4233926257759718E-3</c:v>
                </c:pt>
                <c:pt idx="1718">
                  <c:v>5.4233926257759718E-3</c:v>
                </c:pt>
                <c:pt idx="1719">
                  <c:v>5.4233926257759718E-3</c:v>
                </c:pt>
                <c:pt idx="1720">
                  <c:v>5.4233926257759718E-3</c:v>
                </c:pt>
                <c:pt idx="1721">
                  <c:v>5.4233926257759718E-3</c:v>
                </c:pt>
                <c:pt idx="1722">
                  <c:v>5.4233926257759718E-3</c:v>
                </c:pt>
                <c:pt idx="1723">
                  <c:v>5.4233926257759718E-3</c:v>
                </c:pt>
                <c:pt idx="1724">
                  <c:v>5.4233926257759718E-3</c:v>
                </c:pt>
                <c:pt idx="1725">
                  <c:v>5.4233926257759718E-3</c:v>
                </c:pt>
                <c:pt idx="1726">
                  <c:v>5.4233926257759718E-3</c:v>
                </c:pt>
                <c:pt idx="1727">
                  <c:v>5.4233926257759718E-3</c:v>
                </c:pt>
                <c:pt idx="1728">
                  <c:v>5.4233926257759718E-3</c:v>
                </c:pt>
                <c:pt idx="1729">
                  <c:v>5.4233926257759718E-3</c:v>
                </c:pt>
                <c:pt idx="1730">
                  <c:v>5.4233926257759718E-3</c:v>
                </c:pt>
                <c:pt idx="1731">
                  <c:v>5.4233926257759718E-3</c:v>
                </c:pt>
                <c:pt idx="1732">
                  <c:v>5.4233926257759718E-3</c:v>
                </c:pt>
                <c:pt idx="1733">
                  <c:v>5.4233926257759718E-3</c:v>
                </c:pt>
                <c:pt idx="1734">
                  <c:v>5.4233926257759718E-3</c:v>
                </c:pt>
                <c:pt idx="1735">
                  <c:v>5.4233926257759718E-3</c:v>
                </c:pt>
                <c:pt idx="1736">
                  <c:v>5.4233926257759718E-3</c:v>
                </c:pt>
                <c:pt idx="1737">
                  <c:v>5.4233926257759718E-3</c:v>
                </c:pt>
                <c:pt idx="1738">
                  <c:v>5.4233926257759718E-3</c:v>
                </c:pt>
                <c:pt idx="1739">
                  <c:v>5.4233926257759718E-3</c:v>
                </c:pt>
                <c:pt idx="1740">
                  <c:v>5.4233926257759718E-3</c:v>
                </c:pt>
                <c:pt idx="1741">
                  <c:v>5.4233926257759718E-3</c:v>
                </c:pt>
                <c:pt idx="1742">
                  <c:v>5.4233926257759718E-3</c:v>
                </c:pt>
                <c:pt idx="1743">
                  <c:v>5.4233926257759718E-3</c:v>
                </c:pt>
                <c:pt idx="1744">
                  <c:v>5.4233926257759718E-3</c:v>
                </c:pt>
                <c:pt idx="1745">
                  <c:v>5.4233926257759718E-3</c:v>
                </c:pt>
                <c:pt idx="1746">
                  <c:v>5.4233926257759718E-3</c:v>
                </c:pt>
                <c:pt idx="1747">
                  <c:v>5.4233926257759718E-3</c:v>
                </c:pt>
                <c:pt idx="1748">
                  <c:v>5.4233926257759718E-3</c:v>
                </c:pt>
                <c:pt idx="1749">
                  <c:v>5.4233926257759718E-3</c:v>
                </c:pt>
                <c:pt idx="1750">
                  <c:v>5.4233926257759718E-3</c:v>
                </c:pt>
                <c:pt idx="1751">
                  <c:v>5.4233926257759718E-3</c:v>
                </c:pt>
                <c:pt idx="1752">
                  <c:v>5.4233926257759718E-3</c:v>
                </c:pt>
                <c:pt idx="1753">
                  <c:v>5.4233926257759718E-3</c:v>
                </c:pt>
                <c:pt idx="1754">
                  <c:v>5.4233926257759718E-3</c:v>
                </c:pt>
                <c:pt idx="1755">
                  <c:v>5.4233926257759718E-3</c:v>
                </c:pt>
                <c:pt idx="1756">
                  <c:v>5.4233926257759718E-3</c:v>
                </c:pt>
                <c:pt idx="1757">
                  <c:v>5.4233926257759718E-3</c:v>
                </c:pt>
                <c:pt idx="1758">
                  <c:v>5.4233926257759718E-3</c:v>
                </c:pt>
                <c:pt idx="1759">
                  <c:v>5.4233926257759718E-3</c:v>
                </c:pt>
                <c:pt idx="1760">
                  <c:v>5.4233926257759718E-3</c:v>
                </c:pt>
                <c:pt idx="1761">
                  <c:v>5.4233926257759718E-3</c:v>
                </c:pt>
                <c:pt idx="1762">
                  <c:v>5.4233926257759718E-3</c:v>
                </c:pt>
                <c:pt idx="1763">
                  <c:v>5.4233926257759718E-3</c:v>
                </c:pt>
                <c:pt idx="1764">
                  <c:v>5.4233926257759718E-3</c:v>
                </c:pt>
                <c:pt idx="1765">
                  <c:v>5.4233926257759718E-3</c:v>
                </c:pt>
                <c:pt idx="1766">
                  <c:v>5.4233926257759718E-3</c:v>
                </c:pt>
                <c:pt idx="1767">
                  <c:v>5.4233926257759718E-3</c:v>
                </c:pt>
                <c:pt idx="1768">
                  <c:v>5.4233926257759718E-3</c:v>
                </c:pt>
                <c:pt idx="1769">
                  <c:v>5.4233926257759718E-3</c:v>
                </c:pt>
                <c:pt idx="1770">
                  <c:v>5.4233926257759718E-3</c:v>
                </c:pt>
                <c:pt idx="1771">
                  <c:v>5.4233926257759718E-3</c:v>
                </c:pt>
                <c:pt idx="1772">
                  <c:v>5.4233926257759718E-3</c:v>
                </c:pt>
                <c:pt idx="1773">
                  <c:v>5.4233926257759718E-3</c:v>
                </c:pt>
                <c:pt idx="1774">
                  <c:v>5.4233926257759718E-3</c:v>
                </c:pt>
                <c:pt idx="1775">
                  <c:v>5.4233926257759718E-3</c:v>
                </c:pt>
                <c:pt idx="1776">
                  <c:v>5.4233926257759718E-3</c:v>
                </c:pt>
                <c:pt idx="1777">
                  <c:v>5.4233926257759718E-3</c:v>
                </c:pt>
                <c:pt idx="1778">
                  <c:v>5.4233926257759718E-3</c:v>
                </c:pt>
                <c:pt idx="1779">
                  <c:v>5.4233926257759718E-3</c:v>
                </c:pt>
                <c:pt idx="1780">
                  <c:v>5.4233926257759718E-3</c:v>
                </c:pt>
                <c:pt idx="1781">
                  <c:v>5.4233926257759718E-3</c:v>
                </c:pt>
                <c:pt idx="1782">
                  <c:v>5.4233926257759718E-3</c:v>
                </c:pt>
                <c:pt idx="1783">
                  <c:v>5.4233926257759718E-3</c:v>
                </c:pt>
                <c:pt idx="1784">
                  <c:v>5.4233926257759718E-3</c:v>
                </c:pt>
                <c:pt idx="1785">
                  <c:v>5.4233926257759718E-3</c:v>
                </c:pt>
                <c:pt idx="1786">
                  <c:v>5.4233926257759718E-3</c:v>
                </c:pt>
                <c:pt idx="1787">
                  <c:v>5.4233926257759718E-3</c:v>
                </c:pt>
                <c:pt idx="1788">
                  <c:v>5.4233926257759718E-3</c:v>
                </c:pt>
                <c:pt idx="1789">
                  <c:v>5.4233926257759718E-3</c:v>
                </c:pt>
                <c:pt idx="1790">
                  <c:v>5.4233926257759718E-3</c:v>
                </c:pt>
                <c:pt idx="1791">
                  <c:v>5.4233926257759718E-3</c:v>
                </c:pt>
                <c:pt idx="1792">
                  <c:v>5.4233926257759718E-3</c:v>
                </c:pt>
                <c:pt idx="1793">
                  <c:v>5.4233926257759718E-3</c:v>
                </c:pt>
                <c:pt idx="1794">
                  <c:v>5.4233926257759718E-3</c:v>
                </c:pt>
                <c:pt idx="1795">
                  <c:v>5.4233926257759718E-3</c:v>
                </c:pt>
                <c:pt idx="1796">
                  <c:v>5.4233926257759718E-3</c:v>
                </c:pt>
                <c:pt idx="1797">
                  <c:v>5.4233926257759718E-3</c:v>
                </c:pt>
                <c:pt idx="1798">
                  <c:v>5.4233926257759718E-3</c:v>
                </c:pt>
                <c:pt idx="1799">
                  <c:v>5.4233926257759718E-3</c:v>
                </c:pt>
                <c:pt idx="1800">
                  <c:v>5.4233926257759718E-3</c:v>
                </c:pt>
                <c:pt idx="1801">
                  <c:v>5.4233926257759718E-3</c:v>
                </c:pt>
                <c:pt idx="1802">
                  <c:v>5.4233926257759718E-3</c:v>
                </c:pt>
                <c:pt idx="1803">
                  <c:v>5.4233926257759718E-3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7070080"/>
        <c:axId val="117072256"/>
      </c:lineChart>
      <c:catAx>
        <c:axId val="1170700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Date</a:t>
                </a:r>
              </a:p>
            </c:rich>
          </c:tx>
          <c:layout>
            <c:manualLayout>
              <c:xMode val="edge"/>
              <c:yMode val="edge"/>
              <c:x val="0.54755774931118684"/>
              <c:y val="0.88196714047107749"/>
            </c:manualLayout>
          </c:layout>
          <c:overlay val="0"/>
          <c:spPr>
            <a:noFill/>
            <a:ln w="25400">
              <a:noFill/>
            </a:ln>
          </c:spPr>
        </c:title>
        <c:numFmt formatCode="m/d/yyyy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17072256"/>
        <c:crosses val="autoZero"/>
        <c:auto val="0"/>
        <c:lblAlgn val="ctr"/>
        <c:lblOffset val="100"/>
        <c:tickLblSkip val="100"/>
        <c:tickMarkSkip val="100"/>
        <c:noMultiLvlLbl val="0"/>
      </c:catAx>
      <c:valAx>
        <c:axId val="11707225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Standard Deviation</a:t>
                </a:r>
              </a:p>
            </c:rich>
          </c:tx>
          <c:layout>
            <c:manualLayout>
              <c:xMode val="edge"/>
              <c:yMode val="edge"/>
              <c:x val="4.1131089957038951E-2"/>
              <c:y val="0.28524593516719504"/>
            </c:manualLayout>
          </c:layout>
          <c:overlay val="0"/>
          <c:spPr>
            <a:noFill/>
            <a:ln w="25400">
              <a:noFill/>
            </a:ln>
          </c:spPr>
        </c:title>
        <c:numFmt formatCode="0.00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1707008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orientation="landscape" horizontalDpi="-4" verticalDpi="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fr-FR"/>
              <a:t>Conditional and Unconditional Exchange Rate Volatility</a:t>
            </a:r>
          </a:p>
        </c:rich>
      </c:tx>
      <c:layout>
        <c:manualLayout>
          <c:xMode val="edge"/>
          <c:yMode val="edge"/>
          <c:x val="0.12339326987111685"/>
          <c:y val="3.606571905784504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9568035292346561"/>
          <c:y val="0.19672131147540983"/>
          <c:w val="0.75114366315183168"/>
          <c:h val="0.52786885245901638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cat>
            <c:numRef>
              <c:f>'Garch(1,1) Dollar'!$A$15:$A$1316</c:f>
              <c:numCache>
                <c:formatCode>m/d/yyyy</c:formatCode>
                <c:ptCount val="1302"/>
                <c:pt idx="0">
                  <c:v>40281</c:v>
                </c:pt>
                <c:pt idx="1">
                  <c:v>40282</c:v>
                </c:pt>
                <c:pt idx="2">
                  <c:v>40283</c:v>
                </c:pt>
                <c:pt idx="3">
                  <c:v>40284</c:v>
                </c:pt>
                <c:pt idx="4">
                  <c:v>40287</c:v>
                </c:pt>
                <c:pt idx="5">
                  <c:v>40288</c:v>
                </c:pt>
                <c:pt idx="6">
                  <c:v>40289</c:v>
                </c:pt>
                <c:pt idx="7">
                  <c:v>40290</c:v>
                </c:pt>
                <c:pt idx="8">
                  <c:v>40291</c:v>
                </c:pt>
                <c:pt idx="9">
                  <c:v>40294</c:v>
                </c:pt>
                <c:pt idx="10">
                  <c:v>40295</c:v>
                </c:pt>
                <c:pt idx="11">
                  <c:v>40296</c:v>
                </c:pt>
                <c:pt idx="12">
                  <c:v>40297</c:v>
                </c:pt>
                <c:pt idx="13">
                  <c:v>40298</c:v>
                </c:pt>
                <c:pt idx="14">
                  <c:v>40301</c:v>
                </c:pt>
                <c:pt idx="15">
                  <c:v>40302</c:v>
                </c:pt>
                <c:pt idx="16">
                  <c:v>40303</c:v>
                </c:pt>
                <c:pt idx="17">
                  <c:v>40304</c:v>
                </c:pt>
                <c:pt idx="18">
                  <c:v>40305</c:v>
                </c:pt>
                <c:pt idx="19">
                  <c:v>40308</c:v>
                </c:pt>
                <c:pt idx="20">
                  <c:v>40309</c:v>
                </c:pt>
                <c:pt idx="21">
                  <c:v>40310</c:v>
                </c:pt>
                <c:pt idx="22">
                  <c:v>40311</c:v>
                </c:pt>
                <c:pt idx="23">
                  <c:v>40312</c:v>
                </c:pt>
                <c:pt idx="24">
                  <c:v>40315</c:v>
                </c:pt>
                <c:pt idx="25">
                  <c:v>40316</c:v>
                </c:pt>
                <c:pt idx="26">
                  <c:v>40317</c:v>
                </c:pt>
                <c:pt idx="27">
                  <c:v>40318</c:v>
                </c:pt>
                <c:pt idx="28">
                  <c:v>40319</c:v>
                </c:pt>
                <c:pt idx="29">
                  <c:v>40322</c:v>
                </c:pt>
                <c:pt idx="30">
                  <c:v>40323</c:v>
                </c:pt>
                <c:pt idx="31">
                  <c:v>40324</c:v>
                </c:pt>
                <c:pt idx="32">
                  <c:v>40325</c:v>
                </c:pt>
                <c:pt idx="33">
                  <c:v>40326</c:v>
                </c:pt>
                <c:pt idx="34">
                  <c:v>40329</c:v>
                </c:pt>
                <c:pt idx="35">
                  <c:v>40330</c:v>
                </c:pt>
                <c:pt idx="36">
                  <c:v>40331</c:v>
                </c:pt>
                <c:pt idx="37">
                  <c:v>40332</c:v>
                </c:pt>
                <c:pt idx="38">
                  <c:v>40333</c:v>
                </c:pt>
                <c:pt idx="39">
                  <c:v>40336</c:v>
                </c:pt>
                <c:pt idx="40">
                  <c:v>40337</c:v>
                </c:pt>
                <c:pt idx="41">
                  <c:v>40338</c:v>
                </c:pt>
                <c:pt idx="42">
                  <c:v>40339</c:v>
                </c:pt>
                <c:pt idx="43">
                  <c:v>40340</c:v>
                </c:pt>
                <c:pt idx="44">
                  <c:v>40343</c:v>
                </c:pt>
                <c:pt idx="45">
                  <c:v>40344</c:v>
                </c:pt>
                <c:pt idx="46">
                  <c:v>40345</c:v>
                </c:pt>
                <c:pt idx="47">
                  <c:v>40346</c:v>
                </c:pt>
                <c:pt idx="48">
                  <c:v>40347</c:v>
                </c:pt>
                <c:pt idx="49">
                  <c:v>40350</c:v>
                </c:pt>
                <c:pt idx="50">
                  <c:v>40351</c:v>
                </c:pt>
                <c:pt idx="51">
                  <c:v>40352</c:v>
                </c:pt>
                <c:pt idx="52">
                  <c:v>40353</c:v>
                </c:pt>
                <c:pt idx="53">
                  <c:v>40354</c:v>
                </c:pt>
                <c:pt idx="54">
                  <c:v>40357</c:v>
                </c:pt>
                <c:pt idx="55">
                  <c:v>40358</c:v>
                </c:pt>
                <c:pt idx="56">
                  <c:v>40359</c:v>
                </c:pt>
                <c:pt idx="57">
                  <c:v>40360</c:v>
                </c:pt>
                <c:pt idx="58">
                  <c:v>40361</c:v>
                </c:pt>
                <c:pt idx="59">
                  <c:v>40364</c:v>
                </c:pt>
                <c:pt idx="60">
                  <c:v>40365</c:v>
                </c:pt>
                <c:pt idx="61">
                  <c:v>40366</c:v>
                </c:pt>
                <c:pt idx="62">
                  <c:v>40367</c:v>
                </c:pt>
                <c:pt idx="63">
                  <c:v>40368</c:v>
                </c:pt>
                <c:pt idx="64">
                  <c:v>40371</c:v>
                </c:pt>
                <c:pt idx="65">
                  <c:v>40372</c:v>
                </c:pt>
                <c:pt idx="66">
                  <c:v>40373</c:v>
                </c:pt>
                <c:pt idx="67">
                  <c:v>40374</c:v>
                </c:pt>
                <c:pt idx="68">
                  <c:v>40375</c:v>
                </c:pt>
                <c:pt idx="69">
                  <c:v>40378</c:v>
                </c:pt>
                <c:pt idx="70">
                  <c:v>40379</c:v>
                </c:pt>
                <c:pt idx="71">
                  <c:v>40380</c:v>
                </c:pt>
                <c:pt idx="72">
                  <c:v>40381</c:v>
                </c:pt>
                <c:pt idx="73">
                  <c:v>40382</c:v>
                </c:pt>
                <c:pt idx="74">
                  <c:v>40385</c:v>
                </c:pt>
                <c:pt idx="75">
                  <c:v>40386</c:v>
                </c:pt>
                <c:pt idx="76">
                  <c:v>40387</c:v>
                </c:pt>
                <c:pt idx="77">
                  <c:v>40388</c:v>
                </c:pt>
                <c:pt idx="78">
                  <c:v>40389</c:v>
                </c:pt>
                <c:pt idx="79">
                  <c:v>40392</c:v>
                </c:pt>
                <c:pt idx="80">
                  <c:v>40393</c:v>
                </c:pt>
                <c:pt idx="81">
                  <c:v>40394</c:v>
                </c:pt>
                <c:pt idx="82">
                  <c:v>40395</c:v>
                </c:pt>
                <c:pt idx="83">
                  <c:v>40396</c:v>
                </c:pt>
                <c:pt idx="84">
                  <c:v>40399</c:v>
                </c:pt>
                <c:pt idx="85">
                  <c:v>40400</c:v>
                </c:pt>
                <c:pt idx="86">
                  <c:v>40401</c:v>
                </c:pt>
                <c:pt idx="87">
                  <c:v>40402</c:v>
                </c:pt>
                <c:pt idx="88">
                  <c:v>40403</c:v>
                </c:pt>
                <c:pt idx="89">
                  <c:v>40406</c:v>
                </c:pt>
                <c:pt idx="90">
                  <c:v>40407</c:v>
                </c:pt>
                <c:pt idx="91">
                  <c:v>40408</c:v>
                </c:pt>
                <c:pt idx="92">
                  <c:v>40409</c:v>
                </c:pt>
                <c:pt idx="93">
                  <c:v>40410</c:v>
                </c:pt>
                <c:pt idx="94">
                  <c:v>40413</c:v>
                </c:pt>
                <c:pt idx="95">
                  <c:v>40414</c:v>
                </c:pt>
                <c:pt idx="96">
                  <c:v>40415</c:v>
                </c:pt>
                <c:pt idx="97">
                  <c:v>40416</c:v>
                </c:pt>
                <c:pt idx="98">
                  <c:v>40417</c:v>
                </c:pt>
                <c:pt idx="99">
                  <c:v>40420</c:v>
                </c:pt>
                <c:pt idx="100">
                  <c:v>40421</c:v>
                </c:pt>
                <c:pt idx="101">
                  <c:v>40422</c:v>
                </c:pt>
                <c:pt idx="102">
                  <c:v>40423</c:v>
                </c:pt>
                <c:pt idx="103">
                  <c:v>40424</c:v>
                </c:pt>
                <c:pt idx="104">
                  <c:v>40427</c:v>
                </c:pt>
                <c:pt idx="105">
                  <c:v>40428</c:v>
                </c:pt>
                <c:pt idx="106">
                  <c:v>40429</c:v>
                </c:pt>
                <c:pt idx="107">
                  <c:v>40430</c:v>
                </c:pt>
                <c:pt idx="108">
                  <c:v>40431</c:v>
                </c:pt>
                <c:pt idx="109">
                  <c:v>40434</c:v>
                </c:pt>
                <c:pt idx="110">
                  <c:v>40435</c:v>
                </c:pt>
                <c:pt idx="111">
                  <c:v>40436</c:v>
                </c:pt>
                <c:pt idx="112">
                  <c:v>40437</c:v>
                </c:pt>
                <c:pt idx="113">
                  <c:v>40438</c:v>
                </c:pt>
                <c:pt idx="114">
                  <c:v>40441</c:v>
                </c:pt>
                <c:pt idx="115">
                  <c:v>40442</c:v>
                </c:pt>
                <c:pt idx="116">
                  <c:v>40443</c:v>
                </c:pt>
                <c:pt idx="117">
                  <c:v>40444</c:v>
                </c:pt>
                <c:pt idx="118">
                  <c:v>40445</c:v>
                </c:pt>
                <c:pt idx="119">
                  <c:v>40448</c:v>
                </c:pt>
                <c:pt idx="120">
                  <c:v>40449</c:v>
                </c:pt>
                <c:pt idx="121">
                  <c:v>40450</c:v>
                </c:pt>
                <c:pt idx="122">
                  <c:v>40451</c:v>
                </c:pt>
                <c:pt idx="123">
                  <c:v>40452</c:v>
                </c:pt>
                <c:pt idx="124">
                  <c:v>40455</c:v>
                </c:pt>
                <c:pt idx="125">
                  <c:v>40456</c:v>
                </c:pt>
                <c:pt idx="126">
                  <c:v>40457</c:v>
                </c:pt>
                <c:pt idx="127">
                  <c:v>40458</c:v>
                </c:pt>
                <c:pt idx="128">
                  <c:v>40459</c:v>
                </c:pt>
                <c:pt idx="129">
                  <c:v>40462</c:v>
                </c:pt>
                <c:pt idx="130">
                  <c:v>40463</c:v>
                </c:pt>
                <c:pt idx="131">
                  <c:v>40464</c:v>
                </c:pt>
                <c:pt idx="132">
                  <c:v>40465</c:v>
                </c:pt>
                <c:pt idx="133">
                  <c:v>40466</c:v>
                </c:pt>
                <c:pt idx="134">
                  <c:v>40469</c:v>
                </c:pt>
                <c:pt idx="135">
                  <c:v>40470</c:v>
                </c:pt>
                <c:pt idx="136">
                  <c:v>40471</c:v>
                </c:pt>
                <c:pt idx="137">
                  <c:v>40472</c:v>
                </c:pt>
                <c:pt idx="138">
                  <c:v>40473</c:v>
                </c:pt>
                <c:pt idx="139">
                  <c:v>40476</c:v>
                </c:pt>
                <c:pt idx="140">
                  <c:v>40477</c:v>
                </c:pt>
                <c:pt idx="141">
                  <c:v>40478</c:v>
                </c:pt>
                <c:pt idx="142">
                  <c:v>40479</c:v>
                </c:pt>
                <c:pt idx="143">
                  <c:v>40480</c:v>
                </c:pt>
                <c:pt idx="144">
                  <c:v>40483</c:v>
                </c:pt>
                <c:pt idx="145">
                  <c:v>40484</c:v>
                </c:pt>
                <c:pt idx="146">
                  <c:v>40485</c:v>
                </c:pt>
                <c:pt idx="147">
                  <c:v>40486</c:v>
                </c:pt>
                <c:pt idx="148">
                  <c:v>40487</c:v>
                </c:pt>
                <c:pt idx="149">
                  <c:v>40490</c:v>
                </c:pt>
                <c:pt idx="150">
                  <c:v>40491</c:v>
                </c:pt>
                <c:pt idx="151">
                  <c:v>40492</c:v>
                </c:pt>
                <c:pt idx="152">
                  <c:v>40493</c:v>
                </c:pt>
                <c:pt idx="153">
                  <c:v>40494</c:v>
                </c:pt>
                <c:pt idx="154">
                  <c:v>40497</c:v>
                </c:pt>
                <c:pt idx="155">
                  <c:v>40498</c:v>
                </c:pt>
                <c:pt idx="156">
                  <c:v>40499</c:v>
                </c:pt>
                <c:pt idx="157">
                  <c:v>40500</c:v>
                </c:pt>
                <c:pt idx="158">
                  <c:v>40501</c:v>
                </c:pt>
                <c:pt idx="159">
                  <c:v>40504</c:v>
                </c:pt>
                <c:pt idx="160">
                  <c:v>40505</c:v>
                </c:pt>
                <c:pt idx="161">
                  <c:v>40506</c:v>
                </c:pt>
                <c:pt idx="162">
                  <c:v>40507</c:v>
                </c:pt>
                <c:pt idx="163">
                  <c:v>40508</c:v>
                </c:pt>
                <c:pt idx="164">
                  <c:v>40511</c:v>
                </c:pt>
                <c:pt idx="165">
                  <c:v>40512</c:v>
                </c:pt>
                <c:pt idx="166">
                  <c:v>40513</c:v>
                </c:pt>
                <c:pt idx="167">
                  <c:v>40514</c:v>
                </c:pt>
                <c:pt idx="168">
                  <c:v>40515</c:v>
                </c:pt>
                <c:pt idx="169">
                  <c:v>40518</c:v>
                </c:pt>
                <c:pt idx="170">
                  <c:v>40519</c:v>
                </c:pt>
                <c:pt idx="171">
                  <c:v>40520</c:v>
                </c:pt>
                <c:pt idx="172">
                  <c:v>40521</c:v>
                </c:pt>
                <c:pt idx="173">
                  <c:v>40522</c:v>
                </c:pt>
                <c:pt idx="174">
                  <c:v>40525</c:v>
                </c:pt>
                <c:pt idx="175">
                  <c:v>40526</c:v>
                </c:pt>
                <c:pt idx="176">
                  <c:v>40527</c:v>
                </c:pt>
                <c:pt idx="177">
                  <c:v>40528</c:v>
                </c:pt>
                <c:pt idx="178">
                  <c:v>40529</c:v>
                </c:pt>
                <c:pt idx="179">
                  <c:v>40532</c:v>
                </c:pt>
                <c:pt idx="180">
                  <c:v>40533</c:v>
                </c:pt>
                <c:pt idx="181">
                  <c:v>40534</c:v>
                </c:pt>
                <c:pt idx="182">
                  <c:v>40535</c:v>
                </c:pt>
                <c:pt idx="183">
                  <c:v>40536</c:v>
                </c:pt>
                <c:pt idx="184">
                  <c:v>40539</c:v>
                </c:pt>
                <c:pt idx="185">
                  <c:v>40540</c:v>
                </c:pt>
                <c:pt idx="186">
                  <c:v>40541</c:v>
                </c:pt>
                <c:pt idx="187">
                  <c:v>40542</c:v>
                </c:pt>
                <c:pt idx="188">
                  <c:v>40543</c:v>
                </c:pt>
                <c:pt idx="189">
                  <c:v>40546</c:v>
                </c:pt>
                <c:pt idx="190">
                  <c:v>40547</c:v>
                </c:pt>
                <c:pt idx="191">
                  <c:v>40548</c:v>
                </c:pt>
                <c:pt idx="192">
                  <c:v>40549</c:v>
                </c:pt>
                <c:pt idx="193">
                  <c:v>40550</c:v>
                </c:pt>
                <c:pt idx="194">
                  <c:v>40553</c:v>
                </c:pt>
                <c:pt idx="195">
                  <c:v>40554</c:v>
                </c:pt>
                <c:pt idx="196">
                  <c:v>40555</c:v>
                </c:pt>
                <c:pt idx="197">
                  <c:v>40556</c:v>
                </c:pt>
                <c:pt idx="198">
                  <c:v>40557</c:v>
                </c:pt>
                <c:pt idx="199">
                  <c:v>40560</c:v>
                </c:pt>
                <c:pt idx="200">
                  <c:v>40561</c:v>
                </c:pt>
                <c:pt idx="201">
                  <c:v>40562</c:v>
                </c:pt>
                <c:pt idx="202">
                  <c:v>40563</c:v>
                </c:pt>
                <c:pt idx="203">
                  <c:v>40564</c:v>
                </c:pt>
                <c:pt idx="204">
                  <c:v>40567</c:v>
                </c:pt>
                <c:pt idx="205">
                  <c:v>40568</c:v>
                </c:pt>
                <c:pt idx="206">
                  <c:v>40569</c:v>
                </c:pt>
                <c:pt idx="207">
                  <c:v>40570</c:v>
                </c:pt>
                <c:pt idx="208">
                  <c:v>40571</c:v>
                </c:pt>
                <c:pt idx="209">
                  <c:v>40574</c:v>
                </c:pt>
                <c:pt idx="210">
                  <c:v>40575</c:v>
                </c:pt>
                <c:pt idx="211">
                  <c:v>40576</c:v>
                </c:pt>
                <c:pt idx="212">
                  <c:v>40577</c:v>
                </c:pt>
                <c:pt idx="213">
                  <c:v>40578</c:v>
                </c:pt>
                <c:pt idx="214">
                  <c:v>40581</c:v>
                </c:pt>
                <c:pt idx="215">
                  <c:v>40582</c:v>
                </c:pt>
                <c:pt idx="216">
                  <c:v>40583</c:v>
                </c:pt>
                <c:pt idx="217">
                  <c:v>40584</c:v>
                </c:pt>
                <c:pt idx="218">
                  <c:v>40585</c:v>
                </c:pt>
                <c:pt idx="219">
                  <c:v>40588</c:v>
                </c:pt>
                <c:pt idx="220">
                  <c:v>40589</c:v>
                </c:pt>
                <c:pt idx="221">
                  <c:v>40590</c:v>
                </c:pt>
                <c:pt idx="222">
                  <c:v>40591</c:v>
                </c:pt>
                <c:pt idx="223">
                  <c:v>40592</c:v>
                </c:pt>
                <c:pt idx="224">
                  <c:v>40595</c:v>
                </c:pt>
                <c:pt idx="225">
                  <c:v>40596</c:v>
                </c:pt>
                <c:pt idx="226">
                  <c:v>40597</c:v>
                </c:pt>
                <c:pt idx="227">
                  <c:v>40598</c:v>
                </c:pt>
                <c:pt idx="228">
                  <c:v>40599</c:v>
                </c:pt>
                <c:pt idx="229">
                  <c:v>40602</c:v>
                </c:pt>
                <c:pt idx="230">
                  <c:v>40603</c:v>
                </c:pt>
                <c:pt idx="231">
                  <c:v>40604</c:v>
                </c:pt>
                <c:pt idx="232">
                  <c:v>40605</c:v>
                </c:pt>
                <c:pt idx="233">
                  <c:v>40606</c:v>
                </c:pt>
                <c:pt idx="234">
                  <c:v>40609</c:v>
                </c:pt>
                <c:pt idx="235">
                  <c:v>40610</c:v>
                </c:pt>
                <c:pt idx="236">
                  <c:v>40611</c:v>
                </c:pt>
                <c:pt idx="237">
                  <c:v>40612</c:v>
                </c:pt>
                <c:pt idx="238">
                  <c:v>40613</c:v>
                </c:pt>
                <c:pt idx="239">
                  <c:v>40616</c:v>
                </c:pt>
                <c:pt idx="240">
                  <c:v>40617</c:v>
                </c:pt>
                <c:pt idx="241">
                  <c:v>40618</c:v>
                </c:pt>
                <c:pt idx="242">
                  <c:v>40619</c:v>
                </c:pt>
                <c:pt idx="243">
                  <c:v>40620</c:v>
                </c:pt>
                <c:pt idx="244">
                  <c:v>40623</c:v>
                </c:pt>
                <c:pt idx="245">
                  <c:v>40624</c:v>
                </c:pt>
                <c:pt idx="246">
                  <c:v>40625</c:v>
                </c:pt>
                <c:pt idx="247">
                  <c:v>40626</c:v>
                </c:pt>
                <c:pt idx="248">
                  <c:v>40627</c:v>
                </c:pt>
                <c:pt idx="249">
                  <c:v>40630</c:v>
                </c:pt>
                <c:pt idx="250">
                  <c:v>40631</c:v>
                </c:pt>
                <c:pt idx="251">
                  <c:v>40632</c:v>
                </c:pt>
                <c:pt idx="252">
                  <c:v>40633</c:v>
                </c:pt>
                <c:pt idx="253">
                  <c:v>40634</c:v>
                </c:pt>
                <c:pt idx="254">
                  <c:v>40637</c:v>
                </c:pt>
                <c:pt idx="255">
                  <c:v>40638</c:v>
                </c:pt>
                <c:pt idx="256">
                  <c:v>40639</c:v>
                </c:pt>
                <c:pt idx="257">
                  <c:v>40640</c:v>
                </c:pt>
                <c:pt idx="258">
                  <c:v>40641</c:v>
                </c:pt>
                <c:pt idx="259">
                  <c:v>40644</c:v>
                </c:pt>
                <c:pt idx="260">
                  <c:v>40645</c:v>
                </c:pt>
                <c:pt idx="261">
                  <c:v>40646</c:v>
                </c:pt>
                <c:pt idx="262">
                  <c:v>40647</c:v>
                </c:pt>
                <c:pt idx="263">
                  <c:v>40648</c:v>
                </c:pt>
                <c:pt idx="264">
                  <c:v>40651</c:v>
                </c:pt>
                <c:pt idx="265">
                  <c:v>40652</c:v>
                </c:pt>
                <c:pt idx="266">
                  <c:v>40653</c:v>
                </c:pt>
                <c:pt idx="267">
                  <c:v>40654</c:v>
                </c:pt>
                <c:pt idx="268">
                  <c:v>40655</c:v>
                </c:pt>
                <c:pt idx="269">
                  <c:v>40658</c:v>
                </c:pt>
                <c:pt idx="270">
                  <c:v>40659</c:v>
                </c:pt>
                <c:pt idx="271">
                  <c:v>40660</c:v>
                </c:pt>
                <c:pt idx="272">
                  <c:v>40661</c:v>
                </c:pt>
                <c:pt idx="273">
                  <c:v>40662</c:v>
                </c:pt>
                <c:pt idx="274">
                  <c:v>40665</c:v>
                </c:pt>
                <c:pt idx="275">
                  <c:v>40666</c:v>
                </c:pt>
                <c:pt idx="276">
                  <c:v>40667</c:v>
                </c:pt>
                <c:pt idx="277">
                  <c:v>40668</c:v>
                </c:pt>
                <c:pt idx="278">
                  <c:v>40669</c:v>
                </c:pt>
                <c:pt idx="279">
                  <c:v>40672</c:v>
                </c:pt>
                <c:pt idx="280">
                  <c:v>40673</c:v>
                </c:pt>
                <c:pt idx="281">
                  <c:v>40674</c:v>
                </c:pt>
                <c:pt idx="282">
                  <c:v>40675</c:v>
                </c:pt>
                <c:pt idx="283">
                  <c:v>40676</c:v>
                </c:pt>
                <c:pt idx="284">
                  <c:v>40679</c:v>
                </c:pt>
                <c:pt idx="285">
                  <c:v>40680</c:v>
                </c:pt>
                <c:pt idx="286">
                  <c:v>40681</c:v>
                </c:pt>
                <c:pt idx="287">
                  <c:v>40682</c:v>
                </c:pt>
                <c:pt idx="288">
                  <c:v>40683</c:v>
                </c:pt>
                <c:pt idx="289">
                  <c:v>40686</c:v>
                </c:pt>
                <c:pt idx="290">
                  <c:v>40687</c:v>
                </c:pt>
                <c:pt idx="291">
                  <c:v>40688</c:v>
                </c:pt>
                <c:pt idx="292">
                  <c:v>40689</c:v>
                </c:pt>
                <c:pt idx="293">
                  <c:v>40690</c:v>
                </c:pt>
                <c:pt idx="294">
                  <c:v>40693</c:v>
                </c:pt>
                <c:pt idx="295">
                  <c:v>40694</c:v>
                </c:pt>
                <c:pt idx="296">
                  <c:v>40695</c:v>
                </c:pt>
                <c:pt idx="297">
                  <c:v>40696</c:v>
                </c:pt>
                <c:pt idx="298">
                  <c:v>40697</c:v>
                </c:pt>
                <c:pt idx="299">
                  <c:v>40700</c:v>
                </c:pt>
                <c:pt idx="300">
                  <c:v>40701</c:v>
                </c:pt>
                <c:pt idx="301">
                  <c:v>40702</c:v>
                </c:pt>
                <c:pt idx="302">
                  <c:v>40703</c:v>
                </c:pt>
                <c:pt idx="303">
                  <c:v>40704</c:v>
                </c:pt>
                <c:pt idx="304">
                  <c:v>40707</c:v>
                </c:pt>
                <c:pt idx="305">
                  <c:v>40708</c:v>
                </c:pt>
                <c:pt idx="306">
                  <c:v>40709</c:v>
                </c:pt>
                <c:pt idx="307">
                  <c:v>40710</c:v>
                </c:pt>
                <c:pt idx="308">
                  <c:v>40711</c:v>
                </c:pt>
                <c:pt idx="309">
                  <c:v>40714</c:v>
                </c:pt>
                <c:pt idx="310">
                  <c:v>40715</c:v>
                </c:pt>
                <c:pt idx="311">
                  <c:v>40716</c:v>
                </c:pt>
                <c:pt idx="312">
                  <c:v>40717</c:v>
                </c:pt>
                <c:pt idx="313">
                  <c:v>40718</c:v>
                </c:pt>
                <c:pt idx="314">
                  <c:v>40721</c:v>
                </c:pt>
                <c:pt idx="315">
                  <c:v>40722</c:v>
                </c:pt>
                <c:pt idx="316">
                  <c:v>40723</c:v>
                </c:pt>
                <c:pt idx="317">
                  <c:v>40724</c:v>
                </c:pt>
                <c:pt idx="318">
                  <c:v>40725</c:v>
                </c:pt>
                <c:pt idx="319">
                  <c:v>40728</c:v>
                </c:pt>
                <c:pt idx="320">
                  <c:v>40729</c:v>
                </c:pt>
                <c:pt idx="321">
                  <c:v>40730</c:v>
                </c:pt>
                <c:pt idx="322">
                  <c:v>40731</c:v>
                </c:pt>
                <c:pt idx="323">
                  <c:v>40732</c:v>
                </c:pt>
                <c:pt idx="324">
                  <c:v>40735</c:v>
                </c:pt>
                <c:pt idx="325">
                  <c:v>40736</c:v>
                </c:pt>
                <c:pt idx="326">
                  <c:v>40737</c:v>
                </c:pt>
                <c:pt idx="327">
                  <c:v>40738</c:v>
                </c:pt>
                <c:pt idx="328">
                  <c:v>40739</c:v>
                </c:pt>
                <c:pt idx="329">
                  <c:v>40742</c:v>
                </c:pt>
                <c:pt idx="330">
                  <c:v>40743</c:v>
                </c:pt>
                <c:pt idx="331">
                  <c:v>40744</c:v>
                </c:pt>
                <c:pt idx="332">
                  <c:v>40745</c:v>
                </c:pt>
                <c:pt idx="333">
                  <c:v>40746</c:v>
                </c:pt>
                <c:pt idx="334">
                  <c:v>40749</c:v>
                </c:pt>
                <c:pt idx="335">
                  <c:v>40750</c:v>
                </c:pt>
                <c:pt idx="336">
                  <c:v>40751</c:v>
                </c:pt>
                <c:pt idx="337">
                  <c:v>40752</c:v>
                </c:pt>
                <c:pt idx="338">
                  <c:v>40753</c:v>
                </c:pt>
                <c:pt idx="339">
                  <c:v>40756</c:v>
                </c:pt>
                <c:pt idx="340">
                  <c:v>40757</c:v>
                </c:pt>
                <c:pt idx="341">
                  <c:v>40758</c:v>
                </c:pt>
                <c:pt idx="342">
                  <c:v>40759</c:v>
                </c:pt>
                <c:pt idx="343">
                  <c:v>40760</c:v>
                </c:pt>
                <c:pt idx="344">
                  <c:v>40763</c:v>
                </c:pt>
                <c:pt idx="345">
                  <c:v>40764</c:v>
                </c:pt>
                <c:pt idx="346">
                  <c:v>40765</c:v>
                </c:pt>
                <c:pt idx="347">
                  <c:v>40766</c:v>
                </c:pt>
                <c:pt idx="348">
                  <c:v>40767</c:v>
                </c:pt>
                <c:pt idx="349">
                  <c:v>40770</c:v>
                </c:pt>
                <c:pt idx="350">
                  <c:v>40771</c:v>
                </c:pt>
                <c:pt idx="351">
                  <c:v>40772</c:v>
                </c:pt>
                <c:pt idx="352">
                  <c:v>40773</c:v>
                </c:pt>
                <c:pt idx="353">
                  <c:v>40774</c:v>
                </c:pt>
                <c:pt idx="354">
                  <c:v>40777</c:v>
                </c:pt>
                <c:pt idx="355">
                  <c:v>40778</c:v>
                </c:pt>
                <c:pt idx="356">
                  <c:v>40779</c:v>
                </c:pt>
                <c:pt idx="357">
                  <c:v>40780</c:v>
                </c:pt>
                <c:pt idx="358">
                  <c:v>40781</c:v>
                </c:pt>
                <c:pt idx="359">
                  <c:v>40784</c:v>
                </c:pt>
                <c:pt idx="360">
                  <c:v>40785</c:v>
                </c:pt>
                <c:pt idx="361">
                  <c:v>40786</c:v>
                </c:pt>
                <c:pt idx="362">
                  <c:v>40787</c:v>
                </c:pt>
                <c:pt idx="363">
                  <c:v>40788</c:v>
                </c:pt>
                <c:pt idx="364">
                  <c:v>40791</c:v>
                </c:pt>
                <c:pt idx="365">
                  <c:v>40792</c:v>
                </c:pt>
                <c:pt idx="366">
                  <c:v>40793</c:v>
                </c:pt>
                <c:pt idx="367">
                  <c:v>40794</c:v>
                </c:pt>
                <c:pt idx="368">
                  <c:v>40795</c:v>
                </c:pt>
                <c:pt idx="369">
                  <c:v>40798</c:v>
                </c:pt>
                <c:pt idx="370">
                  <c:v>40799</c:v>
                </c:pt>
                <c:pt idx="371">
                  <c:v>40800</c:v>
                </c:pt>
                <c:pt idx="372">
                  <c:v>40801</c:v>
                </c:pt>
                <c:pt idx="373">
                  <c:v>40802</c:v>
                </c:pt>
                <c:pt idx="374">
                  <c:v>40805</c:v>
                </c:pt>
                <c:pt idx="375">
                  <c:v>40806</c:v>
                </c:pt>
                <c:pt idx="376">
                  <c:v>40807</c:v>
                </c:pt>
                <c:pt idx="377">
                  <c:v>40808</c:v>
                </c:pt>
                <c:pt idx="378">
                  <c:v>40809</c:v>
                </c:pt>
                <c:pt idx="379">
                  <c:v>40812</c:v>
                </c:pt>
                <c:pt idx="380">
                  <c:v>40813</c:v>
                </c:pt>
                <c:pt idx="381">
                  <c:v>40814</c:v>
                </c:pt>
                <c:pt idx="382">
                  <c:v>40815</c:v>
                </c:pt>
                <c:pt idx="383">
                  <c:v>40816</c:v>
                </c:pt>
                <c:pt idx="384">
                  <c:v>40819</c:v>
                </c:pt>
                <c:pt idx="385">
                  <c:v>40820</c:v>
                </c:pt>
                <c:pt idx="386">
                  <c:v>40821</c:v>
                </c:pt>
                <c:pt idx="387">
                  <c:v>40822</c:v>
                </c:pt>
                <c:pt idx="388">
                  <c:v>40823</c:v>
                </c:pt>
                <c:pt idx="389">
                  <c:v>40826</c:v>
                </c:pt>
                <c:pt idx="390">
                  <c:v>40827</c:v>
                </c:pt>
                <c:pt idx="391">
                  <c:v>40828</c:v>
                </c:pt>
                <c:pt idx="392">
                  <c:v>40829</c:v>
                </c:pt>
                <c:pt idx="393">
                  <c:v>40830</c:v>
                </c:pt>
                <c:pt idx="394">
                  <c:v>40833</c:v>
                </c:pt>
                <c:pt idx="395">
                  <c:v>40834</c:v>
                </c:pt>
                <c:pt idx="396">
                  <c:v>40835</c:v>
                </c:pt>
                <c:pt idx="397">
                  <c:v>40836</c:v>
                </c:pt>
                <c:pt idx="398">
                  <c:v>40837</c:v>
                </c:pt>
                <c:pt idx="399">
                  <c:v>40840</c:v>
                </c:pt>
                <c:pt idx="400">
                  <c:v>40841</c:v>
                </c:pt>
                <c:pt idx="401">
                  <c:v>40842</c:v>
                </c:pt>
                <c:pt idx="402">
                  <c:v>40843</c:v>
                </c:pt>
                <c:pt idx="403">
                  <c:v>40844</c:v>
                </c:pt>
                <c:pt idx="404">
                  <c:v>40847</c:v>
                </c:pt>
                <c:pt idx="405">
                  <c:v>40848</c:v>
                </c:pt>
                <c:pt idx="406">
                  <c:v>40849</c:v>
                </c:pt>
                <c:pt idx="407">
                  <c:v>40850</c:v>
                </c:pt>
                <c:pt idx="408">
                  <c:v>40851</c:v>
                </c:pt>
                <c:pt idx="409">
                  <c:v>40854</c:v>
                </c:pt>
                <c:pt idx="410">
                  <c:v>40855</c:v>
                </c:pt>
                <c:pt idx="411">
                  <c:v>40856</c:v>
                </c:pt>
                <c:pt idx="412">
                  <c:v>40857</c:v>
                </c:pt>
                <c:pt idx="413">
                  <c:v>40858</c:v>
                </c:pt>
                <c:pt idx="414">
                  <c:v>40861</c:v>
                </c:pt>
                <c:pt idx="415">
                  <c:v>40862</c:v>
                </c:pt>
                <c:pt idx="416">
                  <c:v>40863</c:v>
                </c:pt>
                <c:pt idx="417">
                  <c:v>40864</c:v>
                </c:pt>
                <c:pt idx="418">
                  <c:v>40865</c:v>
                </c:pt>
                <c:pt idx="419">
                  <c:v>40868</c:v>
                </c:pt>
                <c:pt idx="420">
                  <c:v>40869</c:v>
                </c:pt>
                <c:pt idx="421">
                  <c:v>40870</c:v>
                </c:pt>
                <c:pt idx="422">
                  <c:v>40871</c:v>
                </c:pt>
                <c:pt idx="423">
                  <c:v>40872</c:v>
                </c:pt>
                <c:pt idx="424">
                  <c:v>40875</c:v>
                </c:pt>
                <c:pt idx="425">
                  <c:v>40876</c:v>
                </c:pt>
                <c:pt idx="426">
                  <c:v>40877</c:v>
                </c:pt>
                <c:pt idx="427">
                  <c:v>40878</c:v>
                </c:pt>
                <c:pt idx="428">
                  <c:v>40879</c:v>
                </c:pt>
                <c:pt idx="429">
                  <c:v>40882</c:v>
                </c:pt>
                <c:pt idx="430">
                  <c:v>40883</c:v>
                </c:pt>
                <c:pt idx="431">
                  <c:v>40884</c:v>
                </c:pt>
                <c:pt idx="432">
                  <c:v>40885</c:v>
                </c:pt>
                <c:pt idx="433">
                  <c:v>40886</c:v>
                </c:pt>
                <c:pt idx="434">
                  <c:v>40889</c:v>
                </c:pt>
                <c:pt idx="435">
                  <c:v>40890</c:v>
                </c:pt>
                <c:pt idx="436">
                  <c:v>40891</c:v>
                </c:pt>
                <c:pt idx="437">
                  <c:v>40892</c:v>
                </c:pt>
                <c:pt idx="438">
                  <c:v>40893</c:v>
                </c:pt>
                <c:pt idx="439">
                  <c:v>40896</c:v>
                </c:pt>
                <c:pt idx="440">
                  <c:v>40897</c:v>
                </c:pt>
                <c:pt idx="441">
                  <c:v>40898</c:v>
                </c:pt>
                <c:pt idx="442">
                  <c:v>40899</c:v>
                </c:pt>
                <c:pt idx="443">
                  <c:v>40900</c:v>
                </c:pt>
                <c:pt idx="444">
                  <c:v>40903</c:v>
                </c:pt>
                <c:pt idx="445">
                  <c:v>40904</c:v>
                </c:pt>
                <c:pt idx="446">
                  <c:v>40905</c:v>
                </c:pt>
                <c:pt idx="447">
                  <c:v>40906</c:v>
                </c:pt>
                <c:pt idx="448">
                  <c:v>40907</c:v>
                </c:pt>
                <c:pt idx="449">
                  <c:v>40910</c:v>
                </c:pt>
                <c:pt idx="450">
                  <c:v>40911</c:v>
                </c:pt>
                <c:pt idx="451">
                  <c:v>40912</c:v>
                </c:pt>
                <c:pt idx="452">
                  <c:v>40913</c:v>
                </c:pt>
                <c:pt idx="453">
                  <c:v>40914</c:v>
                </c:pt>
                <c:pt idx="454">
                  <c:v>40917</c:v>
                </c:pt>
                <c:pt idx="455">
                  <c:v>40918</c:v>
                </c:pt>
                <c:pt idx="456">
                  <c:v>40919</c:v>
                </c:pt>
                <c:pt idx="457">
                  <c:v>40920</c:v>
                </c:pt>
                <c:pt idx="458">
                  <c:v>40921</c:v>
                </c:pt>
                <c:pt idx="459">
                  <c:v>40924</c:v>
                </c:pt>
                <c:pt idx="460">
                  <c:v>40925</c:v>
                </c:pt>
                <c:pt idx="461">
                  <c:v>40926</c:v>
                </c:pt>
                <c:pt idx="462">
                  <c:v>40927</c:v>
                </c:pt>
                <c:pt idx="463">
                  <c:v>40928</c:v>
                </c:pt>
                <c:pt idx="464">
                  <c:v>40931</c:v>
                </c:pt>
                <c:pt idx="465">
                  <c:v>40932</c:v>
                </c:pt>
                <c:pt idx="466">
                  <c:v>40933</c:v>
                </c:pt>
                <c:pt idx="467">
                  <c:v>40934</c:v>
                </c:pt>
                <c:pt idx="468">
                  <c:v>40935</c:v>
                </c:pt>
                <c:pt idx="469">
                  <c:v>40938</c:v>
                </c:pt>
                <c:pt idx="470">
                  <c:v>40939</c:v>
                </c:pt>
                <c:pt idx="471">
                  <c:v>40940</c:v>
                </c:pt>
                <c:pt idx="472">
                  <c:v>40941</c:v>
                </c:pt>
                <c:pt idx="473">
                  <c:v>40942</c:v>
                </c:pt>
                <c:pt idx="474">
                  <c:v>40945</c:v>
                </c:pt>
                <c:pt idx="475">
                  <c:v>40946</c:v>
                </c:pt>
                <c:pt idx="476">
                  <c:v>40947</c:v>
                </c:pt>
                <c:pt idx="477">
                  <c:v>40948</c:v>
                </c:pt>
                <c:pt idx="478">
                  <c:v>40949</c:v>
                </c:pt>
                <c:pt idx="479">
                  <c:v>40952</c:v>
                </c:pt>
                <c:pt idx="480">
                  <c:v>40953</c:v>
                </c:pt>
                <c:pt idx="481">
                  <c:v>40954</c:v>
                </c:pt>
                <c:pt idx="482">
                  <c:v>40955</c:v>
                </c:pt>
                <c:pt idx="483">
                  <c:v>40956</c:v>
                </c:pt>
                <c:pt idx="484">
                  <c:v>40959</c:v>
                </c:pt>
                <c:pt idx="485">
                  <c:v>40960</c:v>
                </c:pt>
                <c:pt idx="486">
                  <c:v>40961</c:v>
                </c:pt>
                <c:pt idx="487">
                  <c:v>40962</c:v>
                </c:pt>
                <c:pt idx="488">
                  <c:v>40963</c:v>
                </c:pt>
                <c:pt idx="489">
                  <c:v>40966</c:v>
                </c:pt>
                <c:pt idx="490">
                  <c:v>40967</c:v>
                </c:pt>
                <c:pt idx="491">
                  <c:v>40968</c:v>
                </c:pt>
                <c:pt idx="492">
                  <c:v>40969</c:v>
                </c:pt>
                <c:pt idx="493">
                  <c:v>40970</c:v>
                </c:pt>
                <c:pt idx="494">
                  <c:v>40973</c:v>
                </c:pt>
                <c:pt idx="495">
                  <c:v>40974</c:v>
                </c:pt>
                <c:pt idx="496">
                  <c:v>40975</c:v>
                </c:pt>
                <c:pt idx="497">
                  <c:v>40976</c:v>
                </c:pt>
                <c:pt idx="498">
                  <c:v>40977</c:v>
                </c:pt>
                <c:pt idx="499">
                  <c:v>40980</c:v>
                </c:pt>
                <c:pt idx="500">
                  <c:v>40981</c:v>
                </c:pt>
                <c:pt idx="501">
                  <c:v>40982</c:v>
                </c:pt>
                <c:pt idx="502">
                  <c:v>40983</c:v>
                </c:pt>
                <c:pt idx="503">
                  <c:v>40984</c:v>
                </c:pt>
                <c:pt idx="504">
                  <c:v>40987</c:v>
                </c:pt>
                <c:pt idx="505">
                  <c:v>40988</c:v>
                </c:pt>
                <c:pt idx="506">
                  <c:v>40989</c:v>
                </c:pt>
                <c:pt idx="507">
                  <c:v>40990</c:v>
                </c:pt>
                <c:pt idx="508">
                  <c:v>40991</c:v>
                </c:pt>
                <c:pt idx="509">
                  <c:v>40994</c:v>
                </c:pt>
                <c:pt idx="510">
                  <c:v>40995</c:v>
                </c:pt>
                <c:pt idx="511">
                  <c:v>40996</c:v>
                </c:pt>
                <c:pt idx="512">
                  <c:v>40997</c:v>
                </c:pt>
                <c:pt idx="513">
                  <c:v>40998</c:v>
                </c:pt>
                <c:pt idx="514">
                  <c:v>41001</c:v>
                </c:pt>
                <c:pt idx="515">
                  <c:v>41002</c:v>
                </c:pt>
                <c:pt idx="516">
                  <c:v>41003</c:v>
                </c:pt>
                <c:pt idx="517">
                  <c:v>41004</c:v>
                </c:pt>
                <c:pt idx="518">
                  <c:v>41005</c:v>
                </c:pt>
                <c:pt idx="519">
                  <c:v>41008</c:v>
                </c:pt>
                <c:pt idx="520">
                  <c:v>41009</c:v>
                </c:pt>
                <c:pt idx="521">
                  <c:v>41010</c:v>
                </c:pt>
                <c:pt idx="522">
                  <c:v>41011</c:v>
                </c:pt>
                <c:pt idx="523">
                  <c:v>41012</c:v>
                </c:pt>
                <c:pt idx="524">
                  <c:v>41015</c:v>
                </c:pt>
                <c:pt idx="525">
                  <c:v>41016</c:v>
                </c:pt>
                <c:pt idx="526">
                  <c:v>41017</c:v>
                </c:pt>
                <c:pt idx="527">
                  <c:v>41018</c:v>
                </c:pt>
                <c:pt idx="528">
                  <c:v>41019</c:v>
                </c:pt>
                <c:pt idx="529">
                  <c:v>41022</c:v>
                </c:pt>
                <c:pt idx="530">
                  <c:v>41023</c:v>
                </c:pt>
                <c:pt idx="531">
                  <c:v>41024</c:v>
                </c:pt>
                <c:pt idx="532">
                  <c:v>41025</c:v>
                </c:pt>
                <c:pt idx="533">
                  <c:v>41026</c:v>
                </c:pt>
                <c:pt idx="534">
                  <c:v>41029</c:v>
                </c:pt>
                <c:pt idx="535">
                  <c:v>41030</c:v>
                </c:pt>
                <c:pt idx="536">
                  <c:v>41031</c:v>
                </c:pt>
                <c:pt idx="537">
                  <c:v>41032</c:v>
                </c:pt>
                <c:pt idx="538">
                  <c:v>41033</c:v>
                </c:pt>
                <c:pt idx="539">
                  <c:v>41036</c:v>
                </c:pt>
                <c:pt idx="540">
                  <c:v>41037</c:v>
                </c:pt>
                <c:pt idx="541">
                  <c:v>41038</c:v>
                </c:pt>
                <c:pt idx="542">
                  <c:v>41039</c:v>
                </c:pt>
                <c:pt idx="543">
                  <c:v>41040</c:v>
                </c:pt>
                <c:pt idx="544">
                  <c:v>41043</c:v>
                </c:pt>
                <c:pt idx="545">
                  <c:v>41044</c:v>
                </c:pt>
                <c:pt idx="546">
                  <c:v>41045</c:v>
                </c:pt>
                <c:pt idx="547">
                  <c:v>41046</c:v>
                </c:pt>
                <c:pt idx="548">
                  <c:v>41047</c:v>
                </c:pt>
                <c:pt idx="549">
                  <c:v>41050</c:v>
                </c:pt>
                <c:pt idx="550">
                  <c:v>41051</c:v>
                </c:pt>
                <c:pt idx="551">
                  <c:v>41052</c:v>
                </c:pt>
                <c:pt idx="552">
                  <c:v>41053</c:v>
                </c:pt>
                <c:pt idx="553">
                  <c:v>41054</c:v>
                </c:pt>
                <c:pt idx="554">
                  <c:v>41057</c:v>
                </c:pt>
                <c:pt idx="555">
                  <c:v>41058</c:v>
                </c:pt>
                <c:pt idx="556">
                  <c:v>41059</c:v>
                </c:pt>
                <c:pt idx="557">
                  <c:v>41060</c:v>
                </c:pt>
                <c:pt idx="558">
                  <c:v>41061</c:v>
                </c:pt>
                <c:pt idx="559">
                  <c:v>41064</c:v>
                </c:pt>
                <c:pt idx="560">
                  <c:v>41065</c:v>
                </c:pt>
                <c:pt idx="561">
                  <c:v>41066</c:v>
                </c:pt>
                <c:pt idx="562">
                  <c:v>41067</c:v>
                </c:pt>
                <c:pt idx="563">
                  <c:v>41068</c:v>
                </c:pt>
                <c:pt idx="564">
                  <c:v>41071</c:v>
                </c:pt>
                <c:pt idx="565">
                  <c:v>41072</c:v>
                </c:pt>
                <c:pt idx="566">
                  <c:v>41073</c:v>
                </c:pt>
                <c:pt idx="567">
                  <c:v>41074</c:v>
                </c:pt>
                <c:pt idx="568">
                  <c:v>41075</c:v>
                </c:pt>
                <c:pt idx="569">
                  <c:v>41078</c:v>
                </c:pt>
                <c:pt idx="570">
                  <c:v>41079</c:v>
                </c:pt>
                <c:pt idx="571">
                  <c:v>41080</c:v>
                </c:pt>
                <c:pt idx="572">
                  <c:v>41081</c:v>
                </c:pt>
                <c:pt idx="573">
                  <c:v>41082</c:v>
                </c:pt>
                <c:pt idx="574">
                  <c:v>41085</c:v>
                </c:pt>
                <c:pt idx="575">
                  <c:v>41086</c:v>
                </c:pt>
                <c:pt idx="576">
                  <c:v>41087</c:v>
                </c:pt>
                <c:pt idx="577">
                  <c:v>41088</c:v>
                </c:pt>
                <c:pt idx="578">
                  <c:v>41089</c:v>
                </c:pt>
                <c:pt idx="579">
                  <c:v>41092</c:v>
                </c:pt>
                <c:pt idx="580">
                  <c:v>41093</c:v>
                </c:pt>
                <c:pt idx="581">
                  <c:v>41094</c:v>
                </c:pt>
                <c:pt idx="582">
                  <c:v>41095</c:v>
                </c:pt>
                <c:pt idx="583">
                  <c:v>41096</c:v>
                </c:pt>
                <c:pt idx="584">
                  <c:v>41099</c:v>
                </c:pt>
                <c:pt idx="585">
                  <c:v>41100</c:v>
                </c:pt>
                <c:pt idx="586">
                  <c:v>41101</c:v>
                </c:pt>
                <c:pt idx="587">
                  <c:v>41102</c:v>
                </c:pt>
                <c:pt idx="588">
                  <c:v>41103</c:v>
                </c:pt>
                <c:pt idx="589">
                  <c:v>41106</c:v>
                </c:pt>
                <c:pt idx="590">
                  <c:v>41107</c:v>
                </c:pt>
                <c:pt idx="591">
                  <c:v>41108</c:v>
                </c:pt>
                <c:pt idx="592">
                  <c:v>41109</c:v>
                </c:pt>
                <c:pt idx="593">
                  <c:v>41110</c:v>
                </c:pt>
                <c:pt idx="594">
                  <c:v>41113</c:v>
                </c:pt>
                <c:pt idx="595">
                  <c:v>41114</c:v>
                </c:pt>
                <c:pt idx="596">
                  <c:v>41115</c:v>
                </c:pt>
                <c:pt idx="597">
                  <c:v>41116</c:v>
                </c:pt>
                <c:pt idx="598">
                  <c:v>41117</c:v>
                </c:pt>
                <c:pt idx="599">
                  <c:v>41120</c:v>
                </c:pt>
                <c:pt idx="600">
                  <c:v>41121</c:v>
                </c:pt>
                <c:pt idx="601">
                  <c:v>41122</c:v>
                </c:pt>
                <c:pt idx="602">
                  <c:v>41123</c:v>
                </c:pt>
                <c:pt idx="603">
                  <c:v>41124</c:v>
                </c:pt>
                <c:pt idx="604">
                  <c:v>41127</c:v>
                </c:pt>
                <c:pt idx="605">
                  <c:v>41128</c:v>
                </c:pt>
                <c:pt idx="606">
                  <c:v>41129</c:v>
                </c:pt>
                <c:pt idx="607">
                  <c:v>41130</c:v>
                </c:pt>
                <c:pt idx="608">
                  <c:v>41131</c:v>
                </c:pt>
                <c:pt idx="609">
                  <c:v>41134</c:v>
                </c:pt>
                <c:pt idx="610">
                  <c:v>41135</c:v>
                </c:pt>
                <c:pt idx="611">
                  <c:v>41136</c:v>
                </c:pt>
                <c:pt idx="612">
                  <c:v>41137</c:v>
                </c:pt>
                <c:pt idx="613">
                  <c:v>41138</c:v>
                </c:pt>
                <c:pt idx="614">
                  <c:v>41141</c:v>
                </c:pt>
                <c:pt idx="615">
                  <c:v>41142</c:v>
                </c:pt>
                <c:pt idx="616">
                  <c:v>41143</c:v>
                </c:pt>
                <c:pt idx="617">
                  <c:v>41144</c:v>
                </c:pt>
                <c:pt idx="618">
                  <c:v>41145</c:v>
                </c:pt>
                <c:pt idx="619">
                  <c:v>41148</c:v>
                </c:pt>
                <c:pt idx="620">
                  <c:v>41149</c:v>
                </c:pt>
                <c:pt idx="621">
                  <c:v>41150</c:v>
                </c:pt>
                <c:pt idx="622">
                  <c:v>41151</c:v>
                </c:pt>
                <c:pt idx="623">
                  <c:v>41152</c:v>
                </c:pt>
                <c:pt idx="624">
                  <c:v>41155</c:v>
                </c:pt>
                <c:pt idx="625">
                  <c:v>41156</c:v>
                </c:pt>
                <c:pt idx="626">
                  <c:v>41157</c:v>
                </c:pt>
                <c:pt idx="627">
                  <c:v>41158</c:v>
                </c:pt>
                <c:pt idx="628">
                  <c:v>41159</c:v>
                </c:pt>
                <c:pt idx="629">
                  <c:v>41162</c:v>
                </c:pt>
                <c:pt idx="630">
                  <c:v>41163</c:v>
                </c:pt>
                <c:pt idx="631">
                  <c:v>41164</c:v>
                </c:pt>
                <c:pt idx="632">
                  <c:v>41165</c:v>
                </c:pt>
                <c:pt idx="633">
                  <c:v>41166</c:v>
                </c:pt>
                <c:pt idx="634">
                  <c:v>41169</c:v>
                </c:pt>
                <c:pt idx="635">
                  <c:v>41170</c:v>
                </c:pt>
                <c:pt idx="636">
                  <c:v>41171</c:v>
                </c:pt>
                <c:pt idx="637">
                  <c:v>41172</c:v>
                </c:pt>
                <c:pt idx="638">
                  <c:v>41173</c:v>
                </c:pt>
                <c:pt idx="639">
                  <c:v>41176</c:v>
                </c:pt>
                <c:pt idx="640">
                  <c:v>41177</c:v>
                </c:pt>
                <c:pt idx="641">
                  <c:v>41178</c:v>
                </c:pt>
                <c:pt idx="642">
                  <c:v>41179</c:v>
                </c:pt>
                <c:pt idx="643">
                  <c:v>41180</c:v>
                </c:pt>
                <c:pt idx="644">
                  <c:v>41183</c:v>
                </c:pt>
                <c:pt idx="645">
                  <c:v>41184</c:v>
                </c:pt>
                <c:pt idx="646">
                  <c:v>41185</c:v>
                </c:pt>
                <c:pt idx="647">
                  <c:v>41186</c:v>
                </c:pt>
                <c:pt idx="648">
                  <c:v>41187</c:v>
                </c:pt>
                <c:pt idx="649">
                  <c:v>41190</c:v>
                </c:pt>
                <c:pt idx="650">
                  <c:v>41191</c:v>
                </c:pt>
                <c:pt idx="651">
                  <c:v>41192</c:v>
                </c:pt>
                <c:pt idx="652">
                  <c:v>41193</c:v>
                </c:pt>
                <c:pt idx="653">
                  <c:v>41194</c:v>
                </c:pt>
                <c:pt idx="654">
                  <c:v>41197</c:v>
                </c:pt>
                <c:pt idx="655">
                  <c:v>41198</c:v>
                </c:pt>
                <c:pt idx="656">
                  <c:v>41199</c:v>
                </c:pt>
                <c:pt idx="657">
                  <c:v>41200</c:v>
                </c:pt>
                <c:pt idx="658">
                  <c:v>41201</c:v>
                </c:pt>
                <c:pt idx="659">
                  <c:v>41204</c:v>
                </c:pt>
                <c:pt idx="660">
                  <c:v>41205</c:v>
                </c:pt>
                <c:pt idx="661">
                  <c:v>41206</c:v>
                </c:pt>
                <c:pt idx="662">
                  <c:v>41207</c:v>
                </c:pt>
                <c:pt idx="663">
                  <c:v>41208</c:v>
                </c:pt>
                <c:pt idx="664">
                  <c:v>41211</c:v>
                </c:pt>
                <c:pt idx="665">
                  <c:v>41212</c:v>
                </c:pt>
                <c:pt idx="666">
                  <c:v>41213</c:v>
                </c:pt>
                <c:pt idx="667">
                  <c:v>41214</c:v>
                </c:pt>
                <c:pt idx="668">
                  <c:v>41215</c:v>
                </c:pt>
                <c:pt idx="669">
                  <c:v>41218</c:v>
                </c:pt>
                <c:pt idx="670">
                  <c:v>41219</c:v>
                </c:pt>
                <c:pt idx="671">
                  <c:v>41220</c:v>
                </c:pt>
                <c:pt idx="672">
                  <c:v>41221</c:v>
                </c:pt>
                <c:pt idx="673">
                  <c:v>41222</c:v>
                </c:pt>
                <c:pt idx="674">
                  <c:v>41225</c:v>
                </c:pt>
                <c:pt idx="675">
                  <c:v>41226</c:v>
                </c:pt>
                <c:pt idx="676">
                  <c:v>41227</c:v>
                </c:pt>
                <c:pt idx="677">
                  <c:v>41228</c:v>
                </c:pt>
                <c:pt idx="678">
                  <c:v>41229</c:v>
                </c:pt>
                <c:pt idx="679">
                  <c:v>41232</c:v>
                </c:pt>
                <c:pt idx="680">
                  <c:v>41233</c:v>
                </c:pt>
                <c:pt idx="681">
                  <c:v>41234</c:v>
                </c:pt>
                <c:pt idx="682">
                  <c:v>41235</c:v>
                </c:pt>
                <c:pt idx="683">
                  <c:v>41236</c:v>
                </c:pt>
                <c:pt idx="684">
                  <c:v>41239</c:v>
                </c:pt>
                <c:pt idx="685">
                  <c:v>41240</c:v>
                </c:pt>
                <c:pt idx="686">
                  <c:v>41241</c:v>
                </c:pt>
                <c:pt idx="687">
                  <c:v>41242</c:v>
                </c:pt>
                <c:pt idx="688">
                  <c:v>41243</c:v>
                </c:pt>
                <c:pt idx="689">
                  <c:v>41246</c:v>
                </c:pt>
                <c:pt idx="690">
                  <c:v>41247</c:v>
                </c:pt>
                <c:pt idx="691">
                  <c:v>41248</c:v>
                </c:pt>
                <c:pt idx="692">
                  <c:v>41249</c:v>
                </c:pt>
                <c:pt idx="693">
                  <c:v>41250</c:v>
                </c:pt>
                <c:pt idx="694">
                  <c:v>41253</c:v>
                </c:pt>
                <c:pt idx="695">
                  <c:v>41254</c:v>
                </c:pt>
                <c:pt idx="696">
                  <c:v>41255</c:v>
                </c:pt>
                <c:pt idx="697">
                  <c:v>41256</c:v>
                </c:pt>
                <c:pt idx="698">
                  <c:v>41257</c:v>
                </c:pt>
                <c:pt idx="699">
                  <c:v>41260</c:v>
                </c:pt>
                <c:pt idx="700">
                  <c:v>41261</c:v>
                </c:pt>
                <c:pt idx="701">
                  <c:v>41262</c:v>
                </c:pt>
                <c:pt idx="702">
                  <c:v>41263</c:v>
                </c:pt>
                <c:pt idx="703">
                  <c:v>41264</c:v>
                </c:pt>
                <c:pt idx="704">
                  <c:v>41267</c:v>
                </c:pt>
                <c:pt idx="705">
                  <c:v>41268</c:v>
                </c:pt>
                <c:pt idx="706">
                  <c:v>41269</c:v>
                </c:pt>
                <c:pt idx="707">
                  <c:v>41270</c:v>
                </c:pt>
                <c:pt idx="708">
                  <c:v>41271</c:v>
                </c:pt>
                <c:pt idx="709">
                  <c:v>41274</c:v>
                </c:pt>
                <c:pt idx="710">
                  <c:v>41275</c:v>
                </c:pt>
                <c:pt idx="711">
                  <c:v>41276</c:v>
                </c:pt>
                <c:pt idx="712">
                  <c:v>41277</c:v>
                </c:pt>
                <c:pt idx="713">
                  <c:v>41278</c:v>
                </c:pt>
                <c:pt idx="714">
                  <c:v>41281</c:v>
                </c:pt>
                <c:pt idx="715">
                  <c:v>41282</c:v>
                </c:pt>
                <c:pt idx="716">
                  <c:v>41283</c:v>
                </c:pt>
                <c:pt idx="717">
                  <c:v>41284</c:v>
                </c:pt>
                <c:pt idx="718">
                  <c:v>41285</c:v>
                </c:pt>
                <c:pt idx="719">
                  <c:v>41288</c:v>
                </c:pt>
                <c:pt idx="720">
                  <c:v>41289</c:v>
                </c:pt>
                <c:pt idx="721">
                  <c:v>41290</c:v>
                </c:pt>
                <c:pt idx="722">
                  <c:v>41291</c:v>
                </c:pt>
                <c:pt idx="723">
                  <c:v>41292</c:v>
                </c:pt>
                <c:pt idx="724">
                  <c:v>41295</c:v>
                </c:pt>
                <c:pt idx="725">
                  <c:v>41296</c:v>
                </c:pt>
                <c:pt idx="726">
                  <c:v>41297</c:v>
                </c:pt>
                <c:pt idx="727">
                  <c:v>41298</c:v>
                </c:pt>
                <c:pt idx="728">
                  <c:v>41299</c:v>
                </c:pt>
                <c:pt idx="729">
                  <c:v>41302</c:v>
                </c:pt>
                <c:pt idx="730">
                  <c:v>41303</c:v>
                </c:pt>
                <c:pt idx="731">
                  <c:v>41304</c:v>
                </c:pt>
                <c:pt idx="732">
                  <c:v>41305</c:v>
                </c:pt>
                <c:pt idx="733">
                  <c:v>41306</c:v>
                </c:pt>
                <c:pt idx="734">
                  <c:v>41309</c:v>
                </c:pt>
                <c:pt idx="735">
                  <c:v>41310</c:v>
                </c:pt>
                <c:pt idx="736">
                  <c:v>41311</c:v>
                </c:pt>
                <c:pt idx="737">
                  <c:v>41312</c:v>
                </c:pt>
                <c:pt idx="738">
                  <c:v>41313</c:v>
                </c:pt>
                <c:pt idx="739">
                  <c:v>41316</c:v>
                </c:pt>
                <c:pt idx="740">
                  <c:v>41317</c:v>
                </c:pt>
                <c:pt idx="741">
                  <c:v>41318</c:v>
                </c:pt>
                <c:pt idx="742">
                  <c:v>41319</c:v>
                </c:pt>
                <c:pt idx="743">
                  <c:v>41320</c:v>
                </c:pt>
                <c:pt idx="744">
                  <c:v>41323</c:v>
                </c:pt>
                <c:pt idx="745">
                  <c:v>41324</c:v>
                </c:pt>
                <c:pt idx="746">
                  <c:v>41325</c:v>
                </c:pt>
                <c:pt idx="747">
                  <c:v>41326</c:v>
                </c:pt>
                <c:pt idx="748">
                  <c:v>41327</c:v>
                </c:pt>
                <c:pt idx="749">
                  <c:v>41330</c:v>
                </c:pt>
                <c:pt idx="750">
                  <c:v>41331</c:v>
                </c:pt>
                <c:pt idx="751">
                  <c:v>41332</c:v>
                </c:pt>
                <c:pt idx="752">
                  <c:v>41333</c:v>
                </c:pt>
                <c:pt idx="753">
                  <c:v>41334</c:v>
                </c:pt>
                <c:pt idx="754">
                  <c:v>41337</c:v>
                </c:pt>
                <c:pt idx="755">
                  <c:v>41338</c:v>
                </c:pt>
                <c:pt idx="756">
                  <c:v>41339</c:v>
                </c:pt>
                <c:pt idx="757">
                  <c:v>41340</c:v>
                </c:pt>
                <c:pt idx="758">
                  <c:v>41341</c:v>
                </c:pt>
                <c:pt idx="759">
                  <c:v>41344</c:v>
                </c:pt>
                <c:pt idx="760">
                  <c:v>41345</c:v>
                </c:pt>
                <c:pt idx="761">
                  <c:v>41346</c:v>
                </c:pt>
                <c:pt idx="762">
                  <c:v>41347</c:v>
                </c:pt>
                <c:pt idx="763">
                  <c:v>41348</c:v>
                </c:pt>
                <c:pt idx="764">
                  <c:v>41351</c:v>
                </c:pt>
                <c:pt idx="765">
                  <c:v>41352</c:v>
                </c:pt>
                <c:pt idx="766">
                  <c:v>41353</c:v>
                </c:pt>
                <c:pt idx="767">
                  <c:v>41354</c:v>
                </c:pt>
                <c:pt idx="768">
                  <c:v>41355</c:v>
                </c:pt>
                <c:pt idx="769">
                  <c:v>41358</c:v>
                </c:pt>
                <c:pt idx="770">
                  <c:v>41359</c:v>
                </c:pt>
                <c:pt idx="771">
                  <c:v>41360</c:v>
                </c:pt>
                <c:pt idx="772">
                  <c:v>41361</c:v>
                </c:pt>
                <c:pt idx="773">
                  <c:v>41362</c:v>
                </c:pt>
                <c:pt idx="774">
                  <c:v>41365</c:v>
                </c:pt>
                <c:pt idx="775">
                  <c:v>41366</c:v>
                </c:pt>
                <c:pt idx="776">
                  <c:v>41367</c:v>
                </c:pt>
                <c:pt idx="777">
                  <c:v>41368</c:v>
                </c:pt>
                <c:pt idx="778">
                  <c:v>41369</c:v>
                </c:pt>
                <c:pt idx="779">
                  <c:v>41372</c:v>
                </c:pt>
                <c:pt idx="780">
                  <c:v>41373</c:v>
                </c:pt>
                <c:pt idx="781">
                  <c:v>41374</c:v>
                </c:pt>
                <c:pt idx="782">
                  <c:v>41375</c:v>
                </c:pt>
                <c:pt idx="783">
                  <c:v>41376</c:v>
                </c:pt>
                <c:pt idx="784">
                  <c:v>41379</c:v>
                </c:pt>
                <c:pt idx="785">
                  <c:v>41380</c:v>
                </c:pt>
                <c:pt idx="786">
                  <c:v>41381</c:v>
                </c:pt>
                <c:pt idx="787">
                  <c:v>41382</c:v>
                </c:pt>
                <c:pt idx="788">
                  <c:v>41383</c:v>
                </c:pt>
                <c:pt idx="789">
                  <c:v>41386</c:v>
                </c:pt>
                <c:pt idx="790">
                  <c:v>41387</c:v>
                </c:pt>
                <c:pt idx="791">
                  <c:v>41388</c:v>
                </c:pt>
                <c:pt idx="792">
                  <c:v>41389</c:v>
                </c:pt>
                <c:pt idx="793">
                  <c:v>41390</c:v>
                </c:pt>
                <c:pt idx="794">
                  <c:v>41393</c:v>
                </c:pt>
                <c:pt idx="795">
                  <c:v>41394</c:v>
                </c:pt>
                <c:pt idx="796">
                  <c:v>41395</c:v>
                </c:pt>
                <c:pt idx="797">
                  <c:v>41396</c:v>
                </c:pt>
                <c:pt idx="798">
                  <c:v>41397</c:v>
                </c:pt>
                <c:pt idx="799">
                  <c:v>41400</c:v>
                </c:pt>
                <c:pt idx="800">
                  <c:v>41401</c:v>
                </c:pt>
                <c:pt idx="801">
                  <c:v>41402</c:v>
                </c:pt>
                <c:pt idx="802">
                  <c:v>41403</c:v>
                </c:pt>
                <c:pt idx="803">
                  <c:v>41404</c:v>
                </c:pt>
                <c:pt idx="804">
                  <c:v>41407</c:v>
                </c:pt>
                <c:pt idx="805">
                  <c:v>41408</c:v>
                </c:pt>
                <c:pt idx="806">
                  <c:v>41409</c:v>
                </c:pt>
                <c:pt idx="807">
                  <c:v>41410</c:v>
                </c:pt>
                <c:pt idx="808">
                  <c:v>41411</c:v>
                </c:pt>
                <c:pt idx="809">
                  <c:v>41414</c:v>
                </c:pt>
                <c:pt idx="810">
                  <c:v>41415</c:v>
                </c:pt>
                <c:pt idx="811">
                  <c:v>41416</c:v>
                </c:pt>
                <c:pt idx="812">
                  <c:v>41417</c:v>
                </c:pt>
                <c:pt idx="813">
                  <c:v>41418</c:v>
                </c:pt>
                <c:pt idx="814">
                  <c:v>41421</c:v>
                </c:pt>
                <c:pt idx="815">
                  <c:v>41422</c:v>
                </c:pt>
                <c:pt idx="816">
                  <c:v>41423</c:v>
                </c:pt>
                <c:pt idx="817">
                  <c:v>41424</c:v>
                </c:pt>
                <c:pt idx="818">
                  <c:v>41425</c:v>
                </c:pt>
                <c:pt idx="819">
                  <c:v>41428</c:v>
                </c:pt>
                <c:pt idx="820">
                  <c:v>41429</c:v>
                </c:pt>
                <c:pt idx="821">
                  <c:v>41430</c:v>
                </c:pt>
                <c:pt idx="822">
                  <c:v>41431</c:v>
                </c:pt>
                <c:pt idx="823">
                  <c:v>41432</c:v>
                </c:pt>
                <c:pt idx="824">
                  <c:v>41435</c:v>
                </c:pt>
                <c:pt idx="825">
                  <c:v>41436</c:v>
                </c:pt>
                <c:pt idx="826">
                  <c:v>41437</c:v>
                </c:pt>
                <c:pt idx="827">
                  <c:v>41438</c:v>
                </c:pt>
                <c:pt idx="828">
                  <c:v>41439</c:v>
                </c:pt>
                <c:pt idx="829">
                  <c:v>41442</c:v>
                </c:pt>
                <c:pt idx="830">
                  <c:v>41443</c:v>
                </c:pt>
                <c:pt idx="831">
                  <c:v>41444</c:v>
                </c:pt>
                <c:pt idx="832">
                  <c:v>41445</c:v>
                </c:pt>
                <c:pt idx="833">
                  <c:v>41446</c:v>
                </c:pt>
                <c:pt idx="834">
                  <c:v>41449</c:v>
                </c:pt>
                <c:pt idx="835">
                  <c:v>41450</c:v>
                </c:pt>
                <c:pt idx="836">
                  <c:v>41451</c:v>
                </c:pt>
                <c:pt idx="837">
                  <c:v>41452</c:v>
                </c:pt>
                <c:pt idx="838">
                  <c:v>41453</c:v>
                </c:pt>
                <c:pt idx="839">
                  <c:v>41456</c:v>
                </c:pt>
                <c:pt idx="840">
                  <c:v>41457</c:v>
                </c:pt>
                <c:pt idx="841">
                  <c:v>41458</c:v>
                </c:pt>
                <c:pt idx="842">
                  <c:v>41459</c:v>
                </c:pt>
                <c:pt idx="843">
                  <c:v>41460</c:v>
                </c:pt>
                <c:pt idx="844">
                  <c:v>41463</c:v>
                </c:pt>
                <c:pt idx="845">
                  <c:v>41464</c:v>
                </c:pt>
                <c:pt idx="846">
                  <c:v>41465</c:v>
                </c:pt>
                <c:pt idx="847">
                  <c:v>41466</c:v>
                </c:pt>
                <c:pt idx="848">
                  <c:v>41467</c:v>
                </c:pt>
                <c:pt idx="849">
                  <c:v>41470</c:v>
                </c:pt>
                <c:pt idx="850">
                  <c:v>41471</c:v>
                </c:pt>
                <c:pt idx="851">
                  <c:v>41472</c:v>
                </c:pt>
                <c:pt idx="852">
                  <c:v>41473</c:v>
                </c:pt>
                <c:pt idx="853">
                  <c:v>41474</c:v>
                </c:pt>
                <c:pt idx="854">
                  <c:v>41477</c:v>
                </c:pt>
                <c:pt idx="855">
                  <c:v>41478</c:v>
                </c:pt>
                <c:pt idx="856">
                  <c:v>41479</c:v>
                </c:pt>
                <c:pt idx="857">
                  <c:v>41480</c:v>
                </c:pt>
                <c:pt idx="858">
                  <c:v>41481</c:v>
                </c:pt>
                <c:pt idx="859">
                  <c:v>41484</c:v>
                </c:pt>
                <c:pt idx="860">
                  <c:v>41485</c:v>
                </c:pt>
                <c:pt idx="861">
                  <c:v>41486</c:v>
                </c:pt>
                <c:pt idx="862">
                  <c:v>41487</c:v>
                </c:pt>
                <c:pt idx="863">
                  <c:v>41488</c:v>
                </c:pt>
                <c:pt idx="864">
                  <c:v>41491</c:v>
                </c:pt>
                <c:pt idx="865">
                  <c:v>41492</c:v>
                </c:pt>
                <c:pt idx="866">
                  <c:v>41493</c:v>
                </c:pt>
                <c:pt idx="867">
                  <c:v>41494</c:v>
                </c:pt>
                <c:pt idx="868">
                  <c:v>41495</c:v>
                </c:pt>
                <c:pt idx="869">
                  <c:v>41498</c:v>
                </c:pt>
                <c:pt idx="870">
                  <c:v>41499</c:v>
                </c:pt>
                <c:pt idx="871">
                  <c:v>41500</c:v>
                </c:pt>
                <c:pt idx="872">
                  <c:v>41501</c:v>
                </c:pt>
                <c:pt idx="873">
                  <c:v>41502</c:v>
                </c:pt>
                <c:pt idx="874">
                  <c:v>41505</c:v>
                </c:pt>
                <c:pt idx="875">
                  <c:v>41506</c:v>
                </c:pt>
                <c:pt idx="876">
                  <c:v>41507</c:v>
                </c:pt>
                <c:pt idx="877">
                  <c:v>41508</c:v>
                </c:pt>
                <c:pt idx="878">
                  <c:v>41509</c:v>
                </c:pt>
                <c:pt idx="879">
                  <c:v>41512</c:v>
                </c:pt>
                <c:pt idx="880">
                  <c:v>41513</c:v>
                </c:pt>
                <c:pt idx="881">
                  <c:v>41514</c:v>
                </c:pt>
                <c:pt idx="882">
                  <c:v>41515</c:v>
                </c:pt>
                <c:pt idx="883">
                  <c:v>41516</c:v>
                </c:pt>
                <c:pt idx="884">
                  <c:v>41519</c:v>
                </c:pt>
                <c:pt idx="885">
                  <c:v>41520</c:v>
                </c:pt>
                <c:pt idx="886">
                  <c:v>41521</c:v>
                </c:pt>
                <c:pt idx="887">
                  <c:v>41522</c:v>
                </c:pt>
                <c:pt idx="888">
                  <c:v>41523</c:v>
                </c:pt>
                <c:pt idx="889">
                  <c:v>41526</c:v>
                </c:pt>
                <c:pt idx="890">
                  <c:v>41527</c:v>
                </c:pt>
                <c:pt idx="891">
                  <c:v>41528</c:v>
                </c:pt>
                <c:pt idx="892">
                  <c:v>41529</c:v>
                </c:pt>
                <c:pt idx="893">
                  <c:v>41530</c:v>
                </c:pt>
                <c:pt idx="894">
                  <c:v>41533</c:v>
                </c:pt>
                <c:pt idx="895">
                  <c:v>41534</c:v>
                </c:pt>
                <c:pt idx="896">
                  <c:v>41535</c:v>
                </c:pt>
                <c:pt idx="897">
                  <c:v>41536</c:v>
                </c:pt>
                <c:pt idx="898">
                  <c:v>41537</c:v>
                </c:pt>
                <c:pt idx="899">
                  <c:v>41540</c:v>
                </c:pt>
                <c:pt idx="900">
                  <c:v>41541</c:v>
                </c:pt>
                <c:pt idx="901">
                  <c:v>41542</c:v>
                </c:pt>
                <c:pt idx="902">
                  <c:v>41543</c:v>
                </c:pt>
                <c:pt idx="903">
                  <c:v>41544</c:v>
                </c:pt>
                <c:pt idx="904">
                  <c:v>41547</c:v>
                </c:pt>
                <c:pt idx="905">
                  <c:v>41548</c:v>
                </c:pt>
                <c:pt idx="906">
                  <c:v>41549</c:v>
                </c:pt>
                <c:pt idx="907">
                  <c:v>41550</c:v>
                </c:pt>
                <c:pt idx="908">
                  <c:v>41551</c:v>
                </c:pt>
                <c:pt idx="909">
                  <c:v>41554</c:v>
                </c:pt>
                <c:pt idx="910">
                  <c:v>41555</c:v>
                </c:pt>
                <c:pt idx="911">
                  <c:v>41556</c:v>
                </c:pt>
                <c:pt idx="912">
                  <c:v>41557</c:v>
                </c:pt>
                <c:pt idx="913">
                  <c:v>41558</c:v>
                </c:pt>
                <c:pt idx="914">
                  <c:v>41561</c:v>
                </c:pt>
                <c:pt idx="915">
                  <c:v>41562</c:v>
                </c:pt>
                <c:pt idx="916">
                  <c:v>41563</c:v>
                </c:pt>
                <c:pt idx="917">
                  <c:v>41564</c:v>
                </c:pt>
                <c:pt idx="918">
                  <c:v>41565</c:v>
                </c:pt>
                <c:pt idx="919">
                  <c:v>41568</c:v>
                </c:pt>
                <c:pt idx="920">
                  <c:v>41569</c:v>
                </c:pt>
                <c:pt idx="921">
                  <c:v>41570</c:v>
                </c:pt>
                <c:pt idx="922">
                  <c:v>41571</c:v>
                </c:pt>
                <c:pt idx="923">
                  <c:v>41572</c:v>
                </c:pt>
                <c:pt idx="924">
                  <c:v>41575</c:v>
                </c:pt>
                <c:pt idx="925">
                  <c:v>41576</c:v>
                </c:pt>
                <c:pt idx="926">
                  <c:v>41577</c:v>
                </c:pt>
                <c:pt idx="927">
                  <c:v>41578</c:v>
                </c:pt>
                <c:pt idx="928">
                  <c:v>41579</c:v>
                </c:pt>
                <c:pt idx="929">
                  <c:v>41582</c:v>
                </c:pt>
                <c:pt idx="930">
                  <c:v>41583</c:v>
                </c:pt>
                <c:pt idx="931">
                  <c:v>41584</c:v>
                </c:pt>
                <c:pt idx="932">
                  <c:v>41585</c:v>
                </c:pt>
                <c:pt idx="933">
                  <c:v>41586</c:v>
                </c:pt>
                <c:pt idx="934">
                  <c:v>41589</c:v>
                </c:pt>
                <c:pt idx="935">
                  <c:v>41590</c:v>
                </c:pt>
                <c:pt idx="936">
                  <c:v>41591</c:v>
                </c:pt>
                <c:pt idx="937">
                  <c:v>41592</c:v>
                </c:pt>
                <c:pt idx="938">
                  <c:v>41593</c:v>
                </c:pt>
                <c:pt idx="939">
                  <c:v>41596</c:v>
                </c:pt>
                <c:pt idx="940">
                  <c:v>41597</c:v>
                </c:pt>
                <c:pt idx="941">
                  <c:v>41598</c:v>
                </c:pt>
                <c:pt idx="942">
                  <c:v>41599</c:v>
                </c:pt>
                <c:pt idx="943">
                  <c:v>41600</c:v>
                </c:pt>
                <c:pt idx="944">
                  <c:v>41603</c:v>
                </c:pt>
                <c:pt idx="945">
                  <c:v>41604</c:v>
                </c:pt>
                <c:pt idx="946">
                  <c:v>41605</c:v>
                </c:pt>
                <c:pt idx="947">
                  <c:v>41606</c:v>
                </c:pt>
                <c:pt idx="948">
                  <c:v>41607</c:v>
                </c:pt>
                <c:pt idx="949">
                  <c:v>41610</c:v>
                </c:pt>
                <c:pt idx="950">
                  <c:v>41611</c:v>
                </c:pt>
                <c:pt idx="951">
                  <c:v>41612</c:v>
                </c:pt>
                <c:pt idx="952">
                  <c:v>41613</c:v>
                </c:pt>
                <c:pt idx="953">
                  <c:v>41614</c:v>
                </c:pt>
                <c:pt idx="954">
                  <c:v>41617</c:v>
                </c:pt>
                <c:pt idx="955">
                  <c:v>41618</c:v>
                </c:pt>
                <c:pt idx="956">
                  <c:v>41619</c:v>
                </c:pt>
                <c:pt idx="957">
                  <c:v>41620</c:v>
                </c:pt>
                <c:pt idx="958">
                  <c:v>41621</c:v>
                </c:pt>
                <c:pt idx="959">
                  <c:v>41624</c:v>
                </c:pt>
                <c:pt idx="960">
                  <c:v>41625</c:v>
                </c:pt>
                <c:pt idx="961">
                  <c:v>41626</c:v>
                </c:pt>
                <c:pt idx="962">
                  <c:v>41627</c:v>
                </c:pt>
                <c:pt idx="963">
                  <c:v>41628</c:v>
                </c:pt>
                <c:pt idx="964">
                  <c:v>41631</c:v>
                </c:pt>
                <c:pt idx="965">
                  <c:v>41632</c:v>
                </c:pt>
                <c:pt idx="966">
                  <c:v>41633</c:v>
                </c:pt>
                <c:pt idx="967">
                  <c:v>41634</c:v>
                </c:pt>
                <c:pt idx="968">
                  <c:v>41635</c:v>
                </c:pt>
                <c:pt idx="969">
                  <c:v>41638</c:v>
                </c:pt>
                <c:pt idx="970">
                  <c:v>41639</c:v>
                </c:pt>
                <c:pt idx="971">
                  <c:v>41640</c:v>
                </c:pt>
                <c:pt idx="972">
                  <c:v>41641</c:v>
                </c:pt>
                <c:pt idx="973">
                  <c:v>41642</c:v>
                </c:pt>
                <c:pt idx="974">
                  <c:v>41645</c:v>
                </c:pt>
                <c:pt idx="975">
                  <c:v>41646</c:v>
                </c:pt>
                <c:pt idx="976">
                  <c:v>41647</c:v>
                </c:pt>
                <c:pt idx="977">
                  <c:v>41648</c:v>
                </c:pt>
                <c:pt idx="978">
                  <c:v>41649</c:v>
                </c:pt>
                <c:pt idx="979">
                  <c:v>41652</c:v>
                </c:pt>
                <c:pt idx="980">
                  <c:v>41653</c:v>
                </c:pt>
                <c:pt idx="981">
                  <c:v>41654</c:v>
                </c:pt>
                <c:pt idx="982">
                  <c:v>41655</c:v>
                </c:pt>
                <c:pt idx="983">
                  <c:v>41656</c:v>
                </c:pt>
                <c:pt idx="984">
                  <c:v>41659</c:v>
                </c:pt>
                <c:pt idx="985">
                  <c:v>41660</c:v>
                </c:pt>
                <c:pt idx="986">
                  <c:v>41661</c:v>
                </c:pt>
                <c:pt idx="987">
                  <c:v>41662</c:v>
                </c:pt>
                <c:pt idx="988">
                  <c:v>41663</c:v>
                </c:pt>
                <c:pt idx="989">
                  <c:v>41666</c:v>
                </c:pt>
                <c:pt idx="990">
                  <c:v>41667</c:v>
                </c:pt>
                <c:pt idx="991">
                  <c:v>41668</c:v>
                </c:pt>
                <c:pt idx="992">
                  <c:v>41669</c:v>
                </c:pt>
                <c:pt idx="993">
                  <c:v>41670</c:v>
                </c:pt>
                <c:pt idx="994">
                  <c:v>41673</c:v>
                </c:pt>
                <c:pt idx="995">
                  <c:v>41674</c:v>
                </c:pt>
                <c:pt idx="996">
                  <c:v>41675</c:v>
                </c:pt>
                <c:pt idx="997">
                  <c:v>41676</c:v>
                </c:pt>
                <c:pt idx="998">
                  <c:v>41677</c:v>
                </c:pt>
                <c:pt idx="999">
                  <c:v>41680</c:v>
                </c:pt>
                <c:pt idx="1000">
                  <c:v>41681</c:v>
                </c:pt>
                <c:pt idx="1001">
                  <c:v>41682</c:v>
                </c:pt>
                <c:pt idx="1002">
                  <c:v>41683</c:v>
                </c:pt>
                <c:pt idx="1003">
                  <c:v>41684</c:v>
                </c:pt>
                <c:pt idx="1004">
                  <c:v>41687</c:v>
                </c:pt>
                <c:pt idx="1005">
                  <c:v>41688</c:v>
                </c:pt>
                <c:pt idx="1006">
                  <c:v>41689</c:v>
                </c:pt>
                <c:pt idx="1007">
                  <c:v>41690</c:v>
                </c:pt>
                <c:pt idx="1008">
                  <c:v>41691</c:v>
                </c:pt>
                <c:pt idx="1009">
                  <c:v>41694</c:v>
                </c:pt>
                <c:pt idx="1010">
                  <c:v>41695</c:v>
                </c:pt>
                <c:pt idx="1011">
                  <c:v>41696</c:v>
                </c:pt>
                <c:pt idx="1012">
                  <c:v>41697</c:v>
                </c:pt>
                <c:pt idx="1013">
                  <c:v>41698</c:v>
                </c:pt>
                <c:pt idx="1014">
                  <c:v>41701</c:v>
                </c:pt>
                <c:pt idx="1015">
                  <c:v>41702</c:v>
                </c:pt>
                <c:pt idx="1016">
                  <c:v>41703</c:v>
                </c:pt>
                <c:pt idx="1017">
                  <c:v>41704</c:v>
                </c:pt>
                <c:pt idx="1018">
                  <c:v>41705</c:v>
                </c:pt>
                <c:pt idx="1019">
                  <c:v>41708</c:v>
                </c:pt>
                <c:pt idx="1020">
                  <c:v>41709</c:v>
                </c:pt>
                <c:pt idx="1021">
                  <c:v>41710</c:v>
                </c:pt>
                <c:pt idx="1022">
                  <c:v>41711</c:v>
                </c:pt>
                <c:pt idx="1023">
                  <c:v>41712</c:v>
                </c:pt>
                <c:pt idx="1024">
                  <c:v>41715</c:v>
                </c:pt>
                <c:pt idx="1025">
                  <c:v>41716</c:v>
                </c:pt>
                <c:pt idx="1026">
                  <c:v>41717</c:v>
                </c:pt>
                <c:pt idx="1027">
                  <c:v>41718</c:v>
                </c:pt>
                <c:pt idx="1028">
                  <c:v>41719</c:v>
                </c:pt>
                <c:pt idx="1029">
                  <c:v>41722</c:v>
                </c:pt>
                <c:pt idx="1030">
                  <c:v>41723</c:v>
                </c:pt>
                <c:pt idx="1031">
                  <c:v>41724</c:v>
                </c:pt>
                <c:pt idx="1032">
                  <c:v>41725</c:v>
                </c:pt>
                <c:pt idx="1033">
                  <c:v>41726</c:v>
                </c:pt>
                <c:pt idx="1034">
                  <c:v>41729</c:v>
                </c:pt>
                <c:pt idx="1035">
                  <c:v>41730</c:v>
                </c:pt>
                <c:pt idx="1036">
                  <c:v>41731</c:v>
                </c:pt>
                <c:pt idx="1037">
                  <c:v>41732</c:v>
                </c:pt>
                <c:pt idx="1038">
                  <c:v>41733</c:v>
                </c:pt>
                <c:pt idx="1039">
                  <c:v>41736</c:v>
                </c:pt>
                <c:pt idx="1040">
                  <c:v>41737</c:v>
                </c:pt>
                <c:pt idx="1041">
                  <c:v>41738</c:v>
                </c:pt>
                <c:pt idx="1042">
                  <c:v>41739</c:v>
                </c:pt>
                <c:pt idx="1043">
                  <c:v>41740</c:v>
                </c:pt>
                <c:pt idx="1044">
                  <c:v>41743</c:v>
                </c:pt>
                <c:pt idx="1045">
                  <c:v>41744</c:v>
                </c:pt>
                <c:pt idx="1046">
                  <c:v>41745</c:v>
                </c:pt>
                <c:pt idx="1047">
                  <c:v>41746</c:v>
                </c:pt>
                <c:pt idx="1048">
                  <c:v>41747</c:v>
                </c:pt>
                <c:pt idx="1049">
                  <c:v>41750</c:v>
                </c:pt>
                <c:pt idx="1050">
                  <c:v>41751</c:v>
                </c:pt>
                <c:pt idx="1051">
                  <c:v>41752</c:v>
                </c:pt>
                <c:pt idx="1052">
                  <c:v>41753</c:v>
                </c:pt>
                <c:pt idx="1053">
                  <c:v>41754</c:v>
                </c:pt>
                <c:pt idx="1054">
                  <c:v>41757</c:v>
                </c:pt>
                <c:pt idx="1055">
                  <c:v>41758</c:v>
                </c:pt>
                <c:pt idx="1056">
                  <c:v>41759</c:v>
                </c:pt>
                <c:pt idx="1057">
                  <c:v>41760</c:v>
                </c:pt>
                <c:pt idx="1058">
                  <c:v>41761</c:v>
                </c:pt>
                <c:pt idx="1059">
                  <c:v>41764</c:v>
                </c:pt>
                <c:pt idx="1060">
                  <c:v>41765</c:v>
                </c:pt>
                <c:pt idx="1061">
                  <c:v>41766</c:v>
                </c:pt>
                <c:pt idx="1062">
                  <c:v>41767</c:v>
                </c:pt>
                <c:pt idx="1063">
                  <c:v>41768</c:v>
                </c:pt>
                <c:pt idx="1064">
                  <c:v>41771</c:v>
                </c:pt>
                <c:pt idx="1065">
                  <c:v>41772</c:v>
                </c:pt>
                <c:pt idx="1066">
                  <c:v>41773</c:v>
                </c:pt>
                <c:pt idx="1067">
                  <c:v>41774</c:v>
                </c:pt>
                <c:pt idx="1068">
                  <c:v>41775</c:v>
                </c:pt>
                <c:pt idx="1069">
                  <c:v>41778</c:v>
                </c:pt>
                <c:pt idx="1070">
                  <c:v>41779</c:v>
                </c:pt>
                <c:pt idx="1071">
                  <c:v>41780</c:v>
                </c:pt>
                <c:pt idx="1072">
                  <c:v>41781</c:v>
                </c:pt>
                <c:pt idx="1073">
                  <c:v>41782</c:v>
                </c:pt>
                <c:pt idx="1074">
                  <c:v>41785</c:v>
                </c:pt>
                <c:pt idx="1075">
                  <c:v>41786</c:v>
                </c:pt>
                <c:pt idx="1076">
                  <c:v>41787</c:v>
                </c:pt>
                <c:pt idx="1077">
                  <c:v>41788</c:v>
                </c:pt>
                <c:pt idx="1078">
                  <c:v>41789</c:v>
                </c:pt>
                <c:pt idx="1079">
                  <c:v>41792</c:v>
                </c:pt>
                <c:pt idx="1080">
                  <c:v>41793</c:v>
                </c:pt>
                <c:pt idx="1081">
                  <c:v>41794</c:v>
                </c:pt>
                <c:pt idx="1082">
                  <c:v>41795</c:v>
                </c:pt>
                <c:pt idx="1083">
                  <c:v>41796</c:v>
                </c:pt>
                <c:pt idx="1084">
                  <c:v>41799</c:v>
                </c:pt>
                <c:pt idx="1085">
                  <c:v>41800</c:v>
                </c:pt>
                <c:pt idx="1086">
                  <c:v>41801</c:v>
                </c:pt>
                <c:pt idx="1087">
                  <c:v>41802</c:v>
                </c:pt>
                <c:pt idx="1088">
                  <c:v>41803</c:v>
                </c:pt>
                <c:pt idx="1089">
                  <c:v>41806</c:v>
                </c:pt>
                <c:pt idx="1090">
                  <c:v>41807</c:v>
                </c:pt>
                <c:pt idx="1091">
                  <c:v>41808</c:v>
                </c:pt>
                <c:pt idx="1092">
                  <c:v>41809</c:v>
                </c:pt>
                <c:pt idx="1093">
                  <c:v>41810</c:v>
                </c:pt>
                <c:pt idx="1094">
                  <c:v>41813</c:v>
                </c:pt>
                <c:pt idx="1095">
                  <c:v>41814</c:v>
                </c:pt>
                <c:pt idx="1096">
                  <c:v>41815</c:v>
                </c:pt>
                <c:pt idx="1097">
                  <c:v>41816</c:v>
                </c:pt>
                <c:pt idx="1098">
                  <c:v>41817</c:v>
                </c:pt>
                <c:pt idx="1099">
                  <c:v>41820</c:v>
                </c:pt>
                <c:pt idx="1100">
                  <c:v>41821</c:v>
                </c:pt>
                <c:pt idx="1101">
                  <c:v>41822</c:v>
                </c:pt>
                <c:pt idx="1102">
                  <c:v>41823</c:v>
                </c:pt>
                <c:pt idx="1103">
                  <c:v>41824</c:v>
                </c:pt>
                <c:pt idx="1104">
                  <c:v>41827</c:v>
                </c:pt>
                <c:pt idx="1105">
                  <c:v>41828</c:v>
                </c:pt>
                <c:pt idx="1106">
                  <c:v>41829</c:v>
                </c:pt>
                <c:pt idx="1107">
                  <c:v>41830</c:v>
                </c:pt>
                <c:pt idx="1108">
                  <c:v>41831</c:v>
                </c:pt>
                <c:pt idx="1109">
                  <c:v>41834</c:v>
                </c:pt>
                <c:pt idx="1110">
                  <c:v>41835</c:v>
                </c:pt>
                <c:pt idx="1111">
                  <c:v>41836</c:v>
                </c:pt>
                <c:pt idx="1112">
                  <c:v>41837</c:v>
                </c:pt>
                <c:pt idx="1113">
                  <c:v>41838</c:v>
                </c:pt>
                <c:pt idx="1114">
                  <c:v>41841</c:v>
                </c:pt>
                <c:pt idx="1115">
                  <c:v>41842</c:v>
                </c:pt>
                <c:pt idx="1116">
                  <c:v>41843</c:v>
                </c:pt>
                <c:pt idx="1117">
                  <c:v>41844</c:v>
                </c:pt>
                <c:pt idx="1118">
                  <c:v>41845</c:v>
                </c:pt>
                <c:pt idx="1119">
                  <c:v>41848</c:v>
                </c:pt>
                <c:pt idx="1120">
                  <c:v>41849</c:v>
                </c:pt>
                <c:pt idx="1121">
                  <c:v>41850</c:v>
                </c:pt>
                <c:pt idx="1122">
                  <c:v>41851</c:v>
                </c:pt>
                <c:pt idx="1123">
                  <c:v>41852</c:v>
                </c:pt>
                <c:pt idx="1124">
                  <c:v>41855</c:v>
                </c:pt>
                <c:pt idx="1125">
                  <c:v>41856</c:v>
                </c:pt>
                <c:pt idx="1126">
                  <c:v>41857</c:v>
                </c:pt>
                <c:pt idx="1127">
                  <c:v>41858</c:v>
                </c:pt>
                <c:pt idx="1128">
                  <c:v>41859</c:v>
                </c:pt>
                <c:pt idx="1129">
                  <c:v>41862</c:v>
                </c:pt>
                <c:pt idx="1130">
                  <c:v>41863</c:v>
                </c:pt>
                <c:pt idx="1131">
                  <c:v>41864</c:v>
                </c:pt>
                <c:pt idx="1132">
                  <c:v>41865</c:v>
                </c:pt>
                <c:pt idx="1133">
                  <c:v>41866</c:v>
                </c:pt>
                <c:pt idx="1134">
                  <c:v>41869</c:v>
                </c:pt>
                <c:pt idx="1135">
                  <c:v>41870</c:v>
                </c:pt>
                <c:pt idx="1136">
                  <c:v>41871</c:v>
                </c:pt>
                <c:pt idx="1137">
                  <c:v>41872</c:v>
                </c:pt>
                <c:pt idx="1138">
                  <c:v>41873</c:v>
                </c:pt>
                <c:pt idx="1139">
                  <c:v>41876</c:v>
                </c:pt>
                <c:pt idx="1140">
                  <c:v>41877</c:v>
                </c:pt>
                <c:pt idx="1141">
                  <c:v>41878</c:v>
                </c:pt>
                <c:pt idx="1142">
                  <c:v>41879</c:v>
                </c:pt>
                <c:pt idx="1143">
                  <c:v>41880</c:v>
                </c:pt>
                <c:pt idx="1144">
                  <c:v>41883</c:v>
                </c:pt>
                <c:pt idx="1145">
                  <c:v>41884</c:v>
                </c:pt>
                <c:pt idx="1146">
                  <c:v>41885</c:v>
                </c:pt>
                <c:pt idx="1147">
                  <c:v>41886</c:v>
                </c:pt>
                <c:pt idx="1148">
                  <c:v>41887</c:v>
                </c:pt>
                <c:pt idx="1149">
                  <c:v>41890</c:v>
                </c:pt>
                <c:pt idx="1150">
                  <c:v>41891</c:v>
                </c:pt>
                <c:pt idx="1151">
                  <c:v>41892</c:v>
                </c:pt>
                <c:pt idx="1152">
                  <c:v>41893</c:v>
                </c:pt>
                <c:pt idx="1153">
                  <c:v>41894</c:v>
                </c:pt>
                <c:pt idx="1154">
                  <c:v>41897</c:v>
                </c:pt>
                <c:pt idx="1155">
                  <c:v>41898</c:v>
                </c:pt>
                <c:pt idx="1156">
                  <c:v>41899</c:v>
                </c:pt>
                <c:pt idx="1157">
                  <c:v>41900</c:v>
                </c:pt>
                <c:pt idx="1158">
                  <c:v>41901</c:v>
                </c:pt>
                <c:pt idx="1159">
                  <c:v>41904</c:v>
                </c:pt>
                <c:pt idx="1160">
                  <c:v>41905</c:v>
                </c:pt>
                <c:pt idx="1161">
                  <c:v>41906</c:v>
                </c:pt>
                <c:pt idx="1162">
                  <c:v>41907</c:v>
                </c:pt>
                <c:pt idx="1163">
                  <c:v>41908</c:v>
                </c:pt>
                <c:pt idx="1164">
                  <c:v>41911</c:v>
                </c:pt>
                <c:pt idx="1165">
                  <c:v>41912</c:v>
                </c:pt>
                <c:pt idx="1166">
                  <c:v>41913</c:v>
                </c:pt>
                <c:pt idx="1167">
                  <c:v>41914</c:v>
                </c:pt>
                <c:pt idx="1168">
                  <c:v>41915</c:v>
                </c:pt>
                <c:pt idx="1169">
                  <c:v>41918</c:v>
                </c:pt>
                <c:pt idx="1170">
                  <c:v>41919</c:v>
                </c:pt>
                <c:pt idx="1171">
                  <c:v>41920</c:v>
                </c:pt>
                <c:pt idx="1172">
                  <c:v>41921</c:v>
                </c:pt>
                <c:pt idx="1173">
                  <c:v>41922</c:v>
                </c:pt>
                <c:pt idx="1174">
                  <c:v>41925</c:v>
                </c:pt>
                <c:pt idx="1175">
                  <c:v>41926</c:v>
                </c:pt>
                <c:pt idx="1176">
                  <c:v>41927</c:v>
                </c:pt>
                <c:pt idx="1177">
                  <c:v>41928</c:v>
                </c:pt>
                <c:pt idx="1178">
                  <c:v>41929</c:v>
                </c:pt>
                <c:pt idx="1179">
                  <c:v>41932</c:v>
                </c:pt>
                <c:pt idx="1180">
                  <c:v>41933</c:v>
                </c:pt>
                <c:pt idx="1181">
                  <c:v>41934</c:v>
                </c:pt>
                <c:pt idx="1182">
                  <c:v>41935</c:v>
                </c:pt>
                <c:pt idx="1183">
                  <c:v>41936</c:v>
                </c:pt>
                <c:pt idx="1184">
                  <c:v>41939</c:v>
                </c:pt>
                <c:pt idx="1185">
                  <c:v>41940</c:v>
                </c:pt>
                <c:pt idx="1186">
                  <c:v>41941</c:v>
                </c:pt>
                <c:pt idx="1187">
                  <c:v>41942</c:v>
                </c:pt>
                <c:pt idx="1188">
                  <c:v>41943</c:v>
                </c:pt>
                <c:pt idx="1189">
                  <c:v>41946</c:v>
                </c:pt>
                <c:pt idx="1190">
                  <c:v>41947</c:v>
                </c:pt>
                <c:pt idx="1191">
                  <c:v>41948</c:v>
                </c:pt>
                <c:pt idx="1192">
                  <c:v>41949</c:v>
                </c:pt>
                <c:pt idx="1193">
                  <c:v>41950</c:v>
                </c:pt>
                <c:pt idx="1194">
                  <c:v>41953</c:v>
                </c:pt>
                <c:pt idx="1195">
                  <c:v>41954</c:v>
                </c:pt>
                <c:pt idx="1196">
                  <c:v>41955</c:v>
                </c:pt>
                <c:pt idx="1197">
                  <c:v>41956</c:v>
                </c:pt>
                <c:pt idx="1198">
                  <c:v>41957</c:v>
                </c:pt>
                <c:pt idx="1199">
                  <c:v>41960</c:v>
                </c:pt>
                <c:pt idx="1200">
                  <c:v>41961</c:v>
                </c:pt>
                <c:pt idx="1201">
                  <c:v>41962</c:v>
                </c:pt>
                <c:pt idx="1202">
                  <c:v>41963</c:v>
                </c:pt>
                <c:pt idx="1203">
                  <c:v>41964</c:v>
                </c:pt>
                <c:pt idx="1204">
                  <c:v>41967</c:v>
                </c:pt>
                <c:pt idx="1205">
                  <c:v>41968</c:v>
                </c:pt>
                <c:pt idx="1206">
                  <c:v>41969</c:v>
                </c:pt>
                <c:pt idx="1207">
                  <c:v>41970</c:v>
                </c:pt>
                <c:pt idx="1208">
                  <c:v>41971</c:v>
                </c:pt>
                <c:pt idx="1209">
                  <c:v>41974</c:v>
                </c:pt>
                <c:pt idx="1210">
                  <c:v>41975</c:v>
                </c:pt>
                <c:pt idx="1211">
                  <c:v>41976</c:v>
                </c:pt>
                <c:pt idx="1212">
                  <c:v>41977</c:v>
                </c:pt>
                <c:pt idx="1213">
                  <c:v>41978</c:v>
                </c:pt>
                <c:pt idx="1214">
                  <c:v>41981</c:v>
                </c:pt>
                <c:pt idx="1215">
                  <c:v>41982</c:v>
                </c:pt>
                <c:pt idx="1216">
                  <c:v>41983</c:v>
                </c:pt>
                <c:pt idx="1217">
                  <c:v>41984</c:v>
                </c:pt>
                <c:pt idx="1218">
                  <c:v>41985</c:v>
                </c:pt>
                <c:pt idx="1219">
                  <c:v>41988</c:v>
                </c:pt>
                <c:pt idx="1220">
                  <c:v>41989</c:v>
                </c:pt>
                <c:pt idx="1221">
                  <c:v>41990</c:v>
                </c:pt>
                <c:pt idx="1222">
                  <c:v>41991</c:v>
                </c:pt>
                <c:pt idx="1223">
                  <c:v>41992</c:v>
                </c:pt>
                <c:pt idx="1224">
                  <c:v>41995</c:v>
                </c:pt>
                <c:pt idx="1225">
                  <c:v>41996</c:v>
                </c:pt>
                <c:pt idx="1226">
                  <c:v>41997</c:v>
                </c:pt>
                <c:pt idx="1227">
                  <c:v>41998</c:v>
                </c:pt>
                <c:pt idx="1228">
                  <c:v>41999</c:v>
                </c:pt>
                <c:pt idx="1229">
                  <c:v>42002</c:v>
                </c:pt>
                <c:pt idx="1230">
                  <c:v>42003</c:v>
                </c:pt>
                <c:pt idx="1231">
                  <c:v>42004</c:v>
                </c:pt>
                <c:pt idx="1232">
                  <c:v>42005</c:v>
                </c:pt>
                <c:pt idx="1233">
                  <c:v>42006</c:v>
                </c:pt>
                <c:pt idx="1234">
                  <c:v>42009</c:v>
                </c:pt>
                <c:pt idx="1235">
                  <c:v>42010</c:v>
                </c:pt>
                <c:pt idx="1236">
                  <c:v>42011</c:v>
                </c:pt>
                <c:pt idx="1237">
                  <c:v>42012</c:v>
                </c:pt>
                <c:pt idx="1238">
                  <c:v>42013</c:v>
                </c:pt>
                <c:pt idx="1239">
                  <c:v>42016</c:v>
                </c:pt>
                <c:pt idx="1240">
                  <c:v>42017</c:v>
                </c:pt>
                <c:pt idx="1241">
                  <c:v>42018</c:v>
                </c:pt>
                <c:pt idx="1242">
                  <c:v>42019</c:v>
                </c:pt>
                <c:pt idx="1243">
                  <c:v>42020</c:v>
                </c:pt>
                <c:pt idx="1244">
                  <c:v>42023</c:v>
                </c:pt>
                <c:pt idx="1245">
                  <c:v>42024</c:v>
                </c:pt>
                <c:pt idx="1246">
                  <c:v>42025</c:v>
                </c:pt>
                <c:pt idx="1247">
                  <c:v>42026</c:v>
                </c:pt>
                <c:pt idx="1248">
                  <c:v>42027</c:v>
                </c:pt>
                <c:pt idx="1249">
                  <c:v>42030</c:v>
                </c:pt>
                <c:pt idx="1250">
                  <c:v>42031</c:v>
                </c:pt>
                <c:pt idx="1251">
                  <c:v>42032</c:v>
                </c:pt>
                <c:pt idx="1252">
                  <c:v>42033</c:v>
                </c:pt>
                <c:pt idx="1253">
                  <c:v>42034</c:v>
                </c:pt>
                <c:pt idx="1254">
                  <c:v>42037</c:v>
                </c:pt>
                <c:pt idx="1255">
                  <c:v>42038</c:v>
                </c:pt>
                <c:pt idx="1256">
                  <c:v>42039</c:v>
                </c:pt>
                <c:pt idx="1257">
                  <c:v>42040</c:v>
                </c:pt>
                <c:pt idx="1258">
                  <c:v>42041</c:v>
                </c:pt>
                <c:pt idx="1259">
                  <c:v>42044</c:v>
                </c:pt>
                <c:pt idx="1260">
                  <c:v>42045</c:v>
                </c:pt>
                <c:pt idx="1261">
                  <c:v>42046</c:v>
                </c:pt>
                <c:pt idx="1262">
                  <c:v>42047</c:v>
                </c:pt>
                <c:pt idx="1263">
                  <c:v>42048</c:v>
                </c:pt>
                <c:pt idx="1264">
                  <c:v>42051</c:v>
                </c:pt>
                <c:pt idx="1265">
                  <c:v>42052</c:v>
                </c:pt>
                <c:pt idx="1266">
                  <c:v>42053</c:v>
                </c:pt>
                <c:pt idx="1267">
                  <c:v>42054</c:v>
                </c:pt>
                <c:pt idx="1268">
                  <c:v>42055</c:v>
                </c:pt>
                <c:pt idx="1269">
                  <c:v>42058</c:v>
                </c:pt>
                <c:pt idx="1270">
                  <c:v>42059</c:v>
                </c:pt>
                <c:pt idx="1271">
                  <c:v>42060</c:v>
                </c:pt>
                <c:pt idx="1272">
                  <c:v>42061</c:v>
                </c:pt>
                <c:pt idx="1273">
                  <c:v>42062</c:v>
                </c:pt>
                <c:pt idx="1274">
                  <c:v>42065</c:v>
                </c:pt>
                <c:pt idx="1275">
                  <c:v>42066</c:v>
                </c:pt>
                <c:pt idx="1276">
                  <c:v>42067</c:v>
                </c:pt>
                <c:pt idx="1277">
                  <c:v>42068</c:v>
                </c:pt>
                <c:pt idx="1278">
                  <c:v>42069</c:v>
                </c:pt>
                <c:pt idx="1279">
                  <c:v>42072</c:v>
                </c:pt>
                <c:pt idx="1280">
                  <c:v>42073</c:v>
                </c:pt>
                <c:pt idx="1281">
                  <c:v>42074</c:v>
                </c:pt>
                <c:pt idx="1282">
                  <c:v>42075</c:v>
                </c:pt>
                <c:pt idx="1283">
                  <c:v>42076</c:v>
                </c:pt>
                <c:pt idx="1284">
                  <c:v>42079</c:v>
                </c:pt>
                <c:pt idx="1285">
                  <c:v>42080</c:v>
                </c:pt>
                <c:pt idx="1286">
                  <c:v>42081</c:v>
                </c:pt>
                <c:pt idx="1287">
                  <c:v>42082</c:v>
                </c:pt>
                <c:pt idx="1288">
                  <c:v>42083</c:v>
                </c:pt>
                <c:pt idx="1289">
                  <c:v>42086</c:v>
                </c:pt>
                <c:pt idx="1290">
                  <c:v>42087</c:v>
                </c:pt>
                <c:pt idx="1291">
                  <c:v>42088</c:v>
                </c:pt>
                <c:pt idx="1292">
                  <c:v>42089</c:v>
                </c:pt>
                <c:pt idx="1293">
                  <c:v>42090</c:v>
                </c:pt>
                <c:pt idx="1294">
                  <c:v>42093</c:v>
                </c:pt>
                <c:pt idx="1295">
                  <c:v>42094</c:v>
                </c:pt>
                <c:pt idx="1296">
                  <c:v>42095</c:v>
                </c:pt>
                <c:pt idx="1297">
                  <c:v>42096</c:v>
                </c:pt>
                <c:pt idx="1298">
                  <c:v>42097</c:v>
                </c:pt>
                <c:pt idx="1299">
                  <c:v>42100</c:v>
                </c:pt>
                <c:pt idx="1300">
                  <c:v>42101</c:v>
                </c:pt>
                <c:pt idx="1301">
                  <c:v>42102</c:v>
                </c:pt>
              </c:numCache>
            </c:numRef>
          </c:cat>
          <c:val>
            <c:numRef>
              <c:f>'Garch(1,1) Dollar'!$I$15:$I$1316</c:f>
              <c:numCache>
                <c:formatCode>0.0000</c:formatCode>
                <c:ptCount val="1302"/>
                <c:pt idx="0">
                  <c:v>7.1683975016370556E-3</c:v>
                </c:pt>
                <c:pt idx="1">
                  <c:v>6.9542095324165599E-3</c:v>
                </c:pt>
                <c:pt idx="2">
                  <c:v>6.7433489625821578E-3</c:v>
                </c:pt>
                <c:pt idx="3">
                  <c:v>6.6765434870213816E-3</c:v>
                </c:pt>
                <c:pt idx="4">
                  <c:v>6.5715421780004682E-3</c:v>
                </c:pt>
                <c:pt idx="5">
                  <c:v>6.3611511911232611E-3</c:v>
                </c:pt>
                <c:pt idx="6">
                  <c:v>6.6082365330247589E-3</c:v>
                </c:pt>
                <c:pt idx="7">
                  <c:v>6.4248924237565374E-3</c:v>
                </c:pt>
                <c:pt idx="8">
                  <c:v>6.4725155930410085E-3</c:v>
                </c:pt>
                <c:pt idx="9">
                  <c:v>6.388111388225406E-3</c:v>
                </c:pt>
                <c:pt idx="10">
                  <c:v>6.1989790648805448E-3</c:v>
                </c:pt>
                <c:pt idx="11">
                  <c:v>7.7953166155936976E-3</c:v>
                </c:pt>
                <c:pt idx="12">
                  <c:v>7.4556950123893968E-3</c:v>
                </c:pt>
                <c:pt idx="13">
                  <c:v>7.1533354477079664E-3</c:v>
                </c:pt>
                <c:pt idx="14">
                  <c:v>7.1755035333227017E-3</c:v>
                </c:pt>
                <c:pt idx="15">
                  <c:v>7.5296274023553302E-3</c:v>
                </c:pt>
                <c:pt idx="16">
                  <c:v>8.3898164519350775E-3</c:v>
                </c:pt>
                <c:pt idx="17">
                  <c:v>8.5822839376954521E-3</c:v>
                </c:pt>
                <c:pt idx="18">
                  <c:v>1.039432398071569E-2</c:v>
                </c:pt>
                <c:pt idx="19">
                  <c:v>1.0456111011690784E-2</c:v>
                </c:pt>
                <c:pt idx="20">
                  <c:v>9.8679701052778058E-3</c:v>
                </c:pt>
                <c:pt idx="21">
                  <c:v>9.3819377297778873E-3</c:v>
                </c:pt>
                <c:pt idx="22">
                  <c:v>8.9870121763295247E-3</c:v>
                </c:pt>
                <c:pt idx="23">
                  <c:v>8.739272939554666E-3</c:v>
                </c:pt>
                <c:pt idx="24">
                  <c:v>9.4652643735422433E-3</c:v>
                </c:pt>
                <c:pt idx="25">
                  <c:v>8.9696489409888565E-3</c:v>
                </c:pt>
                <c:pt idx="26">
                  <c:v>9.8731870665620287E-3</c:v>
                </c:pt>
                <c:pt idx="27">
                  <c:v>1.0886261265243061E-2</c:v>
                </c:pt>
                <c:pt idx="28">
                  <c:v>1.0402429359256114E-2</c:v>
                </c:pt>
                <c:pt idx="29">
                  <c:v>1.0063455821924965E-2</c:v>
                </c:pt>
                <c:pt idx="30">
                  <c:v>1.0535797113109518E-2</c:v>
                </c:pt>
                <c:pt idx="31">
                  <c:v>9.9573750110401194E-3</c:v>
                </c:pt>
                <c:pt idx="32">
                  <c:v>1.0922752843941537E-2</c:v>
                </c:pt>
                <c:pt idx="33">
                  <c:v>1.1662241885226915E-2</c:v>
                </c:pt>
                <c:pt idx="34">
                  <c:v>1.1374538447245687E-2</c:v>
                </c:pt>
                <c:pt idx="35">
                  <c:v>1.0766094550155888E-2</c:v>
                </c:pt>
                <c:pt idx="36">
                  <c:v>1.0174471170362291E-2</c:v>
                </c:pt>
                <c:pt idx="37">
                  <c:v>9.6105966653260572E-3</c:v>
                </c:pt>
                <c:pt idx="38">
                  <c:v>9.5569443397552998E-3</c:v>
                </c:pt>
                <c:pt idx="39">
                  <c:v>9.9723918086217743E-3</c:v>
                </c:pt>
                <c:pt idx="40">
                  <c:v>9.4322818797820621E-3</c:v>
                </c:pt>
                <c:pt idx="41">
                  <c:v>9.0452167243458732E-3</c:v>
                </c:pt>
                <c:pt idx="42">
                  <c:v>8.5871062205168571E-3</c:v>
                </c:pt>
                <c:pt idx="43">
                  <c:v>8.6785979352369726E-3</c:v>
                </c:pt>
                <c:pt idx="44">
                  <c:v>8.2720889540116183E-3</c:v>
                </c:pt>
                <c:pt idx="45">
                  <c:v>8.0415325757581986E-3</c:v>
                </c:pt>
                <c:pt idx="46">
                  <c:v>8.1667507378978457E-3</c:v>
                </c:pt>
                <c:pt idx="47">
                  <c:v>7.8089955219096058E-3</c:v>
                </c:pt>
                <c:pt idx="48">
                  <c:v>7.6212787585561211E-3</c:v>
                </c:pt>
                <c:pt idx="49">
                  <c:v>7.2991471506558868E-3</c:v>
                </c:pt>
                <c:pt idx="50">
                  <c:v>7.3860316116936067E-3</c:v>
                </c:pt>
                <c:pt idx="51">
                  <c:v>7.1473788972716869E-3</c:v>
                </c:pt>
                <c:pt idx="52">
                  <c:v>6.9246927024497612E-3</c:v>
                </c:pt>
                <c:pt idx="53">
                  <c:v>6.6859851351341202E-3</c:v>
                </c:pt>
                <c:pt idx="54">
                  <c:v>6.6530720636558231E-3</c:v>
                </c:pt>
                <c:pt idx="55">
                  <c:v>7.409544572451323E-3</c:v>
                </c:pt>
                <c:pt idx="56">
                  <c:v>7.3957101104643362E-3</c:v>
                </c:pt>
                <c:pt idx="57">
                  <c:v>7.1890899186374865E-3</c:v>
                </c:pt>
                <c:pt idx="58">
                  <c:v>1.0559300549124819E-2</c:v>
                </c:pt>
                <c:pt idx="59">
                  <c:v>9.9620150216613232E-3</c:v>
                </c:pt>
                <c:pt idx="60">
                  <c:v>9.4532948070996815E-3</c:v>
                </c:pt>
                <c:pt idx="61">
                  <c:v>9.2733827583783516E-3</c:v>
                </c:pt>
                <c:pt idx="62">
                  <c:v>8.7955947126457067E-3</c:v>
                </c:pt>
                <c:pt idx="63">
                  <c:v>8.3705951629229267E-3</c:v>
                </c:pt>
                <c:pt idx="64">
                  <c:v>8.1343480694115664E-3</c:v>
                </c:pt>
                <c:pt idx="65">
                  <c:v>7.8771819001448914E-3</c:v>
                </c:pt>
                <c:pt idx="66">
                  <c:v>8.3286356361220691E-3</c:v>
                </c:pt>
                <c:pt idx="67">
                  <c:v>7.9367726726262532E-3</c:v>
                </c:pt>
                <c:pt idx="68">
                  <c:v>9.4432437975376197E-3</c:v>
                </c:pt>
                <c:pt idx="69">
                  <c:v>9.0595539197117804E-3</c:v>
                </c:pt>
                <c:pt idx="70">
                  <c:v>8.5972171557844052E-3</c:v>
                </c:pt>
                <c:pt idx="71">
                  <c:v>8.3407210253209994E-3</c:v>
                </c:pt>
                <c:pt idx="72">
                  <c:v>8.479407994438427E-3</c:v>
                </c:pt>
                <c:pt idx="73">
                  <c:v>8.6680960766978097E-3</c:v>
                </c:pt>
                <c:pt idx="74">
                  <c:v>8.2690484938944386E-3</c:v>
                </c:pt>
                <c:pt idx="75">
                  <c:v>8.0445337987524734E-3</c:v>
                </c:pt>
                <c:pt idx="76">
                  <c:v>7.6797709662422805E-3</c:v>
                </c:pt>
                <c:pt idx="77">
                  <c:v>7.3516251586491152E-3</c:v>
                </c:pt>
                <c:pt idx="78">
                  <c:v>7.1797909345931842E-3</c:v>
                </c:pt>
                <c:pt idx="79">
                  <c:v>6.95696532557224E-3</c:v>
                </c:pt>
                <c:pt idx="80">
                  <c:v>7.2599422772206068E-3</c:v>
                </c:pt>
                <c:pt idx="81">
                  <c:v>7.1987654522450064E-3</c:v>
                </c:pt>
                <c:pt idx="82">
                  <c:v>7.0507702945099456E-3</c:v>
                </c:pt>
                <c:pt idx="83">
                  <c:v>6.8036313346169124E-3</c:v>
                </c:pt>
                <c:pt idx="84">
                  <c:v>6.8853764137106321E-3</c:v>
                </c:pt>
                <c:pt idx="85">
                  <c:v>6.6605762515583094E-3</c:v>
                </c:pt>
                <c:pt idx="86">
                  <c:v>6.4867944672346361E-3</c:v>
                </c:pt>
                <c:pt idx="87">
                  <c:v>8.6710484589493878E-3</c:v>
                </c:pt>
                <c:pt idx="88">
                  <c:v>8.3372435047897996E-3</c:v>
                </c:pt>
                <c:pt idx="89">
                  <c:v>8.194081297088731E-3</c:v>
                </c:pt>
                <c:pt idx="90">
                  <c:v>7.9669156159270019E-3</c:v>
                </c:pt>
                <c:pt idx="91">
                  <c:v>7.7140462518515912E-3</c:v>
                </c:pt>
                <c:pt idx="92">
                  <c:v>7.4200776141234107E-3</c:v>
                </c:pt>
                <c:pt idx="93">
                  <c:v>7.1776407835783028E-3</c:v>
                </c:pt>
                <c:pt idx="94">
                  <c:v>7.6385150719533498E-3</c:v>
                </c:pt>
                <c:pt idx="95">
                  <c:v>7.4180564163810903E-3</c:v>
                </c:pt>
                <c:pt idx="96">
                  <c:v>7.3223526652979624E-3</c:v>
                </c:pt>
                <c:pt idx="97">
                  <c:v>7.0521534377279357E-3</c:v>
                </c:pt>
                <c:pt idx="98">
                  <c:v>6.8719669251348118E-3</c:v>
                </c:pt>
                <c:pt idx="99">
                  <c:v>6.7273167530274257E-3</c:v>
                </c:pt>
                <c:pt idx="100">
                  <c:v>6.8033972440236764E-3</c:v>
                </c:pt>
                <c:pt idx="101">
                  <c:v>6.5764577604376919E-3</c:v>
                </c:pt>
                <c:pt idx="102">
                  <c:v>6.8382054931299049E-3</c:v>
                </c:pt>
                <c:pt idx="103">
                  <c:v>6.6015006621285566E-3</c:v>
                </c:pt>
                <c:pt idx="104">
                  <c:v>6.4535257968921832E-3</c:v>
                </c:pt>
                <c:pt idx="105">
                  <c:v>6.2605985021699827E-3</c:v>
                </c:pt>
                <c:pt idx="106">
                  <c:v>7.2463367743728149E-3</c:v>
                </c:pt>
                <c:pt idx="107">
                  <c:v>7.0310760369674931E-3</c:v>
                </c:pt>
                <c:pt idx="108">
                  <c:v>6.7924577857283609E-3</c:v>
                </c:pt>
                <c:pt idx="109">
                  <c:v>6.565281919909626E-3</c:v>
                </c:pt>
                <c:pt idx="110">
                  <c:v>7.5980438322882987E-3</c:v>
                </c:pt>
                <c:pt idx="111">
                  <c:v>8.3708463189150623E-3</c:v>
                </c:pt>
                <c:pt idx="112">
                  <c:v>7.9765758682589297E-3</c:v>
                </c:pt>
                <c:pt idx="113">
                  <c:v>7.6579171672884411E-3</c:v>
                </c:pt>
                <c:pt idx="114">
                  <c:v>7.3328940129544131E-3</c:v>
                </c:pt>
                <c:pt idx="115">
                  <c:v>7.1529316977680816E-3</c:v>
                </c:pt>
                <c:pt idx="116">
                  <c:v>7.9970603766017848E-3</c:v>
                </c:pt>
                <c:pt idx="117">
                  <c:v>8.2535314143323667E-3</c:v>
                </c:pt>
                <c:pt idx="118">
                  <c:v>8.2212336874823745E-3</c:v>
                </c:pt>
                <c:pt idx="119">
                  <c:v>8.9033072931875446E-3</c:v>
                </c:pt>
                <c:pt idx="120">
                  <c:v>8.457873311831619E-3</c:v>
                </c:pt>
                <c:pt idx="121">
                  <c:v>8.328278371487613E-3</c:v>
                </c:pt>
                <c:pt idx="122">
                  <c:v>7.9489081964934111E-3</c:v>
                </c:pt>
                <c:pt idx="123">
                  <c:v>7.6042931099942332E-3</c:v>
                </c:pt>
                <c:pt idx="124">
                  <c:v>7.2866128102272408E-3</c:v>
                </c:pt>
                <c:pt idx="125">
                  <c:v>7.0973446085542497E-3</c:v>
                </c:pt>
                <c:pt idx="126">
                  <c:v>6.8735793678333362E-3</c:v>
                </c:pt>
                <c:pt idx="127">
                  <c:v>8.9236238803948355E-3</c:v>
                </c:pt>
                <c:pt idx="128">
                  <c:v>8.5175585309849589E-3</c:v>
                </c:pt>
                <c:pt idx="129">
                  <c:v>8.1552780282261577E-3</c:v>
                </c:pt>
                <c:pt idx="130">
                  <c:v>7.8769503258023111E-3</c:v>
                </c:pt>
                <c:pt idx="131">
                  <c:v>7.5687146986111202E-3</c:v>
                </c:pt>
                <c:pt idx="132">
                  <c:v>7.2528115489547797E-3</c:v>
                </c:pt>
                <c:pt idx="133">
                  <c:v>7.6512053573651803E-3</c:v>
                </c:pt>
                <c:pt idx="134">
                  <c:v>7.5003769105317399E-3</c:v>
                </c:pt>
                <c:pt idx="135">
                  <c:v>7.1933926339867614E-3</c:v>
                </c:pt>
                <c:pt idx="136">
                  <c:v>8.6337531517813332E-3</c:v>
                </c:pt>
                <c:pt idx="137">
                  <c:v>9.3266102152032258E-3</c:v>
                </c:pt>
                <c:pt idx="138">
                  <c:v>8.8929544365450794E-3</c:v>
                </c:pt>
                <c:pt idx="139">
                  <c:v>8.461910945172256E-3</c:v>
                </c:pt>
                <c:pt idx="140">
                  <c:v>8.0570947134137403E-3</c:v>
                </c:pt>
                <c:pt idx="141">
                  <c:v>7.7457846674578341E-3</c:v>
                </c:pt>
                <c:pt idx="142">
                  <c:v>7.5487445704492274E-3</c:v>
                </c:pt>
                <c:pt idx="143">
                  <c:v>7.4781227531106947E-3</c:v>
                </c:pt>
                <c:pt idx="144">
                  <c:v>7.1892279693671077E-3</c:v>
                </c:pt>
                <c:pt idx="145">
                  <c:v>6.9406739665378407E-3</c:v>
                </c:pt>
                <c:pt idx="146">
                  <c:v>7.2576061572509863E-3</c:v>
                </c:pt>
                <c:pt idx="147">
                  <c:v>7.2038969008515015E-3</c:v>
                </c:pt>
                <c:pt idx="148">
                  <c:v>7.1092406726291097E-3</c:v>
                </c:pt>
                <c:pt idx="149">
                  <c:v>6.8668735404316351E-3</c:v>
                </c:pt>
                <c:pt idx="150">
                  <c:v>7.6749735685002016E-3</c:v>
                </c:pt>
                <c:pt idx="151">
                  <c:v>8.1152304823103403E-3</c:v>
                </c:pt>
                <c:pt idx="152">
                  <c:v>7.7626685001405829E-3</c:v>
                </c:pt>
                <c:pt idx="153">
                  <c:v>7.790490247878752E-3</c:v>
                </c:pt>
                <c:pt idx="154">
                  <c:v>7.4525173428396192E-3</c:v>
                </c:pt>
                <c:pt idx="155">
                  <c:v>7.387347658639065E-3</c:v>
                </c:pt>
                <c:pt idx="156">
                  <c:v>7.1148447749659139E-3</c:v>
                </c:pt>
                <c:pt idx="157">
                  <c:v>7.1263370474527266E-3</c:v>
                </c:pt>
                <c:pt idx="158">
                  <c:v>7.3470291652823058E-3</c:v>
                </c:pt>
                <c:pt idx="159">
                  <c:v>7.0533533939164212E-3</c:v>
                </c:pt>
                <c:pt idx="160">
                  <c:v>6.8122911568184452E-3</c:v>
                </c:pt>
                <c:pt idx="161">
                  <c:v>8.0214955311171086E-3</c:v>
                </c:pt>
                <c:pt idx="162">
                  <c:v>7.682721953812208E-3</c:v>
                </c:pt>
                <c:pt idx="163">
                  <c:v>7.3610565004543016E-3</c:v>
                </c:pt>
                <c:pt idx="164">
                  <c:v>7.5535220264635007E-3</c:v>
                </c:pt>
                <c:pt idx="165">
                  <c:v>7.7976935589561527E-3</c:v>
                </c:pt>
                <c:pt idx="166">
                  <c:v>8.0333428732348982E-3</c:v>
                </c:pt>
                <c:pt idx="167">
                  <c:v>8.1696631730984372E-3</c:v>
                </c:pt>
                <c:pt idx="168">
                  <c:v>8.0129580245408213E-3</c:v>
                </c:pt>
                <c:pt idx="169">
                  <c:v>8.6034501529179755E-3</c:v>
                </c:pt>
                <c:pt idx="170">
                  <c:v>8.5825318802359024E-3</c:v>
                </c:pt>
                <c:pt idx="171">
                  <c:v>8.1713760144280223E-3</c:v>
                </c:pt>
                <c:pt idx="172">
                  <c:v>7.8196432644190312E-3</c:v>
                </c:pt>
                <c:pt idx="173">
                  <c:v>7.4778459159889205E-3</c:v>
                </c:pt>
                <c:pt idx="174">
                  <c:v>7.2153131612157926E-3</c:v>
                </c:pt>
                <c:pt idx="175">
                  <c:v>7.2126836115723571E-3</c:v>
                </c:pt>
                <c:pt idx="176">
                  <c:v>7.0273528210544906E-3</c:v>
                </c:pt>
                <c:pt idx="177">
                  <c:v>7.5299295674704511E-3</c:v>
                </c:pt>
                <c:pt idx="178">
                  <c:v>7.2180103531833068E-3</c:v>
                </c:pt>
                <c:pt idx="179">
                  <c:v>7.0059745860102784E-3</c:v>
                </c:pt>
                <c:pt idx="180">
                  <c:v>6.9239633089025355E-3</c:v>
                </c:pt>
                <c:pt idx="181">
                  <c:v>6.6927318707343843E-3</c:v>
                </c:pt>
                <c:pt idx="182">
                  <c:v>6.4711921610116638E-3</c:v>
                </c:pt>
                <c:pt idx="183">
                  <c:v>6.5689822943929242E-3</c:v>
                </c:pt>
                <c:pt idx="184">
                  <c:v>6.4208827970286863E-3</c:v>
                </c:pt>
                <c:pt idx="185">
                  <c:v>6.4245822860945212E-3</c:v>
                </c:pt>
                <c:pt idx="186">
                  <c:v>6.573884105259776E-3</c:v>
                </c:pt>
                <c:pt idx="187">
                  <c:v>6.8050672779536702E-3</c:v>
                </c:pt>
                <c:pt idx="188">
                  <c:v>6.7239903593705169E-3</c:v>
                </c:pt>
                <c:pt idx="189">
                  <c:v>6.5195840563053286E-3</c:v>
                </c:pt>
                <c:pt idx="190">
                  <c:v>6.3316974020385611E-3</c:v>
                </c:pt>
                <c:pt idx="191">
                  <c:v>6.3271229254578867E-3</c:v>
                </c:pt>
                <c:pt idx="192">
                  <c:v>6.2729108015329186E-3</c:v>
                </c:pt>
                <c:pt idx="193">
                  <c:v>6.2502343778165778E-3</c:v>
                </c:pt>
                <c:pt idx="194">
                  <c:v>7.3498186431415237E-3</c:v>
                </c:pt>
                <c:pt idx="195">
                  <c:v>7.1579541068914586E-3</c:v>
                </c:pt>
                <c:pt idx="196">
                  <c:v>6.8853911748921193E-3</c:v>
                </c:pt>
                <c:pt idx="197">
                  <c:v>6.8532213687285785E-3</c:v>
                </c:pt>
                <c:pt idx="198">
                  <c:v>9.3048945657429466E-3</c:v>
                </c:pt>
                <c:pt idx="199">
                  <c:v>8.8199153830840291E-3</c:v>
                </c:pt>
                <c:pt idx="200">
                  <c:v>8.3941946838406393E-3</c:v>
                </c:pt>
                <c:pt idx="201">
                  <c:v>8.1281430486067497E-3</c:v>
                </c:pt>
                <c:pt idx="202">
                  <c:v>7.8397096760312035E-3</c:v>
                </c:pt>
                <c:pt idx="203">
                  <c:v>7.6426856029709724E-3</c:v>
                </c:pt>
                <c:pt idx="204">
                  <c:v>8.34981732006756E-3</c:v>
                </c:pt>
                <c:pt idx="205">
                  <c:v>7.9873861311914734E-3</c:v>
                </c:pt>
                <c:pt idx="206">
                  <c:v>7.6326783094877188E-3</c:v>
                </c:pt>
                <c:pt idx="207">
                  <c:v>7.3417450499019335E-3</c:v>
                </c:pt>
                <c:pt idx="208">
                  <c:v>7.0673128161636636E-3</c:v>
                </c:pt>
                <c:pt idx="209">
                  <c:v>6.9903525554476428E-3</c:v>
                </c:pt>
                <c:pt idx="210">
                  <c:v>6.7610948801845603E-3</c:v>
                </c:pt>
                <c:pt idx="211">
                  <c:v>7.304369306607935E-3</c:v>
                </c:pt>
                <c:pt idx="212">
                  <c:v>7.023370262019925E-3</c:v>
                </c:pt>
                <c:pt idx="213">
                  <c:v>7.753329580907322E-3</c:v>
                </c:pt>
                <c:pt idx="214">
                  <c:v>7.5722456237742441E-3</c:v>
                </c:pt>
                <c:pt idx="215">
                  <c:v>7.3243542693063541E-3</c:v>
                </c:pt>
                <c:pt idx="216">
                  <c:v>7.1169584547100314E-3</c:v>
                </c:pt>
                <c:pt idx="217">
                  <c:v>7.1361870247932183E-3</c:v>
                </c:pt>
                <c:pt idx="218">
                  <c:v>7.5804966081194488E-3</c:v>
                </c:pt>
                <c:pt idx="219">
                  <c:v>7.4030412825721254E-3</c:v>
                </c:pt>
                <c:pt idx="220">
                  <c:v>7.1781364156065222E-3</c:v>
                </c:pt>
                <c:pt idx="221">
                  <c:v>6.9422065709646907E-3</c:v>
                </c:pt>
                <c:pt idx="222">
                  <c:v>6.8434891373764396E-3</c:v>
                </c:pt>
                <c:pt idx="223">
                  <c:v>6.6667789134095918E-3</c:v>
                </c:pt>
                <c:pt idx="224">
                  <c:v>6.4460664853772586E-3</c:v>
                </c:pt>
                <c:pt idx="225">
                  <c:v>6.7630357873210215E-3</c:v>
                </c:pt>
                <c:pt idx="226">
                  <c:v>6.733440724641427E-3</c:v>
                </c:pt>
                <c:pt idx="227">
                  <c:v>6.9084533864476154E-3</c:v>
                </c:pt>
                <c:pt idx="228">
                  <c:v>6.6883105231816528E-3</c:v>
                </c:pt>
                <c:pt idx="229">
                  <c:v>6.5259623550226837E-3</c:v>
                </c:pt>
                <c:pt idx="230">
                  <c:v>6.3791047174215033E-3</c:v>
                </c:pt>
                <c:pt idx="231">
                  <c:v>6.222549934906875E-3</c:v>
                </c:pt>
                <c:pt idx="232">
                  <c:v>6.5581985684192738E-3</c:v>
                </c:pt>
                <c:pt idx="233">
                  <c:v>6.5789101949988412E-3</c:v>
                </c:pt>
                <c:pt idx="234">
                  <c:v>6.3700278104423524E-3</c:v>
                </c:pt>
                <c:pt idx="235">
                  <c:v>6.2116948257687739E-3</c:v>
                </c:pt>
                <c:pt idx="236">
                  <c:v>6.1504217185681855E-3</c:v>
                </c:pt>
                <c:pt idx="237">
                  <c:v>5.9891699994245404E-3</c:v>
                </c:pt>
                <c:pt idx="238">
                  <c:v>6.1817453186622934E-3</c:v>
                </c:pt>
                <c:pt idx="239">
                  <c:v>6.7290513160821177E-3</c:v>
                </c:pt>
                <c:pt idx="240">
                  <c:v>6.5174340800683061E-3</c:v>
                </c:pt>
                <c:pt idx="241">
                  <c:v>6.4272662169771689E-3</c:v>
                </c:pt>
                <c:pt idx="242">
                  <c:v>7.2951274770348754E-3</c:v>
                </c:pt>
                <c:pt idx="243">
                  <c:v>7.8594953574106022E-3</c:v>
                </c:pt>
                <c:pt idx="244">
                  <c:v>8.3894859515147458E-3</c:v>
                </c:pt>
                <c:pt idx="245">
                  <c:v>8.0312195835141355E-3</c:v>
                </c:pt>
                <c:pt idx="246">
                  <c:v>7.7450311553292723E-3</c:v>
                </c:pt>
                <c:pt idx="247">
                  <c:v>7.7413689758639923E-3</c:v>
                </c:pt>
                <c:pt idx="248">
                  <c:v>7.4504871335343793E-3</c:v>
                </c:pt>
                <c:pt idx="249">
                  <c:v>7.1624958963663141E-3</c:v>
                </c:pt>
                <c:pt idx="250">
                  <c:v>6.8884941276537983E-3</c:v>
                </c:pt>
                <c:pt idx="251">
                  <c:v>6.6472411955442647E-3</c:v>
                </c:pt>
                <c:pt idx="252">
                  <c:v>6.5868216054098911E-3</c:v>
                </c:pt>
                <c:pt idx="253">
                  <c:v>6.4723509376808375E-3</c:v>
                </c:pt>
                <c:pt idx="254">
                  <c:v>6.2993182109029851E-3</c:v>
                </c:pt>
                <c:pt idx="255">
                  <c:v>6.1329218350755759E-3</c:v>
                </c:pt>
                <c:pt idx="256">
                  <c:v>5.9750976425367863E-3</c:v>
                </c:pt>
                <c:pt idx="257">
                  <c:v>6.1424982026311295E-3</c:v>
                </c:pt>
                <c:pt idx="258">
                  <c:v>5.9945656514873314E-3</c:v>
                </c:pt>
                <c:pt idx="259">
                  <c:v>6.1769705105954916E-3</c:v>
                </c:pt>
                <c:pt idx="260">
                  <c:v>6.0115233765644389E-3</c:v>
                </c:pt>
                <c:pt idx="261">
                  <c:v>5.8666369821107527E-3</c:v>
                </c:pt>
                <c:pt idx="262">
                  <c:v>5.7483021927447076E-3</c:v>
                </c:pt>
                <c:pt idx="263">
                  <c:v>5.7039169835893929E-3</c:v>
                </c:pt>
                <c:pt idx="264">
                  <c:v>5.6306495049967811E-3</c:v>
                </c:pt>
                <c:pt idx="265">
                  <c:v>6.0689521454995081E-3</c:v>
                </c:pt>
                <c:pt idx="266">
                  <c:v>6.5390602679758726E-3</c:v>
                </c:pt>
                <c:pt idx="267">
                  <c:v>6.4930319440643369E-3</c:v>
                </c:pt>
                <c:pt idx="268">
                  <c:v>7.0142743995629288E-3</c:v>
                </c:pt>
                <c:pt idx="269">
                  <c:v>6.803185936749819E-3</c:v>
                </c:pt>
                <c:pt idx="270">
                  <c:v>6.7285445619596094E-3</c:v>
                </c:pt>
                <c:pt idx="271">
                  <c:v>6.5824496370747582E-3</c:v>
                </c:pt>
                <c:pt idx="272">
                  <c:v>7.0606364581212713E-3</c:v>
                </c:pt>
                <c:pt idx="273">
                  <c:v>6.7974597127695765E-3</c:v>
                </c:pt>
                <c:pt idx="274">
                  <c:v>6.5872180132359494E-3</c:v>
                </c:pt>
                <c:pt idx="275">
                  <c:v>6.3959985913589253E-3</c:v>
                </c:pt>
                <c:pt idx="276">
                  <c:v>6.2908890351281799E-3</c:v>
                </c:pt>
                <c:pt idx="277">
                  <c:v>6.2089080243864564E-3</c:v>
                </c:pt>
                <c:pt idx="278">
                  <c:v>7.9869839775954642E-3</c:v>
                </c:pt>
                <c:pt idx="279">
                  <c:v>8.3235198396933944E-3</c:v>
                </c:pt>
                <c:pt idx="280">
                  <c:v>1.0526073055962376E-2</c:v>
                </c:pt>
                <c:pt idx="281">
                  <c:v>9.9781141610572714E-3</c:v>
                </c:pt>
                <c:pt idx="282">
                  <c:v>9.9644811521909221E-3</c:v>
                </c:pt>
                <c:pt idx="283">
                  <c:v>9.439950665839001E-3</c:v>
                </c:pt>
                <c:pt idx="284">
                  <c:v>9.3001116455248105E-3</c:v>
                </c:pt>
                <c:pt idx="285">
                  <c:v>8.8934288039030709E-3</c:v>
                </c:pt>
                <c:pt idx="286">
                  <c:v>8.4465883062578573E-3</c:v>
                </c:pt>
                <c:pt idx="287">
                  <c:v>8.141078603327908E-3</c:v>
                </c:pt>
                <c:pt idx="288">
                  <c:v>8.6804744712064476E-3</c:v>
                </c:pt>
                <c:pt idx="289">
                  <c:v>8.9222788686339136E-3</c:v>
                </c:pt>
                <c:pt idx="290">
                  <c:v>8.5663541918162521E-3</c:v>
                </c:pt>
                <c:pt idx="291">
                  <c:v>8.2159408218798278E-3</c:v>
                </c:pt>
                <c:pt idx="292">
                  <c:v>7.8879736369812398E-3</c:v>
                </c:pt>
                <c:pt idx="293">
                  <c:v>7.6487608413806007E-3</c:v>
                </c:pt>
                <c:pt idx="294">
                  <c:v>7.8877450456859392E-3</c:v>
                </c:pt>
                <c:pt idx="295">
                  <c:v>7.6091605268070132E-3</c:v>
                </c:pt>
                <c:pt idx="296">
                  <c:v>7.6680192963258188E-3</c:v>
                </c:pt>
                <c:pt idx="297">
                  <c:v>7.3592424438744418E-3</c:v>
                </c:pt>
                <c:pt idx="298">
                  <c:v>8.3493376999826761E-3</c:v>
                </c:pt>
                <c:pt idx="299">
                  <c:v>8.0143184567582019E-3</c:v>
                </c:pt>
                <c:pt idx="300">
                  <c:v>7.6946781927151762E-3</c:v>
                </c:pt>
                <c:pt idx="301">
                  <c:v>7.6815526728212851E-3</c:v>
                </c:pt>
                <c:pt idx="302">
                  <c:v>7.6230152099958093E-3</c:v>
                </c:pt>
                <c:pt idx="303">
                  <c:v>7.3656432746784959E-3</c:v>
                </c:pt>
                <c:pt idx="304">
                  <c:v>8.0218112150172646E-3</c:v>
                </c:pt>
                <c:pt idx="305">
                  <c:v>7.8146914371362321E-3</c:v>
                </c:pt>
                <c:pt idx="306">
                  <c:v>7.4808368392897569E-3</c:v>
                </c:pt>
                <c:pt idx="307">
                  <c:v>8.3669440227443995E-3</c:v>
                </c:pt>
                <c:pt idx="308">
                  <c:v>7.9730541720859117E-3</c:v>
                </c:pt>
                <c:pt idx="309">
                  <c:v>8.0700711044028196E-3</c:v>
                </c:pt>
                <c:pt idx="310">
                  <c:v>7.7047041169319049E-3</c:v>
                </c:pt>
                <c:pt idx="311">
                  <c:v>7.6065829936658343E-3</c:v>
                </c:pt>
                <c:pt idx="312">
                  <c:v>7.3629561195202031E-3</c:v>
                </c:pt>
                <c:pt idx="313">
                  <c:v>7.2417071548817446E-3</c:v>
                </c:pt>
                <c:pt idx="314">
                  <c:v>7.1112490744449494E-3</c:v>
                </c:pt>
                <c:pt idx="315">
                  <c:v>6.9684776908013873E-3</c:v>
                </c:pt>
                <c:pt idx="316">
                  <c:v>6.8170587726463991E-3</c:v>
                </c:pt>
                <c:pt idx="317">
                  <c:v>6.7224181040647932E-3</c:v>
                </c:pt>
                <c:pt idx="318">
                  <c:v>6.6170617029913141E-3</c:v>
                </c:pt>
                <c:pt idx="319">
                  <c:v>6.404757865391175E-3</c:v>
                </c:pt>
                <c:pt idx="320">
                  <c:v>6.2132021638908212E-3</c:v>
                </c:pt>
                <c:pt idx="321">
                  <c:v>6.1173878432849126E-3</c:v>
                </c:pt>
                <c:pt idx="322">
                  <c:v>6.1098240715986791E-3</c:v>
                </c:pt>
                <c:pt idx="323">
                  <c:v>5.9826886129675438E-3</c:v>
                </c:pt>
                <c:pt idx="324">
                  <c:v>6.1488490656386703E-3</c:v>
                </c:pt>
                <c:pt idx="325">
                  <c:v>7.8905405006788349E-3</c:v>
                </c:pt>
                <c:pt idx="326">
                  <c:v>7.6712719709478207E-3</c:v>
                </c:pt>
                <c:pt idx="327">
                  <c:v>7.5499965259087712E-3</c:v>
                </c:pt>
                <c:pt idx="328">
                  <c:v>7.2365274257559752E-3</c:v>
                </c:pt>
                <c:pt idx="329">
                  <c:v>6.9551302990917474E-3</c:v>
                </c:pt>
                <c:pt idx="330">
                  <c:v>6.7956263437809559E-3</c:v>
                </c:pt>
                <c:pt idx="331">
                  <c:v>6.5615068221728228E-3</c:v>
                </c:pt>
                <c:pt idx="332">
                  <c:v>7.0688599414338972E-3</c:v>
                </c:pt>
                <c:pt idx="333">
                  <c:v>7.575848490956918E-3</c:v>
                </c:pt>
                <c:pt idx="334">
                  <c:v>7.262904562992085E-3</c:v>
                </c:pt>
                <c:pt idx="335">
                  <c:v>7.0861969974282497E-3</c:v>
                </c:pt>
                <c:pt idx="336">
                  <c:v>7.6151445081696773E-3</c:v>
                </c:pt>
                <c:pt idx="337">
                  <c:v>7.8073555862214986E-3</c:v>
                </c:pt>
                <c:pt idx="338">
                  <c:v>7.506446845588704E-3</c:v>
                </c:pt>
                <c:pt idx="339">
                  <c:v>7.2581536060251058E-3</c:v>
                </c:pt>
                <c:pt idx="340">
                  <c:v>7.4172599978831076E-3</c:v>
                </c:pt>
                <c:pt idx="341">
                  <c:v>7.1415577021563302E-3</c:v>
                </c:pt>
                <c:pt idx="342">
                  <c:v>7.2899892175758386E-3</c:v>
                </c:pt>
                <c:pt idx="343">
                  <c:v>8.6522661681600905E-3</c:v>
                </c:pt>
                <c:pt idx="344">
                  <c:v>9.3143019844814535E-3</c:v>
                </c:pt>
                <c:pt idx="345">
                  <c:v>9.0869339199916542E-3</c:v>
                </c:pt>
                <c:pt idx="346">
                  <c:v>9.1529620413665844E-3</c:v>
                </c:pt>
                <c:pt idx="347">
                  <c:v>9.5078786930898763E-3</c:v>
                </c:pt>
                <c:pt idx="348">
                  <c:v>9.2253935792677676E-3</c:v>
                </c:pt>
                <c:pt idx="349">
                  <c:v>8.7609873513749461E-3</c:v>
                </c:pt>
                <c:pt idx="350">
                  <c:v>9.0902629349686528E-3</c:v>
                </c:pt>
                <c:pt idx="351">
                  <c:v>8.6403312515320897E-3</c:v>
                </c:pt>
                <c:pt idx="352">
                  <c:v>8.2417707021758078E-3</c:v>
                </c:pt>
                <c:pt idx="353">
                  <c:v>8.0147166501147813E-3</c:v>
                </c:pt>
                <c:pt idx="354">
                  <c:v>7.8382043793100518E-3</c:v>
                </c:pt>
                <c:pt idx="355">
                  <c:v>7.6249918607559442E-3</c:v>
                </c:pt>
                <c:pt idx="356">
                  <c:v>7.4060821520496823E-3</c:v>
                </c:pt>
                <c:pt idx="357">
                  <c:v>7.1340599903374335E-3</c:v>
                </c:pt>
                <c:pt idx="358">
                  <c:v>6.9316327892036157E-3</c:v>
                </c:pt>
                <c:pt idx="359">
                  <c:v>6.8465612183076143E-3</c:v>
                </c:pt>
                <c:pt idx="360">
                  <c:v>6.6121251434988672E-3</c:v>
                </c:pt>
                <c:pt idx="361">
                  <c:v>6.5440189878433206E-3</c:v>
                </c:pt>
                <c:pt idx="362">
                  <c:v>6.3601480106413814E-3</c:v>
                </c:pt>
                <c:pt idx="363">
                  <c:v>6.5384710944043694E-3</c:v>
                </c:pt>
                <c:pt idx="364">
                  <c:v>6.5773148358163197E-3</c:v>
                </c:pt>
                <c:pt idx="365">
                  <c:v>6.7115503442552954E-3</c:v>
                </c:pt>
                <c:pt idx="366">
                  <c:v>6.4866603637538127E-3</c:v>
                </c:pt>
                <c:pt idx="367">
                  <c:v>6.3568084594914937E-3</c:v>
                </c:pt>
                <c:pt idx="368">
                  <c:v>8.2940661050089869E-3</c:v>
                </c:pt>
                <c:pt idx="369">
                  <c:v>8.6697002936470344E-3</c:v>
                </c:pt>
                <c:pt idx="370">
                  <c:v>8.2553261728747478E-3</c:v>
                </c:pt>
                <c:pt idx="371">
                  <c:v>7.9531736732471273E-3</c:v>
                </c:pt>
                <c:pt idx="372">
                  <c:v>7.7373584194410094E-3</c:v>
                </c:pt>
                <c:pt idx="373">
                  <c:v>7.5202866071738938E-3</c:v>
                </c:pt>
                <c:pt idx="374">
                  <c:v>7.2141618696789471E-3</c:v>
                </c:pt>
                <c:pt idx="375">
                  <c:v>6.9442103237911555E-3</c:v>
                </c:pt>
                <c:pt idx="376">
                  <c:v>6.6991257165274981E-3</c:v>
                </c:pt>
                <c:pt idx="377">
                  <c:v>6.8510590705454597E-3</c:v>
                </c:pt>
                <c:pt idx="378">
                  <c:v>6.8095357662976124E-3</c:v>
                </c:pt>
                <c:pt idx="379">
                  <c:v>6.5738963159582189E-3</c:v>
                </c:pt>
                <c:pt idx="380">
                  <c:v>6.4175016396343706E-3</c:v>
                </c:pt>
                <c:pt idx="381">
                  <c:v>6.6754625874155113E-3</c:v>
                </c:pt>
                <c:pt idx="382">
                  <c:v>6.7342142002015434E-3</c:v>
                </c:pt>
                <c:pt idx="383">
                  <c:v>6.6166597629778974E-3</c:v>
                </c:pt>
                <c:pt idx="384">
                  <c:v>7.1897259052507365E-3</c:v>
                </c:pt>
                <c:pt idx="385">
                  <c:v>8.2525775621746077E-3</c:v>
                </c:pt>
                <c:pt idx="386">
                  <c:v>8.2457992089222075E-3</c:v>
                </c:pt>
                <c:pt idx="387">
                  <c:v>7.8763416324179047E-3</c:v>
                </c:pt>
                <c:pt idx="388">
                  <c:v>7.8224974980202686E-3</c:v>
                </c:pt>
                <c:pt idx="389">
                  <c:v>8.0647457411044798E-3</c:v>
                </c:pt>
                <c:pt idx="390">
                  <c:v>9.8320476933254162E-3</c:v>
                </c:pt>
                <c:pt idx="391">
                  <c:v>9.299927437783578E-3</c:v>
                </c:pt>
                <c:pt idx="392">
                  <c:v>9.0104303715369954E-3</c:v>
                </c:pt>
                <c:pt idx="393">
                  <c:v>8.5648451525572461E-3</c:v>
                </c:pt>
                <c:pt idx="394">
                  <c:v>8.1565641173413188E-3</c:v>
                </c:pt>
                <c:pt idx="395">
                  <c:v>8.0290446552780063E-3</c:v>
                </c:pt>
                <c:pt idx="396">
                  <c:v>7.7557007295980165E-3</c:v>
                </c:pt>
                <c:pt idx="397">
                  <c:v>7.9154026396238072E-3</c:v>
                </c:pt>
                <c:pt idx="398">
                  <c:v>7.9564516444434897E-3</c:v>
                </c:pt>
                <c:pt idx="399">
                  <c:v>9.2076507497318473E-3</c:v>
                </c:pt>
                <c:pt idx="400">
                  <c:v>8.7351090254204102E-3</c:v>
                </c:pt>
                <c:pt idx="401">
                  <c:v>8.4980376731128935E-3</c:v>
                </c:pt>
                <c:pt idx="402">
                  <c:v>8.1259836506624352E-3</c:v>
                </c:pt>
                <c:pt idx="403">
                  <c:v>9.2706385363705342E-3</c:v>
                </c:pt>
                <c:pt idx="404">
                  <c:v>8.8110930778499807E-3</c:v>
                </c:pt>
                <c:pt idx="405">
                  <c:v>1.0771078164972487E-2</c:v>
                </c:pt>
                <c:pt idx="406">
                  <c:v>1.0318637346074395E-2</c:v>
                </c:pt>
                <c:pt idx="407">
                  <c:v>1.0240531175034285E-2</c:v>
                </c:pt>
                <c:pt idx="408">
                  <c:v>1.0755835257384406E-2</c:v>
                </c:pt>
                <c:pt idx="409">
                  <c:v>1.1108527475594194E-2</c:v>
                </c:pt>
                <c:pt idx="410">
                  <c:v>1.0462008390994084E-2</c:v>
                </c:pt>
                <c:pt idx="411">
                  <c:v>1.0016166564072532E-2</c:v>
                </c:pt>
                <c:pt idx="412">
                  <c:v>1.0939977037705951E-2</c:v>
                </c:pt>
                <c:pt idx="413">
                  <c:v>1.0336895845226663E-2</c:v>
                </c:pt>
                <c:pt idx="414">
                  <c:v>1.0265234500162626E-2</c:v>
                </c:pt>
                <c:pt idx="415">
                  <c:v>1.0076958033618296E-2</c:v>
                </c:pt>
                <c:pt idx="416">
                  <c:v>9.8290230891605029E-3</c:v>
                </c:pt>
                <c:pt idx="417">
                  <c:v>9.3151202077411174E-3</c:v>
                </c:pt>
                <c:pt idx="418">
                  <c:v>8.8325543846920346E-3</c:v>
                </c:pt>
                <c:pt idx="419">
                  <c:v>8.4658285034781306E-3</c:v>
                </c:pt>
                <c:pt idx="420">
                  <c:v>8.0998197752613198E-3</c:v>
                </c:pt>
                <c:pt idx="421">
                  <c:v>7.7295831243925578E-3</c:v>
                </c:pt>
                <c:pt idx="422">
                  <c:v>9.0399380018820977E-3</c:v>
                </c:pt>
                <c:pt idx="423">
                  <c:v>8.5809793476856674E-3</c:v>
                </c:pt>
                <c:pt idx="424">
                  <c:v>8.4358807983487983E-3</c:v>
                </c:pt>
                <c:pt idx="425">
                  <c:v>8.0553684305052376E-3</c:v>
                </c:pt>
                <c:pt idx="426">
                  <c:v>7.6895849778402109E-3</c:v>
                </c:pt>
                <c:pt idx="427">
                  <c:v>7.9540604275830044E-3</c:v>
                </c:pt>
                <c:pt idx="428">
                  <c:v>7.6121751697865057E-3</c:v>
                </c:pt>
                <c:pt idx="429">
                  <c:v>7.3320243939713195E-3</c:v>
                </c:pt>
                <c:pt idx="430">
                  <c:v>7.0434263668911028E-3</c:v>
                </c:pt>
                <c:pt idx="431">
                  <c:v>6.7918074310999227E-3</c:v>
                </c:pt>
                <c:pt idx="432">
                  <c:v>6.5694118862145304E-3</c:v>
                </c:pt>
                <c:pt idx="433">
                  <c:v>6.3905606998345965E-3</c:v>
                </c:pt>
                <c:pt idx="434">
                  <c:v>6.3337671753369851E-3</c:v>
                </c:pt>
                <c:pt idx="435">
                  <c:v>6.3870063510527413E-3</c:v>
                </c:pt>
                <c:pt idx="436">
                  <c:v>7.3099734347845165E-3</c:v>
                </c:pt>
                <c:pt idx="437">
                  <c:v>7.0283826074479337E-3</c:v>
                </c:pt>
                <c:pt idx="438">
                  <c:v>6.8227094833226446E-3</c:v>
                </c:pt>
                <c:pt idx="439">
                  <c:v>6.6268223297708401E-3</c:v>
                </c:pt>
                <c:pt idx="440">
                  <c:v>6.4442135308850476E-3</c:v>
                </c:pt>
                <c:pt idx="441">
                  <c:v>6.3922237407204345E-3</c:v>
                </c:pt>
                <c:pt idx="442">
                  <c:v>6.2052818068018215E-3</c:v>
                </c:pt>
                <c:pt idx="443">
                  <c:v>6.046372642973607E-3</c:v>
                </c:pt>
                <c:pt idx="444">
                  <c:v>5.9007098649285078E-3</c:v>
                </c:pt>
                <c:pt idx="445">
                  <c:v>6.2192521807033418E-3</c:v>
                </c:pt>
                <c:pt idx="446">
                  <c:v>6.289485921073765E-3</c:v>
                </c:pt>
                <c:pt idx="447">
                  <c:v>7.0297448720180698E-3</c:v>
                </c:pt>
                <c:pt idx="448">
                  <c:v>6.7702959376990364E-3</c:v>
                </c:pt>
                <c:pt idx="449">
                  <c:v>6.5430464613899777E-3</c:v>
                </c:pt>
                <c:pt idx="450">
                  <c:v>6.3763803187207374E-3</c:v>
                </c:pt>
                <c:pt idx="451">
                  <c:v>6.7978226598398609E-3</c:v>
                </c:pt>
                <c:pt idx="452">
                  <c:v>7.1179465452403494E-3</c:v>
                </c:pt>
                <c:pt idx="453">
                  <c:v>7.6027542243493514E-3</c:v>
                </c:pt>
                <c:pt idx="454">
                  <c:v>7.457886640043274E-3</c:v>
                </c:pt>
                <c:pt idx="455">
                  <c:v>7.1913369089455616E-3</c:v>
                </c:pt>
                <c:pt idx="456">
                  <c:v>6.9637210173001717E-3</c:v>
                </c:pt>
                <c:pt idx="457">
                  <c:v>7.0049707593877958E-3</c:v>
                </c:pt>
                <c:pt idx="458">
                  <c:v>7.1275523188914138E-3</c:v>
                </c:pt>
                <c:pt idx="459">
                  <c:v>8.2218774644095063E-3</c:v>
                </c:pt>
                <c:pt idx="460">
                  <c:v>7.862780673969191E-3</c:v>
                </c:pt>
                <c:pt idx="461">
                  <c:v>7.5268948250366311E-3</c:v>
                </c:pt>
                <c:pt idx="462">
                  <c:v>7.6633064485570604E-3</c:v>
                </c:pt>
                <c:pt idx="463">
                  <c:v>7.6463978471135886E-3</c:v>
                </c:pt>
                <c:pt idx="464">
                  <c:v>7.368853531884335E-3</c:v>
                </c:pt>
                <c:pt idx="465">
                  <c:v>7.5499612898317324E-3</c:v>
                </c:pt>
                <c:pt idx="466">
                  <c:v>7.2578294498718251E-3</c:v>
                </c:pt>
                <c:pt idx="467">
                  <c:v>7.4367498980544107E-3</c:v>
                </c:pt>
                <c:pt idx="468">
                  <c:v>7.2496166985966115E-3</c:v>
                </c:pt>
                <c:pt idx="469">
                  <c:v>7.1689651739990758E-3</c:v>
                </c:pt>
                <c:pt idx="470">
                  <c:v>7.0920759772753385E-3</c:v>
                </c:pt>
                <c:pt idx="471">
                  <c:v>7.1921398791258192E-3</c:v>
                </c:pt>
                <c:pt idx="472">
                  <c:v>7.3422374349863566E-3</c:v>
                </c:pt>
                <c:pt idx="473">
                  <c:v>7.1327873509715563E-3</c:v>
                </c:pt>
                <c:pt idx="474">
                  <c:v>6.8652370663093076E-3</c:v>
                </c:pt>
                <c:pt idx="475">
                  <c:v>6.63472527474516E-3</c:v>
                </c:pt>
                <c:pt idx="476">
                  <c:v>6.4542058198107542E-3</c:v>
                </c:pt>
                <c:pt idx="477">
                  <c:v>6.5294494825641541E-3</c:v>
                </c:pt>
                <c:pt idx="478">
                  <c:v>6.3425791988360432E-3</c:v>
                </c:pt>
                <c:pt idx="479">
                  <c:v>6.7946457568113612E-3</c:v>
                </c:pt>
                <c:pt idx="480">
                  <c:v>6.6451158954117292E-3</c:v>
                </c:pt>
                <c:pt idx="481">
                  <c:v>6.4919063086755118E-3</c:v>
                </c:pt>
                <c:pt idx="482">
                  <c:v>6.7578234231868324E-3</c:v>
                </c:pt>
                <c:pt idx="483">
                  <c:v>7.0412208102092737E-3</c:v>
                </c:pt>
                <c:pt idx="484">
                  <c:v>6.9950739991425362E-3</c:v>
                </c:pt>
                <c:pt idx="485">
                  <c:v>7.0400459722354501E-3</c:v>
                </c:pt>
                <c:pt idx="486">
                  <c:v>6.792192817681451E-3</c:v>
                </c:pt>
                <c:pt idx="487">
                  <c:v>6.6215122919616618E-3</c:v>
                </c:pt>
                <c:pt idx="488">
                  <c:v>6.767122712179721E-3</c:v>
                </c:pt>
                <c:pt idx="489">
                  <c:v>6.8990322726709928E-3</c:v>
                </c:pt>
                <c:pt idx="490">
                  <c:v>6.777002452956182E-3</c:v>
                </c:pt>
                <c:pt idx="491">
                  <c:v>6.7455060993747082E-3</c:v>
                </c:pt>
                <c:pt idx="492">
                  <c:v>7.2791183199211818E-3</c:v>
                </c:pt>
                <c:pt idx="493">
                  <c:v>7.0055576698625005E-3</c:v>
                </c:pt>
                <c:pt idx="494">
                  <c:v>7.1658911951538538E-3</c:v>
                </c:pt>
                <c:pt idx="495">
                  <c:v>6.8915301814902177E-3</c:v>
                </c:pt>
                <c:pt idx="496">
                  <c:v>7.0224790155556356E-3</c:v>
                </c:pt>
                <c:pt idx="497">
                  <c:v>6.7804286363685566E-3</c:v>
                </c:pt>
                <c:pt idx="498">
                  <c:v>7.1606049844825667E-3</c:v>
                </c:pt>
                <c:pt idx="499">
                  <c:v>7.8193630910547186E-3</c:v>
                </c:pt>
                <c:pt idx="500">
                  <c:v>7.5202034086645558E-3</c:v>
                </c:pt>
                <c:pt idx="501">
                  <c:v>7.3793594310179733E-3</c:v>
                </c:pt>
                <c:pt idx="502">
                  <c:v>7.2954910365432973E-3</c:v>
                </c:pt>
                <c:pt idx="503">
                  <c:v>7.1149254581130261E-3</c:v>
                </c:pt>
                <c:pt idx="504">
                  <c:v>8.0122781674258035E-3</c:v>
                </c:pt>
                <c:pt idx="505">
                  <c:v>7.8360601622405653E-3</c:v>
                </c:pt>
                <c:pt idx="506">
                  <c:v>7.4940957705246503E-3</c:v>
                </c:pt>
                <c:pt idx="507">
                  <c:v>7.3002239188319131E-3</c:v>
                </c:pt>
                <c:pt idx="508">
                  <c:v>7.1241356823692993E-3</c:v>
                </c:pt>
                <c:pt idx="509">
                  <c:v>6.8690410328527823E-3</c:v>
                </c:pt>
                <c:pt idx="510">
                  <c:v>6.8182671833668168E-3</c:v>
                </c:pt>
                <c:pt idx="511">
                  <c:v>6.6082438228285967E-3</c:v>
                </c:pt>
                <c:pt idx="512">
                  <c:v>6.3940228445396657E-3</c:v>
                </c:pt>
                <c:pt idx="513">
                  <c:v>6.2275655917102711E-3</c:v>
                </c:pt>
                <c:pt idx="514">
                  <c:v>6.1020941885591533E-3</c:v>
                </c:pt>
                <c:pt idx="515">
                  <c:v>6.0664900120059656E-3</c:v>
                </c:pt>
                <c:pt idx="516">
                  <c:v>5.918440156528669E-3</c:v>
                </c:pt>
                <c:pt idx="517">
                  <c:v>5.7846735975875105E-3</c:v>
                </c:pt>
                <c:pt idx="518">
                  <c:v>7.4601441529343606E-3</c:v>
                </c:pt>
                <c:pt idx="519">
                  <c:v>7.4716212571338163E-3</c:v>
                </c:pt>
                <c:pt idx="520">
                  <c:v>7.1745106925160847E-3</c:v>
                </c:pt>
                <c:pt idx="521">
                  <c:v>7.0645810087664332E-3</c:v>
                </c:pt>
                <c:pt idx="522">
                  <c:v>6.8200525043802642E-3</c:v>
                </c:pt>
                <c:pt idx="523">
                  <c:v>7.5530117887679521E-3</c:v>
                </c:pt>
                <c:pt idx="524">
                  <c:v>8.6982045900010092E-3</c:v>
                </c:pt>
                <c:pt idx="525">
                  <c:v>8.47788058279751E-3</c:v>
                </c:pt>
                <c:pt idx="526">
                  <c:v>8.1690027704519521E-3</c:v>
                </c:pt>
                <c:pt idx="527">
                  <c:v>8.0764945386126684E-3</c:v>
                </c:pt>
                <c:pt idx="528">
                  <c:v>7.7738074183875674E-3</c:v>
                </c:pt>
                <c:pt idx="529">
                  <c:v>7.608020716604956E-3</c:v>
                </c:pt>
                <c:pt idx="530">
                  <c:v>7.462503819448082E-3</c:v>
                </c:pt>
                <c:pt idx="531">
                  <c:v>7.4736474320947358E-3</c:v>
                </c:pt>
                <c:pt idx="532">
                  <c:v>7.1671272242230227E-3</c:v>
                </c:pt>
                <c:pt idx="533">
                  <c:v>7.6548365144810159E-3</c:v>
                </c:pt>
                <c:pt idx="534">
                  <c:v>7.5631617166886898E-3</c:v>
                </c:pt>
                <c:pt idx="535">
                  <c:v>7.2719639772016809E-3</c:v>
                </c:pt>
                <c:pt idx="536">
                  <c:v>6.990677581776206E-3</c:v>
                </c:pt>
                <c:pt idx="537">
                  <c:v>7.1154740781705795E-3</c:v>
                </c:pt>
                <c:pt idx="538">
                  <c:v>6.8929699516137085E-3</c:v>
                </c:pt>
                <c:pt idx="539">
                  <c:v>7.2872987238171141E-3</c:v>
                </c:pt>
                <c:pt idx="540">
                  <c:v>7.1127466218488264E-3</c:v>
                </c:pt>
                <c:pt idx="541">
                  <c:v>7.3152083781455671E-3</c:v>
                </c:pt>
                <c:pt idx="542">
                  <c:v>7.0304851753502694E-3</c:v>
                </c:pt>
                <c:pt idx="543">
                  <c:v>6.7760698733140244E-3</c:v>
                </c:pt>
                <c:pt idx="544">
                  <c:v>6.6033589124685878E-3</c:v>
                </c:pt>
                <c:pt idx="545">
                  <c:v>7.3146044764141526E-3</c:v>
                </c:pt>
                <c:pt idx="546">
                  <c:v>7.6898943942690558E-3</c:v>
                </c:pt>
                <c:pt idx="547">
                  <c:v>7.6153165852190473E-3</c:v>
                </c:pt>
                <c:pt idx="548">
                  <c:v>7.613236085530618E-3</c:v>
                </c:pt>
                <c:pt idx="549">
                  <c:v>7.8264323363449913E-3</c:v>
                </c:pt>
                <c:pt idx="550">
                  <c:v>7.4834555213466871E-3</c:v>
                </c:pt>
                <c:pt idx="551">
                  <c:v>8.4136194964418865E-3</c:v>
                </c:pt>
                <c:pt idx="552">
                  <c:v>8.0227408433206863E-3</c:v>
                </c:pt>
                <c:pt idx="553">
                  <c:v>8.8022133561843439E-3</c:v>
                </c:pt>
                <c:pt idx="554">
                  <c:v>8.3799223558126482E-3</c:v>
                </c:pt>
                <c:pt idx="555">
                  <c:v>7.9822881963707484E-3</c:v>
                </c:pt>
                <c:pt idx="556">
                  <c:v>7.747309368122941E-3</c:v>
                </c:pt>
                <c:pt idx="557">
                  <c:v>7.8219974634793701E-3</c:v>
                </c:pt>
                <c:pt idx="558">
                  <c:v>7.590269805172533E-3</c:v>
                </c:pt>
                <c:pt idx="559">
                  <c:v>7.5834907122373525E-3</c:v>
                </c:pt>
                <c:pt idx="560">
                  <c:v>7.2856223545428077E-3</c:v>
                </c:pt>
                <c:pt idx="561">
                  <c:v>7.0826875856451841E-3</c:v>
                </c:pt>
                <c:pt idx="562">
                  <c:v>6.8861784824202779E-3</c:v>
                </c:pt>
                <c:pt idx="563">
                  <c:v>6.8007601646618392E-3</c:v>
                </c:pt>
                <c:pt idx="564">
                  <c:v>6.5666445172811189E-3</c:v>
                </c:pt>
                <c:pt idx="565">
                  <c:v>6.6499440941327646E-3</c:v>
                </c:pt>
                <c:pt idx="566">
                  <c:v>6.5891674022451321E-3</c:v>
                </c:pt>
                <c:pt idx="567">
                  <c:v>6.7587318060009409E-3</c:v>
                </c:pt>
                <c:pt idx="568">
                  <c:v>7.1664544180883904E-3</c:v>
                </c:pt>
                <c:pt idx="569">
                  <c:v>6.9087634203718338E-3</c:v>
                </c:pt>
                <c:pt idx="570">
                  <c:v>6.6792099660764933E-3</c:v>
                </c:pt>
                <c:pt idx="571">
                  <c:v>7.0901379574778503E-3</c:v>
                </c:pt>
                <c:pt idx="572">
                  <c:v>6.8428219429868542E-3</c:v>
                </c:pt>
                <c:pt idx="573">
                  <c:v>7.5707014743411861E-3</c:v>
                </c:pt>
                <c:pt idx="574">
                  <c:v>7.2763850935566119E-3</c:v>
                </c:pt>
                <c:pt idx="575">
                  <c:v>7.0031154206456475E-3</c:v>
                </c:pt>
                <c:pt idx="576">
                  <c:v>6.7806570576264512E-3</c:v>
                </c:pt>
                <c:pt idx="577">
                  <c:v>6.5547831967224445E-3</c:v>
                </c:pt>
                <c:pt idx="578">
                  <c:v>6.3748492877599193E-3</c:v>
                </c:pt>
                <c:pt idx="579">
                  <c:v>7.9163545789601372E-3</c:v>
                </c:pt>
                <c:pt idx="580">
                  <c:v>8.2886022700455753E-3</c:v>
                </c:pt>
                <c:pt idx="581">
                  <c:v>7.9406262527462676E-3</c:v>
                </c:pt>
                <c:pt idx="582">
                  <c:v>8.1740714635953737E-3</c:v>
                </c:pt>
                <c:pt idx="583">
                  <c:v>8.4013346326777694E-3</c:v>
                </c:pt>
                <c:pt idx="584">
                  <c:v>8.3014475655280324E-3</c:v>
                </c:pt>
                <c:pt idx="585">
                  <c:v>7.9282723812807692E-3</c:v>
                </c:pt>
                <c:pt idx="586">
                  <c:v>7.8299241226778178E-3</c:v>
                </c:pt>
                <c:pt idx="587">
                  <c:v>7.5296473408365313E-3</c:v>
                </c:pt>
                <c:pt idx="588">
                  <c:v>7.3367316912899168E-3</c:v>
                </c:pt>
                <c:pt idx="589">
                  <c:v>7.82900442902844E-3</c:v>
                </c:pt>
                <c:pt idx="590">
                  <c:v>7.4857688463525942E-3</c:v>
                </c:pt>
                <c:pt idx="591">
                  <c:v>7.1832226249999801E-3</c:v>
                </c:pt>
                <c:pt idx="592">
                  <c:v>6.9181826534459052E-3</c:v>
                </c:pt>
                <c:pt idx="593">
                  <c:v>6.7450465305184983E-3</c:v>
                </c:pt>
                <c:pt idx="594">
                  <c:v>7.3975816327464501E-3</c:v>
                </c:pt>
                <c:pt idx="595">
                  <c:v>7.1193518693080165E-3</c:v>
                </c:pt>
                <c:pt idx="596">
                  <c:v>6.9107455172538485E-3</c:v>
                </c:pt>
                <c:pt idx="597">
                  <c:v>6.8544128089245322E-3</c:v>
                </c:pt>
                <c:pt idx="598">
                  <c:v>7.3409724125524725E-3</c:v>
                </c:pt>
                <c:pt idx="599">
                  <c:v>7.2041411619863157E-3</c:v>
                </c:pt>
                <c:pt idx="600">
                  <c:v>7.2110252261695339E-3</c:v>
                </c:pt>
                <c:pt idx="601">
                  <c:v>6.9627576575612372E-3</c:v>
                </c:pt>
                <c:pt idx="602">
                  <c:v>6.7843757361671685E-3</c:v>
                </c:pt>
                <c:pt idx="603">
                  <c:v>6.6554417308120738E-3</c:v>
                </c:pt>
                <c:pt idx="604">
                  <c:v>8.4186301522468695E-3</c:v>
                </c:pt>
                <c:pt idx="605">
                  <c:v>8.023406872056606E-3</c:v>
                </c:pt>
                <c:pt idx="606">
                  <c:v>7.6612252266509469E-3</c:v>
                </c:pt>
                <c:pt idx="607">
                  <c:v>7.3700124147143675E-3</c:v>
                </c:pt>
                <c:pt idx="608">
                  <c:v>7.1710175479987185E-3</c:v>
                </c:pt>
                <c:pt idx="609">
                  <c:v>6.8965328108623932E-3</c:v>
                </c:pt>
                <c:pt idx="610">
                  <c:v>6.6544054544847731E-3</c:v>
                </c:pt>
                <c:pt idx="611">
                  <c:v>6.4629997121539665E-3</c:v>
                </c:pt>
                <c:pt idx="612">
                  <c:v>6.264852751072073E-3</c:v>
                </c:pt>
                <c:pt idx="613">
                  <c:v>6.1024861130960636E-3</c:v>
                </c:pt>
                <c:pt idx="614">
                  <c:v>5.9593184556085213E-3</c:v>
                </c:pt>
                <c:pt idx="615">
                  <c:v>5.8252552775753053E-3</c:v>
                </c:pt>
                <c:pt idx="616">
                  <c:v>6.6033081224301715E-3</c:v>
                </c:pt>
                <c:pt idx="617">
                  <c:v>6.7334642607317441E-3</c:v>
                </c:pt>
                <c:pt idx="618">
                  <c:v>6.5330379027882845E-3</c:v>
                </c:pt>
                <c:pt idx="619">
                  <c:v>6.4878164739988883E-3</c:v>
                </c:pt>
                <c:pt idx="620">
                  <c:v>6.3035735849588086E-3</c:v>
                </c:pt>
                <c:pt idx="621">
                  <c:v>6.2199617126454908E-3</c:v>
                </c:pt>
                <c:pt idx="622">
                  <c:v>6.0495923453711062E-3</c:v>
                </c:pt>
                <c:pt idx="623">
                  <c:v>5.9425968262383031E-3</c:v>
                </c:pt>
                <c:pt idx="624">
                  <c:v>5.8277628991677153E-3</c:v>
                </c:pt>
                <c:pt idx="625">
                  <c:v>5.9751958354085548E-3</c:v>
                </c:pt>
                <c:pt idx="626">
                  <c:v>6.0587801360892759E-3</c:v>
                </c:pt>
                <c:pt idx="627">
                  <c:v>5.96558773402128E-3</c:v>
                </c:pt>
                <c:pt idx="628">
                  <c:v>5.8726922990736388E-3</c:v>
                </c:pt>
                <c:pt idx="629">
                  <c:v>6.7274354112616241E-3</c:v>
                </c:pt>
                <c:pt idx="630">
                  <c:v>6.6107269522744094E-3</c:v>
                </c:pt>
                <c:pt idx="631">
                  <c:v>7.1981594971309249E-3</c:v>
                </c:pt>
                <c:pt idx="632">
                  <c:v>6.9227719347677895E-3</c:v>
                </c:pt>
                <c:pt idx="633">
                  <c:v>7.3836009102580154E-3</c:v>
                </c:pt>
                <c:pt idx="634">
                  <c:v>7.8175972108377179E-3</c:v>
                </c:pt>
                <c:pt idx="635">
                  <c:v>7.5217493875444959E-3</c:v>
                </c:pt>
                <c:pt idx="636">
                  <c:v>7.3006794480131761E-3</c:v>
                </c:pt>
                <c:pt idx="637">
                  <c:v>7.0125487172321048E-3</c:v>
                </c:pt>
                <c:pt idx="638">
                  <c:v>7.1247627298848251E-3</c:v>
                </c:pt>
                <c:pt idx="639">
                  <c:v>6.8602313506474378E-3</c:v>
                </c:pt>
                <c:pt idx="640">
                  <c:v>6.7219783222107676E-3</c:v>
                </c:pt>
                <c:pt idx="641">
                  <c:v>6.5284178677864676E-3</c:v>
                </c:pt>
                <c:pt idx="642">
                  <c:v>6.5171137414414739E-3</c:v>
                </c:pt>
                <c:pt idx="643">
                  <c:v>6.3238404901901661E-3</c:v>
                </c:pt>
                <c:pt idx="644">
                  <c:v>6.2141195125542071E-3</c:v>
                </c:pt>
                <c:pt idx="645">
                  <c:v>6.1420650440069486E-3</c:v>
                </c:pt>
                <c:pt idx="646">
                  <c:v>6.1126922696014326E-3</c:v>
                </c:pt>
                <c:pt idx="647">
                  <c:v>6.0050136673510269E-3</c:v>
                </c:pt>
                <c:pt idx="648">
                  <c:v>6.2331656527370334E-3</c:v>
                </c:pt>
                <c:pt idx="649">
                  <c:v>6.0911236440575897E-3</c:v>
                </c:pt>
                <c:pt idx="650">
                  <c:v>6.3647473529798307E-3</c:v>
                </c:pt>
                <c:pt idx="651">
                  <c:v>6.2456426675520623E-3</c:v>
                </c:pt>
                <c:pt idx="652">
                  <c:v>6.0765794243249132E-3</c:v>
                </c:pt>
                <c:pt idx="653">
                  <c:v>6.1683872995726835E-3</c:v>
                </c:pt>
                <c:pt idx="654">
                  <c:v>6.0173836134908027E-3</c:v>
                </c:pt>
                <c:pt idx="655">
                  <c:v>5.8718013261633275E-3</c:v>
                </c:pt>
                <c:pt idx="656">
                  <c:v>6.2509958726779218E-3</c:v>
                </c:pt>
                <c:pt idx="657">
                  <c:v>6.174161039175472E-3</c:v>
                </c:pt>
                <c:pt idx="658">
                  <c:v>6.1917873594405197E-3</c:v>
                </c:pt>
                <c:pt idx="659">
                  <c:v>6.0672380911688788E-3</c:v>
                </c:pt>
                <c:pt idx="660">
                  <c:v>5.977046673268563E-3</c:v>
                </c:pt>
                <c:pt idx="661">
                  <c:v>6.2816273868412818E-3</c:v>
                </c:pt>
                <c:pt idx="662">
                  <c:v>6.1040733452202792E-3</c:v>
                </c:pt>
                <c:pt idx="663">
                  <c:v>5.9671453678626848E-3</c:v>
                </c:pt>
                <c:pt idx="664">
                  <c:v>5.8334845621001987E-3</c:v>
                </c:pt>
                <c:pt idx="665">
                  <c:v>5.7296570368708544E-3</c:v>
                </c:pt>
                <c:pt idx="666">
                  <c:v>5.6188434543047172E-3</c:v>
                </c:pt>
                <c:pt idx="667">
                  <c:v>5.5205738524108103E-3</c:v>
                </c:pt>
                <c:pt idx="668">
                  <c:v>5.454030229858753E-3</c:v>
                </c:pt>
                <c:pt idx="669">
                  <c:v>5.6913238048087412E-3</c:v>
                </c:pt>
                <c:pt idx="670">
                  <c:v>5.9348244943556623E-3</c:v>
                </c:pt>
                <c:pt idx="671">
                  <c:v>6.0245599135766896E-3</c:v>
                </c:pt>
                <c:pt idx="672">
                  <c:v>6.3527470283547306E-3</c:v>
                </c:pt>
                <c:pt idx="673">
                  <c:v>6.17833266237561E-3</c:v>
                </c:pt>
                <c:pt idx="674">
                  <c:v>6.3867939486581937E-3</c:v>
                </c:pt>
                <c:pt idx="675">
                  <c:v>6.2293292148057891E-3</c:v>
                </c:pt>
                <c:pt idx="676">
                  <c:v>6.1766971068644471E-3</c:v>
                </c:pt>
                <c:pt idx="677">
                  <c:v>6.0506582756763537E-3</c:v>
                </c:pt>
                <c:pt idx="678">
                  <c:v>5.9136963965596701E-3</c:v>
                </c:pt>
                <c:pt idx="679">
                  <c:v>5.8565306698665342E-3</c:v>
                </c:pt>
                <c:pt idx="680">
                  <c:v>6.0166287985992991E-3</c:v>
                </c:pt>
                <c:pt idx="681">
                  <c:v>5.9926289230368699E-3</c:v>
                </c:pt>
                <c:pt idx="682">
                  <c:v>5.8626616555454772E-3</c:v>
                </c:pt>
                <c:pt idx="683">
                  <c:v>6.0395365287454423E-3</c:v>
                </c:pt>
                <c:pt idx="684">
                  <c:v>6.0428507349512177E-3</c:v>
                </c:pt>
                <c:pt idx="685">
                  <c:v>5.8931306449523675E-3</c:v>
                </c:pt>
                <c:pt idx="686">
                  <c:v>5.7844044035901968E-3</c:v>
                </c:pt>
                <c:pt idx="687">
                  <c:v>5.6660041019700154E-3</c:v>
                </c:pt>
                <c:pt idx="688">
                  <c:v>5.5678724852546027E-3</c:v>
                </c:pt>
                <c:pt idx="689">
                  <c:v>5.4907193521907564E-3</c:v>
                </c:pt>
                <c:pt idx="690">
                  <c:v>5.6851476528548689E-3</c:v>
                </c:pt>
                <c:pt idx="691">
                  <c:v>5.6081295775041251E-3</c:v>
                </c:pt>
                <c:pt idx="692">
                  <c:v>5.52584036496422E-3</c:v>
                </c:pt>
                <c:pt idx="693">
                  <c:v>5.7599691641153335E-3</c:v>
                </c:pt>
                <c:pt idx="694">
                  <c:v>5.7777469340975227E-3</c:v>
                </c:pt>
                <c:pt idx="695">
                  <c:v>5.8917876418672997E-3</c:v>
                </c:pt>
                <c:pt idx="696">
                  <c:v>5.7832277645240267E-3</c:v>
                </c:pt>
                <c:pt idx="697">
                  <c:v>5.7688204682951223E-3</c:v>
                </c:pt>
                <c:pt idx="698">
                  <c:v>5.6521053953191751E-3</c:v>
                </c:pt>
                <c:pt idx="699">
                  <c:v>6.0979229700350553E-3</c:v>
                </c:pt>
                <c:pt idx="700">
                  <c:v>5.9617351225277615E-3</c:v>
                </c:pt>
                <c:pt idx="701">
                  <c:v>6.0962556454249583E-3</c:v>
                </c:pt>
                <c:pt idx="702">
                  <c:v>5.967941786531668E-3</c:v>
                </c:pt>
                <c:pt idx="703">
                  <c:v>5.8409653245462484E-3</c:v>
                </c:pt>
                <c:pt idx="704">
                  <c:v>5.7502058246902289E-3</c:v>
                </c:pt>
                <c:pt idx="705">
                  <c:v>5.636354733905803E-3</c:v>
                </c:pt>
                <c:pt idx="706">
                  <c:v>5.5370951984522942E-3</c:v>
                </c:pt>
                <c:pt idx="707">
                  <c:v>5.5039601397257757E-3</c:v>
                </c:pt>
                <c:pt idx="708">
                  <c:v>5.435021619590575E-3</c:v>
                </c:pt>
                <c:pt idx="709">
                  <c:v>5.3606664230892876E-3</c:v>
                </c:pt>
                <c:pt idx="710">
                  <c:v>5.3262408737405542E-3</c:v>
                </c:pt>
                <c:pt idx="711">
                  <c:v>5.2784447042482641E-3</c:v>
                </c:pt>
                <c:pt idx="712">
                  <c:v>5.2300599919513132E-3</c:v>
                </c:pt>
                <c:pt idx="713">
                  <c:v>6.5232464401261472E-3</c:v>
                </c:pt>
                <c:pt idx="714">
                  <c:v>6.3370878216850515E-3</c:v>
                </c:pt>
                <c:pt idx="715">
                  <c:v>6.1531742616416554E-3</c:v>
                </c:pt>
                <c:pt idx="716">
                  <c:v>6.0695386975392254E-3</c:v>
                </c:pt>
                <c:pt idx="717">
                  <c:v>5.9266953820697561E-3</c:v>
                </c:pt>
                <c:pt idx="718">
                  <c:v>6.694848278031856E-3</c:v>
                </c:pt>
                <c:pt idx="719">
                  <c:v>6.7266990554721009E-3</c:v>
                </c:pt>
                <c:pt idx="720">
                  <c:v>6.599845475673779E-3</c:v>
                </c:pt>
                <c:pt idx="721">
                  <c:v>6.3868816886736455E-3</c:v>
                </c:pt>
                <c:pt idx="722">
                  <c:v>6.4400826731257563E-3</c:v>
                </c:pt>
                <c:pt idx="723">
                  <c:v>6.4554097383473074E-3</c:v>
                </c:pt>
                <c:pt idx="724">
                  <c:v>6.4271270317051944E-3</c:v>
                </c:pt>
                <c:pt idx="725">
                  <c:v>6.2353497410084198E-3</c:v>
                </c:pt>
                <c:pt idx="726">
                  <c:v>6.06374378164635E-3</c:v>
                </c:pt>
                <c:pt idx="727">
                  <c:v>5.9140678024269455E-3</c:v>
                </c:pt>
                <c:pt idx="728">
                  <c:v>6.148084205794848E-3</c:v>
                </c:pt>
                <c:pt idx="729">
                  <c:v>6.1300121047454708E-3</c:v>
                </c:pt>
                <c:pt idx="730">
                  <c:v>5.9855619360503426E-3</c:v>
                </c:pt>
                <c:pt idx="731">
                  <c:v>5.9333836027392669E-3</c:v>
                </c:pt>
                <c:pt idx="732">
                  <c:v>6.5076500387964177E-3</c:v>
                </c:pt>
                <c:pt idx="733">
                  <c:v>6.3046729452325891E-3</c:v>
                </c:pt>
                <c:pt idx="734">
                  <c:v>6.2420916923193286E-3</c:v>
                </c:pt>
                <c:pt idx="735">
                  <c:v>6.0886955293441812E-3</c:v>
                </c:pt>
                <c:pt idx="736">
                  <c:v>5.967107626160025E-3</c:v>
                </c:pt>
                <c:pt idx="737">
                  <c:v>6.1448795794607994E-3</c:v>
                </c:pt>
                <c:pt idx="738">
                  <c:v>6.1881105074904456E-3</c:v>
                </c:pt>
                <c:pt idx="739">
                  <c:v>6.2323950433742807E-3</c:v>
                </c:pt>
                <c:pt idx="740">
                  <c:v>6.0616071053899954E-3</c:v>
                </c:pt>
                <c:pt idx="741">
                  <c:v>6.1245497179741913E-3</c:v>
                </c:pt>
                <c:pt idx="742">
                  <c:v>6.0271034477633505E-3</c:v>
                </c:pt>
                <c:pt idx="743">
                  <c:v>6.7431874558905114E-3</c:v>
                </c:pt>
                <c:pt idx="744">
                  <c:v>6.5320697907483554E-3</c:v>
                </c:pt>
                <c:pt idx="745">
                  <c:v>6.3427543332254905E-3</c:v>
                </c:pt>
                <c:pt idx="746">
                  <c:v>6.2864716343843195E-3</c:v>
                </c:pt>
                <c:pt idx="747">
                  <c:v>6.6551706279259692E-3</c:v>
                </c:pt>
                <c:pt idx="748">
                  <c:v>6.5273405720822309E-3</c:v>
                </c:pt>
                <c:pt idx="749">
                  <c:v>6.401283928794502E-3</c:v>
                </c:pt>
                <c:pt idx="750">
                  <c:v>7.172783824601979E-3</c:v>
                </c:pt>
                <c:pt idx="751">
                  <c:v>7.1161094204815426E-3</c:v>
                </c:pt>
                <c:pt idx="752">
                  <c:v>6.8600197907177727E-3</c:v>
                </c:pt>
                <c:pt idx="753">
                  <c:v>6.7906273784998326E-3</c:v>
                </c:pt>
                <c:pt idx="754">
                  <c:v>6.7435984231806901E-3</c:v>
                </c:pt>
                <c:pt idx="755">
                  <c:v>6.5601460741660095E-3</c:v>
                </c:pt>
                <c:pt idx="756">
                  <c:v>6.469945449111913E-3</c:v>
                </c:pt>
                <c:pt idx="757">
                  <c:v>6.6211927968342519E-3</c:v>
                </c:pt>
                <c:pt idx="758">
                  <c:v>7.1673603414035185E-3</c:v>
                </c:pt>
                <c:pt idx="759">
                  <c:v>6.9693994669474757E-3</c:v>
                </c:pt>
                <c:pt idx="760">
                  <c:v>6.7155080278687119E-3</c:v>
                </c:pt>
                <c:pt idx="761">
                  <c:v>6.4901819397951655E-3</c:v>
                </c:pt>
                <c:pt idx="762">
                  <c:v>6.403507135968196E-3</c:v>
                </c:pt>
                <c:pt idx="763">
                  <c:v>7.3993922874150096E-3</c:v>
                </c:pt>
                <c:pt idx="764">
                  <c:v>7.1790936801076665E-3</c:v>
                </c:pt>
                <c:pt idx="765">
                  <c:v>8.0613513876804446E-3</c:v>
                </c:pt>
                <c:pt idx="766">
                  <c:v>7.8439820943905589E-3</c:v>
                </c:pt>
                <c:pt idx="767">
                  <c:v>7.6946143091100342E-3</c:v>
                </c:pt>
                <c:pt idx="768">
                  <c:v>7.4118900590463095E-3</c:v>
                </c:pt>
                <c:pt idx="769">
                  <c:v>7.5184640518051416E-3</c:v>
                </c:pt>
                <c:pt idx="770">
                  <c:v>7.975898062545915E-3</c:v>
                </c:pt>
                <c:pt idx="771">
                  <c:v>7.6602707867789097E-3</c:v>
                </c:pt>
                <c:pt idx="772">
                  <c:v>7.473325279843933E-3</c:v>
                </c:pt>
                <c:pt idx="773">
                  <c:v>7.166838334426529E-3</c:v>
                </c:pt>
                <c:pt idx="774">
                  <c:v>6.9091058928156856E-3</c:v>
                </c:pt>
                <c:pt idx="775">
                  <c:v>6.8269518018493546E-3</c:v>
                </c:pt>
                <c:pt idx="776">
                  <c:v>6.8322695203222065E-3</c:v>
                </c:pt>
                <c:pt idx="777">
                  <c:v>6.6091386730719234E-3</c:v>
                </c:pt>
                <c:pt idx="778">
                  <c:v>6.7030465268722262E-3</c:v>
                </c:pt>
                <c:pt idx="779">
                  <c:v>6.5841919251282532E-3</c:v>
                </c:pt>
                <c:pt idx="780">
                  <c:v>6.4700495411210554E-3</c:v>
                </c:pt>
                <c:pt idx="781">
                  <c:v>6.4146283220139757E-3</c:v>
                </c:pt>
                <c:pt idx="782">
                  <c:v>6.2599383675383657E-3</c:v>
                </c:pt>
                <c:pt idx="783">
                  <c:v>6.4939954799219041E-3</c:v>
                </c:pt>
                <c:pt idx="784">
                  <c:v>7.2440982530005572E-3</c:v>
                </c:pt>
                <c:pt idx="785">
                  <c:v>9.7752562818502579E-3</c:v>
                </c:pt>
                <c:pt idx="786">
                  <c:v>9.9398682431970069E-3</c:v>
                </c:pt>
                <c:pt idx="787">
                  <c:v>9.959784717939733E-3</c:v>
                </c:pt>
                <c:pt idx="788">
                  <c:v>9.4188938065957253E-3</c:v>
                </c:pt>
                <c:pt idx="789">
                  <c:v>9.2139238127094229E-3</c:v>
                </c:pt>
                <c:pt idx="790">
                  <c:v>9.005413854400757E-3</c:v>
                </c:pt>
                <c:pt idx="791">
                  <c:v>9.1129112378841443E-3</c:v>
                </c:pt>
                <c:pt idx="792">
                  <c:v>8.7291040574629594E-3</c:v>
                </c:pt>
                <c:pt idx="793">
                  <c:v>8.3288095747157884E-3</c:v>
                </c:pt>
                <c:pt idx="794">
                  <c:v>7.9685017434009183E-3</c:v>
                </c:pt>
                <c:pt idx="795">
                  <c:v>7.6178498971301066E-3</c:v>
                </c:pt>
                <c:pt idx="796">
                  <c:v>7.4197898266050505E-3</c:v>
                </c:pt>
                <c:pt idx="797">
                  <c:v>7.1391987917762299E-3</c:v>
                </c:pt>
                <c:pt idx="798">
                  <c:v>8.2305625346880181E-3</c:v>
                </c:pt>
                <c:pt idx="799">
                  <c:v>7.9440044956249362E-3</c:v>
                </c:pt>
                <c:pt idx="800">
                  <c:v>7.8889090384748582E-3</c:v>
                </c:pt>
                <c:pt idx="801">
                  <c:v>7.5710910907456049E-3</c:v>
                </c:pt>
                <c:pt idx="802">
                  <c:v>7.3682285831774006E-3</c:v>
                </c:pt>
                <c:pt idx="803">
                  <c:v>1.3342373757486025E-2</c:v>
                </c:pt>
                <c:pt idx="804">
                  <c:v>1.466972391897353E-2</c:v>
                </c:pt>
                <c:pt idx="805">
                  <c:v>1.4539238944441958E-2</c:v>
                </c:pt>
                <c:pt idx="806">
                  <c:v>1.3610066852348826E-2</c:v>
                </c:pt>
                <c:pt idx="807">
                  <c:v>1.2829729550085734E-2</c:v>
                </c:pt>
                <c:pt idx="808">
                  <c:v>1.2039353760368555E-2</c:v>
                </c:pt>
                <c:pt idx="809">
                  <c:v>1.1349893402289594E-2</c:v>
                </c:pt>
                <c:pt idx="810">
                  <c:v>1.0704335644869396E-2</c:v>
                </c:pt>
                <c:pt idx="811">
                  <c:v>1.0093432597778548E-2</c:v>
                </c:pt>
                <c:pt idx="812">
                  <c:v>9.5803055671106647E-3</c:v>
                </c:pt>
                <c:pt idx="813">
                  <c:v>9.2011321541092261E-3</c:v>
                </c:pt>
                <c:pt idx="814">
                  <c:v>8.7283970903624247E-3</c:v>
                </c:pt>
                <c:pt idx="815">
                  <c:v>8.3885480609726323E-3</c:v>
                </c:pt>
                <c:pt idx="816">
                  <c:v>8.2320290138547855E-3</c:v>
                </c:pt>
                <c:pt idx="817">
                  <c:v>8.679004820262055E-3</c:v>
                </c:pt>
                <c:pt idx="818">
                  <c:v>8.4246100001317565E-3</c:v>
                </c:pt>
                <c:pt idx="819">
                  <c:v>8.1995277801486417E-3</c:v>
                </c:pt>
                <c:pt idx="820">
                  <c:v>8.1915587760305556E-3</c:v>
                </c:pt>
                <c:pt idx="821">
                  <c:v>7.9092587854934851E-3</c:v>
                </c:pt>
                <c:pt idx="822">
                  <c:v>7.6404919722713261E-3</c:v>
                </c:pt>
                <c:pt idx="823">
                  <c:v>7.8808502163445881E-3</c:v>
                </c:pt>
                <c:pt idx="824">
                  <c:v>7.5402859745205266E-3</c:v>
                </c:pt>
                <c:pt idx="825">
                  <c:v>7.237562854999928E-3</c:v>
                </c:pt>
                <c:pt idx="826">
                  <c:v>7.1258684796851567E-3</c:v>
                </c:pt>
                <c:pt idx="827">
                  <c:v>6.8573721146544635E-3</c:v>
                </c:pt>
                <c:pt idx="828">
                  <c:v>7.0920116147029227E-3</c:v>
                </c:pt>
                <c:pt idx="829">
                  <c:v>7.9209612193855885E-3</c:v>
                </c:pt>
                <c:pt idx="830">
                  <c:v>7.7434681951509326E-3</c:v>
                </c:pt>
                <c:pt idx="831">
                  <c:v>7.54670050024324E-3</c:v>
                </c:pt>
                <c:pt idx="832">
                  <c:v>7.3320173671423648E-3</c:v>
                </c:pt>
                <c:pt idx="833">
                  <c:v>8.4537094025160329E-3</c:v>
                </c:pt>
                <c:pt idx="834">
                  <c:v>8.4025291381567575E-3</c:v>
                </c:pt>
                <c:pt idx="835">
                  <c:v>8.0193225630625937E-3</c:v>
                </c:pt>
                <c:pt idx="836">
                  <c:v>7.6991604409109085E-3</c:v>
                </c:pt>
                <c:pt idx="837">
                  <c:v>7.3746379367942731E-3</c:v>
                </c:pt>
                <c:pt idx="838">
                  <c:v>7.2582301562641744E-3</c:v>
                </c:pt>
                <c:pt idx="839">
                  <c:v>7.0584602400699144E-3</c:v>
                </c:pt>
                <c:pt idx="840">
                  <c:v>6.9893252275433906E-3</c:v>
                </c:pt>
                <c:pt idx="841">
                  <c:v>7.0869836059386159E-3</c:v>
                </c:pt>
                <c:pt idx="842">
                  <c:v>6.8209979112391177E-3</c:v>
                </c:pt>
                <c:pt idx="843">
                  <c:v>7.289313200658825E-3</c:v>
                </c:pt>
                <c:pt idx="844">
                  <c:v>7.4731762641810735E-3</c:v>
                </c:pt>
                <c:pt idx="845">
                  <c:v>7.6277496302060849E-3</c:v>
                </c:pt>
                <c:pt idx="846">
                  <c:v>8.2563734143808638E-3</c:v>
                </c:pt>
                <c:pt idx="847">
                  <c:v>1.0056627452296955E-2</c:v>
                </c:pt>
                <c:pt idx="848">
                  <c:v>9.8553761499940405E-3</c:v>
                </c:pt>
                <c:pt idx="849">
                  <c:v>9.6485833568727281E-3</c:v>
                </c:pt>
                <c:pt idx="850">
                  <c:v>9.2225373973193192E-3</c:v>
                </c:pt>
                <c:pt idx="851">
                  <c:v>9.0488308233981959E-3</c:v>
                </c:pt>
                <c:pt idx="852">
                  <c:v>8.6333235951920363E-3</c:v>
                </c:pt>
                <c:pt idx="853">
                  <c:v>8.3357684450871498E-3</c:v>
                </c:pt>
                <c:pt idx="854">
                  <c:v>8.0562323325311918E-3</c:v>
                </c:pt>
                <c:pt idx="855">
                  <c:v>7.7117244187859405E-3</c:v>
                </c:pt>
                <c:pt idx="856">
                  <c:v>7.4004735639989763E-3</c:v>
                </c:pt>
                <c:pt idx="857">
                  <c:v>7.3070364165678386E-3</c:v>
                </c:pt>
                <c:pt idx="858">
                  <c:v>8.0308091803187667E-3</c:v>
                </c:pt>
                <c:pt idx="859">
                  <c:v>7.8713928638373572E-3</c:v>
                </c:pt>
                <c:pt idx="860">
                  <c:v>7.6026146776613348E-3</c:v>
                </c:pt>
                <c:pt idx="861">
                  <c:v>7.6714140563965061E-3</c:v>
                </c:pt>
                <c:pt idx="862">
                  <c:v>7.4378883705599154E-3</c:v>
                </c:pt>
                <c:pt idx="863">
                  <c:v>8.5804313878695328E-3</c:v>
                </c:pt>
                <c:pt idx="864">
                  <c:v>9.2033778052400469E-3</c:v>
                </c:pt>
                <c:pt idx="865">
                  <c:v>9.2620495417587382E-3</c:v>
                </c:pt>
                <c:pt idx="866">
                  <c:v>8.8347376703414096E-3</c:v>
                </c:pt>
                <c:pt idx="867">
                  <c:v>8.4467275368251323E-3</c:v>
                </c:pt>
                <c:pt idx="868">
                  <c:v>8.1162485931924322E-3</c:v>
                </c:pt>
                <c:pt idx="869">
                  <c:v>7.7497108872259437E-3</c:v>
                </c:pt>
                <c:pt idx="870">
                  <c:v>7.8149214576760575E-3</c:v>
                </c:pt>
                <c:pt idx="871">
                  <c:v>7.4766332863550715E-3</c:v>
                </c:pt>
                <c:pt idx="872">
                  <c:v>7.3667520371776558E-3</c:v>
                </c:pt>
                <c:pt idx="873">
                  <c:v>7.7797874402005104E-3</c:v>
                </c:pt>
                <c:pt idx="874">
                  <c:v>7.5129716250820749E-3</c:v>
                </c:pt>
                <c:pt idx="875">
                  <c:v>8.5118661947986025E-3</c:v>
                </c:pt>
                <c:pt idx="876">
                  <c:v>8.4528692492038676E-3</c:v>
                </c:pt>
                <c:pt idx="877">
                  <c:v>8.2682477312395909E-3</c:v>
                </c:pt>
                <c:pt idx="878">
                  <c:v>8.0325418628159201E-3</c:v>
                </c:pt>
                <c:pt idx="879">
                  <c:v>7.6724087881873838E-3</c:v>
                </c:pt>
                <c:pt idx="880">
                  <c:v>7.7675430311627356E-3</c:v>
                </c:pt>
                <c:pt idx="881">
                  <c:v>7.8484335843382446E-3</c:v>
                </c:pt>
                <c:pt idx="882">
                  <c:v>7.5995550798203552E-3</c:v>
                </c:pt>
                <c:pt idx="883">
                  <c:v>7.3069465884666469E-3</c:v>
                </c:pt>
                <c:pt idx="884">
                  <c:v>7.1568978225558574E-3</c:v>
                </c:pt>
                <c:pt idx="885">
                  <c:v>7.043057040894099E-3</c:v>
                </c:pt>
                <c:pt idx="886">
                  <c:v>6.9256502920221783E-3</c:v>
                </c:pt>
                <c:pt idx="887">
                  <c:v>6.6852964434527869E-3</c:v>
                </c:pt>
                <c:pt idx="888">
                  <c:v>6.6136912601096496E-3</c:v>
                </c:pt>
                <c:pt idx="889">
                  <c:v>7.0734108325973223E-3</c:v>
                </c:pt>
                <c:pt idx="890">
                  <c:v>7.1495503412837315E-3</c:v>
                </c:pt>
                <c:pt idx="891">
                  <c:v>7.0619029323747426E-3</c:v>
                </c:pt>
                <c:pt idx="892">
                  <c:v>7.2327032663176E-3</c:v>
                </c:pt>
                <c:pt idx="893">
                  <c:v>6.9794093883486586E-3</c:v>
                </c:pt>
                <c:pt idx="894">
                  <c:v>7.2459139051263607E-3</c:v>
                </c:pt>
                <c:pt idx="895">
                  <c:v>7.9274833802334237E-3</c:v>
                </c:pt>
                <c:pt idx="896">
                  <c:v>8.1209633806483324E-3</c:v>
                </c:pt>
                <c:pt idx="897">
                  <c:v>9.0377883163156487E-3</c:v>
                </c:pt>
                <c:pt idx="898">
                  <c:v>8.5796565403757942E-3</c:v>
                </c:pt>
                <c:pt idx="899">
                  <c:v>8.2278689725950021E-3</c:v>
                </c:pt>
                <c:pt idx="900">
                  <c:v>7.9286671918898776E-3</c:v>
                </c:pt>
                <c:pt idx="901">
                  <c:v>8.164082145569615E-3</c:v>
                </c:pt>
                <c:pt idx="902">
                  <c:v>8.3404972739547119E-3</c:v>
                </c:pt>
                <c:pt idx="903">
                  <c:v>8.6845967383682443E-3</c:v>
                </c:pt>
                <c:pt idx="904">
                  <c:v>8.3331495073076037E-3</c:v>
                </c:pt>
                <c:pt idx="905">
                  <c:v>7.9516900701034066E-3</c:v>
                </c:pt>
                <c:pt idx="906">
                  <c:v>7.5988222952560729E-3</c:v>
                </c:pt>
                <c:pt idx="907">
                  <c:v>7.4082806735196963E-3</c:v>
                </c:pt>
                <c:pt idx="908">
                  <c:v>7.1247475939303266E-3</c:v>
                </c:pt>
                <c:pt idx="909">
                  <c:v>6.8547466853362791E-3</c:v>
                </c:pt>
                <c:pt idx="910">
                  <c:v>6.6311757126947006E-3</c:v>
                </c:pt>
                <c:pt idx="911">
                  <c:v>6.5265516776848937E-3</c:v>
                </c:pt>
                <c:pt idx="912">
                  <c:v>6.3685625698100962E-3</c:v>
                </c:pt>
                <c:pt idx="913">
                  <c:v>6.2026305339623914E-3</c:v>
                </c:pt>
                <c:pt idx="914">
                  <c:v>6.1320700483927645E-3</c:v>
                </c:pt>
                <c:pt idx="915">
                  <c:v>6.1353837881308005E-3</c:v>
                </c:pt>
                <c:pt idx="916">
                  <c:v>6.2769109954655955E-3</c:v>
                </c:pt>
                <c:pt idx="917">
                  <c:v>6.2412804132941091E-3</c:v>
                </c:pt>
                <c:pt idx="918">
                  <c:v>7.3757645459414031E-3</c:v>
                </c:pt>
                <c:pt idx="919">
                  <c:v>7.7055354555827099E-3</c:v>
                </c:pt>
                <c:pt idx="920">
                  <c:v>7.4550634475069851E-3</c:v>
                </c:pt>
                <c:pt idx="921">
                  <c:v>7.5550830790595816E-3</c:v>
                </c:pt>
                <c:pt idx="922">
                  <c:v>7.2453603462486965E-3</c:v>
                </c:pt>
                <c:pt idx="923">
                  <c:v>6.9626195315893001E-3</c:v>
                </c:pt>
                <c:pt idx="924">
                  <c:v>6.8994107219372504E-3</c:v>
                </c:pt>
                <c:pt idx="925">
                  <c:v>6.8313213879576283E-3</c:v>
                </c:pt>
                <c:pt idx="926">
                  <c:v>6.740793178673694E-3</c:v>
                </c:pt>
                <c:pt idx="927">
                  <c:v>7.2499305481995334E-3</c:v>
                </c:pt>
                <c:pt idx="928">
                  <c:v>6.9746941715601047E-3</c:v>
                </c:pt>
                <c:pt idx="929">
                  <c:v>7.1303037793965319E-3</c:v>
                </c:pt>
                <c:pt idx="930">
                  <c:v>6.8745425883637761E-3</c:v>
                </c:pt>
                <c:pt idx="931">
                  <c:v>6.9897665735457566E-3</c:v>
                </c:pt>
                <c:pt idx="932">
                  <c:v>7.0696513814614698E-3</c:v>
                </c:pt>
                <c:pt idx="933">
                  <c:v>7.7616331670080667E-3</c:v>
                </c:pt>
                <c:pt idx="934">
                  <c:v>7.6850029135757643E-3</c:v>
                </c:pt>
                <c:pt idx="935">
                  <c:v>7.7689608997372041E-3</c:v>
                </c:pt>
                <c:pt idx="936">
                  <c:v>7.4849009446411909E-3</c:v>
                </c:pt>
                <c:pt idx="937">
                  <c:v>7.3303966036242568E-3</c:v>
                </c:pt>
                <c:pt idx="938">
                  <c:v>7.0839978688078597E-3</c:v>
                </c:pt>
                <c:pt idx="939">
                  <c:v>7.0115090154239763E-3</c:v>
                </c:pt>
                <c:pt idx="940">
                  <c:v>6.8865816557301786E-3</c:v>
                </c:pt>
                <c:pt idx="941">
                  <c:v>6.7501809163661225E-3</c:v>
                </c:pt>
                <c:pt idx="942">
                  <c:v>8.3202828717084867E-3</c:v>
                </c:pt>
                <c:pt idx="943">
                  <c:v>8.0625245866088342E-3</c:v>
                </c:pt>
                <c:pt idx="944">
                  <c:v>8.1275096330935739E-3</c:v>
                </c:pt>
                <c:pt idx="945">
                  <c:v>8.0254270976805112E-3</c:v>
                </c:pt>
                <c:pt idx="946">
                  <c:v>7.7959141646891106E-3</c:v>
                </c:pt>
                <c:pt idx="947">
                  <c:v>7.4568958019066755E-3</c:v>
                </c:pt>
                <c:pt idx="948">
                  <c:v>7.1544117465656819E-3</c:v>
                </c:pt>
                <c:pt idx="949">
                  <c:v>7.0118392382865873E-3</c:v>
                </c:pt>
                <c:pt idx="950">
                  <c:v>7.4677386567923512E-3</c:v>
                </c:pt>
                <c:pt idx="951">
                  <c:v>7.8860263028524731E-3</c:v>
                </c:pt>
                <c:pt idx="952">
                  <c:v>7.7716933448469094E-3</c:v>
                </c:pt>
                <c:pt idx="953">
                  <c:v>7.5609303691252525E-3</c:v>
                </c:pt>
                <c:pt idx="954">
                  <c:v>7.2613430365887606E-3</c:v>
                </c:pt>
                <c:pt idx="955">
                  <c:v>7.0132303845199268E-3</c:v>
                </c:pt>
                <c:pt idx="956">
                  <c:v>6.759516730500484E-3</c:v>
                </c:pt>
                <c:pt idx="957">
                  <c:v>6.533455300533105E-3</c:v>
                </c:pt>
                <c:pt idx="958">
                  <c:v>6.3616986608059914E-3</c:v>
                </c:pt>
                <c:pt idx="959">
                  <c:v>6.3207445008171435E-3</c:v>
                </c:pt>
                <c:pt idx="960">
                  <c:v>6.7059391801611396E-3</c:v>
                </c:pt>
                <c:pt idx="961">
                  <c:v>6.613896799113202E-3</c:v>
                </c:pt>
                <c:pt idx="962">
                  <c:v>6.4772382862104188E-3</c:v>
                </c:pt>
                <c:pt idx="963">
                  <c:v>6.4525703562761001E-3</c:v>
                </c:pt>
                <c:pt idx="964">
                  <c:v>6.2608711143931932E-3</c:v>
                </c:pt>
                <c:pt idx="965">
                  <c:v>6.0874004862644859E-3</c:v>
                </c:pt>
                <c:pt idx="966">
                  <c:v>5.9866673749926491E-3</c:v>
                </c:pt>
                <c:pt idx="967">
                  <c:v>5.8436798335679248E-3</c:v>
                </c:pt>
                <c:pt idx="968">
                  <c:v>5.7385844063384201E-3</c:v>
                </c:pt>
                <c:pt idx="969">
                  <c:v>5.7987985761470207E-3</c:v>
                </c:pt>
                <c:pt idx="970">
                  <c:v>5.7822468142465595E-3</c:v>
                </c:pt>
                <c:pt idx="971">
                  <c:v>5.6824233017625488E-3</c:v>
                </c:pt>
                <c:pt idx="972">
                  <c:v>5.6057546036630598E-3</c:v>
                </c:pt>
                <c:pt idx="973">
                  <c:v>5.54856673529218E-3</c:v>
                </c:pt>
                <c:pt idx="974">
                  <c:v>5.6672798954553079E-3</c:v>
                </c:pt>
                <c:pt idx="975">
                  <c:v>5.6091183478631443E-3</c:v>
                </c:pt>
                <c:pt idx="976">
                  <c:v>5.5211055584780278E-3</c:v>
                </c:pt>
                <c:pt idx="977">
                  <c:v>5.4750894364262595E-3</c:v>
                </c:pt>
                <c:pt idx="978">
                  <c:v>5.4120961800367389E-3</c:v>
                </c:pt>
                <c:pt idx="979">
                  <c:v>5.3406826428432416E-3</c:v>
                </c:pt>
                <c:pt idx="980">
                  <c:v>5.4476229061352043E-3</c:v>
                </c:pt>
                <c:pt idx="981">
                  <c:v>5.3728828610239976E-3</c:v>
                </c:pt>
                <c:pt idx="982">
                  <c:v>5.362172356772373E-3</c:v>
                </c:pt>
                <c:pt idx="983">
                  <c:v>5.4020130061328909E-3</c:v>
                </c:pt>
                <c:pt idx="984">
                  <c:v>6.395055638419184E-3</c:v>
                </c:pt>
                <c:pt idx="985">
                  <c:v>7.1394186049869874E-3</c:v>
                </c:pt>
                <c:pt idx="986">
                  <c:v>7.2505277280520974E-3</c:v>
                </c:pt>
                <c:pt idx="987">
                  <c:v>7.1630263389310164E-3</c:v>
                </c:pt>
                <c:pt idx="988">
                  <c:v>8.1090639483325892E-3</c:v>
                </c:pt>
                <c:pt idx="989">
                  <c:v>7.753297007110381E-3</c:v>
                </c:pt>
                <c:pt idx="990">
                  <c:v>7.4185863499829554E-3</c:v>
                </c:pt>
                <c:pt idx="991">
                  <c:v>7.5241414649392995E-3</c:v>
                </c:pt>
                <c:pt idx="992">
                  <c:v>7.5348728422179054E-3</c:v>
                </c:pt>
                <c:pt idx="993">
                  <c:v>7.2243287682841988E-3</c:v>
                </c:pt>
                <c:pt idx="994">
                  <c:v>6.9566135899741489E-3</c:v>
                </c:pt>
                <c:pt idx="995">
                  <c:v>6.7217857100079301E-3</c:v>
                </c:pt>
                <c:pt idx="996">
                  <c:v>6.5443319271526485E-3</c:v>
                </c:pt>
                <c:pt idx="997">
                  <c:v>6.3604249103675018E-3</c:v>
                </c:pt>
                <c:pt idx="998">
                  <c:v>6.3798322114802918E-3</c:v>
                </c:pt>
                <c:pt idx="999">
                  <c:v>6.3019941047733983E-3</c:v>
                </c:pt>
                <c:pt idx="1000">
                  <c:v>6.1275526788176007E-3</c:v>
                </c:pt>
                <c:pt idx="1001">
                  <c:v>5.9833958996270463E-3</c:v>
                </c:pt>
                <c:pt idx="1002">
                  <c:v>5.8882516730312043E-3</c:v>
                </c:pt>
                <c:pt idx="1003">
                  <c:v>6.5944100375564139E-3</c:v>
                </c:pt>
                <c:pt idx="1004">
                  <c:v>6.4001144753268796E-3</c:v>
                </c:pt>
                <c:pt idx="1005">
                  <c:v>6.3092081335389127E-3</c:v>
                </c:pt>
                <c:pt idx="1006">
                  <c:v>6.1848055059774403E-3</c:v>
                </c:pt>
                <c:pt idx="1007">
                  <c:v>6.1496413019477168E-3</c:v>
                </c:pt>
                <c:pt idx="1008">
                  <c:v>5.988480797713156E-3</c:v>
                </c:pt>
                <c:pt idx="1009">
                  <c:v>5.8610557571753359E-3</c:v>
                </c:pt>
                <c:pt idx="1010">
                  <c:v>5.7331295216529509E-3</c:v>
                </c:pt>
                <c:pt idx="1011">
                  <c:v>5.6312679163599191E-3</c:v>
                </c:pt>
                <c:pt idx="1012">
                  <c:v>5.8471190117538579E-3</c:v>
                </c:pt>
                <c:pt idx="1013">
                  <c:v>5.7810980468772583E-3</c:v>
                </c:pt>
                <c:pt idx="1014">
                  <c:v>6.2609258964045717E-3</c:v>
                </c:pt>
                <c:pt idx="1015">
                  <c:v>6.3826287828644473E-3</c:v>
                </c:pt>
                <c:pt idx="1016">
                  <c:v>6.1937876926873598E-3</c:v>
                </c:pt>
                <c:pt idx="1017">
                  <c:v>6.0307624650722206E-3</c:v>
                </c:pt>
                <c:pt idx="1018">
                  <c:v>6.7180734930540661E-3</c:v>
                </c:pt>
                <c:pt idx="1019">
                  <c:v>6.4914486750961512E-3</c:v>
                </c:pt>
                <c:pt idx="1020">
                  <c:v>6.3698192906124652E-3</c:v>
                </c:pt>
                <c:pt idx="1021">
                  <c:v>6.201413729878656E-3</c:v>
                </c:pt>
                <c:pt idx="1022">
                  <c:v>6.1469283572217082E-3</c:v>
                </c:pt>
                <c:pt idx="1023">
                  <c:v>6.6013993638880421E-3</c:v>
                </c:pt>
                <c:pt idx="1024">
                  <c:v>6.3887143128881999E-3</c:v>
                </c:pt>
                <c:pt idx="1025">
                  <c:v>6.294222385820049E-3</c:v>
                </c:pt>
                <c:pt idx="1026">
                  <c:v>6.1219590430656784E-3</c:v>
                </c:pt>
                <c:pt idx="1027">
                  <c:v>6.1759572530207347E-3</c:v>
                </c:pt>
                <c:pt idx="1028">
                  <c:v>6.5889012216890494E-3</c:v>
                </c:pt>
                <c:pt idx="1029">
                  <c:v>6.4201341087413996E-3</c:v>
                </c:pt>
                <c:pt idx="1030">
                  <c:v>6.7308337578401581E-3</c:v>
                </c:pt>
                <c:pt idx="1031">
                  <c:v>6.6472787237292835E-3</c:v>
                </c:pt>
                <c:pt idx="1032">
                  <c:v>6.4348784793433087E-3</c:v>
                </c:pt>
                <c:pt idx="1033">
                  <c:v>6.4509451653171086E-3</c:v>
                </c:pt>
                <c:pt idx="1034">
                  <c:v>6.2583108822823396E-3</c:v>
                </c:pt>
                <c:pt idx="1035">
                  <c:v>6.1568036922858066E-3</c:v>
                </c:pt>
                <c:pt idx="1036">
                  <c:v>5.9981066153814953E-3</c:v>
                </c:pt>
                <c:pt idx="1037">
                  <c:v>5.9011086537789689E-3</c:v>
                </c:pt>
                <c:pt idx="1038">
                  <c:v>5.9240680467079901E-3</c:v>
                </c:pt>
                <c:pt idx="1039">
                  <c:v>5.8401787925280203E-3</c:v>
                </c:pt>
                <c:pt idx="1040">
                  <c:v>5.7792724756057087E-3</c:v>
                </c:pt>
                <c:pt idx="1041">
                  <c:v>5.6671033921126667E-3</c:v>
                </c:pt>
                <c:pt idx="1042">
                  <c:v>5.581775612339121E-3</c:v>
                </c:pt>
                <c:pt idx="1043">
                  <c:v>5.7786191926319005E-3</c:v>
                </c:pt>
                <c:pt idx="1044">
                  <c:v>5.6617991854250602E-3</c:v>
                </c:pt>
                <c:pt idx="1045">
                  <c:v>5.7704349648892246E-3</c:v>
                </c:pt>
                <c:pt idx="1046">
                  <c:v>5.6988466671382514E-3</c:v>
                </c:pt>
                <c:pt idx="1047">
                  <c:v>5.5980225216148262E-3</c:v>
                </c:pt>
                <c:pt idx="1048">
                  <c:v>5.5024283390790263E-3</c:v>
                </c:pt>
                <c:pt idx="1049">
                  <c:v>5.5219734758158749E-3</c:v>
                </c:pt>
                <c:pt idx="1050">
                  <c:v>5.4661207609709734E-3</c:v>
                </c:pt>
                <c:pt idx="1051">
                  <c:v>5.3877907162533396E-3</c:v>
                </c:pt>
                <c:pt idx="1052">
                  <c:v>5.4295875513650166E-3</c:v>
                </c:pt>
                <c:pt idx="1053">
                  <c:v>5.4070293178023528E-3</c:v>
                </c:pt>
                <c:pt idx="1054">
                  <c:v>5.3553168926637048E-3</c:v>
                </c:pt>
                <c:pt idx="1055">
                  <c:v>5.3602082505318539E-3</c:v>
                </c:pt>
                <c:pt idx="1056">
                  <c:v>5.7602931313994561E-3</c:v>
                </c:pt>
                <c:pt idx="1057">
                  <c:v>5.9273665554377304E-3</c:v>
                </c:pt>
                <c:pt idx="1058">
                  <c:v>5.7916739758030224E-3</c:v>
                </c:pt>
                <c:pt idx="1059">
                  <c:v>5.7815963555408207E-3</c:v>
                </c:pt>
                <c:pt idx="1060">
                  <c:v>5.6818541026094046E-3</c:v>
                </c:pt>
                <c:pt idx="1061">
                  <c:v>5.5758331529933191E-3</c:v>
                </c:pt>
                <c:pt idx="1062">
                  <c:v>5.5260861222885893E-3</c:v>
                </c:pt>
                <c:pt idx="1063">
                  <c:v>5.7058040334690488E-3</c:v>
                </c:pt>
                <c:pt idx="1064">
                  <c:v>6.2644137612593706E-3</c:v>
                </c:pt>
                <c:pt idx="1065">
                  <c:v>6.1344440743720217E-3</c:v>
                </c:pt>
                <c:pt idx="1066">
                  <c:v>6.0579100285962388E-3</c:v>
                </c:pt>
                <c:pt idx="1067">
                  <c:v>5.9066910204378896E-3</c:v>
                </c:pt>
                <c:pt idx="1068">
                  <c:v>5.7892404661071964E-3</c:v>
                </c:pt>
                <c:pt idx="1069">
                  <c:v>5.6934700107324062E-3</c:v>
                </c:pt>
                <c:pt idx="1070">
                  <c:v>5.607229787640701E-3</c:v>
                </c:pt>
                <c:pt idx="1071">
                  <c:v>5.5272186605574503E-3</c:v>
                </c:pt>
                <c:pt idx="1072">
                  <c:v>5.4803910830300354E-3</c:v>
                </c:pt>
                <c:pt idx="1073">
                  <c:v>5.4331245917597542E-3</c:v>
                </c:pt>
                <c:pt idx="1074">
                  <c:v>5.4741004779748203E-3</c:v>
                </c:pt>
                <c:pt idx="1075">
                  <c:v>5.4069674194980001E-3</c:v>
                </c:pt>
                <c:pt idx="1076">
                  <c:v>5.348561031632156E-3</c:v>
                </c:pt>
                <c:pt idx="1077">
                  <c:v>5.2858980070768988E-3</c:v>
                </c:pt>
                <c:pt idx="1078">
                  <c:v>5.2585285814828169E-3</c:v>
                </c:pt>
                <c:pt idx="1079">
                  <c:v>5.3442326059539944E-3</c:v>
                </c:pt>
                <c:pt idx="1080">
                  <c:v>5.2984198095204433E-3</c:v>
                </c:pt>
                <c:pt idx="1081">
                  <c:v>5.6772518084359956E-3</c:v>
                </c:pt>
                <c:pt idx="1082">
                  <c:v>5.7466463846568526E-3</c:v>
                </c:pt>
                <c:pt idx="1083">
                  <c:v>5.6781372459307252E-3</c:v>
                </c:pt>
                <c:pt idx="1084">
                  <c:v>6.0608000048546972E-3</c:v>
                </c:pt>
                <c:pt idx="1085">
                  <c:v>5.9368047169875071E-3</c:v>
                </c:pt>
                <c:pt idx="1086">
                  <c:v>6.4589606699189291E-3</c:v>
                </c:pt>
                <c:pt idx="1087">
                  <c:v>6.2780381816786371E-3</c:v>
                </c:pt>
                <c:pt idx="1088">
                  <c:v>6.2245954908931094E-3</c:v>
                </c:pt>
                <c:pt idx="1089">
                  <c:v>7.4463100518599983E-3</c:v>
                </c:pt>
                <c:pt idx="1090">
                  <c:v>7.4195663040605517E-3</c:v>
                </c:pt>
                <c:pt idx="1091">
                  <c:v>7.2449380131955291E-3</c:v>
                </c:pt>
                <c:pt idx="1092">
                  <c:v>6.9877768698519789E-3</c:v>
                </c:pt>
                <c:pt idx="1093">
                  <c:v>7.1223492415006858E-3</c:v>
                </c:pt>
                <c:pt idx="1094">
                  <c:v>8.0479220381774047E-3</c:v>
                </c:pt>
                <c:pt idx="1095">
                  <c:v>7.6881876873727091E-3</c:v>
                </c:pt>
                <c:pt idx="1096">
                  <c:v>8.7994609820563272E-3</c:v>
                </c:pt>
                <c:pt idx="1097">
                  <c:v>8.3740888978334847E-3</c:v>
                </c:pt>
                <c:pt idx="1098">
                  <c:v>7.9956065788291883E-3</c:v>
                </c:pt>
                <c:pt idx="1099">
                  <c:v>7.7642635339512022E-3</c:v>
                </c:pt>
                <c:pt idx="1100">
                  <c:v>7.4302744970680913E-3</c:v>
                </c:pt>
                <c:pt idx="1101">
                  <c:v>7.1277193179961991E-3</c:v>
                </c:pt>
                <c:pt idx="1102">
                  <c:v>6.9940247284242842E-3</c:v>
                </c:pt>
                <c:pt idx="1103">
                  <c:v>6.9471780498570977E-3</c:v>
                </c:pt>
                <c:pt idx="1104">
                  <c:v>6.7339915202860555E-3</c:v>
                </c:pt>
                <c:pt idx="1105">
                  <c:v>6.5066308618481608E-3</c:v>
                </c:pt>
                <c:pt idx="1106">
                  <c:v>6.3182059253099844E-3</c:v>
                </c:pt>
                <c:pt idx="1107">
                  <c:v>6.168885947688719E-3</c:v>
                </c:pt>
                <c:pt idx="1108">
                  <c:v>6.8525631010317584E-3</c:v>
                </c:pt>
                <c:pt idx="1109">
                  <c:v>6.6252530879867006E-3</c:v>
                </c:pt>
                <c:pt idx="1110">
                  <c:v>6.4591231343734089E-3</c:v>
                </c:pt>
                <c:pt idx="1111">
                  <c:v>6.4436570009325008E-3</c:v>
                </c:pt>
                <c:pt idx="1112">
                  <c:v>6.686806459055541E-3</c:v>
                </c:pt>
                <c:pt idx="1113">
                  <c:v>6.5134425842309209E-3</c:v>
                </c:pt>
                <c:pt idx="1114">
                  <c:v>6.3105989792699444E-3</c:v>
                </c:pt>
                <c:pt idx="1115">
                  <c:v>6.1340212377654392E-3</c:v>
                </c:pt>
                <c:pt idx="1116">
                  <c:v>6.0132072747656543E-3</c:v>
                </c:pt>
                <c:pt idx="1117">
                  <c:v>5.9896748372589856E-3</c:v>
                </c:pt>
                <c:pt idx="1118">
                  <c:v>5.8468936557519863E-3</c:v>
                </c:pt>
                <c:pt idx="1119">
                  <c:v>5.7729087650642014E-3</c:v>
                </c:pt>
                <c:pt idx="1120">
                  <c:v>5.6940540169488742E-3</c:v>
                </c:pt>
                <c:pt idx="1121">
                  <c:v>5.5871158241107962E-3</c:v>
                </c:pt>
                <c:pt idx="1122">
                  <c:v>5.5198419543883931E-3</c:v>
                </c:pt>
                <c:pt idx="1123">
                  <c:v>5.4401466576320988E-3</c:v>
                </c:pt>
                <c:pt idx="1124">
                  <c:v>6.2253230065950427E-3</c:v>
                </c:pt>
                <c:pt idx="1125">
                  <c:v>6.1467853229987624E-3</c:v>
                </c:pt>
                <c:pt idx="1126">
                  <c:v>6.4003670750185527E-3</c:v>
                </c:pt>
                <c:pt idx="1127">
                  <c:v>6.2262185076174242E-3</c:v>
                </c:pt>
                <c:pt idx="1128">
                  <c:v>6.082231733292442E-3</c:v>
                </c:pt>
                <c:pt idx="1129">
                  <c:v>5.9362780720693589E-3</c:v>
                </c:pt>
                <c:pt idx="1130">
                  <c:v>5.7998732032692388E-3</c:v>
                </c:pt>
                <c:pt idx="1131">
                  <c:v>5.9518135046770218E-3</c:v>
                </c:pt>
                <c:pt idx="1132">
                  <c:v>5.8135492135368925E-3</c:v>
                </c:pt>
                <c:pt idx="1133">
                  <c:v>5.6939157645451832E-3</c:v>
                </c:pt>
                <c:pt idx="1134">
                  <c:v>5.6252368634371625E-3</c:v>
                </c:pt>
                <c:pt idx="1135">
                  <c:v>5.6168198468866722E-3</c:v>
                </c:pt>
                <c:pt idx="1136">
                  <c:v>5.5901343615129264E-3</c:v>
                </c:pt>
                <c:pt idx="1137">
                  <c:v>5.8816811006705766E-3</c:v>
                </c:pt>
                <c:pt idx="1138">
                  <c:v>6.1719498267340574E-3</c:v>
                </c:pt>
                <c:pt idx="1139">
                  <c:v>6.4110706412411301E-3</c:v>
                </c:pt>
                <c:pt idx="1140">
                  <c:v>6.2821215012785559E-3</c:v>
                </c:pt>
                <c:pt idx="1141">
                  <c:v>6.1239981262482066E-3</c:v>
                </c:pt>
                <c:pt idx="1142">
                  <c:v>5.9730912997583846E-3</c:v>
                </c:pt>
                <c:pt idx="1143">
                  <c:v>5.8571163011541961E-3</c:v>
                </c:pt>
                <c:pt idx="1144">
                  <c:v>5.8930533570041551E-3</c:v>
                </c:pt>
                <c:pt idx="1145">
                  <c:v>5.761268287466887E-3</c:v>
                </c:pt>
                <c:pt idx="1146">
                  <c:v>5.6480325424208104E-3</c:v>
                </c:pt>
                <c:pt idx="1147">
                  <c:v>5.5606808635094351E-3</c:v>
                </c:pt>
                <c:pt idx="1148">
                  <c:v>7.5849749033669919E-3</c:v>
                </c:pt>
                <c:pt idx="1149">
                  <c:v>7.2674049142773455E-3</c:v>
                </c:pt>
                <c:pt idx="1150">
                  <c:v>7.1777195672307788E-3</c:v>
                </c:pt>
                <c:pt idx="1151">
                  <c:v>6.9330998025626152E-3</c:v>
                </c:pt>
                <c:pt idx="1152">
                  <c:v>6.695136357078529E-3</c:v>
                </c:pt>
                <c:pt idx="1153">
                  <c:v>6.4711012247981575E-3</c:v>
                </c:pt>
                <c:pt idx="1154">
                  <c:v>6.4278674279624731E-3</c:v>
                </c:pt>
                <c:pt idx="1155">
                  <c:v>6.5153624454412926E-3</c:v>
                </c:pt>
                <c:pt idx="1156">
                  <c:v>6.3587022570329938E-3</c:v>
                </c:pt>
                <c:pt idx="1157">
                  <c:v>6.4825423670191278E-3</c:v>
                </c:pt>
                <c:pt idx="1158">
                  <c:v>6.457149403433852E-3</c:v>
                </c:pt>
                <c:pt idx="1159">
                  <c:v>7.3476984820981814E-3</c:v>
                </c:pt>
                <c:pt idx="1160">
                  <c:v>7.0819523906933638E-3</c:v>
                </c:pt>
                <c:pt idx="1161">
                  <c:v>6.8261731732377779E-3</c:v>
                </c:pt>
                <c:pt idx="1162">
                  <c:v>6.9488802910496377E-3</c:v>
                </c:pt>
                <c:pt idx="1163">
                  <c:v>6.7487104519961382E-3</c:v>
                </c:pt>
                <c:pt idx="1164">
                  <c:v>6.7967083335810285E-3</c:v>
                </c:pt>
                <c:pt idx="1165">
                  <c:v>6.5865512281271408E-3</c:v>
                </c:pt>
                <c:pt idx="1166">
                  <c:v>6.6184407535579181E-3</c:v>
                </c:pt>
                <c:pt idx="1167">
                  <c:v>6.4192918225112368E-3</c:v>
                </c:pt>
                <c:pt idx="1168">
                  <c:v>6.4677349904673411E-3</c:v>
                </c:pt>
                <c:pt idx="1169">
                  <c:v>8.3674914330408058E-3</c:v>
                </c:pt>
                <c:pt idx="1170">
                  <c:v>9.8412822672525723E-3</c:v>
                </c:pt>
                <c:pt idx="1171">
                  <c:v>9.309563562688165E-3</c:v>
                </c:pt>
                <c:pt idx="1172">
                  <c:v>9.1251456097137078E-3</c:v>
                </c:pt>
                <c:pt idx="1173">
                  <c:v>8.8803380560842585E-3</c:v>
                </c:pt>
                <c:pt idx="1174">
                  <c:v>8.6708920952884936E-3</c:v>
                </c:pt>
                <c:pt idx="1175">
                  <c:v>8.9585528840189586E-3</c:v>
                </c:pt>
                <c:pt idx="1176">
                  <c:v>9.407739015729959E-3</c:v>
                </c:pt>
                <c:pt idx="1177">
                  <c:v>1.0891544055333898E-2</c:v>
                </c:pt>
                <c:pt idx="1178">
                  <c:v>1.0605317904978243E-2</c:v>
                </c:pt>
                <c:pt idx="1179">
                  <c:v>1.0121960687792973E-2</c:v>
                </c:pt>
                <c:pt idx="1180">
                  <c:v>9.6824623703636557E-3</c:v>
                </c:pt>
                <c:pt idx="1181">
                  <c:v>9.5356102466252739E-3</c:v>
                </c:pt>
                <c:pt idx="1182">
                  <c:v>9.1760920025572776E-3</c:v>
                </c:pt>
                <c:pt idx="1183">
                  <c:v>8.7163475107928153E-3</c:v>
                </c:pt>
                <c:pt idx="1184">
                  <c:v>8.333951391788226E-3</c:v>
                </c:pt>
                <c:pt idx="1185">
                  <c:v>7.9636032917333021E-3</c:v>
                </c:pt>
                <c:pt idx="1186">
                  <c:v>7.6492625601159679E-3</c:v>
                </c:pt>
                <c:pt idx="1187">
                  <c:v>7.7111889979066114E-3</c:v>
                </c:pt>
                <c:pt idx="1188">
                  <c:v>7.4068434989368135E-3</c:v>
                </c:pt>
                <c:pt idx="1189">
                  <c:v>7.5426086870792695E-3</c:v>
                </c:pt>
                <c:pt idx="1190">
                  <c:v>7.5104942191871566E-3</c:v>
                </c:pt>
                <c:pt idx="1191">
                  <c:v>7.6592053199432677E-3</c:v>
                </c:pt>
                <c:pt idx="1192">
                  <c:v>7.6112946530046939E-3</c:v>
                </c:pt>
                <c:pt idx="1193">
                  <c:v>8.5564515919101629E-3</c:v>
                </c:pt>
                <c:pt idx="1194">
                  <c:v>8.5957270327507752E-3</c:v>
                </c:pt>
                <c:pt idx="1195">
                  <c:v>8.3875135222200945E-3</c:v>
                </c:pt>
                <c:pt idx="1196">
                  <c:v>8.4327653385541483E-3</c:v>
                </c:pt>
                <c:pt idx="1197">
                  <c:v>8.250575027925618E-3</c:v>
                </c:pt>
                <c:pt idx="1198">
                  <c:v>7.8824722951811484E-3</c:v>
                </c:pt>
                <c:pt idx="1199">
                  <c:v>7.5932290613116345E-3</c:v>
                </c:pt>
                <c:pt idx="1200">
                  <c:v>7.5314387117918517E-3</c:v>
                </c:pt>
                <c:pt idx="1201">
                  <c:v>7.4212200809186547E-3</c:v>
                </c:pt>
                <c:pt idx="1202">
                  <c:v>7.1942611719435926E-3</c:v>
                </c:pt>
                <c:pt idx="1203">
                  <c:v>6.9663180425079815E-3</c:v>
                </c:pt>
                <c:pt idx="1204">
                  <c:v>7.182741535977615E-3</c:v>
                </c:pt>
                <c:pt idx="1205">
                  <c:v>6.9631968063300154E-3</c:v>
                </c:pt>
                <c:pt idx="1206">
                  <c:v>6.8740500437450463E-3</c:v>
                </c:pt>
                <c:pt idx="1207">
                  <c:v>6.6313863022568389E-3</c:v>
                </c:pt>
                <c:pt idx="1208">
                  <c:v>6.6645684673479564E-3</c:v>
                </c:pt>
                <c:pt idx="1209">
                  <c:v>6.4669007718638483E-3</c:v>
                </c:pt>
                <c:pt idx="1210">
                  <c:v>6.3000022493852025E-3</c:v>
                </c:pt>
                <c:pt idx="1211">
                  <c:v>6.3429018994395504E-3</c:v>
                </c:pt>
                <c:pt idx="1212">
                  <c:v>6.7828194990220162E-3</c:v>
                </c:pt>
                <c:pt idx="1213">
                  <c:v>6.5883224845758532E-3</c:v>
                </c:pt>
                <c:pt idx="1214">
                  <c:v>6.3825235489452506E-3</c:v>
                </c:pt>
                <c:pt idx="1215">
                  <c:v>6.2839000265337971E-3</c:v>
                </c:pt>
                <c:pt idx="1216">
                  <c:v>6.2792512744535654E-3</c:v>
                </c:pt>
                <c:pt idx="1217">
                  <c:v>6.144054508481247E-3</c:v>
                </c:pt>
                <c:pt idx="1218">
                  <c:v>6.0324755627451897E-3</c:v>
                </c:pt>
                <c:pt idx="1219">
                  <c:v>6.2657400955959848E-3</c:v>
                </c:pt>
                <c:pt idx="1220">
                  <c:v>6.256974200373586E-3</c:v>
                </c:pt>
                <c:pt idx="1221">
                  <c:v>6.8936865849135581E-3</c:v>
                </c:pt>
                <c:pt idx="1222">
                  <c:v>8.8416409232575672E-3</c:v>
                </c:pt>
                <c:pt idx="1223">
                  <c:v>8.6236318599172516E-3</c:v>
                </c:pt>
                <c:pt idx="1224">
                  <c:v>8.5027344135005043E-3</c:v>
                </c:pt>
                <c:pt idx="1225">
                  <c:v>8.6466246079600854E-3</c:v>
                </c:pt>
                <c:pt idx="1226">
                  <c:v>8.2624280053397187E-3</c:v>
                </c:pt>
                <c:pt idx="1227">
                  <c:v>8.2542779752451875E-3</c:v>
                </c:pt>
                <c:pt idx="1228">
                  <c:v>8.0146742929898072E-3</c:v>
                </c:pt>
                <c:pt idx="1229">
                  <c:v>7.6892082230522506E-3</c:v>
                </c:pt>
                <c:pt idx="1230">
                  <c:v>7.4323466375167298E-3</c:v>
                </c:pt>
                <c:pt idx="1231">
                  <c:v>7.1656282882934684E-3</c:v>
                </c:pt>
                <c:pt idx="1232">
                  <c:v>6.8979925133891319E-3</c:v>
                </c:pt>
                <c:pt idx="1233">
                  <c:v>6.7036650617249595E-3</c:v>
                </c:pt>
                <c:pt idx="1234">
                  <c:v>6.9965581745880428E-3</c:v>
                </c:pt>
                <c:pt idx="1235">
                  <c:v>7.0249002621254513E-3</c:v>
                </c:pt>
                <c:pt idx="1236">
                  <c:v>6.7699298223137102E-3</c:v>
                </c:pt>
                <c:pt idx="1237">
                  <c:v>6.7910142096601379E-3</c:v>
                </c:pt>
                <c:pt idx="1238">
                  <c:v>6.7117609042270515E-3</c:v>
                </c:pt>
                <c:pt idx="1239">
                  <c:v>6.9817677391038483E-3</c:v>
                </c:pt>
                <c:pt idx="1240">
                  <c:v>6.7286921453335469E-3</c:v>
                </c:pt>
                <c:pt idx="1241">
                  <c:v>7.3177417728545512E-3</c:v>
                </c:pt>
                <c:pt idx="1242">
                  <c:v>7.2931469271752944E-3</c:v>
                </c:pt>
                <c:pt idx="1243">
                  <c:v>8.3771895264720085E-3</c:v>
                </c:pt>
                <c:pt idx="1244">
                  <c:v>8.1079074432461439E-3</c:v>
                </c:pt>
                <c:pt idx="1245">
                  <c:v>7.74118682809117E-3</c:v>
                </c:pt>
                <c:pt idx="1246">
                  <c:v>7.4210481872398005E-3</c:v>
                </c:pt>
                <c:pt idx="1247">
                  <c:v>7.178503645756922E-3</c:v>
                </c:pt>
                <c:pt idx="1248">
                  <c:v>1.2097789672395042E-2</c:v>
                </c:pt>
                <c:pt idx="1249">
                  <c:v>1.1405553349432234E-2</c:v>
                </c:pt>
                <c:pt idx="1250">
                  <c:v>1.0919591933665861E-2</c:v>
                </c:pt>
                <c:pt idx="1251">
                  <c:v>1.1025894415994603E-2</c:v>
                </c:pt>
                <c:pt idx="1252">
                  <c:v>1.0669154378035851E-2</c:v>
                </c:pt>
                <c:pt idx="1253">
                  <c:v>1.0136181735576184E-2</c:v>
                </c:pt>
                <c:pt idx="1254">
                  <c:v>9.5958681206780132E-3</c:v>
                </c:pt>
                <c:pt idx="1255">
                  <c:v>9.1672051292530539E-3</c:v>
                </c:pt>
                <c:pt idx="1256">
                  <c:v>9.6401749267077032E-3</c:v>
                </c:pt>
                <c:pt idx="1257">
                  <c:v>9.9133183246423017E-3</c:v>
                </c:pt>
                <c:pt idx="1258">
                  <c:v>1.0476029169386572E-2</c:v>
                </c:pt>
                <c:pt idx="1259">
                  <c:v>1.1403177078703754E-2</c:v>
                </c:pt>
                <c:pt idx="1260">
                  <c:v>1.0734659008421549E-2</c:v>
                </c:pt>
                <c:pt idx="1261">
                  <c:v>1.0123736901115862E-2</c:v>
                </c:pt>
                <c:pt idx="1262">
                  <c:v>9.5734159795192505E-3</c:v>
                </c:pt>
                <c:pt idx="1263">
                  <c:v>9.5885186832325876E-3</c:v>
                </c:pt>
                <c:pt idx="1264">
                  <c:v>9.0916949687482231E-3</c:v>
                </c:pt>
                <c:pt idx="1265">
                  <c:v>8.7181956211561384E-3</c:v>
                </c:pt>
                <c:pt idx="1266">
                  <c:v>8.2891887439425303E-3</c:v>
                </c:pt>
                <c:pt idx="1267">
                  <c:v>7.9441114826360043E-3</c:v>
                </c:pt>
                <c:pt idx="1268">
                  <c:v>7.7293482361028946E-3</c:v>
                </c:pt>
                <c:pt idx="1269">
                  <c:v>7.4461722439198956E-3</c:v>
                </c:pt>
                <c:pt idx="1270">
                  <c:v>7.7301820318109362E-3</c:v>
                </c:pt>
                <c:pt idx="1271">
                  <c:v>7.608161632778436E-3</c:v>
                </c:pt>
                <c:pt idx="1272">
                  <c:v>7.2918942557396709E-3</c:v>
                </c:pt>
                <c:pt idx="1273">
                  <c:v>8.9849531083594104E-3</c:v>
                </c:pt>
                <c:pt idx="1274">
                  <c:v>8.6905170496677439E-3</c:v>
                </c:pt>
                <c:pt idx="1275">
                  <c:v>8.3633384406053193E-3</c:v>
                </c:pt>
                <c:pt idx="1276">
                  <c:v>7.9774012193830051E-3</c:v>
                </c:pt>
                <c:pt idx="1277">
                  <c:v>8.5881990378857357E-3</c:v>
                </c:pt>
                <c:pt idx="1278">
                  <c:v>8.1832992839267482E-3</c:v>
                </c:pt>
                <c:pt idx="1279">
                  <c:v>9.2517139764809152E-3</c:v>
                </c:pt>
                <c:pt idx="1280">
                  <c:v>8.8054494032752065E-3</c:v>
                </c:pt>
                <c:pt idx="1281">
                  <c:v>9.1973307987058793E-3</c:v>
                </c:pt>
                <c:pt idx="1282">
                  <c:v>9.1472021262036119E-3</c:v>
                </c:pt>
                <c:pt idx="1283">
                  <c:v>9.2434193976042231E-3</c:v>
                </c:pt>
                <c:pt idx="1284">
                  <c:v>8.8211678435837874E-3</c:v>
                </c:pt>
                <c:pt idx="1285">
                  <c:v>1.0688475179565057E-2</c:v>
                </c:pt>
                <c:pt idx="1286">
                  <c:v>1.0276810378780116E-2</c:v>
                </c:pt>
                <c:pt idx="1287">
                  <c:v>1.151615270034248E-2</c:v>
                </c:pt>
                <c:pt idx="1288">
                  <c:v>1.3173771728001099E-2</c:v>
                </c:pt>
                <c:pt idx="1289">
                  <c:v>1.3966477242906927E-2</c:v>
                </c:pt>
                <c:pt idx="1290">
                  <c:v>1.3129880523970136E-2</c:v>
                </c:pt>
                <c:pt idx="1291">
                  <c:v>1.2717688518986421E-2</c:v>
                </c:pt>
                <c:pt idx="1292">
                  <c:v>1.1962908108895229E-2</c:v>
                </c:pt>
                <c:pt idx="1293">
                  <c:v>1.2211463677850642E-2</c:v>
                </c:pt>
                <c:pt idx="1294">
                  <c:v>1.1621054560250739E-2</c:v>
                </c:pt>
                <c:pt idx="1295">
                  <c:v>1.1460295911588085E-2</c:v>
                </c:pt>
                <c:pt idx="1296">
                  <c:v>1.1285788984390093E-2</c:v>
                </c:pt>
                <c:pt idx="1297">
                  <c:v>1.0685471903488888E-2</c:v>
                </c:pt>
                <c:pt idx="1298">
                  <c:v>1.0891080912069659E-2</c:v>
                </c:pt>
                <c:pt idx="1299">
                  <c:v>1.131611177655603E-2</c:v>
                </c:pt>
                <c:pt idx="1300">
                  <c:v>1.1374578588907903E-2</c:v>
                </c:pt>
                <c:pt idx="1301">
                  <c:v>1.1346401778635697E-2</c:v>
                </c:pt>
              </c:numCache>
            </c:numRef>
          </c:val>
          <c:smooth val="0"/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cat>
            <c:numRef>
              <c:f>'Garch(1,1) Dollar'!$A$15:$A$1316</c:f>
              <c:numCache>
                <c:formatCode>m/d/yyyy</c:formatCode>
                <c:ptCount val="1302"/>
                <c:pt idx="0">
                  <c:v>40281</c:v>
                </c:pt>
                <c:pt idx="1">
                  <c:v>40282</c:v>
                </c:pt>
                <c:pt idx="2">
                  <c:v>40283</c:v>
                </c:pt>
                <c:pt idx="3">
                  <c:v>40284</c:v>
                </c:pt>
                <c:pt idx="4">
                  <c:v>40287</c:v>
                </c:pt>
                <c:pt idx="5">
                  <c:v>40288</c:v>
                </c:pt>
                <c:pt idx="6">
                  <c:v>40289</c:v>
                </c:pt>
                <c:pt idx="7">
                  <c:v>40290</c:v>
                </c:pt>
                <c:pt idx="8">
                  <c:v>40291</c:v>
                </c:pt>
                <c:pt idx="9">
                  <c:v>40294</c:v>
                </c:pt>
                <c:pt idx="10">
                  <c:v>40295</c:v>
                </c:pt>
                <c:pt idx="11">
                  <c:v>40296</c:v>
                </c:pt>
                <c:pt idx="12">
                  <c:v>40297</c:v>
                </c:pt>
                <c:pt idx="13">
                  <c:v>40298</c:v>
                </c:pt>
                <c:pt idx="14">
                  <c:v>40301</c:v>
                </c:pt>
                <c:pt idx="15">
                  <c:v>40302</c:v>
                </c:pt>
                <c:pt idx="16">
                  <c:v>40303</c:v>
                </c:pt>
                <c:pt idx="17">
                  <c:v>40304</c:v>
                </c:pt>
                <c:pt idx="18">
                  <c:v>40305</c:v>
                </c:pt>
                <c:pt idx="19">
                  <c:v>40308</c:v>
                </c:pt>
                <c:pt idx="20">
                  <c:v>40309</c:v>
                </c:pt>
                <c:pt idx="21">
                  <c:v>40310</c:v>
                </c:pt>
                <c:pt idx="22">
                  <c:v>40311</c:v>
                </c:pt>
                <c:pt idx="23">
                  <c:v>40312</c:v>
                </c:pt>
                <c:pt idx="24">
                  <c:v>40315</c:v>
                </c:pt>
                <c:pt idx="25">
                  <c:v>40316</c:v>
                </c:pt>
                <c:pt idx="26">
                  <c:v>40317</c:v>
                </c:pt>
                <c:pt idx="27">
                  <c:v>40318</c:v>
                </c:pt>
                <c:pt idx="28">
                  <c:v>40319</c:v>
                </c:pt>
                <c:pt idx="29">
                  <c:v>40322</c:v>
                </c:pt>
                <c:pt idx="30">
                  <c:v>40323</c:v>
                </c:pt>
                <c:pt idx="31">
                  <c:v>40324</c:v>
                </c:pt>
                <c:pt idx="32">
                  <c:v>40325</c:v>
                </c:pt>
                <c:pt idx="33">
                  <c:v>40326</c:v>
                </c:pt>
                <c:pt idx="34">
                  <c:v>40329</c:v>
                </c:pt>
                <c:pt idx="35">
                  <c:v>40330</c:v>
                </c:pt>
                <c:pt idx="36">
                  <c:v>40331</c:v>
                </c:pt>
                <c:pt idx="37">
                  <c:v>40332</c:v>
                </c:pt>
                <c:pt idx="38">
                  <c:v>40333</c:v>
                </c:pt>
                <c:pt idx="39">
                  <c:v>40336</c:v>
                </c:pt>
                <c:pt idx="40">
                  <c:v>40337</c:v>
                </c:pt>
                <c:pt idx="41">
                  <c:v>40338</c:v>
                </c:pt>
                <c:pt idx="42">
                  <c:v>40339</c:v>
                </c:pt>
                <c:pt idx="43">
                  <c:v>40340</c:v>
                </c:pt>
                <c:pt idx="44">
                  <c:v>40343</c:v>
                </c:pt>
                <c:pt idx="45">
                  <c:v>40344</c:v>
                </c:pt>
                <c:pt idx="46">
                  <c:v>40345</c:v>
                </c:pt>
                <c:pt idx="47">
                  <c:v>40346</c:v>
                </c:pt>
                <c:pt idx="48">
                  <c:v>40347</c:v>
                </c:pt>
                <c:pt idx="49">
                  <c:v>40350</c:v>
                </c:pt>
                <c:pt idx="50">
                  <c:v>40351</c:v>
                </c:pt>
                <c:pt idx="51">
                  <c:v>40352</c:v>
                </c:pt>
                <c:pt idx="52">
                  <c:v>40353</c:v>
                </c:pt>
                <c:pt idx="53">
                  <c:v>40354</c:v>
                </c:pt>
                <c:pt idx="54">
                  <c:v>40357</c:v>
                </c:pt>
                <c:pt idx="55">
                  <c:v>40358</c:v>
                </c:pt>
                <c:pt idx="56">
                  <c:v>40359</c:v>
                </c:pt>
                <c:pt idx="57">
                  <c:v>40360</c:v>
                </c:pt>
                <c:pt idx="58">
                  <c:v>40361</c:v>
                </c:pt>
                <c:pt idx="59">
                  <c:v>40364</c:v>
                </c:pt>
                <c:pt idx="60">
                  <c:v>40365</c:v>
                </c:pt>
                <c:pt idx="61">
                  <c:v>40366</c:v>
                </c:pt>
                <c:pt idx="62">
                  <c:v>40367</c:v>
                </c:pt>
                <c:pt idx="63">
                  <c:v>40368</c:v>
                </c:pt>
                <c:pt idx="64">
                  <c:v>40371</c:v>
                </c:pt>
                <c:pt idx="65">
                  <c:v>40372</c:v>
                </c:pt>
                <c:pt idx="66">
                  <c:v>40373</c:v>
                </c:pt>
                <c:pt idx="67">
                  <c:v>40374</c:v>
                </c:pt>
                <c:pt idx="68">
                  <c:v>40375</c:v>
                </c:pt>
                <c:pt idx="69">
                  <c:v>40378</c:v>
                </c:pt>
                <c:pt idx="70">
                  <c:v>40379</c:v>
                </c:pt>
                <c:pt idx="71">
                  <c:v>40380</c:v>
                </c:pt>
                <c:pt idx="72">
                  <c:v>40381</c:v>
                </c:pt>
                <c:pt idx="73">
                  <c:v>40382</c:v>
                </c:pt>
                <c:pt idx="74">
                  <c:v>40385</c:v>
                </c:pt>
                <c:pt idx="75">
                  <c:v>40386</c:v>
                </c:pt>
                <c:pt idx="76">
                  <c:v>40387</c:v>
                </c:pt>
                <c:pt idx="77">
                  <c:v>40388</c:v>
                </c:pt>
                <c:pt idx="78">
                  <c:v>40389</c:v>
                </c:pt>
                <c:pt idx="79">
                  <c:v>40392</c:v>
                </c:pt>
                <c:pt idx="80">
                  <c:v>40393</c:v>
                </c:pt>
                <c:pt idx="81">
                  <c:v>40394</c:v>
                </c:pt>
                <c:pt idx="82">
                  <c:v>40395</c:v>
                </c:pt>
                <c:pt idx="83">
                  <c:v>40396</c:v>
                </c:pt>
                <c:pt idx="84">
                  <c:v>40399</c:v>
                </c:pt>
                <c:pt idx="85">
                  <c:v>40400</c:v>
                </c:pt>
                <c:pt idx="86">
                  <c:v>40401</c:v>
                </c:pt>
                <c:pt idx="87">
                  <c:v>40402</c:v>
                </c:pt>
                <c:pt idx="88">
                  <c:v>40403</c:v>
                </c:pt>
                <c:pt idx="89">
                  <c:v>40406</c:v>
                </c:pt>
                <c:pt idx="90">
                  <c:v>40407</c:v>
                </c:pt>
                <c:pt idx="91">
                  <c:v>40408</c:v>
                </c:pt>
                <c:pt idx="92">
                  <c:v>40409</c:v>
                </c:pt>
                <c:pt idx="93">
                  <c:v>40410</c:v>
                </c:pt>
                <c:pt idx="94">
                  <c:v>40413</c:v>
                </c:pt>
                <c:pt idx="95">
                  <c:v>40414</c:v>
                </c:pt>
                <c:pt idx="96">
                  <c:v>40415</c:v>
                </c:pt>
                <c:pt idx="97">
                  <c:v>40416</c:v>
                </c:pt>
                <c:pt idx="98">
                  <c:v>40417</c:v>
                </c:pt>
                <c:pt idx="99">
                  <c:v>40420</c:v>
                </c:pt>
                <c:pt idx="100">
                  <c:v>40421</c:v>
                </c:pt>
                <c:pt idx="101">
                  <c:v>40422</c:v>
                </c:pt>
                <c:pt idx="102">
                  <c:v>40423</c:v>
                </c:pt>
                <c:pt idx="103">
                  <c:v>40424</c:v>
                </c:pt>
                <c:pt idx="104">
                  <c:v>40427</c:v>
                </c:pt>
                <c:pt idx="105">
                  <c:v>40428</c:v>
                </c:pt>
                <c:pt idx="106">
                  <c:v>40429</c:v>
                </c:pt>
                <c:pt idx="107">
                  <c:v>40430</c:v>
                </c:pt>
                <c:pt idx="108">
                  <c:v>40431</c:v>
                </c:pt>
                <c:pt idx="109">
                  <c:v>40434</c:v>
                </c:pt>
                <c:pt idx="110">
                  <c:v>40435</c:v>
                </c:pt>
                <c:pt idx="111">
                  <c:v>40436</c:v>
                </c:pt>
                <c:pt idx="112">
                  <c:v>40437</c:v>
                </c:pt>
                <c:pt idx="113">
                  <c:v>40438</c:v>
                </c:pt>
                <c:pt idx="114">
                  <c:v>40441</c:v>
                </c:pt>
                <c:pt idx="115">
                  <c:v>40442</c:v>
                </c:pt>
                <c:pt idx="116">
                  <c:v>40443</c:v>
                </c:pt>
                <c:pt idx="117">
                  <c:v>40444</c:v>
                </c:pt>
                <c:pt idx="118">
                  <c:v>40445</c:v>
                </c:pt>
                <c:pt idx="119">
                  <c:v>40448</c:v>
                </c:pt>
                <c:pt idx="120">
                  <c:v>40449</c:v>
                </c:pt>
                <c:pt idx="121">
                  <c:v>40450</c:v>
                </c:pt>
                <c:pt idx="122">
                  <c:v>40451</c:v>
                </c:pt>
                <c:pt idx="123">
                  <c:v>40452</c:v>
                </c:pt>
                <c:pt idx="124">
                  <c:v>40455</c:v>
                </c:pt>
                <c:pt idx="125">
                  <c:v>40456</c:v>
                </c:pt>
                <c:pt idx="126">
                  <c:v>40457</c:v>
                </c:pt>
                <c:pt idx="127">
                  <c:v>40458</c:v>
                </c:pt>
                <c:pt idx="128">
                  <c:v>40459</c:v>
                </c:pt>
                <c:pt idx="129">
                  <c:v>40462</c:v>
                </c:pt>
                <c:pt idx="130">
                  <c:v>40463</c:v>
                </c:pt>
                <c:pt idx="131">
                  <c:v>40464</c:v>
                </c:pt>
                <c:pt idx="132">
                  <c:v>40465</c:v>
                </c:pt>
                <c:pt idx="133">
                  <c:v>40466</c:v>
                </c:pt>
                <c:pt idx="134">
                  <c:v>40469</c:v>
                </c:pt>
                <c:pt idx="135">
                  <c:v>40470</c:v>
                </c:pt>
                <c:pt idx="136">
                  <c:v>40471</c:v>
                </c:pt>
                <c:pt idx="137">
                  <c:v>40472</c:v>
                </c:pt>
                <c:pt idx="138">
                  <c:v>40473</c:v>
                </c:pt>
                <c:pt idx="139">
                  <c:v>40476</c:v>
                </c:pt>
                <c:pt idx="140">
                  <c:v>40477</c:v>
                </c:pt>
                <c:pt idx="141">
                  <c:v>40478</c:v>
                </c:pt>
                <c:pt idx="142">
                  <c:v>40479</c:v>
                </c:pt>
                <c:pt idx="143">
                  <c:v>40480</c:v>
                </c:pt>
                <c:pt idx="144">
                  <c:v>40483</c:v>
                </c:pt>
                <c:pt idx="145">
                  <c:v>40484</c:v>
                </c:pt>
                <c:pt idx="146">
                  <c:v>40485</c:v>
                </c:pt>
                <c:pt idx="147">
                  <c:v>40486</c:v>
                </c:pt>
                <c:pt idx="148">
                  <c:v>40487</c:v>
                </c:pt>
                <c:pt idx="149">
                  <c:v>40490</c:v>
                </c:pt>
                <c:pt idx="150">
                  <c:v>40491</c:v>
                </c:pt>
                <c:pt idx="151">
                  <c:v>40492</c:v>
                </c:pt>
                <c:pt idx="152">
                  <c:v>40493</c:v>
                </c:pt>
                <c:pt idx="153">
                  <c:v>40494</c:v>
                </c:pt>
                <c:pt idx="154">
                  <c:v>40497</c:v>
                </c:pt>
                <c:pt idx="155">
                  <c:v>40498</c:v>
                </c:pt>
                <c:pt idx="156">
                  <c:v>40499</c:v>
                </c:pt>
                <c:pt idx="157">
                  <c:v>40500</c:v>
                </c:pt>
                <c:pt idx="158">
                  <c:v>40501</c:v>
                </c:pt>
                <c:pt idx="159">
                  <c:v>40504</c:v>
                </c:pt>
                <c:pt idx="160">
                  <c:v>40505</c:v>
                </c:pt>
                <c:pt idx="161">
                  <c:v>40506</c:v>
                </c:pt>
                <c:pt idx="162">
                  <c:v>40507</c:v>
                </c:pt>
                <c:pt idx="163">
                  <c:v>40508</c:v>
                </c:pt>
                <c:pt idx="164">
                  <c:v>40511</c:v>
                </c:pt>
                <c:pt idx="165">
                  <c:v>40512</c:v>
                </c:pt>
                <c:pt idx="166">
                  <c:v>40513</c:v>
                </c:pt>
                <c:pt idx="167">
                  <c:v>40514</c:v>
                </c:pt>
                <c:pt idx="168">
                  <c:v>40515</c:v>
                </c:pt>
                <c:pt idx="169">
                  <c:v>40518</c:v>
                </c:pt>
                <c:pt idx="170">
                  <c:v>40519</c:v>
                </c:pt>
                <c:pt idx="171">
                  <c:v>40520</c:v>
                </c:pt>
                <c:pt idx="172">
                  <c:v>40521</c:v>
                </c:pt>
                <c:pt idx="173">
                  <c:v>40522</c:v>
                </c:pt>
                <c:pt idx="174">
                  <c:v>40525</c:v>
                </c:pt>
                <c:pt idx="175">
                  <c:v>40526</c:v>
                </c:pt>
                <c:pt idx="176">
                  <c:v>40527</c:v>
                </c:pt>
                <c:pt idx="177">
                  <c:v>40528</c:v>
                </c:pt>
                <c:pt idx="178">
                  <c:v>40529</c:v>
                </c:pt>
                <c:pt idx="179">
                  <c:v>40532</c:v>
                </c:pt>
                <c:pt idx="180">
                  <c:v>40533</c:v>
                </c:pt>
                <c:pt idx="181">
                  <c:v>40534</c:v>
                </c:pt>
                <c:pt idx="182">
                  <c:v>40535</c:v>
                </c:pt>
                <c:pt idx="183">
                  <c:v>40536</c:v>
                </c:pt>
                <c:pt idx="184">
                  <c:v>40539</c:v>
                </c:pt>
                <c:pt idx="185">
                  <c:v>40540</c:v>
                </c:pt>
                <c:pt idx="186">
                  <c:v>40541</c:v>
                </c:pt>
                <c:pt idx="187">
                  <c:v>40542</c:v>
                </c:pt>
                <c:pt idx="188">
                  <c:v>40543</c:v>
                </c:pt>
                <c:pt idx="189">
                  <c:v>40546</c:v>
                </c:pt>
                <c:pt idx="190">
                  <c:v>40547</c:v>
                </c:pt>
                <c:pt idx="191">
                  <c:v>40548</c:v>
                </c:pt>
                <c:pt idx="192">
                  <c:v>40549</c:v>
                </c:pt>
                <c:pt idx="193">
                  <c:v>40550</c:v>
                </c:pt>
                <c:pt idx="194">
                  <c:v>40553</c:v>
                </c:pt>
                <c:pt idx="195">
                  <c:v>40554</c:v>
                </c:pt>
                <c:pt idx="196">
                  <c:v>40555</c:v>
                </c:pt>
                <c:pt idx="197">
                  <c:v>40556</c:v>
                </c:pt>
                <c:pt idx="198">
                  <c:v>40557</c:v>
                </c:pt>
                <c:pt idx="199">
                  <c:v>40560</c:v>
                </c:pt>
                <c:pt idx="200">
                  <c:v>40561</c:v>
                </c:pt>
                <c:pt idx="201">
                  <c:v>40562</c:v>
                </c:pt>
                <c:pt idx="202">
                  <c:v>40563</c:v>
                </c:pt>
                <c:pt idx="203">
                  <c:v>40564</c:v>
                </c:pt>
                <c:pt idx="204">
                  <c:v>40567</c:v>
                </c:pt>
                <c:pt idx="205">
                  <c:v>40568</c:v>
                </c:pt>
                <c:pt idx="206">
                  <c:v>40569</c:v>
                </c:pt>
                <c:pt idx="207">
                  <c:v>40570</c:v>
                </c:pt>
                <c:pt idx="208">
                  <c:v>40571</c:v>
                </c:pt>
                <c:pt idx="209">
                  <c:v>40574</c:v>
                </c:pt>
                <c:pt idx="210">
                  <c:v>40575</c:v>
                </c:pt>
                <c:pt idx="211">
                  <c:v>40576</c:v>
                </c:pt>
                <c:pt idx="212">
                  <c:v>40577</c:v>
                </c:pt>
                <c:pt idx="213">
                  <c:v>40578</c:v>
                </c:pt>
                <c:pt idx="214">
                  <c:v>40581</c:v>
                </c:pt>
                <c:pt idx="215">
                  <c:v>40582</c:v>
                </c:pt>
                <c:pt idx="216">
                  <c:v>40583</c:v>
                </c:pt>
                <c:pt idx="217">
                  <c:v>40584</c:v>
                </c:pt>
                <c:pt idx="218">
                  <c:v>40585</c:v>
                </c:pt>
                <c:pt idx="219">
                  <c:v>40588</c:v>
                </c:pt>
                <c:pt idx="220">
                  <c:v>40589</c:v>
                </c:pt>
                <c:pt idx="221">
                  <c:v>40590</c:v>
                </c:pt>
                <c:pt idx="222">
                  <c:v>40591</c:v>
                </c:pt>
                <c:pt idx="223">
                  <c:v>40592</c:v>
                </c:pt>
                <c:pt idx="224">
                  <c:v>40595</c:v>
                </c:pt>
                <c:pt idx="225">
                  <c:v>40596</c:v>
                </c:pt>
                <c:pt idx="226">
                  <c:v>40597</c:v>
                </c:pt>
                <c:pt idx="227">
                  <c:v>40598</c:v>
                </c:pt>
                <c:pt idx="228">
                  <c:v>40599</c:v>
                </c:pt>
                <c:pt idx="229">
                  <c:v>40602</c:v>
                </c:pt>
                <c:pt idx="230">
                  <c:v>40603</c:v>
                </c:pt>
                <c:pt idx="231">
                  <c:v>40604</c:v>
                </c:pt>
                <c:pt idx="232">
                  <c:v>40605</c:v>
                </c:pt>
                <c:pt idx="233">
                  <c:v>40606</c:v>
                </c:pt>
                <c:pt idx="234">
                  <c:v>40609</c:v>
                </c:pt>
                <c:pt idx="235">
                  <c:v>40610</c:v>
                </c:pt>
                <c:pt idx="236">
                  <c:v>40611</c:v>
                </c:pt>
                <c:pt idx="237">
                  <c:v>40612</c:v>
                </c:pt>
                <c:pt idx="238">
                  <c:v>40613</c:v>
                </c:pt>
                <c:pt idx="239">
                  <c:v>40616</c:v>
                </c:pt>
                <c:pt idx="240">
                  <c:v>40617</c:v>
                </c:pt>
                <c:pt idx="241">
                  <c:v>40618</c:v>
                </c:pt>
                <c:pt idx="242">
                  <c:v>40619</c:v>
                </c:pt>
                <c:pt idx="243">
                  <c:v>40620</c:v>
                </c:pt>
                <c:pt idx="244">
                  <c:v>40623</c:v>
                </c:pt>
                <c:pt idx="245">
                  <c:v>40624</c:v>
                </c:pt>
                <c:pt idx="246">
                  <c:v>40625</c:v>
                </c:pt>
                <c:pt idx="247">
                  <c:v>40626</c:v>
                </c:pt>
                <c:pt idx="248">
                  <c:v>40627</c:v>
                </c:pt>
                <c:pt idx="249">
                  <c:v>40630</c:v>
                </c:pt>
                <c:pt idx="250">
                  <c:v>40631</c:v>
                </c:pt>
                <c:pt idx="251">
                  <c:v>40632</c:v>
                </c:pt>
                <c:pt idx="252">
                  <c:v>40633</c:v>
                </c:pt>
                <c:pt idx="253">
                  <c:v>40634</c:v>
                </c:pt>
                <c:pt idx="254">
                  <c:v>40637</c:v>
                </c:pt>
                <c:pt idx="255">
                  <c:v>40638</c:v>
                </c:pt>
                <c:pt idx="256">
                  <c:v>40639</c:v>
                </c:pt>
                <c:pt idx="257">
                  <c:v>40640</c:v>
                </c:pt>
                <c:pt idx="258">
                  <c:v>40641</c:v>
                </c:pt>
                <c:pt idx="259">
                  <c:v>40644</c:v>
                </c:pt>
                <c:pt idx="260">
                  <c:v>40645</c:v>
                </c:pt>
                <c:pt idx="261">
                  <c:v>40646</c:v>
                </c:pt>
                <c:pt idx="262">
                  <c:v>40647</c:v>
                </c:pt>
                <c:pt idx="263">
                  <c:v>40648</c:v>
                </c:pt>
                <c:pt idx="264">
                  <c:v>40651</c:v>
                </c:pt>
                <c:pt idx="265">
                  <c:v>40652</c:v>
                </c:pt>
                <c:pt idx="266">
                  <c:v>40653</c:v>
                </c:pt>
                <c:pt idx="267">
                  <c:v>40654</c:v>
                </c:pt>
                <c:pt idx="268">
                  <c:v>40655</c:v>
                </c:pt>
                <c:pt idx="269">
                  <c:v>40658</c:v>
                </c:pt>
                <c:pt idx="270">
                  <c:v>40659</c:v>
                </c:pt>
                <c:pt idx="271">
                  <c:v>40660</c:v>
                </c:pt>
                <c:pt idx="272">
                  <c:v>40661</c:v>
                </c:pt>
                <c:pt idx="273">
                  <c:v>40662</c:v>
                </c:pt>
                <c:pt idx="274">
                  <c:v>40665</c:v>
                </c:pt>
                <c:pt idx="275">
                  <c:v>40666</c:v>
                </c:pt>
                <c:pt idx="276">
                  <c:v>40667</c:v>
                </c:pt>
                <c:pt idx="277">
                  <c:v>40668</c:v>
                </c:pt>
                <c:pt idx="278">
                  <c:v>40669</c:v>
                </c:pt>
                <c:pt idx="279">
                  <c:v>40672</c:v>
                </c:pt>
                <c:pt idx="280">
                  <c:v>40673</c:v>
                </c:pt>
                <c:pt idx="281">
                  <c:v>40674</c:v>
                </c:pt>
                <c:pt idx="282">
                  <c:v>40675</c:v>
                </c:pt>
                <c:pt idx="283">
                  <c:v>40676</c:v>
                </c:pt>
                <c:pt idx="284">
                  <c:v>40679</c:v>
                </c:pt>
                <c:pt idx="285">
                  <c:v>40680</c:v>
                </c:pt>
                <c:pt idx="286">
                  <c:v>40681</c:v>
                </c:pt>
                <c:pt idx="287">
                  <c:v>40682</c:v>
                </c:pt>
                <c:pt idx="288">
                  <c:v>40683</c:v>
                </c:pt>
                <c:pt idx="289">
                  <c:v>40686</c:v>
                </c:pt>
                <c:pt idx="290">
                  <c:v>40687</c:v>
                </c:pt>
                <c:pt idx="291">
                  <c:v>40688</c:v>
                </c:pt>
                <c:pt idx="292">
                  <c:v>40689</c:v>
                </c:pt>
                <c:pt idx="293">
                  <c:v>40690</c:v>
                </c:pt>
                <c:pt idx="294">
                  <c:v>40693</c:v>
                </c:pt>
                <c:pt idx="295">
                  <c:v>40694</c:v>
                </c:pt>
                <c:pt idx="296">
                  <c:v>40695</c:v>
                </c:pt>
                <c:pt idx="297">
                  <c:v>40696</c:v>
                </c:pt>
                <c:pt idx="298">
                  <c:v>40697</c:v>
                </c:pt>
                <c:pt idx="299">
                  <c:v>40700</c:v>
                </c:pt>
                <c:pt idx="300">
                  <c:v>40701</c:v>
                </c:pt>
                <c:pt idx="301">
                  <c:v>40702</c:v>
                </c:pt>
                <c:pt idx="302">
                  <c:v>40703</c:v>
                </c:pt>
                <c:pt idx="303">
                  <c:v>40704</c:v>
                </c:pt>
                <c:pt idx="304">
                  <c:v>40707</c:v>
                </c:pt>
                <c:pt idx="305">
                  <c:v>40708</c:v>
                </c:pt>
                <c:pt idx="306">
                  <c:v>40709</c:v>
                </c:pt>
                <c:pt idx="307">
                  <c:v>40710</c:v>
                </c:pt>
                <c:pt idx="308">
                  <c:v>40711</c:v>
                </c:pt>
                <c:pt idx="309">
                  <c:v>40714</c:v>
                </c:pt>
                <c:pt idx="310">
                  <c:v>40715</c:v>
                </c:pt>
                <c:pt idx="311">
                  <c:v>40716</c:v>
                </c:pt>
                <c:pt idx="312">
                  <c:v>40717</c:v>
                </c:pt>
                <c:pt idx="313">
                  <c:v>40718</c:v>
                </c:pt>
                <c:pt idx="314">
                  <c:v>40721</c:v>
                </c:pt>
                <c:pt idx="315">
                  <c:v>40722</c:v>
                </c:pt>
                <c:pt idx="316">
                  <c:v>40723</c:v>
                </c:pt>
                <c:pt idx="317">
                  <c:v>40724</c:v>
                </c:pt>
                <c:pt idx="318">
                  <c:v>40725</c:v>
                </c:pt>
                <c:pt idx="319">
                  <c:v>40728</c:v>
                </c:pt>
                <c:pt idx="320">
                  <c:v>40729</c:v>
                </c:pt>
                <c:pt idx="321">
                  <c:v>40730</c:v>
                </c:pt>
                <c:pt idx="322">
                  <c:v>40731</c:v>
                </c:pt>
                <c:pt idx="323">
                  <c:v>40732</c:v>
                </c:pt>
                <c:pt idx="324">
                  <c:v>40735</c:v>
                </c:pt>
                <c:pt idx="325">
                  <c:v>40736</c:v>
                </c:pt>
                <c:pt idx="326">
                  <c:v>40737</c:v>
                </c:pt>
                <c:pt idx="327">
                  <c:v>40738</c:v>
                </c:pt>
                <c:pt idx="328">
                  <c:v>40739</c:v>
                </c:pt>
                <c:pt idx="329">
                  <c:v>40742</c:v>
                </c:pt>
                <c:pt idx="330">
                  <c:v>40743</c:v>
                </c:pt>
                <c:pt idx="331">
                  <c:v>40744</c:v>
                </c:pt>
                <c:pt idx="332">
                  <c:v>40745</c:v>
                </c:pt>
                <c:pt idx="333">
                  <c:v>40746</c:v>
                </c:pt>
                <c:pt idx="334">
                  <c:v>40749</c:v>
                </c:pt>
                <c:pt idx="335">
                  <c:v>40750</c:v>
                </c:pt>
                <c:pt idx="336">
                  <c:v>40751</c:v>
                </c:pt>
                <c:pt idx="337">
                  <c:v>40752</c:v>
                </c:pt>
                <c:pt idx="338">
                  <c:v>40753</c:v>
                </c:pt>
                <c:pt idx="339">
                  <c:v>40756</c:v>
                </c:pt>
                <c:pt idx="340">
                  <c:v>40757</c:v>
                </c:pt>
                <c:pt idx="341">
                  <c:v>40758</c:v>
                </c:pt>
                <c:pt idx="342">
                  <c:v>40759</c:v>
                </c:pt>
                <c:pt idx="343">
                  <c:v>40760</c:v>
                </c:pt>
                <c:pt idx="344">
                  <c:v>40763</c:v>
                </c:pt>
                <c:pt idx="345">
                  <c:v>40764</c:v>
                </c:pt>
                <c:pt idx="346">
                  <c:v>40765</c:v>
                </c:pt>
                <c:pt idx="347">
                  <c:v>40766</c:v>
                </c:pt>
                <c:pt idx="348">
                  <c:v>40767</c:v>
                </c:pt>
                <c:pt idx="349">
                  <c:v>40770</c:v>
                </c:pt>
                <c:pt idx="350">
                  <c:v>40771</c:v>
                </c:pt>
                <c:pt idx="351">
                  <c:v>40772</c:v>
                </c:pt>
                <c:pt idx="352">
                  <c:v>40773</c:v>
                </c:pt>
                <c:pt idx="353">
                  <c:v>40774</c:v>
                </c:pt>
                <c:pt idx="354">
                  <c:v>40777</c:v>
                </c:pt>
                <c:pt idx="355">
                  <c:v>40778</c:v>
                </c:pt>
                <c:pt idx="356">
                  <c:v>40779</c:v>
                </c:pt>
                <c:pt idx="357">
                  <c:v>40780</c:v>
                </c:pt>
                <c:pt idx="358">
                  <c:v>40781</c:v>
                </c:pt>
                <c:pt idx="359">
                  <c:v>40784</c:v>
                </c:pt>
                <c:pt idx="360">
                  <c:v>40785</c:v>
                </c:pt>
                <c:pt idx="361">
                  <c:v>40786</c:v>
                </c:pt>
                <c:pt idx="362">
                  <c:v>40787</c:v>
                </c:pt>
                <c:pt idx="363">
                  <c:v>40788</c:v>
                </c:pt>
                <c:pt idx="364">
                  <c:v>40791</c:v>
                </c:pt>
                <c:pt idx="365">
                  <c:v>40792</c:v>
                </c:pt>
                <c:pt idx="366">
                  <c:v>40793</c:v>
                </c:pt>
                <c:pt idx="367">
                  <c:v>40794</c:v>
                </c:pt>
                <c:pt idx="368">
                  <c:v>40795</c:v>
                </c:pt>
                <c:pt idx="369">
                  <c:v>40798</c:v>
                </c:pt>
                <c:pt idx="370">
                  <c:v>40799</c:v>
                </c:pt>
                <c:pt idx="371">
                  <c:v>40800</c:v>
                </c:pt>
                <c:pt idx="372">
                  <c:v>40801</c:v>
                </c:pt>
                <c:pt idx="373">
                  <c:v>40802</c:v>
                </c:pt>
                <c:pt idx="374">
                  <c:v>40805</c:v>
                </c:pt>
                <c:pt idx="375">
                  <c:v>40806</c:v>
                </c:pt>
                <c:pt idx="376">
                  <c:v>40807</c:v>
                </c:pt>
                <c:pt idx="377">
                  <c:v>40808</c:v>
                </c:pt>
                <c:pt idx="378">
                  <c:v>40809</c:v>
                </c:pt>
                <c:pt idx="379">
                  <c:v>40812</c:v>
                </c:pt>
                <c:pt idx="380">
                  <c:v>40813</c:v>
                </c:pt>
                <c:pt idx="381">
                  <c:v>40814</c:v>
                </c:pt>
                <c:pt idx="382">
                  <c:v>40815</c:v>
                </c:pt>
                <c:pt idx="383">
                  <c:v>40816</c:v>
                </c:pt>
                <c:pt idx="384">
                  <c:v>40819</c:v>
                </c:pt>
                <c:pt idx="385">
                  <c:v>40820</c:v>
                </c:pt>
                <c:pt idx="386">
                  <c:v>40821</c:v>
                </c:pt>
                <c:pt idx="387">
                  <c:v>40822</c:v>
                </c:pt>
                <c:pt idx="388">
                  <c:v>40823</c:v>
                </c:pt>
                <c:pt idx="389">
                  <c:v>40826</c:v>
                </c:pt>
                <c:pt idx="390">
                  <c:v>40827</c:v>
                </c:pt>
                <c:pt idx="391">
                  <c:v>40828</c:v>
                </c:pt>
                <c:pt idx="392">
                  <c:v>40829</c:v>
                </c:pt>
                <c:pt idx="393">
                  <c:v>40830</c:v>
                </c:pt>
                <c:pt idx="394">
                  <c:v>40833</c:v>
                </c:pt>
                <c:pt idx="395">
                  <c:v>40834</c:v>
                </c:pt>
                <c:pt idx="396">
                  <c:v>40835</c:v>
                </c:pt>
                <c:pt idx="397">
                  <c:v>40836</c:v>
                </c:pt>
                <c:pt idx="398">
                  <c:v>40837</c:v>
                </c:pt>
                <c:pt idx="399">
                  <c:v>40840</c:v>
                </c:pt>
                <c:pt idx="400">
                  <c:v>40841</c:v>
                </c:pt>
                <c:pt idx="401">
                  <c:v>40842</c:v>
                </c:pt>
                <c:pt idx="402">
                  <c:v>40843</c:v>
                </c:pt>
                <c:pt idx="403">
                  <c:v>40844</c:v>
                </c:pt>
                <c:pt idx="404">
                  <c:v>40847</c:v>
                </c:pt>
                <c:pt idx="405">
                  <c:v>40848</c:v>
                </c:pt>
                <c:pt idx="406">
                  <c:v>40849</c:v>
                </c:pt>
                <c:pt idx="407">
                  <c:v>40850</c:v>
                </c:pt>
                <c:pt idx="408">
                  <c:v>40851</c:v>
                </c:pt>
                <c:pt idx="409">
                  <c:v>40854</c:v>
                </c:pt>
                <c:pt idx="410">
                  <c:v>40855</c:v>
                </c:pt>
                <c:pt idx="411">
                  <c:v>40856</c:v>
                </c:pt>
                <c:pt idx="412">
                  <c:v>40857</c:v>
                </c:pt>
                <c:pt idx="413">
                  <c:v>40858</c:v>
                </c:pt>
                <c:pt idx="414">
                  <c:v>40861</c:v>
                </c:pt>
                <c:pt idx="415">
                  <c:v>40862</c:v>
                </c:pt>
                <c:pt idx="416">
                  <c:v>40863</c:v>
                </c:pt>
                <c:pt idx="417">
                  <c:v>40864</c:v>
                </c:pt>
                <c:pt idx="418">
                  <c:v>40865</c:v>
                </c:pt>
                <c:pt idx="419">
                  <c:v>40868</c:v>
                </c:pt>
                <c:pt idx="420">
                  <c:v>40869</c:v>
                </c:pt>
                <c:pt idx="421">
                  <c:v>40870</c:v>
                </c:pt>
                <c:pt idx="422">
                  <c:v>40871</c:v>
                </c:pt>
                <c:pt idx="423">
                  <c:v>40872</c:v>
                </c:pt>
                <c:pt idx="424">
                  <c:v>40875</c:v>
                </c:pt>
                <c:pt idx="425">
                  <c:v>40876</c:v>
                </c:pt>
                <c:pt idx="426">
                  <c:v>40877</c:v>
                </c:pt>
                <c:pt idx="427">
                  <c:v>40878</c:v>
                </c:pt>
                <c:pt idx="428">
                  <c:v>40879</c:v>
                </c:pt>
                <c:pt idx="429">
                  <c:v>40882</c:v>
                </c:pt>
                <c:pt idx="430">
                  <c:v>40883</c:v>
                </c:pt>
                <c:pt idx="431">
                  <c:v>40884</c:v>
                </c:pt>
                <c:pt idx="432">
                  <c:v>40885</c:v>
                </c:pt>
                <c:pt idx="433">
                  <c:v>40886</c:v>
                </c:pt>
                <c:pt idx="434">
                  <c:v>40889</c:v>
                </c:pt>
                <c:pt idx="435">
                  <c:v>40890</c:v>
                </c:pt>
                <c:pt idx="436">
                  <c:v>40891</c:v>
                </c:pt>
                <c:pt idx="437">
                  <c:v>40892</c:v>
                </c:pt>
                <c:pt idx="438">
                  <c:v>40893</c:v>
                </c:pt>
                <c:pt idx="439">
                  <c:v>40896</c:v>
                </c:pt>
                <c:pt idx="440">
                  <c:v>40897</c:v>
                </c:pt>
                <c:pt idx="441">
                  <c:v>40898</c:v>
                </c:pt>
                <c:pt idx="442">
                  <c:v>40899</c:v>
                </c:pt>
                <c:pt idx="443">
                  <c:v>40900</c:v>
                </c:pt>
                <c:pt idx="444">
                  <c:v>40903</c:v>
                </c:pt>
                <c:pt idx="445">
                  <c:v>40904</c:v>
                </c:pt>
                <c:pt idx="446">
                  <c:v>40905</c:v>
                </c:pt>
                <c:pt idx="447">
                  <c:v>40906</c:v>
                </c:pt>
                <c:pt idx="448">
                  <c:v>40907</c:v>
                </c:pt>
                <c:pt idx="449">
                  <c:v>40910</c:v>
                </c:pt>
                <c:pt idx="450">
                  <c:v>40911</c:v>
                </c:pt>
                <c:pt idx="451">
                  <c:v>40912</c:v>
                </c:pt>
                <c:pt idx="452">
                  <c:v>40913</c:v>
                </c:pt>
                <c:pt idx="453">
                  <c:v>40914</c:v>
                </c:pt>
                <c:pt idx="454">
                  <c:v>40917</c:v>
                </c:pt>
                <c:pt idx="455">
                  <c:v>40918</c:v>
                </c:pt>
                <c:pt idx="456">
                  <c:v>40919</c:v>
                </c:pt>
                <c:pt idx="457">
                  <c:v>40920</c:v>
                </c:pt>
                <c:pt idx="458">
                  <c:v>40921</c:v>
                </c:pt>
                <c:pt idx="459">
                  <c:v>40924</c:v>
                </c:pt>
                <c:pt idx="460">
                  <c:v>40925</c:v>
                </c:pt>
                <c:pt idx="461">
                  <c:v>40926</c:v>
                </c:pt>
                <c:pt idx="462">
                  <c:v>40927</c:v>
                </c:pt>
                <c:pt idx="463">
                  <c:v>40928</c:v>
                </c:pt>
                <c:pt idx="464">
                  <c:v>40931</c:v>
                </c:pt>
                <c:pt idx="465">
                  <c:v>40932</c:v>
                </c:pt>
                <c:pt idx="466">
                  <c:v>40933</c:v>
                </c:pt>
                <c:pt idx="467">
                  <c:v>40934</c:v>
                </c:pt>
                <c:pt idx="468">
                  <c:v>40935</c:v>
                </c:pt>
                <c:pt idx="469">
                  <c:v>40938</c:v>
                </c:pt>
                <c:pt idx="470">
                  <c:v>40939</c:v>
                </c:pt>
                <c:pt idx="471">
                  <c:v>40940</c:v>
                </c:pt>
                <c:pt idx="472">
                  <c:v>40941</c:v>
                </c:pt>
                <c:pt idx="473">
                  <c:v>40942</c:v>
                </c:pt>
                <c:pt idx="474">
                  <c:v>40945</c:v>
                </c:pt>
                <c:pt idx="475">
                  <c:v>40946</c:v>
                </c:pt>
                <c:pt idx="476">
                  <c:v>40947</c:v>
                </c:pt>
                <c:pt idx="477">
                  <c:v>40948</c:v>
                </c:pt>
                <c:pt idx="478">
                  <c:v>40949</c:v>
                </c:pt>
                <c:pt idx="479">
                  <c:v>40952</c:v>
                </c:pt>
                <c:pt idx="480">
                  <c:v>40953</c:v>
                </c:pt>
                <c:pt idx="481">
                  <c:v>40954</c:v>
                </c:pt>
                <c:pt idx="482">
                  <c:v>40955</c:v>
                </c:pt>
                <c:pt idx="483">
                  <c:v>40956</c:v>
                </c:pt>
                <c:pt idx="484">
                  <c:v>40959</c:v>
                </c:pt>
                <c:pt idx="485">
                  <c:v>40960</c:v>
                </c:pt>
                <c:pt idx="486">
                  <c:v>40961</c:v>
                </c:pt>
                <c:pt idx="487">
                  <c:v>40962</c:v>
                </c:pt>
                <c:pt idx="488">
                  <c:v>40963</c:v>
                </c:pt>
                <c:pt idx="489">
                  <c:v>40966</c:v>
                </c:pt>
                <c:pt idx="490">
                  <c:v>40967</c:v>
                </c:pt>
                <c:pt idx="491">
                  <c:v>40968</c:v>
                </c:pt>
                <c:pt idx="492">
                  <c:v>40969</c:v>
                </c:pt>
                <c:pt idx="493">
                  <c:v>40970</c:v>
                </c:pt>
                <c:pt idx="494">
                  <c:v>40973</c:v>
                </c:pt>
                <c:pt idx="495">
                  <c:v>40974</c:v>
                </c:pt>
                <c:pt idx="496">
                  <c:v>40975</c:v>
                </c:pt>
                <c:pt idx="497">
                  <c:v>40976</c:v>
                </c:pt>
                <c:pt idx="498">
                  <c:v>40977</c:v>
                </c:pt>
                <c:pt idx="499">
                  <c:v>40980</c:v>
                </c:pt>
                <c:pt idx="500">
                  <c:v>40981</c:v>
                </c:pt>
                <c:pt idx="501">
                  <c:v>40982</c:v>
                </c:pt>
                <c:pt idx="502">
                  <c:v>40983</c:v>
                </c:pt>
                <c:pt idx="503">
                  <c:v>40984</c:v>
                </c:pt>
                <c:pt idx="504">
                  <c:v>40987</c:v>
                </c:pt>
                <c:pt idx="505">
                  <c:v>40988</c:v>
                </c:pt>
                <c:pt idx="506">
                  <c:v>40989</c:v>
                </c:pt>
                <c:pt idx="507">
                  <c:v>40990</c:v>
                </c:pt>
                <c:pt idx="508">
                  <c:v>40991</c:v>
                </c:pt>
                <c:pt idx="509">
                  <c:v>40994</c:v>
                </c:pt>
                <c:pt idx="510">
                  <c:v>40995</c:v>
                </c:pt>
                <c:pt idx="511">
                  <c:v>40996</c:v>
                </c:pt>
                <c:pt idx="512">
                  <c:v>40997</c:v>
                </c:pt>
                <c:pt idx="513">
                  <c:v>40998</c:v>
                </c:pt>
                <c:pt idx="514">
                  <c:v>41001</c:v>
                </c:pt>
                <c:pt idx="515">
                  <c:v>41002</c:v>
                </c:pt>
                <c:pt idx="516">
                  <c:v>41003</c:v>
                </c:pt>
                <c:pt idx="517">
                  <c:v>41004</c:v>
                </c:pt>
                <c:pt idx="518">
                  <c:v>41005</c:v>
                </c:pt>
                <c:pt idx="519">
                  <c:v>41008</c:v>
                </c:pt>
                <c:pt idx="520">
                  <c:v>41009</c:v>
                </c:pt>
                <c:pt idx="521">
                  <c:v>41010</c:v>
                </c:pt>
                <c:pt idx="522">
                  <c:v>41011</c:v>
                </c:pt>
                <c:pt idx="523">
                  <c:v>41012</c:v>
                </c:pt>
                <c:pt idx="524">
                  <c:v>41015</c:v>
                </c:pt>
                <c:pt idx="525">
                  <c:v>41016</c:v>
                </c:pt>
                <c:pt idx="526">
                  <c:v>41017</c:v>
                </c:pt>
                <c:pt idx="527">
                  <c:v>41018</c:v>
                </c:pt>
                <c:pt idx="528">
                  <c:v>41019</c:v>
                </c:pt>
                <c:pt idx="529">
                  <c:v>41022</c:v>
                </c:pt>
                <c:pt idx="530">
                  <c:v>41023</c:v>
                </c:pt>
                <c:pt idx="531">
                  <c:v>41024</c:v>
                </c:pt>
                <c:pt idx="532">
                  <c:v>41025</c:v>
                </c:pt>
                <c:pt idx="533">
                  <c:v>41026</c:v>
                </c:pt>
                <c:pt idx="534">
                  <c:v>41029</c:v>
                </c:pt>
                <c:pt idx="535">
                  <c:v>41030</c:v>
                </c:pt>
                <c:pt idx="536">
                  <c:v>41031</c:v>
                </c:pt>
                <c:pt idx="537">
                  <c:v>41032</c:v>
                </c:pt>
                <c:pt idx="538">
                  <c:v>41033</c:v>
                </c:pt>
                <c:pt idx="539">
                  <c:v>41036</c:v>
                </c:pt>
                <c:pt idx="540">
                  <c:v>41037</c:v>
                </c:pt>
                <c:pt idx="541">
                  <c:v>41038</c:v>
                </c:pt>
                <c:pt idx="542">
                  <c:v>41039</c:v>
                </c:pt>
                <c:pt idx="543">
                  <c:v>41040</c:v>
                </c:pt>
                <c:pt idx="544">
                  <c:v>41043</c:v>
                </c:pt>
                <c:pt idx="545">
                  <c:v>41044</c:v>
                </c:pt>
                <c:pt idx="546">
                  <c:v>41045</c:v>
                </c:pt>
                <c:pt idx="547">
                  <c:v>41046</c:v>
                </c:pt>
                <c:pt idx="548">
                  <c:v>41047</c:v>
                </c:pt>
                <c:pt idx="549">
                  <c:v>41050</c:v>
                </c:pt>
                <c:pt idx="550">
                  <c:v>41051</c:v>
                </c:pt>
                <c:pt idx="551">
                  <c:v>41052</c:v>
                </c:pt>
                <c:pt idx="552">
                  <c:v>41053</c:v>
                </c:pt>
                <c:pt idx="553">
                  <c:v>41054</c:v>
                </c:pt>
                <c:pt idx="554">
                  <c:v>41057</c:v>
                </c:pt>
                <c:pt idx="555">
                  <c:v>41058</c:v>
                </c:pt>
                <c:pt idx="556">
                  <c:v>41059</c:v>
                </c:pt>
                <c:pt idx="557">
                  <c:v>41060</c:v>
                </c:pt>
                <c:pt idx="558">
                  <c:v>41061</c:v>
                </c:pt>
                <c:pt idx="559">
                  <c:v>41064</c:v>
                </c:pt>
                <c:pt idx="560">
                  <c:v>41065</c:v>
                </c:pt>
                <c:pt idx="561">
                  <c:v>41066</c:v>
                </c:pt>
                <c:pt idx="562">
                  <c:v>41067</c:v>
                </c:pt>
                <c:pt idx="563">
                  <c:v>41068</c:v>
                </c:pt>
                <c:pt idx="564">
                  <c:v>41071</c:v>
                </c:pt>
                <c:pt idx="565">
                  <c:v>41072</c:v>
                </c:pt>
                <c:pt idx="566">
                  <c:v>41073</c:v>
                </c:pt>
                <c:pt idx="567">
                  <c:v>41074</c:v>
                </c:pt>
                <c:pt idx="568">
                  <c:v>41075</c:v>
                </c:pt>
                <c:pt idx="569">
                  <c:v>41078</c:v>
                </c:pt>
                <c:pt idx="570">
                  <c:v>41079</c:v>
                </c:pt>
                <c:pt idx="571">
                  <c:v>41080</c:v>
                </c:pt>
                <c:pt idx="572">
                  <c:v>41081</c:v>
                </c:pt>
                <c:pt idx="573">
                  <c:v>41082</c:v>
                </c:pt>
                <c:pt idx="574">
                  <c:v>41085</c:v>
                </c:pt>
                <c:pt idx="575">
                  <c:v>41086</c:v>
                </c:pt>
                <c:pt idx="576">
                  <c:v>41087</c:v>
                </c:pt>
                <c:pt idx="577">
                  <c:v>41088</c:v>
                </c:pt>
                <c:pt idx="578">
                  <c:v>41089</c:v>
                </c:pt>
                <c:pt idx="579">
                  <c:v>41092</c:v>
                </c:pt>
                <c:pt idx="580">
                  <c:v>41093</c:v>
                </c:pt>
                <c:pt idx="581">
                  <c:v>41094</c:v>
                </c:pt>
                <c:pt idx="582">
                  <c:v>41095</c:v>
                </c:pt>
                <c:pt idx="583">
                  <c:v>41096</c:v>
                </c:pt>
                <c:pt idx="584">
                  <c:v>41099</c:v>
                </c:pt>
                <c:pt idx="585">
                  <c:v>41100</c:v>
                </c:pt>
                <c:pt idx="586">
                  <c:v>41101</c:v>
                </c:pt>
                <c:pt idx="587">
                  <c:v>41102</c:v>
                </c:pt>
                <c:pt idx="588">
                  <c:v>41103</c:v>
                </c:pt>
                <c:pt idx="589">
                  <c:v>41106</c:v>
                </c:pt>
                <c:pt idx="590">
                  <c:v>41107</c:v>
                </c:pt>
                <c:pt idx="591">
                  <c:v>41108</c:v>
                </c:pt>
                <c:pt idx="592">
                  <c:v>41109</c:v>
                </c:pt>
                <c:pt idx="593">
                  <c:v>41110</c:v>
                </c:pt>
                <c:pt idx="594">
                  <c:v>41113</c:v>
                </c:pt>
                <c:pt idx="595">
                  <c:v>41114</c:v>
                </c:pt>
                <c:pt idx="596">
                  <c:v>41115</c:v>
                </c:pt>
                <c:pt idx="597">
                  <c:v>41116</c:v>
                </c:pt>
                <c:pt idx="598">
                  <c:v>41117</c:v>
                </c:pt>
                <c:pt idx="599">
                  <c:v>41120</c:v>
                </c:pt>
                <c:pt idx="600">
                  <c:v>41121</c:v>
                </c:pt>
                <c:pt idx="601">
                  <c:v>41122</c:v>
                </c:pt>
                <c:pt idx="602">
                  <c:v>41123</c:v>
                </c:pt>
                <c:pt idx="603">
                  <c:v>41124</c:v>
                </c:pt>
                <c:pt idx="604">
                  <c:v>41127</c:v>
                </c:pt>
                <c:pt idx="605">
                  <c:v>41128</c:v>
                </c:pt>
                <c:pt idx="606">
                  <c:v>41129</c:v>
                </c:pt>
                <c:pt idx="607">
                  <c:v>41130</c:v>
                </c:pt>
                <c:pt idx="608">
                  <c:v>41131</c:v>
                </c:pt>
                <c:pt idx="609">
                  <c:v>41134</c:v>
                </c:pt>
                <c:pt idx="610">
                  <c:v>41135</c:v>
                </c:pt>
                <c:pt idx="611">
                  <c:v>41136</c:v>
                </c:pt>
                <c:pt idx="612">
                  <c:v>41137</c:v>
                </c:pt>
                <c:pt idx="613">
                  <c:v>41138</c:v>
                </c:pt>
                <c:pt idx="614">
                  <c:v>41141</c:v>
                </c:pt>
                <c:pt idx="615">
                  <c:v>41142</c:v>
                </c:pt>
                <c:pt idx="616">
                  <c:v>41143</c:v>
                </c:pt>
                <c:pt idx="617">
                  <c:v>41144</c:v>
                </c:pt>
                <c:pt idx="618">
                  <c:v>41145</c:v>
                </c:pt>
                <c:pt idx="619">
                  <c:v>41148</c:v>
                </c:pt>
                <c:pt idx="620">
                  <c:v>41149</c:v>
                </c:pt>
                <c:pt idx="621">
                  <c:v>41150</c:v>
                </c:pt>
                <c:pt idx="622">
                  <c:v>41151</c:v>
                </c:pt>
                <c:pt idx="623">
                  <c:v>41152</c:v>
                </c:pt>
                <c:pt idx="624">
                  <c:v>41155</c:v>
                </c:pt>
                <c:pt idx="625">
                  <c:v>41156</c:v>
                </c:pt>
                <c:pt idx="626">
                  <c:v>41157</c:v>
                </c:pt>
                <c:pt idx="627">
                  <c:v>41158</c:v>
                </c:pt>
                <c:pt idx="628">
                  <c:v>41159</c:v>
                </c:pt>
                <c:pt idx="629">
                  <c:v>41162</c:v>
                </c:pt>
                <c:pt idx="630">
                  <c:v>41163</c:v>
                </c:pt>
                <c:pt idx="631">
                  <c:v>41164</c:v>
                </c:pt>
                <c:pt idx="632">
                  <c:v>41165</c:v>
                </c:pt>
                <c:pt idx="633">
                  <c:v>41166</c:v>
                </c:pt>
                <c:pt idx="634">
                  <c:v>41169</c:v>
                </c:pt>
                <c:pt idx="635">
                  <c:v>41170</c:v>
                </c:pt>
                <c:pt idx="636">
                  <c:v>41171</c:v>
                </c:pt>
                <c:pt idx="637">
                  <c:v>41172</c:v>
                </c:pt>
                <c:pt idx="638">
                  <c:v>41173</c:v>
                </c:pt>
                <c:pt idx="639">
                  <c:v>41176</c:v>
                </c:pt>
                <c:pt idx="640">
                  <c:v>41177</c:v>
                </c:pt>
                <c:pt idx="641">
                  <c:v>41178</c:v>
                </c:pt>
                <c:pt idx="642">
                  <c:v>41179</c:v>
                </c:pt>
                <c:pt idx="643">
                  <c:v>41180</c:v>
                </c:pt>
                <c:pt idx="644">
                  <c:v>41183</c:v>
                </c:pt>
                <c:pt idx="645">
                  <c:v>41184</c:v>
                </c:pt>
                <c:pt idx="646">
                  <c:v>41185</c:v>
                </c:pt>
                <c:pt idx="647">
                  <c:v>41186</c:v>
                </c:pt>
                <c:pt idx="648">
                  <c:v>41187</c:v>
                </c:pt>
                <c:pt idx="649">
                  <c:v>41190</c:v>
                </c:pt>
                <c:pt idx="650">
                  <c:v>41191</c:v>
                </c:pt>
                <c:pt idx="651">
                  <c:v>41192</c:v>
                </c:pt>
                <c:pt idx="652">
                  <c:v>41193</c:v>
                </c:pt>
                <c:pt idx="653">
                  <c:v>41194</c:v>
                </c:pt>
                <c:pt idx="654">
                  <c:v>41197</c:v>
                </c:pt>
                <c:pt idx="655">
                  <c:v>41198</c:v>
                </c:pt>
                <c:pt idx="656">
                  <c:v>41199</c:v>
                </c:pt>
                <c:pt idx="657">
                  <c:v>41200</c:v>
                </c:pt>
                <c:pt idx="658">
                  <c:v>41201</c:v>
                </c:pt>
                <c:pt idx="659">
                  <c:v>41204</c:v>
                </c:pt>
                <c:pt idx="660">
                  <c:v>41205</c:v>
                </c:pt>
                <c:pt idx="661">
                  <c:v>41206</c:v>
                </c:pt>
                <c:pt idx="662">
                  <c:v>41207</c:v>
                </c:pt>
                <c:pt idx="663">
                  <c:v>41208</c:v>
                </c:pt>
                <c:pt idx="664">
                  <c:v>41211</c:v>
                </c:pt>
                <c:pt idx="665">
                  <c:v>41212</c:v>
                </c:pt>
                <c:pt idx="666">
                  <c:v>41213</c:v>
                </c:pt>
                <c:pt idx="667">
                  <c:v>41214</c:v>
                </c:pt>
                <c:pt idx="668">
                  <c:v>41215</c:v>
                </c:pt>
                <c:pt idx="669">
                  <c:v>41218</c:v>
                </c:pt>
                <c:pt idx="670">
                  <c:v>41219</c:v>
                </c:pt>
                <c:pt idx="671">
                  <c:v>41220</c:v>
                </c:pt>
                <c:pt idx="672">
                  <c:v>41221</c:v>
                </c:pt>
                <c:pt idx="673">
                  <c:v>41222</c:v>
                </c:pt>
                <c:pt idx="674">
                  <c:v>41225</c:v>
                </c:pt>
                <c:pt idx="675">
                  <c:v>41226</c:v>
                </c:pt>
                <c:pt idx="676">
                  <c:v>41227</c:v>
                </c:pt>
                <c:pt idx="677">
                  <c:v>41228</c:v>
                </c:pt>
                <c:pt idx="678">
                  <c:v>41229</c:v>
                </c:pt>
                <c:pt idx="679">
                  <c:v>41232</c:v>
                </c:pt>
                <c:pt idx="680">
                  <c:v>41233</c:v>
                </c:pt>
                <c:pt idx="681">
                  <c:v>41234</c:v>
                </c:pt>
                <c:pt idx="682">
                  <c:v>41235</c:v>
                </c:pt>
                <c:pt idx="683">
                  <c:v>41236</c:v>
                </c:pt>
                <c:pt idx="684">
                  <c:v>41239</c:v>
                </c:pt>
                <c:pt idx="685">
                  <c:v>41240</c:v>
                </c:pt>
                <c:pt idx="686">
                  <c:v>41241</c:v>
                </c:pt>
                <c:pt idx="687">
                  <c:v>41242</c:v>
                </c:pt>
                <c:pt idx="688">
                  <c:v>41243</c:v>
                </c:pt>
                <c:pt idx="689">
                  <c:v>41246</c:v>
                </c:pt>
                <c:pt idx="690">
                  <c:v>41247</c:v>
                </c:pt>
                <c:pt idx="691">
                  <c:v>41248</c:v>
                </c:pt>
                <c:pt idx="692">
                  <c:v>41249</c:v>
                </c:pt>
                <c:pt idx="693">
                  <c:v>41250</c:v>
                </c:pt>
                <c:pt idx="694">
                  <c:v>41253</c:v>
                </c:pt>
                <c:pt idx="695">
                  <c:v>41254</c:v>
                </c:pt>
                <c:pt idx="696">
                  <c:v>41255</c:v>
                </c:pt>
                <c:pt idx="697">
                  <c:v>41256</c:v>
                </c:pt>
                <c:pt idx="698">
                  <c:v>41257</c:v>
                </c:pt>
                <c:pt idx="699">
                  <c:v>41260</c:v>
                </c:pt>
                <c:pt idx="700">
                  <c:v>41261</c:v>
                </c:pt>
                <c:pt idx="701">
                  <c:v>41262</c:v>
                </c:pt>
                <c:pt idx="702">
                  <c:v>41263</c:v>
                </c:pt>
                <c:pt idx="703">
                  <c:v>41264</c:v>
                </c:pt>
                <c:pt idx="704">
                  <c:v>41267</c:v>
                </c:pt>
                <c:pt idx="705">
                  <c:v>41268</c:v>
                </c:pt>
                <c:pt idx="706">
                  <c:v>41269</c:v>
                </c:pt>
                <c:pt idx="707">
                  <c:v>41270</c:v>
                </c:pt>
                <c:pt idx="708">
                  <c:v>41271</c:v>
                </c:pt>
                <c:pt idx="709">
                  <c:v>41274</c:v>
                </c:pt>
                <c:pt idx="710">
                  <c:v>41275</c:v>
                </c:pt>
                <c:pt idx="711">
                  <c:v>41276</c:v>
                </c:pt>
                <c:pt idx="712">
                  <c:v>41277</c:v>
                </c:pt>
                <c:pt idx="713">
                  <c:v>41278</c:v>
                </c:pt>
                <c:pt idx="714">
                  <c:v>41281</c:v>
                </c:pt>
                <c:pt idx="715">
                  <c:v>41282</c:v>
                </c:pt>
                <c:pt idx="716">
                  <c:v>41283</c:v>
                </c:pt>
                <c:pt idx="717">
                  <c:v>41284</c:v>
                </c:pt>
                <c:pt idx="718">
                  <c:v>41285</c:v>
                </c:pt>
                <c:pt idx="719">
                  <c:v>41288</c:v>
                </c:pt>
                <c:pt idx="720">
                  <c:v>41289</c:v>
                </c:pt>
                <c:pt idx="721">
                  <c:v>41290</c:v>
                </c:pt>
                <c:pt idx="722">
                  <c:v>41291</c:v>
                </c:pt>
                <c:pt idx="723">
                  <c:v>41292</c:v>
                </c:pt>
                <c:pt idx="724">
                  <c:v>41295</c:v>
                </c:pt>
                <c:pt idx="725">
                  <c:v>41296</c:v>
                </c:pt>
                <c:pt idx="726">
                  <c:v>41297</c:v>
                </c:pt>
                <c:pt idx="727">
                  <c:v>41298</c:v>
                </c:pt>
                <c:pt idx="728">
                  <c:v>41299</c:v>
                </c:pt>
                <c:pt idx="729">
                  <c:v>41302</c:v>
                </c:pt>
                <c:pt idx="730">
                  <c:v>41303</c:v>
                </c:pt>
                <c:pt idx="731">
                  <c:v>41304</c:v>
                </c:pt>
                <c:pt idx="732">
                  <c:v>41305</c:v>
                </c:pt>
                <c:pt idx="733">
                  <c:v>41306</c:v>
                </c:pt>
                <c:pt idx="734">
                  <c:v>41309</c:v>
                </c:pt>
                <c:pt idx="735">
                  <c:v>41310</c:v>
                </c:pt>
                <c:pt idx="736">
                  <c:v>41311</c:v>
                </c:pt>
                <c:pt idx="737">
                  <c:v>41312</c:v>
                </c:pt>
                <c:pt idx="738">
                  <c:v>41313</c:v>
                </c:pt>
                <c:pt idx="739">
                  <c:v>41316</c:v>
                </c:pt>
                <c:pt idx="740">
                  <c:v>41317</c:v>
                </c:pt>
                <c:pt idx="741">
                  <c:v>41318</c:v>
                </c:pt>
                <c:pt idx="742">
                  <c:v>41319</c:v>
                </c:pt>
                <c:pt idx="743">
                  <c:v>41320</c:v>
                </c:pt>
                <c:pt idx="744">
                  <c:v>41323</c:v>
                </c:pt>
                <c:pt idx="745">
                  <c:v>41324</c:v>
                </c:pt>
                <c:pt idx="746">
                  <c:v>41325</c:v>
                </c:pt>
                <c:pt idx="747">
                  <c:v>41326</c:v>
                </c:pt>
                <c:pt idx="748">
                  <c:v>41327</c:v>
                </c:pt>
                <c:pt idx="749">
                  <c:v>41330</c:v>
                </c:pt>
                <c:pt idx="750">
                  <c:v>41331</c:v>
                </c:pt>
                <c:pt idx="751">
                  <c:v>41332</c:v>
                </c:pt>
                <c:pt idx="752">
                  <c:v>41333</c:v>
                </c:pt>
                <c:pt idx="753">
                  <c:v>41334</c:v>
                </c:pt>
                <c:pt idx="754">
                  <c:v>41337</c:v>
                </c:pt>
                <c:pt idx="755">
                  <c:v>41338</c:v>
                </c:pt>
                <c:pt idx="756">
                  <c:v>41339</c:v>
                </c:pt>
                <c:pt idx="757">
                  <c:v>41340</c:v>
                </c:pt>
                <c:pt idx="758">
                  <c:v>41341</c:v>
                </c:pt>
                <c:pt idx="759">
                  <c:v>41344</c:v>
                </c:pt>
                <c:pt idx="760">
                  <c:v>41345</c:v>
                </c:pt>
                <c:pt idx="761">
                  <c:v>41346</c:v>
                </c:pt>
                <c:pt idx="762">
                  <c:v>41347</c:v>
                </c:pt>
                <c:pt idx="763">
                  <c:v>41348</c:v>
                </c:pt>
                <c:pt idx="764">
                  <c:v>41351</c:v>
                </c:pt>
                <c:pt idx="765">
                  <c:v>41352</c:v>
                </c:pt>
                <c:pt idx="766">
                  <c:v>41353</c:v>
                </c:pt>
                <c:pt idx="767">
                  <c:v>41354</c:v>
                </c:pt>
                <c:pt idx="768">
                  <c:v>41355</c:v>
                </c:pt>
                <c:pt idx="769">
                  <c:v>41358</c:v>
                </c:pt>
                <c:pt idx="770">
                  <c:v>41359</c:v>
                </c:pt>
                <c:pt idx="771">
                  <c:v>41360</c:v>
                </c:pt>
                <c:pt idx="772">
                  <c:v>41361</c:v>
                </c:pt>
                <c:pt idx="773">
                  <c:v>41362</c:v>
                </c:pt>
                <c:pt idx="774">
                  <c:v>41365</c:v>
                </c:pt>
                <c:pt idx="775">
                  <c:v>41366</c:v>
                </c:pt>
                <c:pt idx="776">
                  <c:v>41367</c:v>
                </c:pt>
                <c:pt idx="777">
                  <c:v>41368</c:v>
                </c:pt>
                <c:pt idx="778">
                  <c:v>41369</c:v>
                </c:pt>
                <c:pt idx="779">
                  <c:v>41372</c:v>
                </c:pt>
                <c:pt idx="780">
                  <c:v>41373</c:v>
                </c:pt>
                <c:pt idx="781">
                  <c:v>41374</c:v>
                </c:pt>
                <c:pt idx="782">
                  <c:v>41375</c:v>
                </c:pt>
                <c:pt idx="783">
                  <c:v>41376</c:v>
                </c:pt>
                <c:pt idx="784">
                  <c:v>41379</c:v>
                </c:pt>
                <c:pt idx="785">
                  <c:v>41380</c:v>
                </c:pt>
                <c:pt idx="786">
                  <c:v>41381</c:v>
                </c:pt>
                <c:pt idx="787">
                  <c:v>41382</c:v>
                </c:pt>
                <c:pt idx="788">
                  <c:v>41383</c:v>
                </c:pt>
                <c:pt idx="789">
                  <c:v>41386</c:v>
                </c:pt>
                <c:pt idx="790">
                  <c:v>41387</c:v>
                </c:pt>
                <c:pt idx="791">
                  <c:v>41388</c:v>
                </c:pt>
                <c:pt idx="792">
                  <c:v>41389</c:v>
                </c:pt>
                <c:pt idx="793">
                  <c:v>41390</c:v>
                </c:pt>
                <c:pt idx="794">
                  <c:v>41393</c:v>
                </c:pt>
                <c:pt idx="795">
                  <c:v>41394</c:v>
                </c:pt>
                <c:pt idx="796">
                  <c:v>41395</c:v>
                </c:pt>
                <c:pt idx="797">
                  <c:v>41396</c:v>
                </c:pt>
                <c:pt idx="798">
                  <c:v>41397</c:v>
                </c:pt>
                <c:pt idx="799">
                  <c:v>41400</c:v>
                </c:pt>
                <c:pt idx="800">
                  <c:v>41401</c:v>
                </c:pt>
                <c:pt idx="801">
                  <c:v>41402</c:v>
                </c:pt>
                <c:pt idx="802">
                  <c:v>41403</c:v>
                </c:pt>
                <c:pt idx="803">
                  <c:v>41404</c:v>
                </c:pt>
                <c:pt idx="804">
                  <c:v>41407</c:v>
                </c:pt>
                <c:pt idx="805">
                  <c:v>41408</c:v>
                </c:pt>
                <c:pt idx="806">
                  <c:v>41409</c:v>
                </c:pt>
                <c:pt idx="807">
                  <c:v>41410</c:v>
                </c:pt>
                <c:pt idx="808">
                  <c:v>41411</c:v>
                </c:pt>
                <c:pt idx="809">
                  <c:v>41414</c:v>
                </c:pt>
                <c:pt idx="810">
                  <c:v>41415</c:v>
                </c:pt>
                <c:pt idx="811">
                  <c:v>41416</c:v>
                </c:pt>
                <c:pt idx="812">
                  <c:v>41417</c:v>
                </c:pt>
                <c:pt idx="813">
                  <c:v>41418</c:v>
                </c:pt>
                <c:pt idx="814">
                  <c:v>41421</c:v>
                </c:pt>
                <c:pt idx="815">
                  <c:v>41422</c:v>
                </c:pt>
                <c:pt idx="816">
                  <c:v>41423</c:v>
                </c:pt>
                <c:pt idx="817">
                  <c:v>41424</c:v>
                </c:pt>
                <c:pt idx="818">
                  <c:v>41425</c:v>
                </c:pt>
                <c:pt idx="819">
                  <c:v>41428</c:v>
                </c:pt>
                <c:pt idx="820">
                  <c:v>41429</c:v>
                </c:pt>
                <c:pt idx="821">
                  <c:v>41430</c:v>
                </c:pt>
                <c:pt idx="822">
                  <c:v>41431</c:v>
                </c:pt>
                <c:pt idx="823">
                  <c:v>41432</c:v>
                </c:pt>
                <c:pt idx="824">
                  <c:v>41435</c:v>
                </c:pt>
                <c:pt idx="825">
                  <c:v>41436</c:v>
                </c:pt>
                <c:pt idx="826">
                  <c:v>41437</c:v>
                </c:pt>
                <c:pt idx="827">
                  <c:v>41438</c:v>
                </c:pt>
                <c:pt idx="828">
                  <c:v>41439</c:v>
                </c:pt>
                <c:pt idx="829">
                  <c:v>41442</c:v>
                </c:pt>
                <c:pt idx="830">
                  <c:v>41443</c:v>
                </c:pt>
                <c:pt idx="831">
                  <c:v>41444</c:v>
                </c:pt>
                <c:pt idx="832">
                  <c:v>41445</c:v>
                </c:pt>
                <c:pt idx="833">
                  <c:v>41446</c:v>
                </c:pt>
                <c:pt idx="834">
                  <c:v>41449</c:v>
                </c:pt>
                <c:pt idx="835">
                  <c:v>41450</c:v>
                </c:pt>
                <c:pt idx="836">
                  <c:v>41451</c:v>
                </c:pt>
                <c:pt idx="837">
                  <c:v>41452</c:v>
                </c:pt>
                <c:pt idx="838">
                  <c:v>41453</c:v>
                </c:pt>
                <c:pt idx="839">
                  <c:v>41456</c:v>
                </c:pt>
                <c:pt idx="840">
                  <c:v>41457</c:v>
                </c:pt>
                <c:pt idx="841">
                  <c:v>41458</c:v>
                </c:pt>
                <c:pt idx="842">
                  <c:v>41459</c:v>
                </c:pt>
                <c:pt idx="843">
                  <c:v>41460</c:v>
                </c:pt>
                <c:pt idx="844">
                  <c:v>41463</c:v>
                </c:pt>
                <c:pt idx="845">
                  <c:v>41464</c:v>
                </c:pt>
                <c:pt idx="846">
                  <c:v>41465</c:v>
                </c:pt>
                <c:pt idx="847">
                  <c:v>41466</c:v>
                </c:pt>
                <c:pt idx="848">
                  <c:v>41467</c:v>
                </c:pt>
                <c:pt idx="849">
                  <c:v>41470</c:v>
                </c:pt>
                <c:pt idx="850">
                  <c:v>41471</c:v>
                </c:pt>
                <c:pt idx="851">
                  <c:v>41472</c:v>
                </c:pt>
                <c:pt idx="852">
                  <c:v>41473</c:v>
                </c:pt>
                <c:pt idx="853">
                  <c:v>41474</c:v>
                </c:pt>
                <c:pt idx="854">
                  <c:v>41477</c:v>
                </c:pt>
                <c:pt idx="855">
                  <c:v>41478</c:v>
                </c:pt>
                <c:pt idx="856">
                  <c:v>41479</c:v>
                </c:pt>
                <c:pt idx="857">
                  <c:v>41480</c:v>
                </c:pt>
                <c:pt idx="858">
                  <c:v>41481</c:v>
                </c:pt>
                <c:pt idx="859">
                  <c:v>41484</c:v>
                </c:pt>
                <c:pt idx="860">
                  <c:v>41485</c:v>
                </c:pt>
                <c:pt idx="861">
                  <c:v>41486</c:v>
                </c:pt>
                <c:pt idx="862">
                  <c:v>41487</c:v>
                </c:pt>
                <c:pt idx="863">
                  <c:v>41488</c:v>
                </c:pt>
                <c:pt idx="864">
                  <c:v>41491</c:v>
                </c:pt>
                <c:pt idx="865">
                  <c:v>41492</c:v>
                </c:pt>
                <c:pt idx="866">
                  <c:v>41493</c:v>
                </c:pt>
                <c:pt idx="867">
                  <c:v>41494</c:v>
                </c:pt>
                <c:pt idx="868">
                  <c:v>41495</c:v>
                </c:pt>
                <c:pt idx="869">
                  <c:v>41498</c:v>
                </c:pt>
                <c:pt idx="870">
                  <c:v>41499</c:v>
                </c:pt>
                <c:pt idx="871">
                  <c:v>41500</c:v>
                </c:pt>
                <c:pt idx="872">
                  <c:v>41501</c:v>
                </c:pt>
                <c:pt idx="873">
                  <c:v>41502</c:v>
                </c:pt>
                <c:pt idx="874">
                  <c:v>41505</c:v>
                </c:pt>
                <c:pt idx="875">
                  <c:v>41506</c:v>
                </c:pt>
                <c:pt idx="876">
                  <c:v>41507</c:v>
                </c:pt>
                <c:pt idx="877">
                  <c:v>41508</c:v>
                </c:pt>
                <c:pt idx="878">
                  <c:v>41509</c:v>
                </c:pt>
                <c:pt idx="879">
                  <c:v>41512</c:v>
                </c:pt>
                <c:pt idx="880">
                  <c:v>41513</c:v>
                </c:pt>
                <c:pt idx="881">
                  <c:v>41514</c:v>
                </c:pt>
                <c:pt idx="882">
                  <c:v>41515</c:v>
                </c:pt>
                <c:pt idx="883">
                  <c:v>41516</c:v>
                </c:pt>
                <c:pt idx="884">
                  <c:v>41519</c:v>
                </c:pt>
                <c:pt idx="885">
                  <c:v>41520</c:v>
                </c:pt>
                <c:pt idx="886">
                  <c:v>41521</c:v>
                </c:pt>
                <c:pt idx="887">
                  <c:v>41522</c:v>
                </c:pt>
                <c:pt idx="888">
                  <c:v>41523</c:v>
                </c:pt>
                <c:pt idx="889">
                  <c:v>41526</c:v>
                </c:pt>
                <c:pt idx="890">
                  <c:v>41527</c:v>
                </c:pt>
                <c:pt idx="891">
                  <c:v>41528</c:v>
                </c:pt>
                <c:pt idx="892">
                  <c:v>41529</c:v>
                </c:pt>
                <c:pt idx="893">
                  <c:v>41530</c:v>
                </c:pt>
                <c:pt idx="894">
                  <c:v>41533</c:v>
                </c:pt>
                <c:pt idx="895">
                  <c:v>41534</c:v>
                </c:pt>
                <c:pt idx="896">
                  <c:v>41535</c:v>
                </c:pt>
                <c:pt idx="897">
                  <c:v>41536</c:v>
                </c:pt>
                <c:pt idx="898">
                  <c:v>41537</c:v>
                </c:pt>
                <c:pt idx="899">
                  <c:v>41540</c:v>
                </c:pt>
                <c:pt idx="900">
                  <c:v>41541</c:v>
                </c:pt>
                <c:pt idx="901">
                  <c:v>41542</c:v>
                </c:pt>
                <c:pt idx="902">
                  <c:v>41543</c:v>
                </c:pt>
                <c:pt idx="903">
                  <c:v>41544</c:v>
                </c:pt>
                <c:pt idx="904">
                  <c:v>41547</c:v>
                </c:pt>
                <c:pt idx="905">
                  <c:v>41548</c:v>
                </c:pt>
                <c:pt idx="906">
                  <c:v>41549</c:v>
                </c:pt>
                <c:pt idx="907">
                  <c:v>41550</c:v>
                </c:pt>
                <c:pt idx="908">
                  <c:v>41551</c:v>
                </c:pt>
                <c:pt idx="909">
                  <c:v>41554</c:v>
                </c:pt>
                <c:pt idx="910">
                  <c:v>41555</c:v>
                </c:pt>
                <c:pt idx="911">
                  <c:v>41556</c:v>
                </c:pt>
                <c:pt idx="912">
                  <c:v>41557</c:v>
                </c:pt>
                <c:pt idx="913">
                  <c:v>41558</c:v>
                </c:pt>
                <c:pt idx="914">
                  <c:v>41561</c:v>
                </c:pt>
                <c:pt idx="915">
                  <c:v>41562</c:v>
                </c:pt>
                <c:pt idx="916">
                  <c:v>41563</c:v>
                </c:pt>
                <c:pt idx="917">
                  <c:v>41564</c:v>
                </c:pt>
                <c:pt idx="918">
                  <c:v>41565</c:v>
                </c:pt>
                <c:pt idx="919">
                  <c:v>41568</c:v>
                </c:pt>
                <c:pt idx="920">
                  <c:v>41569</c:v>
                </c:pt>
                <c:pt idx="921">
                  <c:v>41570</c:v>
                </c:pt>
                <c:pt idx="922">
                  <c:v>41571</c:v>
                </c:pt>
                <c:pt idx="923">
                  <c:v>41572</c:v>
                </c:pt>
                <c:pt idx="924">
                  <c:v>41575</c:v>
                </c:pt>
                <c:pt idx="925">
                  <c:v>41576</c:v>
                </c:pt>
                <c:pt idx="926">
                  <c:v>41577</c:v>
                </c:pt>
                <c:pt idx="927">
                  <c:v>41578</c:v>
                </c:pt>
                <c:pt idx="928">
                  <c:v>41579</c:v>
                </c:pt>
                <c:pt idx="929">
                  <c:v>41582</c:v>
                </c:pt>
                <c:pt idx="930">
                  <c:v>41583</c:v>
                </c:pt>
                <c:pt idx="931">
                  <c:v>41584</c:v>
                </c:pt>
                <c:pt idx="932">
                  <c:v>41585</c:v>
                </c:pt>
                <c:pt idx="933">
                  <c:v>41586</c:v>
                </c:pt>
                <c:pt idx="934">
                  <c:v>41589</c:v>
                </c:pt>
                <c:pt idx="935">
                  <c:v>41590</c:v>
                </c:pt>
                <c:pt idx="936">
                  <c:v>41591</c:v>
                </c:pt>
                <c:pt idx="937">
                  <c:v>41592</c:v>
                </c:pt>
                <c:pt idx="938">
                  <c:v>41593</c:v>
                </c:pt>
                <c:pt idx="939">
                  <c:v>41596</c:v>
                </c:pt>
                <c:pt idx="940">
                  <c:v>41597</c:v>
                </c:pt>
                <c:pt idx="941">
                  <c:v>41598</c:v>
                </c:pt>
                <c:pt idx="942">
                  <c:v>41599</c:v>
                </c:pt>
                <c:pt idx="943">
                  <c:v>41600</c:v>
                </c:pt>
                <c:pt idx="944">
                  <c:v>41603</c:v>
                </c:pt>
                <c:pt idx="945">
                  <c:v>41604</c:v>
                </c:pt>
                <c:pt idx="946">
                  <c:v>41605</c:v>
                </c:pt>
                <c:pt idx="947">
                  <c:v>41606</c:v>
                </c:pt>
                <c:pt idx="948">
                  <c:v>41607</c:v>
                </c:pt>
                <c:pt idx="949">
                  <c:v>41610</c:v>
                </c:pt>
                <c:pt idx="950">
                  <c:v>41611</c:v>
                </c:pt>
                <c:pt idx="951">
                  <c:v>41612</c:v>
                </c:pt>
                <c:pt idx="952">
                  <c:v>41613</c:v>
                </c:pt>
                <c:pt idx="953">
                  <c:v>41614</c:v>
                </c:pt>
                <c:pt idx="954">
                  <c:v>41617</c:v>
                </c:pt>
                <c:pt idx="955">
                  <c:v>41618</c:v>
                </c:pt>
                <c:pt idx="956">
                  <c:v>41619</c:v>
                </c:pt>
                <c:pt idx="957">
                  <c:v>41620</c:v>
                </c:pt>
                <c:pt idx="958">
                  <c:v>41621</c:v>
                </c:pt>
                <c:pt idx="959">
                  <c:v>41624</c:v>
                </c:pt>
                <c:pt idx="960">
                  <c:v>41625</c:v>
                </c:pt>
                <c:pt idx="961">
                  <c:v>41626</c:v>
                </c:pt>
                <c:pt idx="962">
                  <c:v>41627</c:v>
                </c:pt>
                <c:pt idx="963">
                  <c:v>41628</c:v>
                </c:pt>
                <c:pt idx="964">
                  <c:v>41631</c:v>
                </c:pt>
                <c:pt idx="965">
                  <c:v>41632</c:v>
                </c:pt>
                <c:pt idx="966">
                  <c:v>41633</c:v>
                </c:pt>
                <c:pt idx="967">
                  <c:v>41634</c:v>
                </c:pt>
                <c:pt idx="968">
                  <c:v>41635</c:v>
                </c:pt>
                <c:pt idx="969">
                  <c:v>41638</c:v>
                </c:pt>
                <c:pt idx="970">
                  <c:v>41639</c:v>
                </c:pt>
                <c:pt idx="971">
                  <c:v>41640</c:v>
                </c:pt>
                <c:pt idx="972">
                  <c:v>41641</c:v>
                </c:pt>
                <c:pt idx="973">
                  <c:v>41642</c:v>
                </c:pt>
                <c:pt idx="974">
                  <c:v>41645</c:v>
                </c:pt>
                <c:pt idx="975">
                  <c:v>41646</c:v>
                </c:pt>
                <c:pt idx="976">
                  <c:v>41647</c:v>
                </c:pt>
                <c:pt idx="977">
                  <c:v>41648</c:v>
                </c:pt>
                <c:pt idx="978">
                  <c:v>41649</c:v>
                </c:pt>
                <c:pt idx="979">
                  <c:v>41652</c:v>
                </c:pt>
                <c:pt idx="980">
                  <c:v>41653</c:v>
                </c:pt>
                <c:pt idx="981">
                  <c:v>41654</c:v>
                </c:pt>
                <c:pt idx="982">
                  <c:v>41655</c:v>
                </c:pt>
                <c:pt idx="983">
                  <c:v>41656</c:v>
                </c:pt>
                <c:pt idx="984">
                  <c:v>41659</c:v>
                </c:pt>
                <c:pt idx="985">
                  <c:v>41660</c:v>
                </c:pt>
                <c:pt idx="986">
                  <c:v>41661</c:v>
                </c:pt>
                <c:pt idx="987">
                  <c:v>41662</c:v>
                </c:pt>
                <c:pt idx="988">
                  <c:v>41663</c:v>
                </c:pt>
                <c:pt idx="989">
                  <c:v>41666</c:v>
                </c:pt>
                <c:pt idx="990">
                  <c:v>41667</c:v>
                </c:pt>
                <c:pt idx="991">
                  <c:v>41668</c:v>
                </c:pt>
                <c:pt idx="992">
                  <c:v>41669</c:v>
                </c:pt>
                <c:pt idx="993">
                  <c:v>41670</c:v>
                </c:pt>
                <c:pt idx="994">
                  <c:v>41673</c:v>
                </c:pt>
                <c:pt idx="995">
                  <c:v>41674</c:v>
                </c:pt>
                <c:pt idx="996">
                  <c:v>41675</c:v>
                </c:pt>
                <c:pt idx="997">
                  <c:v>41676</c:v>
                </c:pt>
                <c:pt idx="998">
                  <c:v>41677</c:v>
                </c:pt>
                <c:pt idx="999">
                  <c:v>41680</c:v>
                </c:pt>
                <c:pt idx="1000">
                  <c:v>41681</c:v>
                </c:pt>
                <c:pt idx="1001">
                  <c:v>41682</c:v>
                </c:pt>
                <c:pt idx="1002">
                  <c:v>41683</c:v>
                </c:pt>
                <c:pt idx="1003">
                  <c:v>41684</c:v>
                </c:pt>
                <c:pt idx="1004">
                  <c:v>41687</c:v>
                </c:pt>
                <c:pt idx="1005">
                  <c:v>41688</c:v>
                </c:pt>
                <c:pt idx="1006">
                  <c:v>41689</c:v>
                </c:pt>
                <c:pt idx="1007">
                  <c:v>41690</c:v>
                </c:pt>
                <c:pt idx="1008">
                  <c:v>41691</c:v>
                </c:pt>
                <c:pt idx="1009">
                  <c:v>41694</c:v>
                </c:pt>
                <c:pt idx="1010">
                  <c:v>41695</c:v>
                </c:pt>
                <c:pt idx="1011">
                  <c:v>41696</c:v>
                </c:pt>
                <c:pt idx="1012">
                  <c:v>41697</c:v>
                </c:pt>
                <c:pt idx="1013">
                  <c:v>41698</c:v>
                </c:pt>
                <c:pt idx="1014">
                  <c:v>41701</c:v>
                </c:pt>
                <c:pt idx="1015">
                  <c:v>41702</c:v>
                </c:pt>
                <c:pt idx="1016">
                  <c:v>41703</c:v>
                </c:pt>
                <c:pt idx="1017">
                  <c:v>41704</c:v>
                </c:pt>
                <c:pt idx="1018">
                  <c:v>41705</c:v>
                </c:pt>
                <c:pt idx="1019">
                  <c:v>41708</c:v>
                </c:pt>
                <c:pt idx="1020">
                  <c:v>41709</c:v>
                </c:pt>
                <c:pt idx="1021">
                  <c:v>41710</c:v>
                </c:pt>
                <c:pt idx="1022">
                  <c:v>41711</c:v>
                </c:pt>
                <c:pt idx="1023">
                  <c:v>41712</c:v>
                </c:pt>
                <c:pt idx="1024">
                  <c:v>41715</c:v>
                </c:pt>
                <c:pt idx="1025">
                  <c:v>41716</c:v>
                </c:pt>
                <c:pt idx="1026">
                  <c:v>41717</c:v>
                </c:pt>
                <c:pt idx="1027">
                  <c:v>41718</c:v>
                </c:pt>
                <c:pt idx="1028">
                  <c:v>41719</c:v>
                </c:pt>
                <c:pt idx="1029">
                  <c:v>41722</c:v>
                </c:pt>
                <c:pt idx="1030">
                  <c:v>41723</c:v>
                </c:pt>
                <c:pt idx="1031">
                  <c:v>41724</c:v>
                </c:pt>
                <c:pt idx="1032">
                  <c:v>41725</c:v>
                </c:pt>
                <c:pt idx="1033">
                  <c:v>41726</c:v>
                </c:pt>
                <c:pt idx="1034">
                  <c:v>41729</c:v>
                </c:pt>
                <c:pt idx="1035">
                  <c:v>41730</c:v>
                </c:pt>
                <c:pt idx="1036">
                  <c:v>41731</c:v>
                </c:pt>
                <c:pt idx="1037">
                  <c:v>41732</c:v>
                </c:pt>
                <c:pt idx="1038">
                  <c:v>41733</c:v>
                </c:pt>
                <c:pt idx="1039">
                  <c:v>41736</c:v>
                </c:pt>
                <c:pt idx="1040">
                  <c:v>41737</c:v>
                </c:pt>
                <c:pt idx="1041">
                  <c:v>41738</c:v>
                </c:pt>
                <c:pt idx="1042">
                  <c:v>41739</c:v>
                </c:pt>
                <c:pt idx="1043">
                  <c:v>41740</c:v>
                </c:pt>
                <c:pt idx="1044">
                  <c:v>41743</c:v>
                </c:pt>
                <c:pt idx="1045">
                  <c:v>41744</c:v>
                </c:pt>
                <c:pt idx="1046">
                  <c:v>41745</c:v>
                </c:pt>
                <c:pt idx="1047">
                  <c:v>41746</c:v>
                </c:pt>
                <c:pt idx="1048">
                  <c:v>41747</c:v>
                </c:pt>
                <c:pt idx="1049">
                  <c:v>41750</c:v>
                </c:pt>
                <c:pt idx="1050">
                  <c:v>41751</c:v>
                </c:pt>
                <c:pt idx="1051">
                  <c:v>41752</c:v>
                </c:pt>
                <c:pt idx="1052">
                  <c:v>41753</c:v>
                </c:pt>
                <c:pt idx="1053">
                  <c:v>41754</c:v>
                </c:pt>
                <c:pt idx="1054">
                  <c:v>41757</c:v>
                </c:pt>
                <c:pt idx="1055">
                  <c:v>41758</c:v>
                </c:pt>
                <c:pt idx="1056">
                  <c:v>41759</c:v>
                </c:pt>
                <c:pt idx="1057">
                  <c:v>41760</c:v>
                </c:pt>
                <c:pt idx="1058">
                  <c:v>41761</c:v>
                </c:pt>
                <c:pt idx="1059">
                  <c:v>41764</c:v>
                </c:pt>
                <c:pt idx="1060">
                  <c:v>41765</c:v>
                </c:pt>
                <c:pt idx="1061">
                  <c:v>41766</c:v>
                </c:pt>
                <c:pt idx="1062">
                  <c:v>41767</c:v>
                </c:pt>
                <c:pt idx="1063">
                  <c:v>41768</c:v>
                </c:pt>
                <c:pt idx="1064">
                  <c:v>41771</c:v>
                </c:pt>
                <c:pt idx="1065">
                  <c:v>41772</c:v>
                </c:pt>
                <c:pt idx="1066">
                  <c:v>41773</c:v>
                </c:pt>
                <c:pt idx="1067">
                  <c:v>41774</c:v>
                </c:pt>
                <c:pt idx="1068">
                  <c:v>41775</c:v>
                </c:pt>
                <c:pt idx="1069">
                  <c:v>41778</c:v>
                </c:pt>
                <c:pt idx="1070">
                  <c:v>41779</c:v>
                </c:pt>
                <c:pt idx="1071">
                  <c:v>41780</c:v>
                </c:pt>
                <c:pt idx="1072">
                  <c:v>41781</c:v>
                </c:pt>
                <c:pt idx="1073">
                  <c:v>41782</c:v>
                </c:pt>
                <c:pt idx="1074">
                  <c:v>41785</c:v>
                </c:pt>
                <c:pt idx="1075">
                  <c:v>41786</c:v>
                </c:pt>
                <c:pt idx="1076">
                  <c:v>41787</c:v>
                </c:pt>
                <c:pt idx="1077">
                  <c:v>41788</c:v>
                </c:pt>
                <c:pt idx="1078">
                  <c:v>41789</c:v>
                </c:pt>
                <c:pt idx="1079">
                  <c:v>41792</c:v>
                </c:pt>
                <c:pt idx="1080">
                  <c:v>41793</c:v>
                </c:pt>
                <c:pt idx="1081">
                  <c:v>41794</c:v>
                </c:pt>
                <c:pt idx="1082">
                  <c:v>41795</c:v>
                </c:pt>
                <c:pt idx="1083">
                  <c:v>41796</c:v>
                </c:pt>
                <c:pt idx="1084">
                  <c:v>41799</c:v>
                </c:pt>
                <c:pt idx="1085">
                  <c:v>41800</c:v>
                </c:pt>
                <c:pt idx="1086">
                  <c:v>41801</c:v>
                </c:pt>
                <c:pt idx="1087">
                  <c:v>41802</c:v>
                </c:pt>
                <c:pt idx="1088">
                  <c:v>41803</c:v>
                </c:pt>
                <c:pt idx="1089">
                  <c:v>41806</c:v>
                </c:pt>
                <c:pt idx="1090">
                  <c:v>41807</c:v>
                </c:pt>
                <c:pt idx="1091">
                  <c:v>41808</c:v>
                </c:pt>
                <c:pt idx="1092">
                  <c:v>41809</c:v>
                </c:pt>
                <c:pt idx="1093">
                  <c:v>41810</c:v>
                </c:pt>
                <c:pt idx="1094">
                  <c:v>41813</c:v>
                </c:pt>
                <c:pt idx="1095">
                  <c:v>41814</c:v>
                </c:pt>
                <c:pt idx="1096">
                  <c:v>41815</c:v>
                </c:pt>
                <c:pt idx="1097">
                  <c:v>41816</c:v>
                </c:pt>
                <c:pt idx="1098">
                  <c:v>41817</c:v>
                </c:pt>
                <c:pt idx="1099">
                  <c:v>41820</c:v>
                </c:pt>
                <c:pt idx="1100">
                  <c:v>41821</c:v>
                </c:pt>
                <c:pt idx="1101">
                  <c:v>41822</c:v>
                </c:pt>
                <c:pt idx="1102">
                  <c:v>41823</c:v>
                </c:pt>
                <c:pt idx="1103">
                  <c:v>41824</c:v>
                </c:pt>
                <c:pt idx="1104">
                  <c:v>41827</c:v>
                </c:pt>
                <c:pt idx="1105">
                  <c:v>41828</c:v>
                </c:pt>
                <c:pt idx="1106">
                  <c:v>41829</c:v>
                </c:pt>
                <c:pt idx="1107">
                  <c:v>41830</c:v>
                </c:pt>
                <c:pt idx="1108">
                  <c:v>41831</c:v>
                </c:pt>
                <c:pt idx="1109">
                  <c:v>41834</c:v>
                </c:pt>
                <c:pt idx="1110">
                  <c:v>41835</c:v>
                </c:pt>
                <c:pt idx="1111">
                  <c:v>41836</c:v>
                </c:pt>
                <c:pt idx="1112">
                  <c:v>41837</c:v>
                </c:pt>
                <c:pt idx="1113">
                  <c:v>41838</c:v>
                </c:pt>
                <c:pt idx="1114">
                  <c:v>41841</c:v>
                </c:pt>
                <c:pt idx="1115">
                  <c:v>41842</c:v>
                </c:pt>
                <c:pt idx="1116">
                  <c:v>41843</c:v>
                </c:pt>
                <c:pt idx="1117">
                  <c:v>41844</c:v>
                </c:pt>
                <c:pt idx="1118">
                  <c:v>41845</c:v>
                </c:pt>
                <c:pt idx="1119">
                  <c:v>41848</c:v>
                </c:pt>
                <c:pt idx="1120">
                  <c:v>41849</c:v>
                </c:pt>
                <c:pt idx="1121">
                  <c:v>41850</c:v>
                </c:pt>
                <c:pt idx="1122">
                  <c:v>41851</c:v>
                </c:pt>
                <c:pt idx="1123">
                  <c:v>41852</c:v>
                </c:pt>
                <c:pt idx="1124">
                  <c:v>41855</c:v>
                </c:pt>
                <c:pt idx="1125">
                  <c:v>41856</c:v>
                </c:pt>
                <c:pt idx="1126">
                  <c:v>41857</c:v>
                </c:pt>
                <c:pt idx="1127">
                  <c:v>41858</c:v>
                </c:pt>
                <c:pt idx="1128">
                  <c:v>41859</c:v>
                </c:pt>
                <c:pt idx="1129">
                  <c:v>41862</c:v>
                </c:pt>
                <c:pt idx="1130">
                  <c:v>41863</c:v>
                </c:pt>
                <c:pt idx="1131">
                  <c:v>41864</c:v>
                </c:pt>
                <c:pt idx="1132">
                  <c:v>41865</c:v>
                </c:pt>
                <c:pt idx="1133">
                  <c:v>41866</c:v>
                </c:pt>
                <c:pt idx="1134">
                  <c:v>41869</c:v>
                </c:pt>
                <c:pt idx="1135">
                  <c:v>41870</c:v>
                </c:pt>
                <c:pt idx="1136">
                  <c:v>41871</c:v>
                </c:pt>
                <c:pt idx="1137">
                  <c:v>41872</c:v>
                </c:pt>
                <c:pt idx="1138">
                  <c:v>41873</c:v>
                </c:pt>
                <c:pt idx="1139">
                  <c:v>41876</c:v>
                </c:pt>
                <c:pt idx="1140">
                  <c:v>41877</c:v>
                </c:pt>
                <c:pt idx="1141">
                  <c:v>41878</c:v>
                </c:pt>
                <c:pt idx="1142">
                  <c:v>41879</c:v>
                </c:pt>
                <c:pt idx="1143">
                  <c:v>41880</c:v>
                </c:pt>
                <c:pt idx="1144">
                  <c:v>41883</c:v>
                </c:pt>
                <c:pt idx="1145">
                  <c:v>41884</c:v>
                </c:pt>
                <c:pt idx="1146">
                  <c:v>41885</c:v>
                </c:pt>
                <c:pt idx="1147">
                  <c:v>41886</c:v>
                </c:pt>
                <c:pt idx="1148">
                  <c:v>41887</c:v>
                </c:pt>
                <c:pt idx="1149">
                  <c:v>41890</c:v>
                </c:pt>
                <c:pt idx="1150">
                  <c:v>41891</c:v>
                </c:pt>
                <c:pt idx="1151">
                  <c:v>41892</c:v>
                </c:pt>
                <c:pt idx="1152">
                  <c:v>41893</c:v>
                </c:pt>
                <c:pt idx="1153">
                  <c:v>41894</c:v>
                </c:pt>
                <c:pt idx="1154">
                  <c:v>41897</c:v>
                </c:pt>
                <c:pt idx="1155">
                  <c:v>41898</c:v>
                </c:pt>
                <c:pt idx="1156">
                  <c:v>41899</c:v>
                </c:pt>
                <c:pt idx="1157">
                  <c:v>41900</c:v>
                </c:pt>
                <c:pt idx="1158">
                  <c:v>41901</c:v>
                </c:pt>
                <c:pt idx="1159">
                  <c:v>41904</c:v>
                </c:pt>
                <c:pt idx="1160">
                  <c:v>41905</c:v>
                </c:pt>
                <c:pt idx="1161">
                  <c:v>41906</c:v>
                </c:pt>
                <c:pt idx="1162">
                  <c:v>41907</c:v>
                </c:pt>
                <c:pt idx="1163">
                  <c:v>41908</c:v>
                </c:pt>
                <c:pt idx="1164">
                  <c:v>41911</c:v>
                </c:pt>
                <c:pt idx="1165">
                  <c:v>41912</c:v>
                </c:pt>
                <c:pt idx="1166">
                  <c:v>41913</c:v>
                </c:pt>
                <c:pt idx="1167">
                  <c:v>41914</c:v>
                </c:pt>
                <c:pt idx="1168">
                  <c:v>41915</c:v>
                </c:pt>
                <c:pt idx="1169">
                  <c:v>41918</c:v>
                </c:pt>
                <c:pt idx="1170">
                  <c:v>41919</c:v>
                </c:pt>
                <c:pt idx="1171">
                  <c:v>41920</c:v>
                </c:pt>
                <c:pt idx="1172">
                  <c:v>41921</c:v>
                </c:pt>
                <c:pt idx="1173">
                  <c:v>41922</c:v>
                </c:pt>
                <c:pt idx="1174">
                  <c:v>41925</c:v>
                </c:pt>
                <c:pt idx="1175">
                  <c:v>41926</c:v>
                </c:pt>
                <c:pt idx="1176">
                  <c:v>41927</c:v>
                </c:pt>
                <c:pt idx="1177">
                  <c:v>41928</c:v>
                </c:pt>
                <c:pt idx="1178">
                  <c:v>41929</c:v>
                </c:pt>
                <c:pt idx="1179">
                  <c:v>41932</c:v>
                </c:pt>
                <c:pt idx="1180">
                  <c:v>41933</c:v>
                </c:pt>
                <c:pt idx="1181">
                  <c:v>41934</c:v>
                </c:pt>
                <c:pt idx="1182">
                  <c:v>41935</c:v>
                </c:pt>
                <c:pt idx="1183">
                  <c:v>41936</c:v>
                </c:pt>
                <c:pt idx="1184">
                  <c:v>41939</c:v>
                </c:pt>
                <c:pt idx="1185">
                  <c:v>41940</c:v>
                </c:pt>
                <c:pt idx="1186">
                  <c:v>41941</c:v>
                </c:pt>
                <c:pt idx="1187">
                  <c:v>41942</c:v>
                </c:pt>
                <c:pt idx="1188">
                  <c:v>41943</c:v>
                </c:pt>
                <c:pt idx="1189">
                  <c:v>41946</c:v>
                </c:pt>
                <c:pt idx="1190">
                  <c:v>41947</c:v>
                </c:pt>
                <c:pt idx="1191">
                  <c:v>41948</c:v>
                </c:pt>
                <c:pt idx="1192">
                  <c:v>41949</c:v>
                </c:pt>
                <c:pt idx="1193">
                  <c:v>41950</c:v>
                </c:pt>
                <c:pt idx="1194">
                  <c:v>41953</c:v>
                </c:pt>
                <c:pt idx="1195">
                  <c:v>41954</c:v>
                </c:pt>
                <c:pt idx="1196">
                  <c:v>41955</c:v>
                </c:pt>
                <c:pt idx="1197">
                  <c:v>41956</c:v>
                </c:pt>
                <c:pt idx="1198">
                  <c:v>41957</c:v>
                </c:pt>
                <c:pt idx="1199">
                  <c:v>41960</c:v>
                </c:pt>
                <c:pt idx="1200">
                  <c:v>41961</c:v>
                </c:pt>
                <c:pt idx="1201">
                  <c:v>41962</c:v>
                </c:pt>
                <c:pt idx="1202">
                  <c:v>41963</c:v>
                </c:pt>
                <c:pt idx="1203">
                  <c:v>41964</c:v>
                </c:pt>
                <c:pt idx="1204">
                  <c:v>41967</c:v>
                </c:pt>
                <c:pt idx="1205">
                  <c:v>41968</c:v>
                </c:pt>
                <c:pt idx="1206">
                  <c:v>41969</c:v>
                </c:pt>
                <c:pt idx="1207">
                  <c:v>41970</c:v>
                </c:pt>
                <c:pt idx="1208">
                  <c:v>41971</c:v>
                </c:pt>
                <c:pt idx="1209">
                  <c:v>41974</c:v>
                </c:pt>
                <c:pt idx="1210">
                  <c:v>41975</c:v>
                </c:pt>
                <c:pt idx="1211">
                  <c:v>41976</c:v>
                </c:pt>
                <c:pt idx="1212">
                  <c:v>41977</c:v>
                </c:pt>
                <c:pt idx="1213">
                  <c:v>41978</c:v>
                </c:pt>
                <c:pt idx="1214">
                  <c:v>41981</c:v>
                </c:pt>
                <c:pt idx="1215">
                  <c:v>41982</c:v>
                </c:pt>
                <c:pt idx="1216">
                  <c:v>41983</c:v>
                </c:pt>
                <c:pt idx="1217">
                  <c:v>41984</c:v>
                </c:pt>
                <c:pt idx="1218">
                  <c:v>41985</c:v>
                </c:pt>
                <c:pt idx="1219">
                  <c:v>41988</c:v>
                </c:pt>
                <c:pt idx="1220">
                  <c:v>41989</c:v>
                </c:pt>
                <c:pt idx="1221">
                  <c:v>41990</c:v>
                </c:pt>
                <c:pt idx="1222">
                  <c:v>41991</c:v>
                </c:pt>
                <c:pt idx="1223">
                  <c:v>41992</c:v>
                </c:pt>
                <c:pt idx="1224">
                  <c:v>41995</c:v>
                </c:pt>
                <c:pt idx="1225">
                  <c:v>41996</c:v>
                </c:pt>
                <c:pt idx="1226">
                  <c:v>41997</c:v>
                </c:pt>
                <c:pt idx="1227">
                  <c:v>41998</c:v>
                </c:pt>
                <c:pt idx="1228">
                  <c:v>41999</c:v>
                </c:pt>
                <c:pt idx="1229">
                  <c:v>42002</c:v>
                </c:pt>
                <c:pt idx="1230">
                  <c:v>42003</c:v>
                </c:pt>
                <c:pt idx="1231">
                  <c:v>42004</c:v>
                </c:pt>
                <c:pt idx="1232">
                  <c:v>42005</c:v>
                </c:pt>
                <c:pt idx="1233">
                  <c:v>42006</c:v>
                </c:pt>
                <c:pt idx="1234">
                  <c:v>42009</c:v>
                </c:pt>
                <c:pt idx="1235">
                  <c:v>42010</c:v>
                </c:pt>
                <c:pt idx="1236">
                  <c:v>42011</c:v>
                </c:pt>
                <c:pt idx="1237">
                  <c:v>42012</c:v>
                </c:pt>
                <c:pt idx="1238">
                  <c:v>42013</c:v>
                </c:pt>
                <c:pt idx="1239">
                  <c:v>42016</c:v>
                </c:pt>
                <c:pt idx="1240">
                  <c:v>42017</c:v>
                </c:pt>
                <c:pt idx="1241">
                  <c:v>42018</c:v>
                </c:pt>
                <c:pt idx="1242">
                  <c:v>42019</c:v>
                </c:pt>
                <c:pt idx="1243">
                  <c:v>42020</c:v>
                </c:pt>
                <c:pt idx="1244">
                  <c:v>42023</c:v>
                </c:pt>
                <c:pt idx="1245">
                  <c:v>42024</c:v>
                </c:pt>
                <c:pt idx="1246">
                  <c:v>42025</c:v>
                </c:pt>
                <c:pt idx="1247">
                  <c:v>42026</c:v>
                </c:pt>
                <c:pt idx="1248">
                  <c:v>42027</c:v>
                </c:pt>
                <c:pt idx="1249">
                  <c:v>42030</c:v>
                </c:pt>
                <c:pt idx="1250">
                  <c:v>42031</c:v>
                </c:pt>
                <c:pt idx="1251">
                  <c:v>42032</c:v>
                </c:pt>
                <c:pt idx="1252">
                  <c:v>42033</c:v>
                </c:pt>
                <c:pt idx="1253">
                  <c:v>42034</c:v>
                </c:pt>
                <c:pt idx="1254">
                  <c:v>42037</c:v>
                </c:pt>
                <c:pt idx="1255">
                  <c:v>42038</c:v>
                </c:pt>
                <c:pt idx="1256">
                  <c:v>42039</c:v>
                </c:pt>
                <c:pt idx="1257">
                  <c:v>42040</c:v>
                </c:pt>
                <c:pt idx="1258">
                  <c:v>42041</c:v>
                </c:pt>
                <c:pt idx="1259">
                  <c:v>42044</c:v>
                </c:pt>
                <c:pt idx="1260">
                  <c:v>42045</c:v>
                </c:pt>
                <c:pt idx="1261">
                  <c:v>42046</c:v>
                </c:pt>
                <c:pt idx="1262">
                  <c:v>42047</c:v>
                </c:pt>
                <c:pt idx="1263">
                  <c:v>42048</c:v>
                </c:pt>
                <c:pt idx="1264">
                  <c:v>42051</c:v>
                </c:pt>
                <c:pt idx="1265">
                  <c:v>42052</c:v>
                </c:pt>
                <c:pt idx="1266">
                  <c:v>42053</c:v>
                </c:pt>
                <c:pt idx="1267">
                  <c:v>42054</c:v>
                </c:pt>
                <c:pt idx="1268">
                  <c:v>42055</c:v>
                </c:pt>
                <c:pt idx="1269">
                  <c:v>42058</c:v>
                </c:pt>
                <c:pt idx="1270">
                  <c:v>42059</c:v>
                </c:pt>
                <c:pt idx="1271">
                  <c:v>42060</c:v>
                </c:pt>
                <c:pt idx="1272">
                  <c:v>42061</c:v>
                </c:pt>
                <c:pt idx="1273">
                  <c:v>42062</c:v>
                </c:pt>
                <c:pt idx="1274">
                  <c:v>42065</c:v>
                </c:pt>
                <c:pt idx="1275">
                  <c:v>42066</c:v>
                </c:pt>
                <c:pt idx="1276">
                  <c:v>42067</c:v>
                </c:pt>
                <c:pt idx="1277">
                  <c:v>42068</c:v>
                </c:pt>
                <c:pt idx="1278">
                  <c:v>42069</c:v>
                </c:pt>
                <c:pt idx="1279">
                  <c:v>42072</c:v>
                </c:pt>
                <c:pt idx="1280">
                  <c:v>42073</c:v>
                </c:pt>
                <c:pt idx="1281">
                  <c:v>42074</c:v>
                </c:pt>
                <c:pt idx="1282">
                  <c:v>42075</c:v>
                </c:pt>
                <c:pt idx="1283">
                  <c:v>42076</c:v>
                </c:pt>
                <c:pt idx="1284">
                  <c:v>42079</c:v>
                </c:pt>
                <c:pt idx="1285">
                  <c:v>42080</c:v>
                </c:pt>
                <c:pt idx="1286">
                  <c:v>42081</c:v>
                </c:pt>
                <c:pt idx="1287">
                  <c:v>42082</c:v>
                </c:pt>
                <c:pt idx="1288">
                  <c:v>42083</c:v>
                </c:pt>
                <c:pt idx="1289">
                  <c:v>42086</c:v>
                </c:pt>
                <c:pt idx="1290">
                  <c:v>42087</c:v>
                </c:pt>
                <c:pt idx="1291">
                  <c:v>42088</c:v>
                </c:pt>
                <c:pt idx="1292">
                  <c:v>42089</c:v>
                </c:pt>
                <c:pt idx="1293">
                  <c:v>42090</c:v>
                </c:pt>
                <c:pt idx="1294">
                  <c:v>42093</c:v>
                </c:pt>
                <c:pt idx="1295">
                  <c:v>42094</c:v>
                </c:pt>
                <c:pt idx="1296">
                  <c:v>42095</c:v>
                </c:pt>
                <c:pt idx="1297">
                  <c:v>42096</c:v>
                </c:pt>
                <c:pt idx="1298">
                  <c:v>42097</c:v>
                </c:pt>
                <c:pt idx="1299">
                  <c:v>42100</c:v>
                </c:pt>
                <c:pt idx="1300">
                  <c:v>42101</c:v>
                </c:pt>
                <c:pt idx="1301">
                  <c:v>42102</c:v>
                </c:pt>
              </c:numCache>
            </c:numRef>
          </c:cat>
          <c:val>
            <c:numRef>
              <c:f>'Garch(1,1) Dollar'!$J$15:$J$1316</c:f>
              <c:numCache>
                <c:formatCode>0.0000</c:formatCode>
                <c:ptCount val="1302"/>
                <c:pt idx="0">
                  <c:v>7.4054730214398717E-3</c:v>
                </c:pt>
                <c:pt idx="1">
                  <c:v>7.4054730214398717E-3</c:v>
                </c:pt>
                <c:pt idx="2">
                  <c:v>7.4054730214398717E-3</c:v>
                </c:pt>
                <c:pt idx="3">
                  <c:v>7.4054730214398717E-3</c:v>
                </c:pt>
                <c:pt idx="4">
                  <c:v>7.4054730214398717E-3</c:v>
                </c:pt>
                <c:pt idx="5">
                  <c:v>7.4054730214398717E-3</c:v>
                </c:pt>
                <c:pt idx="6">
                  <c:v>7.4054730214398717E-3</c:v>
                </c:pt>
                <c:pt idx="7">
                  <c:v>7.4054730214398717E-3</c:v>
                </c:pt>
                <c:pt idx="8">
                  <c:v>7.4054730214398717E-3</c:v>
                </c:pt>
                <c:pt idx="9">
                  <c:v>7.4054730214398717E-3</c:v>
                </c:pt>
                <c:pt idx="10">
                  <c:v>7.4054730214398717E-3</c:v>
                </c:pt>
                <c:pt idx="11">
                  <c:v>7.4054730214398717E-3</c:v>
                </c:pt>
                <c:pt idx="12">
                  <c:v>7.4054730214398717E-3</c:v>
                </c:pt>
                <c:pt idx="13">
                  <c:v>7.4054730214398717E-3</c:v>
                </c:pt>
                <c:pt idx="14">
                  <c:v>7.4054730214398717E-3</c:v>
                </c:pt>
                <c:pt idx="15">
                  <c:v>7.4054730214398717E-3</c:v>
                </c:pt>
                <c:pt idx="16">
                  <c:v>7.4054730214398717E-3</c:v>
                </c:pt>
                <c:pt idx="17">
                  <c:v>7.4054730214398717E-3</c:v>
                </c:pt>
                <c:pt idx="18">
                  <c:v>7.4054730214398717E-3</c:v>
                </c:pt>
                <c:pt idx="19">
                  <c:v>7.4054730214398717E-3</c:v>
                </c:pt>
                <c:pt idx="20">
                  <c:v>7.4054730214398717E-3</c:v>
                </c:pt>
                <c:pt idx="21">
                  <c:v>7.4054730214398717E-3</c:v>
                </c:pt>
                <c:pt idx="22">
                  <c:v>7.4054730214398717E-3</c:v>
                </c:pt>
                <c:pt idx="23">
                  <c:v>7.4054730214398717E-3</c:v>
                </c:pt>
                <c:pt idx="24">
                  <c:v>7.4054730214398717E-3</c:v>
                </c:pt>
                <c:pt idx="25">
                  <c:v>7.4054730214398717E-3</c:v>
                </c:pt>
                <c:pt idx="26">
                  <c:v>7.4054730214398717E-3</c:v>
                </c:pt>
                <c:pt idx="27">
                  <c:v>7.4054730214398717E-3</c:v>
                </c:pt>
                <c:pt idx="28">
                  <c:v>7.4054730214398717E-3</c:v>
                </c:pt>
                <c:pt idx="29">
                  <c:v>7.4054730214398717E-3</c:v>
                </c:pt>
                <c:pt idx="30">
                  <c:v>7.4054730214398717E-3</c:v>
                </c:pt>
                <c:pt idx="31">
                  <c:v>7.4054730214398717E-3</c:v>
                </c:pt>
                <c:pt idx="32">
                  <c:v>7.4054730214398717E-3</c:v>
                </c:pt>
                <c:pt idx="33">
                  <c:v>7.4054730214398717E-3</c:v>
                </c:pt>
                <c:pt idx="34">
                  <c:v>7.4054730214398717E-3</c:v>
                </c:pt>
                <c:pt idx="35">
                  <c:v>7.4054730214398717E-3</c:v>
                </c:pt>
                <c:pt idx="36">
                  <c:v>7.4054730214398717E-3</c:v>
                </c:pt>
                <c:pt idx="37">
                  <c:v>7.4054730214398717E-3</c:v>
                </c:pt>
                <c:pt idx="38">
                  <c:v>7.4054730214398717E-3</c:v>
                </c:pt>
                <c:pt idx="39">
                  <c:v>7.4054730214398717E-3</c:v>
                </c:pt>
                <c:pt idx="40">
                  <c:v>7.4054730214398717E-3</c:v>
                </c:pt>
                <c:pt idx="41">
                  <c:v>7.4054730214398717E-3</c:v>
                </c:pt>
                <c:pt idx="42">
                  <c:v>7.4054730214398717E-3</c:v>
                </c:pt>
                <c:pt idx="43">
                  <c:v>7.4054730214398717E-3</c:v>
                </c:pt>
                <c:pt idx="44">
                  <c:v>7.4054730214398717E-3</c:v>
                </c:pt>
                <c:pt idx="45">
                  <c:v>7.4054730214398717E-3</c:v>
                </c:pt>
                <c:pt idx="46">
                  <c:v>7.4054730214398717E-3</c:v>
                </c:pt>
                <c:pt idx="47">
                  <c:v>7.4054730214398717E-3</c:v>
                </c:pt>
                <c:pt idx="48">
                  <c:v>7.4054730214398717E-3</c:v>
                </c:pt>
                <c:pt idx="49">
                  <c:v>7.4054730214398717E-3</c:v>
                </c:pt>
                <c:pt idx="50">
                  <c:v>7.4054730214398717E-3</c:v>
                </c:pt>
                <c:pt idx="51">
                  <c:v>7.4054730214398717E-3</c:v>
                </c:pt>
                <c:pt idx="52">
                  <c:v>7.4054730214398717E-3</c:v>
                </c:pt>
                <c:pt idx="53">
                  <c:v>7.4054730214398717E-3</c:v>
                </c:pt>
                <c:pt idx="54">
                  <c:v>7.4054730214398717E-3</c:v>
                </c:pt>
                <c:pt idx="55">
                  <c:v>7.4054730214398717E-3</c:v>
                </c:pt>
                <c:pt idx="56">
                  <c:v>7.4054730214398717E-3</c:v>
                </c:pt>
                <c:pt idx="57">
                  <c:v>7.4054730214398717E-3</c:v>
                </c:pt>
                <c:pt idx="58">
                  <c:v>7.4054730214398717E-3</c:v>
                </c:pt>
                <c:pt idx="59">
                  <c:v>7.4054730214398717E-3</c:v>
                </c:pt>
                <c:pt idx="60">
                  <c:v>7.4054730214398717E-3</c:v>
                </c:pt>
                <c:pt idx="61">
                  <c:v>7.4054730214398717E-3</c:v>
                </c:pt>
                <c:pt idx="62">
                  <c:v>7.4054730214398717E-3</c:v>
                </c:pt>
                <c:pt idx="63">
                  <c:v>7.4054730214398717E-3</c:v>
                </c:pt>
                <c:pt idx="64">
                  <c:v>7.4054730214398717E-3</c:v>
                </c:pt>
                <c:pt idx="65">
                  <c:v>7.4054730214398717E-3</c:v>
                </c:pt>
                <c:pt idx="66">
                  <c:v>7.4054730214398717E-3</c:v>
                </c:pt>
                <c:pt idx="67">
                  <c:v>7.4054730214398717E-3</c:v>
                </c:pt>
                <c:pt idx="68">
                  <c:v>7.4054730214398717E-3</c:v>
                </c:pt>
                <c:pt idx="69">
                  <c:v>7.4054730214398717E-3</c:v>
                </c:pt>
                <c:pt idx="70">
                  <c:v>7.4054730214398717E-3</c:v>
                </c:pt>
                <c:pt idx="71">
                  <c:v>7.4054730214398717E-3</c:v>
                </c:pt>
                <c:pt idx="72">
                  <c:v>7.4054730214398717E-3</c:v>
                </c:pt>
                <c:pt idx="73">
                  <c:v>7.4054730214398717E-3</c:v>
                </c:pt>
                <c:pt idx="74">
                  <c:v>7.4054730214398717E-3</c:v>
                </c:pt>
                <c:pt idx="75">
                  <c:v>7.4054730214398717E-3</c:v>
                </c:pt>
                <c:pt idx="76">
                  <c:v>7.4054730214398717E-3</c:v>
                </c:pt>
                <c:pt idx="77">
                  <c:v>7.4054730214398717E-3</c:v>
                </c:pt>
                <c:pt idx="78">
                  <c:v>7.4054730214398717E-3</c:v>
                </c:pt>
                <c:pt idx="79">
                  <c:v>7.4054730214398717E-3</c:v>
                </c:pt>
                <c:pt idx="80">
                  <c:v>7.4054730214398717E-3</c:v>
                </c:pt>
                <c:pt idx="81">
                  <c:v>7.4054730214398717E-3</c:v>
                </c:pt>
                <c:pt idx="82">
                  <c:v>7.4054730214398717E-3</c:v>
                </c:pt>
                <c:pt idx="83">
                  <c:v>7.4054730214398717E-3</c:v>
                </c:pt>
                <c:pt idx="84">
                  <c:v>7.4054730214398717E-3</c:v>
                </c:pt>
                <c:pt idx="85">
                  <c:v>7.4054730214398717E-3</c:v>
                </c:pt>
                <c:pt idx="86">
                  <c:v>7.4054730214398717E-3</c:v>
                </c:pt>
                <c:pt idx="87">
                  <c:v>7.4054730214398717E-3</c:v>
                </c:pt>
                <c:pt idx="88">
                  <c:v>7.4054730214398717E-3</c:v>
                </c:pt>
                <c:pt idx="89">
                  <c:v>7.4054730214398717E-3</c:v>
                </c:pt>
                <c:pt idx="90">
                  <c:v>7.4054730214398717E-3</c:v>
                </c:pt>
                <c:pt idx="91">
                  <c:v>7.4054730214398717E-3</c:v>
                </c:pt>
                <c:pt idx="92">
                  <c:v>7.4054730214398717E-3</c:v>
                </c:pt>
                <c:pt idx="93">
                  <c:v>7.4054730214398717E-3</c:v>
                </c:pt>
                <c:pt idx="94">
                  <c:v>7.4054730214398717E-3</c:v>
                </c:pt>
                <c:pt idx="95">
                  <c:v>7.4054730214398717E-3</c:v>
                </c:pt>
                <c:pt idx="96">
                  <c:v>7.4054730214398717E-3</c:v>
                </c:pt>
                <c:pt idx="97">
                  <c:v>7.4054730214398717E-3</c:v>
                </c:pt>
                <c:pt idx="98">
                  <c:v>7.4054730214398717E-3</c:v>
                </c:pt>
                <c:pt idx="99">
                  <c:v>7.4054730214398717E-3</c:v>
                </c:pt>
                <c:pt idx="100">
                  <c:v>7.4054730214398717E-3</c:v>
                </c:pt>
                <c:pt idx="101">
                  <c:v>7.4054730214398717E-3</c:v>
                </c:pt>
                <c:pt idx="102">
                  <c:v>7.4054730214398717E-3</c:v>
                </c:pt>
                <c:pt idx="103">
                  <c:v>7.4054730214398717E-3</c:v>
                </c:pt>
                <c:pt idx="104">
                  <c:v>7.4054730214398717E-3</c:v>
                </c:pt>
                <c:pt idx="105">
                  <c:v>7.4054730214398717E-3</c:v>
                </c:pt>
                <c:pt idx="106">
                  <c:v>7.4054730214398717E-3</c:v>
                </c:pt>
                <c:pt idx="107">
                  <c:v>7.4054730214398717E-3</c:v>
                </c:pt>
                <c:pt idx="108">
                  <c:v>7.4054730214398717E-3</c:v>
                </c:pt>
                <c:pt idx="109">
                  <c:v>7.4054730214398717E-3</c:v>
                </c:pt>
                <c:pt idx="110">
                  <c:v>7.4054730214398717E-3</c:v>
                </c:pt>
                <c:pt idx="111">
                  <c:v>7.4054730214398717E-3</c:v>
                </c:pt>
                <c:pt idx="112">
                  <c:v>7.4054730214398717E-3</c:v>
                </c:pt>
                <c:pt idx="113">
                  <c:v>7.4054730214398717E-3</c:v>
                </c:pt>
                <c:pt idx="114">
                  <c:v>7.4054730214398717E-3</c:v>
                </c:pt>
                <c:pt idx="115">
                  <c:v>7.4054730214398717E-3</c:v>
                </c:pt>
                <c:pt idx="116">
                  <c:v>7.4054730214398717E-3</c:v>
                </c:pt>
                <c:pt idx="117">
                  <c:v>7.4054730214398717E-3</c:v>
                </c:pt>
                <c:pt idx="118">
                  <c:v>7.4054730214398717E-3</c:v>
                </c:pt>
                <c:pt idx="119">
                  <c:v>7.4054730214398717E-3</c:v>
                </c:pt>
                <c:pt idx="120">
                  <c:v>7.4054730214398717E-3</c:v>
                </c:pt>
                <c:pt idx="121">
                  <c:v>7.4054730214398717E-3</c:v>
                </c:pt>
                <c:pt idx="122">
                  <c:v>7.4054730214398717E-3</c:v>
                </c:pt>
                <c:pt idx="123">
                  <c:v>7.4054730214398717E-3</c:v>
                </c:pt>
                <c:pt idx="124">
                  <c:v>7.4054730214398717E-3</c:v>
                </c:pt>
                <c:pt idx="125">
                  <c:v>7.4054730214398717E-3</c:v>
                </c:pt>
                <c:pt idx="126">
                  <c:v>7.4054730214398717E-3</c:v>
                </c:pt>
                <c:pt idx="127">
                  <c:v>7.4054730214398717E-3</c:v>
                </c:pt>
                <c:pt idx="128">
                  <c:v>7.4054730214398717E-3</c:v>
                </c:pt>
                <c:pt idx="129">
                  <c:v>7.4054730214398717E-3</c:v>
                </c:pt>
                <c:pt idx="130">
                  <c:v>7.4054730214398717E-3</c:v>
                </c:pt>
                <c:pt idx="131">
                  <c:v>7.4054730214398717E-3</c:v>
                </c:pt>
                <c:pt idx="132">
                  <c:v>7.4054730214398717E-3</c:v>
                </c:pt>
                <c:pt idx="133">
                  <c:v>7.4054730214398717E-3</c:v>
                </c:pt>
                <c:pt idx="134">
                  <c:v>7.4054730214398717E-3</c:v>
                </c:pt>
                <c:pt idx="135">
                  <c:v>7.4054730214398717E-3</c:v>
                </c:pt>
                <c:pt idx="136">
                  <c:v>7.4054730214398717E-3</c:v>
                </c:pt>
                <c:pt idx="137">
                  <c:v>7.4054730214398717E-3</c:v>
                </c:pt>
                <c:pt idx="138">
                  <c:v>7.4054730214398717E-3</c:v>
                </c:pt>
                <c:pt idx="139">
                  <c:v>7.4054730214398717E-3</c:v>
                </c:pt>
                <c:pt idx="140">
                  <c:v>7.4054730214398717E-3</c:v>
                </c:pt>
                <c:pt idx="141">
                  <c:v>7.4054730214398717E-3</c:v>
                </c:pt>
                <c:pt idx="142">
                  <c:v>7.4054730214398717E-3</c:v>
                </c:pt>
                <c:pt idx="143">
                  <c:v>7.4054730214398717E-3</c:v>
                </c:pt>
                <c:pt idx="144">
                  <c:v>7.4054730214398717E-3</c:v>
                </c:pt>
                <c:pt idx="145">
                  <c:v>7.4054730214398717E-3</c:v>
                </c:pt>
                <c:pt idx="146">
                  <c:v>7.4054730214398717E-3</c:v>
                </c:pt>
                <c:pt idx="147">
                  <c:v>7.4054730214398717E-3</c:v>
                </c:pt>
                <c:pt idx="148">
                  <c:v>7.4054730214398717E-3</c:v>
                </c:pt>
                <c:pt idx="149">
                  <c:v>7.4054730214398717E-3</c:v>
                </c:pt>
                <c:pt idx="150">
                  <c:v>7.4054730214398717E-3</c:v>
                </c:pt>
                <c:pt idx="151">
                  <c:v>7.4054730214398717E-3</c:v>
                </c:pt>
                <c:pt idx="152">
                  <c:v>7.4054730214398717E-3</c:v>
                </c:pt>
                <c:pt idx="153">
                  <c:v>7.4054730214398717E-3</c:v>
                </c:pt>
                <c:pt idx="154">
                  <c:v>7.4054730214398717E-3</c:v>
                </c:pt>
                <c:pt idx="155">
                  <c:v>7.4054730214398717E-3</c:v>
                </c:pt>
                <c:pt idx="156">
                  <c:v>7.4054730214398717E-3</c:v>
                </c:pt>
                <c:pt idx="157">
                  <c:v>7.4054730214398717E-3</c:v>
                </c:pt>
                <c:pt idx="158">
                  <c:v>7.4054730214398717E-3</c:v>
                </c:pt>
                <c:pt idx="159">
                  <c:v>7.4054730214398717E-3</c:v>
                </c:pt>
                <c:pt idx="160">
                  <c:v>7.4054730214398717E-3</c:v>
                </c:pt>
                <c:pt idx="161">
                  <c:v>7.4054730214398717E-3</c:v>
                </c:pt>
                <c:pt idx="162">
                  <c:v>7.4054730214398717E-3</c:v>
                </c:pt>
                <c:pt idx="163">
                  <c:v>7.4054730214398717E-3</c:v>
                </c:pt>
                <c:pt idx="164">
                  <c:v>7.4054730214398717E-3</c:v>
                </c:pt>
                <c:pt idx="165">
                  <c:v>7.4054730214398717E-3</c:v>
                </c:pt>
                <c:pt idx="166">
                  <c:v>7.4054730214398717E-3</c:v>
                </c:pt>
                <c:pt idx="167">
                  <c:v>7.4054730214398717E-3</c:v>
                </c:pt>
                <c:pt idx="168">
                  <c:v>7.4054730214398717E-3</c:v>
                </c:pt>
                <c:pt idx="169">
                  <c:v>7.4054730214398717E-3</c:v>
                </c:pt>
                <c:pt idx="170">
                  <c:v>7.4054730214398717E-3</c:v>
                </c:pt>
                <c:pt idx="171">
                  <c:v>7.4054730214398717E-3</c:v>
                </c:pt>
                <c:pt idx="172">
                  <c:v>7.4054730214398717E-3</c:v>
                </c:pt>
                <c:pt idx="173">
                  <c:v>7.4054730214398717E-3</c:v>
                </c:pt>
                <c:pt idx="174">
                  <c:v>7.4054730214398717E-3</c:v>
                </c:pt>
                <c:pt idx="175">
                  <c:v>7.4054730214398717E-3</c:v>
                </c:pt>
                <c:pt idx="176">
                  <c:v>7.4054730214398717E-3</c:v>
                </c:pt>
                <c:pt idx="177">
                  <c:v>7.4054730214398717E-3</c:v>
                </c:pt>
                <c:pt idx="178">
                  <c:v>7.4054730214398717E-3</c:v>
                </c:pt>
                <c:pt idx="179">
                  <c:v>7.4054730214398717E-3</c:v>
                </c:pt>
                <c:pt idx="180">
                  <c:v>7.4054730214398717E-3</c:v>
                </c:pt>
                <c:pt idx="181">
                  <c:v>7.4054730214398717E-3</c:v>
                </c:pt>
                <c:pt idx="182">
                  <c:v>7.4054730214398717E-3</c:v>
                </c:pt>
                <c:pt idx="183">
                  <c:v>7.4054730214398717E-3</c:v>
                </c:pt>
                <c:pt idx="184">
                  <c:v>7.4054730214398717E-3</c:v>
                </c:pt>
                <c:pt idx="185">
                  <c:v>7.4054730214398717E-3</c:v>
                </c:pt>
                <c:pt idx="186">
                  <c:v>7.4054730214398717E-3</c:v>
                </c:pt>
                <c:pt idx="187">
                  <c:v>7.4054730214398717E-3</c:v>
                </c:pt>
                <c:pt idx="188">
                  <c:v>7.4054730214398717E-3</c:v>
                </c:pt>
                <c:pt idx="189">
                  <c:v>7.4054730214398717E-3</c:v>
                </c:pt>
                <c:pt idx="190">
                  <c:v>7.4054730214398717E-3</c:v>
                </c:pt>
                <c:pt idx="191">
                  <c:v>7.4054730214398717E-3</c:v>
                </c:pt>
                <c:pt idx="192">
                  <c:v>7.4054730214398717E-3</c:v>
                </c:pt>
                <c:pt idx="193">
                  <c:v>7.4054730214398717E-3</c:v>
                </c:pt>
                <c:pt idx="194">
                  <c:v>7.4054730214398717E-3</c:v>
                </c:pt>
                <c:pt idx="195">
                  <c:v>7.4054730214398717E-3</c:v>
                </c:pt>
                <c:pt idx="196">
                  <c:v>7.4054730214398717E-3</c:v>
                </c:pt>
                <c:pt idx="197">
                  <c:v>7.4054730214398717E-3</c:v>
                </c:pt>
                <c:pt idx="198">
                  <c:v>7.4054730214398717E-3</c:v>
                </c:pt>
                <c:pt idx="199">
                  <c:v>7.4054730214398717E-3</c:v>
                </c:pt>
                <c:pt idx="200">
                  <c:v>7.4054730214398717E-3</c:v>
                </c:pt>
                <c:pt idx="201">
                  <c:v>7.4054730214398717E-3</c:v>
                </c:pt>
                <c:pt idx="202">
                  <c:v>7.4054730214398717E-3</c:v>
                </c:pt>
                <c:pt idx="203">
                  <c:v>7.4054730214398717E-3</c:v>
                </c:pt>
                <c:pt idx="204">
                  <c:v>7.4054730214398717E-3</c:v>
                </c:pt>
                <c:pt idx="205">
                  <c:v>7.4054730214398717E-3</c:v>
                </c:pt>
                <c:pt idx="206">
                  <c:v>7.4054730214398717E-3</c:v>
                </c:pt>
                <c:pt idx="207">
                  <c:v>7.4054730214398717E-3</c:v>
                </c:pt>
                <c:pt idx="208">
                  <c:v>7.4054730214398717E-3</c:v>
                </c:pt>
                <c:pt idx="209">
                  <c:v>7.4054730214398717E-3</c:v>
                </c:pt>
                <c:pt idx="210">
                  <c:v>7.4054730214398717E-3</c:v>
                </c:pt>
                <c:pt idx="211">
                  <c:v>7.4054730214398717E-3</c:v>
                </c:pt>
                <c:pt idx="212">
                  <c:v>7.4054730214398717E-3</c:v>
                </c:pt>
                <c:pt idx="213">
                  <c:v>7.4054730214398717E-3</c:v>
                </c:pt>
                <c:pt idx="214">
                  <c:v>7.4054730214398717E-3</c:v>
                </c:pt>
                <c:pt idx="215">
                  <c:v>7.4054730214398717E-3</c:v>
                </c:pt>
                <c:pt idx="216">
                  <c:v>7.4054730214398717E-3</c:v>
                </c:pt>
                <c:pt idx="217">
                  <c:v>7.4054730214398717E-3</c:v>
                </c:pt>
                <c:pt idx="218">
                  <c:v>7.4054730214398717E-3</c:v>
                </c:pt>
                <c:pt idx="219">
                  <c:v>7.4054730214398717E-3</c:v>
                </c:pt>
                <c:pt idx="220">
                  <c:v>7.4054730214398717E-3</c:v>
                </c:pt>
                <c:pt idx="221">
                  <c:v>7.4054730214398717E-3</c:v>
                </c:pt>
                <c:pt idx="222">
                  <c:v>7.4054730214398717E-3</c:v>
                </c:pt>
                <c:pt idx="223">
                  <c:v>7.4054730214398717E-3</c:v>
                </c:pt>
                <c:pt idx="224">
                  <c:v>7.4054730214398717E-3</c:v>
                </c:pt>
                <c:pt idx="225">
                  <c:v>7.4054730214398717E-3</c:v>
                </c:pt>
                <c:pt idx="226">
                  <c:v>7.4054730214398717E-3</c:v>
                </c:pt>
                <c:pt idx="227">
                  <c:v>7.4054730214398717E-3</c:v>
                </c:pt>
                <c:pt idx="228">
                  <c:v>7.4054730214398717E-3</c:v>
                </c:pt>
                <c:pt idx="229">
                  <c:v>7.4054730214398717E-3</c:v>
                </c:pt>
                <c:pt idx="230">
                  <c:v>7.4054730214398717E-3</c:v>
                </c:pt>
                <c:pt idx="231">
                  <c:v>7.4054730214398717E-3</c:v>
                </c:pt>
                <c:pt idx="232">
                  <c:v>7.4054730214398717E-3</c:v>
                </c:pt>
                <c:pt idx="233">
                  <c:v>7.4054730214398717E-3</c:v>
                </c:pt>
                <c:pt idx="234">
                  <c:v>7.4054730214398717E-3</c:v>
                </c:pt>
                <c:pt idx="235">
                  <c:v>7.4054730214398717E-3</c:v>
                </c:pt>
                <c:pt idx="236">
                  <c:v>7.4054730214398717E-3</c:v>
                </c:pt>
                <c:pt idx="237">
                  <c:v>7.4054730214398717E-3</c:v>
                </c:pt>
                <c:pt idx="238">
                  <c:v>7.4054730214398717E-3</c:v>
                </c:pt>
                <c:pt idx="239">
                  <c:v>7.4054730214398717E-3</c:v>
                </c:pt>
                <c:pt idx="240">
                  <c:v>7.4054730214398717E-3</c:v>
                </c:pt>
                <c:pt idx="241">
                  <c:v>7.4054730214398717E-3</c:v>
                </c:pt>
                <c:pt idx="242">
                  <c:v>7.4054730214398717E-3</c:v>
                </c:pt>
                <c:pt idx="243">
                  <c:v>7.4054730214398717E-3</c:v>
                </c:pt>
                <c:pt idx="244">
                  <c:v>7.4054730214398717E-3</c:v>
                </c:pt>
                <c:pt idx="245">
                  <c:v>7.4054730214398717E-3</c:v>
                </c:pt>
                <c:pt idx="246">
                  <c:v>7.4054730214398717E-3</c:v>
                </c:pt>
                <c:pt idx="247">
                  <c:v>7.4054730214398717E-3</c:v>
                </c:pt>
                <c:pt idx="248">
                  <c:v>7.4054730214398717E-3</c:v>
                </c:pt>
                <c:pt idx="249">
                  <c:v>7.4054730214398717E-3</c:v>
                </c:pt>
                <c:pt idx="250">
                  <c:v>7.4054730214398717E-3</c:v>
                </c:pt>
                <c:pt idx="251">
                  <c:v>7.4054730214398717E-3</c:v>
                </c:pt>
                <c:pt idx="252">
                  <c:v>7.4054730214398717E-3</c:v>
                </c:pt>
                <c:pt idx="253">
                  <c:v>7.4054730214398717E-3</c:v>
                </c:pt>
                <c:pt idx="254">
                  <c:v>7.4054730214398717E-3</c:v>
                </c:pt>
                <c:pt idx="255">
                  <c:v>7.4054730214398717E-3</c:v>
                </c:pt>
                <c:pt idx="256">
                  <c:v>7.4054730214398717E-3</c:v>
                </c:pt>
                <c:pt idx="257">
                  <c:v>7.4054730214398717E-3</c:v>
                </c:pt>
                <c:pt idx="258">
                  <c:v>7.4054730214398717E-3</c:v>
                </c:pt>
                <c:pt idx="259">
                  <c:v>7.4054730214398717E-3</c:v>
                </c:pt>
                <c:pt idx="260">
                  <c:v>7.4054730214398717E-3</c:v>
                </c:pt>
                <c:pt idx="261">
                  <c:v>7.4054730214398717E-3</c:v>
                </c:pt>
                <c:pt idx="262">
                  <c:v>7.4054730214398717E-3</c:v>
                </c:pt>
                <c:pt idx="263">
                  <c:v>7.4054730214398717E-3</c:v>
                </c:pt>
                <c:pt idx="264">
                  <c:v>7.4054730214398717E-3</c:v>
                </c:pt>
                <c:pt idx="265">
                  <c:v>7.4054730214398717E-3</c:v>
                </c:pt>
                <c:pt idx="266">
                  <c:v>7.4054730214398717E-3</c:v>
                </c:pt>
                <c:pt idx="267">
                  <c:v>7.4054730214398717E-3</c:v>
                </c:pt>
                <c:pt idx="268">
                  <c:v>7.4054730214398717E-3</c:v>
                </c:pt>
                <c:pt idx="269">
                  <c:v>7.4054730214398717E-3</c:v>
                </c:pt>
                <c:pt idx="270">
                  <c:v>7.4054730214398717E-3</c:v>
                </c:pt>
                <c:pt idx="271">
                  <c:v>7.4054730214398717E-3</c:v>
                </c:pt>
                <c:pt idx="272">
                  <c:v>7.4054730214398717E-3</c:v>
                </c:pt>
                <c:pt idx="273">
                  <c:v>7.4054730214398717E-3</c:v>
                </c:pt>
                <c:pt idx="274">
                  <c:v>7.4054730214398717E-3</c:v>
                </c:pt>
                <c:pt idx="275">
                  <c:v>7.4054730214398717E-3</c:v>
                </c:pt>
                <c:pt idx="276">
                  <c:v>7.4054730214398717E-3</c:v>
                </c:pt>
                <c:pt idx="277">
                  <c:v>7.4054730214398717E-3</c:v>
                </c:pt>
                <c:pt idx="278">
                  <c:v>7.4054730214398717E-3</c:v>
                </c:pt>
                <c:pt idx="279">
                  <c:v>7.4054730214398717E-3</c:v>
                </c:pt>
                <c:pt idx="280">
                  <c:v>7.4054730214398717E-3</c:v>
                </c:pt>
                <c:pt idx="281">
                  <c:v>7.4054730214398717E-3</c:v>
                </c:pt>
                <c:pt idx="282">
                  <c:v>7.4054730214398717E-3</c:v>
                </c:pt>
                <c:pt idx="283">
                  <c:v>7.4054730214398717E-3</c:v>
                </c:pt>
                <c:pt idx="284">
                  <c:v>7.4054730214398717E-3</c:v>
                </c:pt>
                <c:pt idx="285">
                  <c:v>7.4054730214398717E-3</c:v>
                </c:pt>
                <c:pt idx="286">
                  <c:v>7.4054730214398717E-3</c:v>
                </c:pt>
                <c:pt idx="287">
                  <c:v>7.4054730214398717E-3</c:v>
                </c:pt>
                <c:pt idx="288">
                  <c:v>7.4054730214398717E-3</c:v>
                </c:pt>
                <c:pt idx="289">
                  <c:v>7.4054730214398717E-3</c:v>
                </c:pt>
                <c:pt idx="290">
                  <c:v>7.4054730214398717E-3</c:v>
                </c:pt>
                <c:pt idx="291">
                  <c:v>7.4054730214398717E-3</c:v>
                </c:pt>
                <c:pt idx="292">
                  <c:v>7.4054730214398717E-3</c:v>
                </c:pt>
                <c:pt idx="293">
                  <c:v>7.4054730214398717E-3</c:v>
                </c:pt>
                <c:pt idx="294">
                  <c:v>7.4054730214398717E-3</c:v>
                </c:pt>
                <c:pt idx="295">
                  <c:v>7.4054730214398717E-3</c:v>
                </c:pt>
                <c:pt idx="296">
                  <c:v>7.4054730214398717E-3</c:v>
                </c:pt>
                <c:pt idx="297">
                  <c:v>7.4054730214398717E-3</c:v>
                </c:pt>
                <c:pt idx="298">
                  <c:v>7.4054730214398717E-3</c:v>
                </c:pt>
                <c:pt idx="299">
                  <c:v>7.4054730214398717E-3</c:v>
                </c:pt>
                <c:pt idx="300">
                  <c:v>7.4054730214398717E-3</c:v>
                </c:pt>
                <c:pt idx="301">
                  <c:v>7.4054730214398717E-3</c:v>
                </c:pt>
                <c:pt idx="302">
                  <c:v>7.4054730214398717E-3</c:v>
                </c:pt>
                <c:pt idx="303">
                  <c:v>7.4054730214398717E-3</c:v>
                </c:pt>
                <c:pt idx="304">
                  <c:v>7.4054730214398717E-3</c:v>
                </c:pt>
                <c:pt idx="305">
                  <c:v>7.4054730214398717E-3</c:v>
                </c:pt>
                <c:pt idx="306">
                  <c:v>7.4054730214398717E-3</c:v>
                </c:pt>
                <c:pt idx="307">
                  <c:v>7.4054730214398717E-3</c:v>
                </c:pt>
                <c:pt idx="308">
                  <c:v>7.4054730214398717E-3</c:v>
                </c:pt>
                <c:pt idx="309">
                  <c:v>7.4054730214398717E-3</c:v>
                </c:pt>
                <c:pt idx="310">
                  <c:v>7.4054730214398717E-3</c:v>
                </c:pt>
                <c:pt idx="311">
                  <c:v>7.4054730214398717E-3</c:v>
                </c:pt>
                <c:pt idx="312">
                  <c:v>7.4054730214398717E-3</c:v>
                </c:pt>
                <c:pt idx="313">
                  <c:v>7.4054730214398717E-3</c:v>
                </c:pt>
                <c:pt idx="314">
                  <c:v>7.4054730214398717E-3</c:v>
                </c:pt>
                <c:pt idx="315">
                  <c:v>7.4054730214398717E-3</c:v>
                </c:pt>
                <c:pt idx="316">
                  <c:v>7.4054730214398717E-3</c:v>
                </c:pt>
                <c:pt idx="317">
                  <c:v>7.4054730214398717E-3</c:v>
                </c:pt>
                <c:pt idx="318">
                  <c:v>7.4054730214398717E-3</c:v>
                </c:pt>
                <c:pt idx="319">
                  <c:v>7.4054730214398717E-3</c:v>
                </c:pt>
                <c:pt idx="320">
                  <c:v>7.4054730214398717E-3</c:v>
                </c:pt>
                <c:pt idx="321">
                  <c:v>7.4054730214398717E-3</c:v>
                </c:pt>
                <c:pt idx="322">
                  <c:v>7.4054730214398717E-3</c:v>
                </c:pt>
                <c:pt idx="323">
                  <c:v>7.4054730214398717E-3</c:v>
                </c:pt>
                <c:pt idx="324">
                  <c:v>7.4054730214398717E-3</c:v>
                </c:pt>
                <c:pt idx="325">
                  <c:v>7.4054730214398717E-3</c:v>
                </c:pt>
                <c:pt idx="326">
                  <c:v>7.4054730214398717E-3</c:v>
                </c:pt>
                <c:pt idx="327">
                  <c:v>7.4054730214398717E-3</c:v>
                </c:pt>
                <c:pt idx="328">
                  <c:v>7.4054730214398717E-3</c:v>
                </c:pt>
                <c:pt idx="329">
                  <c:v>7.4054730214398717E-3</c:v>
                </c:pt>
                <c:pt idx="330">
                  <c:v>7.4054730214398717E-3</c:v>
                </c:pt>
                <c:pt idx="331">
                  <c:v>7.4054730214398717E-3</c:v>
                </c:pt>
                <c:pt idx="332">
                  <c:v>7.4054730214398717E-3</c:v>
                </c:pt>
                <c:pt idx="333">
                  <c:v>7.4054730214398717E-3</c:v>
                </c:pt>
                <c:pt idx="334">
                  <c:v>7.4054730214398717E-3</c:v>
                </c:pt>
                <c:pt idx="335">
                  <c:v>7.4054730214398717E-3</c:v>
                </c:pt>
                <c:pt idx="336">
                  <c:v>7.4054730214398717E-3</c:v>
                </c:pt>
                <c:pt idx="337">
                  <c:v>7.4054730214398717E-3</c:v>
                </c:pt>
                <c:pt idx="338">
                  <c:v>7.4054730214398717E-3</c:v>
                </c:pt>
                <c:pt idx="339">
                  <c:v>7.4054730214398717E-3</c:v>
                </c:pt>
                <c:pt idx="340">
                  <c:v>7.4054730214398717E-3</c:v>
                </c:pt>
                <c:pt idx="341">
                  <c:v>7.4054730214398717E-3</c:v>
                </c:pt>
                <c:pt idx="342">
                  <c:v>7.4054730214398717E-3</c:v>
                </c:pt>
                <c:pt idx="343">
                  <c:v>7.4054730214398717E-3</c:v>
                </c:pt>
                <c:pt idx="344">
                  <c:v>7.4054730214398717E-3</c:v>
                </c:pt>
                <c:pt idx="345">
                  <c:v>7.4054730214398717E-3</c:v>
                </c:pt>
                <c:pt idx="346">
                  <c:v>7.4054730214398717E-3</c:v>
                </c:pt>
                <c:pt idx="347">
                  <c:v>7.4054730214398717E-3</c:v>
                </c:pt>
                <c:pt idx="348">
                  <c:v>7.4054730214398717E-3</c:v>
                </c:pt>
                <c:pt idx="349">
                  <c:v>7.4054730214398717E-3</c:v>
                </c:pt>
                <c:pt idx="350">
                  <c:v>7.4054730214398717E-3</c:v>
                </c:pt>
                <c:pt idx="351">
                  <c:v>7.4054730214398717E-3</c:v>
                </c:pt>
                <c:pt idx="352">
                  <c:v>7.4054730214398717E-3</c:v>
                </c:pt>
                <c:pt idx="353">
                  <c:v>7.4054730214398717E-3</c:v>
                </c:pt>
                <c:pt idx="354">
                  <c:v>7.4054730214398717E-3</c:v>
                </c:pt>
                <c:pt idx="355">
                  <c:v>7.4054730214398717E-3</c:v>
                </c:pt>
                <c:pt idx="356">
                  <c:v>7.4054730214398717E-3</c:v>
                </c:pt>
                <c:pt idx="357">
                  <c:v>7.4054730214398717E-3</c:v>
                </c:pt>
                <c:pt idx="358">
                  <c:v>7.4054730214398717E-3</c:v>
                </c:pt>
                <c:pt idx="359">
                  <c:v>7.4054730214398717E-3</c:v>
                </c:pt>
                <c:pt idx="360">
                  <c:v>7.4054730214398717E-3</c:v>
                </c:pt>
                <c:pt idx="361">
                  <c:v>7.4054730214398717E-3</c:v>
                </c:pt>
                <c:pt idx="362">
                  <c:v>7.4054730214398717E-3</c:v>
                </c:pt>
                <c:pt idx="363">
                  <c:v>7.4054730214398717E-3</c:v>
                </c:pt>
                <c:pt idx="364">
                  <c:v>7.4054730214398717E-3</c:v>
                </c:pt>
                <c:pt idx="365">
                  <c:v>7.4054730214398717E-3</c:v>
                </c:pt>
                <c:pt idx="366">
                  <c:v>7.4054730214398717E-3</c:v>
                </c:pt>
                <c:pt idx="367">
                  <c:v>7.4054730214398717E-3</c:v>
                </c:pt>
                <c:pt idx="368">
                  <c:v>7.4054730214398717E-3</c:v>
                </c:pt>
                <c:pt idx="369">
                  <c:v>7.4054730214398717E-3</c:v>
                </c:pt>
                <c:pt idx="370">
                  <c:v>7.4054730214398717E-3</c:v>
                </c:pt>
                <c:pt idx="371">
                  <c:v>7.4054730214398717E-3</c:v>
                </c:pt>
                <c:pt idx="372">
                  <c:v>7.4054730214398717E-3</c:v>
                </c:pt>
                <c:pt idx="373">
                  <c:v>7.4054730214398717E-3</c:v>
                </c:pt>
                <c:pt idx="374">
                  <c:v>7.4054730214398717E-3</c:v>
                </c:pt>
                <c:pt idx="375">
                  <c:v>7.4054730214398717E-3</c:v>
                </c:pt>
                <c:pt idx="376">
                  <c:v>7.4054730214398717E-3</c:v>
                </c:pt>
                <c:pt idx="377">
                  <c:v>7.4054730214398717E-3</c:v>
                </c:pt>
                <c:pt idx="378">
                  <c:v>7.4054730214398717E-3</c:v>
                </c:pt>
                <c:pt idx="379">
                  <c:v>7.4054730214398717E-3</c:v>
                </c:pt>
                <c:pt idx="380">
                  <c:v>7.4054730214398717E-3</c:v>
                </c:pt>
                <c:pt idx="381">
                  <c:v>7.4054730214398717E-3</c:v>
                </c:pt>
                <c:pt idx="382">
                  <c:v>7.4054730214398717E-3</c:v>
                </c:pt>
                <c:pt idx="383">
                  <c:v>7.4054730214398717E-3</c:v>
                </c:pt>
                <c:pt idx="384">
                  <c:v>7.4054730214398717E-3</c:v>
                </c:pt>
                <c:pt idx="385">
                  <c:v>7.4054730214398717E-3</c:v>
                </c:pt>
                <c:pt idx="386">
                  <c:v>7.4054730214398717E-3</c:v>
                </c:pt>
                <c:pt idx="387">
                  <c:v>7.4054730214398717E-3</c:v>
                </c:pt>
                <c:pt idx="388">
                  <c:v>7.4054730214398717E-3</c:v>
                </c:pt>
                <c:pt idx="389">
                  <c:v>7.4054730214398717E-3</c:v>
                </c:pt>
                <c:pt idx="390">
                  <c:v>7.4054730214398717E-3</c:v>
                </c:pt>
                <c:pt idx="391">
                  <c:v>7.4054730214398717E-3</c:v>
                </c:pt>
                <c:pt idx="392">
                  <c:v>7.4054730214398717E-3</c:v>
                </c:pt>
                <c:pt idx="393">
                  <c:v>7.4054730214398717E-3</c:v>
                </c:pt>
                <c:pt idx="394">
                  <c:v>7.4054730214398717E-3</c:v>
                </c:pt>
                <c:pt idx="395">
                  <c:v>7.4054730214398717E-3</c:v>
                </c:pt>
                <c:pt idx="396">
                  <c:v>7.4054730214398717E-3</c:v>
                </c:pt>
                <c:pt idx="397">
                  <c:v>7.4054730214398717E-3</c:v>
                </c:pt>
                <c:pt idx="398">
                  <c:v>7.4054730214398717E-3</c:v>
                </c:pt>
                <c:pt idx="399">
                  <c:v>7.4054730214398717E-3</c:v>
                </c:pt>
                <c:pt idx="400">
                  <c:v>7.4054730214398717E-3</c:v>
                </c:pt>
                <c:pt idx="401">
                  <c:v>7.4054730214398717E-3</c:v>
                </c:pt>
                <c:pt idx="402">
                  <c:v>7.4054730214398717E-3</c:v>
                </c:pt>
                <c:pt idx="403">
                  <c:v>7.4054730214398717E-3</c:v>
                </c:pt>
                <c:pt idx="404">
                  <c:v>7.4054730214398717E-3</c:v>
                </c:pt>
                <c:pt idx="405">
                  <c:v>7.4054730214398717E-3</c:v>
                </c:pt>
                <c:pt idx="406">
                  <c:v>7.4054730214398717E-3</c:v>
                </c:pt>
                <c:pt idx="407">
                  <c:v>7.4054730214398717E-3</c:v>
                </c:pt>
                <c:pt idx="408">
                  <c:v>7.4054730214398717E-3</c:v>
                </c:pt>
                <c:pt idx="409">
                  <c:v>7.4054730214398717E-3</c:v>
                </c:pt>
                <c:pt idx="410">
                  <c:v>7.4054730214398717E-3</c:v>
                </c:pt>
                <c:pt idx="411">
                  <c:v>7.4054730214398717E-3</c:v>
                </c:pt>
                <c:pt idx="412">
                  <c:v>7.4054730214398717E-3</c:v>
                </c:pt>
                <c:pt idx="413">
                  <c:v>7.4054730214398717E-3</c:v>
                </c:pt>
                <c:pt idx="414">
                  <c:v>7.4054730214398717E-3</c:v>
                </c:pt>
                <c:pt idx="415">
                  <c:v>7.4054730214398717E-3</c:v>
                </c:pt>
                <c:pt idx="416">
                  <c:v>7.4054730214398717E-3</c:v>
                </c:pt>
                <c:pt idx="417">
                  <c:v>7.4054730214398717E-3</c:v>
                </c:pt>
                <c:pt idx="418">
                  <c:v>7.4054730214398717E-3</c:v>
                </c:pt>
                <c:pt idx="419">
                  <c:v>7.4054730214398717E-3</c:v>
                </c:pt>
                <c:pt idx="420">
                  <c:v>7.4054730214398717E-3</c:v>
                </c:pt>
                <c:pt idx="421">
                  <c:v>7.4054730214398717E-3</c:v>
                </c:pt>
                <c:pt idx="422">
                  <c:v>7.4054730214398717E-3</c:v>
                </c:pt>
                <c:pt idx="423">
                  <c:v>7.4054730214398717E-3</c:v>
                </c:pt>
                <c:pt idx="424">
                  <c:v>7.4054730214398717E-3</c:v>
                </c:pt>
                <c:pt idx="425">
                  <c:v>7.4054730214398717E-3</c:v>
                </c:pt>
                <c:pt idx="426">
                  <c:v>7.4054730214398717E-3</c:v>
                </c:pt>
                <c:pt idx="427">
                  <c:v>7.4054730214398717E-3</c:v>
                </c:pt>
                <c:pt idx="428">
                  <c:v>7.4054730214398717E-3</c:v>
                </c:pt>
                <c:pt idx="429">
                  <c:v>7.4054730214398717E-3</c:v>
                </c:pt>
                <c:pt idx="430">
                  <c:v>7.4054730214398717E-3</c:v>
                </c:pt>
                <c:pt idx="431">
                  <c:v>7.4054730214398717E-3</c:v>
                </c:pt>
                <c:pt idx="432">
                  <c:v>7.4054730214398717E-3</c:v>
                </c:pt>
                <c:pt idx="433">
                  <c:v>7.4054730214398717E-3</c:v>
                </c:pt>
                <c:pt idx="434">
                  <c:v>7.4054730214398717E-3</c:v>
                </c:pt>
                <c:pt idx="435">
                  <c:v>7.4054730214398717E-3</c:v>
                </c:pt>
                <c:pt idx="436">
                  <c:v>7.4054730214398717E-3</c:v>
                </c:pt>
                <c:pt idx="437">
                  <c:v>7.4054730214398717E-3</c:v>
                </c:pt>
                <c:pt idx="438">
                  <c:v>7.4054730214398717E-3</c:v>
                </c:pt>
                <c:pt idx="439">
                  <c:v>7.4054730214398717E-3</c:v>
                </c:pt>
                <c:pt idx="440">
                  <c:v>7.4054730214398717E-3</c:v>
                </c:pt>
                <c:pt idx="441">
                  <c:v>7.4054730214398717E-3</c:v>
                </c:pt>
                <c:pt idx="442">
                  <c:v>7.4054730214398717E-3</c:v>
                </c:pt>
                <c:pt idx="443">
                  <c:v>7.4054730214398717E-3</c:v>
                </c:pt>
                <c:pt idx="444">
                  <c:v>7.4054730214398717E-3</c:v>
                </c:pt>
                <c:pt idx="445">
                  <c:v>7.4054730214398717E-3</c:v>
                </c:pt>
                <c:pt idx="446">
                  <c:v>7.4054730214398717E-3</c:v>
                </c:pt>
                <c:pt idx="447">
                  <c:v>7.4054730214398717E-3</c:v>
                </c:pt>
                <c:pt idx="448">
                  <c:v>7.4054730214398717E-3</c:v>
                </c:pt>
                <c:pt idx="449">
                  <c:v>7.4054730214398717E-3</c:v>
                </c:pt>
                <c:pt idx="450">
                  <c:v>7.4054730214398717E-3</c:v>
                </c:pt>
                <c:pt idx="451">
                  <c:v>7.4054730214398717E-3</c:v>
                </c:pt>
                <c:pt idx="452">
                  <c:v>7.4054730214398717E-3</c:v>
                </c:pt>
                <c:pt idx="453">
                  <c:v>7.4054730214398717E-3</c:v>
                </c:pt>
                <c:pt idx="454">
                  <c:v>7.4054730214398717E-3</c:v>
                </c:pt>
                <c:pt idx="455">
                  <c:v>7.4054730214398717E-3</c:v>
                </c:pt>
                <c:pt idx="456">
                  <c:v>7.4054730214398717E-3</c:v>
                </c:pt>
                <c:pt idx="457">
                  <c:v>7.4054730214398717E-3</c:v>
                </c:pt>
                <c:pt idx="458">
                  <c:v>7.4054730214398717E-3</c:v>
                </c:pt>
                <c:pt idx="459">
                  <c:v>7.4054730214398717E-3</c:v>
                </c:pt>
                <c:pt idx="460">
                  <c:v>7.4054730214398717E-3</c:v>
                </c:pt>
                <c:pt idx="461">
                  <c:v>7.4054730214398717E-3</c:v>
                </c:pt>
                <c:pt idx="462">
                  <c:v>7.4054730214398717E-3</c:v>
                </c:pt>
                <c:pt idx="463">
                  <c:v>7.4054730214398717E-3</c:v>
                </c:pt>
                <c:pt idx="464">
                  <c:v>7.4054730214398717E-3</c:v>
                </c:pt>
                <c:pt idx="465">
                  <c:v>7.4054730214398717E-3</c:v>
                </c:pt>
                <c:pt idx="466">
                  <c:v>7.4054730214398717E-3</c:v>
                </c:pt>
                <c:pt idx="467">
                  <c:v>7.4054730214398717E-3</c:v>
                </c:pt>
                <c:pt idx="468">
                  <c:v>7.4054730214398717E-3</c:v>
                </c:pt>
                <c:pt idx="469">
                  <c:v>7.4054730214398717E-3</c:v>
                </c:pt>
                <c:pt idx="470">
                  <c:v>7.4054730214398717E-3</c:v>
                </c:pt>
                <c:pt idx="471">
                  <c:v>7.4054730214398717E-3</c:v>
                </c:pt>
                <c:pt idx="472">
                  <c:v>7.4054730214398717E-3</c:v>
                </c:pt>
                <c:pt idx="473">
                  <c:v>7.4054730214398717E-3</c:v>
                </c:pt>
                <c:pt idx="474">
                  <c:v>7.4054730214398717E-3</c:v>
                </c:pt>
                <c:pt idx="475">
                  <c:v>7.4054730214398717E-3</c:v>
                </c:pt>
                <c:pt idx="476">
                  <c:v>7.4054730214398717E-3</c:v>
                </c:pt>
                <c:pt idx="477">
                  <c:v>7.4054730214398717E-3</c:v>
                </c:pt>
                <c:pt idx="478">
                  <c:v>7.4054730214398717E-3</c:v>
                </c:pt>
                <c:pt idx="479">
                  <c:v>7.4054730214398717E-3</c:v>
                </c:pt>
                <c:pt idx="480">
                  <c:v>7.4054730214398717E-3</c:v>
                </c:pt>
                <c:pt idx="481">
                  <c:v>7.4054730214398717E-3</c:v>
                </c:pt>
                <c:pt idx="482">
                  <c:v>7.4054730214398717E-3</c:v>
                </c:pt>
                <c:pt idx="483">
                  <c:v>7.4054730214398717E-3</c:v>
                </c:pt>
                <c:pt idx="484">
                  <c:v>7.4054730214398717E-3</c:v>
                </c:pt>
                <c:pt idx="485">
                  <c:v>7.4054730214398717E-3</c:v>
                </c:pt>
                <c:pt idx="486">
                  <c:v>7.4054730214398717E-3</c:v>
                </c:pt>
                <c:pt idx="487">
                  <c:v>7.4054730214398717E-3</c:v>
                </c:pt>
                <c:pt idx="488">
                  <c:v>7.4054730214398717E-3</c:v>
                </c:pt>
                <c:pt idx="489">
                  <c:v>7.4054730214398717E-3</c:v>
                </c:pt>
                <c:pt idx="490">
                  <c:v>7.4054730214398717E-3</c:v>
                </c:pt>
                <c:pt idx="491">
                  <c:v>7.4054730214398717E-3</c:v>
                </c:pt>
                <c:pt idx="492">
                  <c:v>7.4054730214398717E-3</c:v>
                </c:pt>
                <c:pt idx="493">
                  <c:v>7.4054730214398717E-3</c:v>
                </c:pt>
                <c:pt idx="494">
                  <c:v>7.4054730214398717E-3</c:v>
                </c:pt>
                <c:pt idx="495">
                  <c:v>7.4054730214398717E-3</c:v>
                </c:pt>
                <c:pt idx="496">
                  <c:v>7.4054730214398717E-3</c:v>
                </c:pt>
                <c:pt idx="497">
                  <c:v>7.4054730214398717E-3</c:v>
                </c:pt>
                <c:pt idx="498">
                  <c:v>7.4054730214398717E-3</c:v>
                </c:pt>
                <c:pt idx="499">
                  <c:v>7.4054730214398717E-3</c:v>
                </c:pt>
                <c:pt idx="500">
                  <c:v>7.4054730214398717E-3</c:v>
                </c:pt>
                <c:pt idx="501">
                  <c:v>7.4054730214398717E-3</c:v>
                </c:pt>
                <c:pt idx="502">
                  <c:v>7.4054730214398717E-3</c:v>
                </c:pt>
                <c:pt idx="503">
                  <c:v>7.4054730214398717E-3</c:v>
                </c:pt>
                <c:pt idx="504">
                  <c:v>7.4054730214398717E-3</c:v>
                </c:pt>
                <c:pt idx="505">
                  <c:v>7.4054730214398717E-3</c:v>
                </c:pt>
                <c:pt idx="506">
                  <c:v>7.4054730214398717E-3</c:v>
                </c:pt>
                <c:pt idx="507">
                  <c:v>7.4054730214398717E-3</c:v>
                </c:pt>
                <c:pt idx="508">
                  <c:v>7.4054730214398717E-3</c:v>
                </c:pt>
                <c:pt idx="509">
                  <c:v>7.4054730214398717E-3</c:v>
                </c:pt>
                <c:pt idx="510">
                  <c:v>7.4054730214398717E-3</c:v>
                </c:pt>
                <c:pt idx="511">
                  <c:v>7.4054730214398717E-3</c:v>
                </c:pt>
                <c:pt idx="512">
                  <c:v>7.4054730214398717E-3</c:v>
                </c:pt>
                <c:pt idx="513">
                  <c:v>7.4054730214398717E-3</c:v>
                </c:pt>
                <c:pt idx="514">
                  <c:v>7.4054730214398717E-3</c:v>
                </c:pt>
                <c:pt idx="515">
                  <c:v>7.4054730214398717E-3</c:v>
                </c:pt>
                <c:pt idx="516">
                  <c:v>7.4054730214398717E-3</c:v>
                </c:pt>
                <c:pt idx="517">
                  <c:v>7.4054730214398717E-3</c:v>
                </c:pt>
                <c:pt idx="518">
                  <c:v>7.4054730214398717E-3</c:v>
                </c:pt>
                <c:pt idx="519">
                  <c:v>7.4054730214398717E-3</c:v>
                </c:pt>
                <c:pt idx="520">
                  <c:v>7.4054730214398717E-3</c:v>
                </c:pt>
                <c:pt idx="521">
                  <c:v>7.4054730214398717E-3</c:v>
                </c:pt>
                <c:pt idx="522">
                  <c:v>7.4054730214398717E-3</c:v>
                </c:pt>
                <c:pt idx="523">
                  <c:v>7.4054730214398717E-3</c:v>
                </c:pt>
                <c:pt idx="524">
                  <c:v>7.4054730214398717E-3</c:v>
                </c:pt>
                <c:pt idx="525">
                  <c:v>7.4054730214398717E-3</c:v>
                </c:pt>
                <c:pt idx="526">
                  <c:v>7.4054730214398717E-3</c:v>
                </c:pt>
                <c:pt idx="527">
                  <c:v>7.4054730214398717E-3</c:v>
                </c:pt>
                <c:pt idx="528">
                  <c:v>7.4054730214398717E-3</c:v>
                </c:pt>
                <c:pt idx="529">
                  <c:v>7.4054730214398717E-3</c:v>
                </c:pt>
                <c:pt idx="530">
                  <c:v>7.4054730214398717E-3</c:v>
                </c:pt>
                <c:pt idx="531">
                  <c:v>7.4054730214398717E-3</c:v>
                </c:pt>
                <c:pt idx="532">
                  <c:v>7.4054730214398717E-3</c:v>
                </c:pt>
                <c:pt idx="533">
                  <c:v>7.4054730214398717E-3</c:v>
                </c:pt>
                <c:pt idx="534">
                  <c:v>7.4054730214398717E-3</c:v>
                </c:pt>
                <c:pt idx="535">
                  <c:v>7.4054730214398717E-3</c:v>
                </c:pt>
                <c:pt idx="536">
                  <c:v>7.4054730214398717E-3</c:v>
                </c:pt>
                <c:pt idx="537">
                  <c:v>7.4054730214398717E-3</c:v>
                </c:pt>
                <c:pt idx="538">
                  <c:v>7.4054730214398717E-3</c:v>
                </c:pt>
                <c:pt idx="539">
                  <c:v>7.4054730214398717E-3</c:v>
                </c:pt>
                <c:pt idx="540">
                  <c:v>7.4054730214398717E-3</c:v>
                </c:pt>
                <c:pt idx="541">
                  <c:v>7.4054730214398717E-3</c:v>
                </c:pt>
                <c:pt idx="542">
                  <c:v>7.4054730214398717E-3</c:v>
                </c:pt>
                <c:pt idx="543">
                  <c:v>7.4054730214398717E-3</c:v>
                </c:pt>
                <c:pt idx="544">
                  <c:v>7.4054730214398717E-3</c:v>
                </c:pt>
                <c:pt idx="545">
                  <c:v>7.4054730214398717E-3</c:v>
                </c:pt>
                <c:pt idx="546">
                  <c:v>7.4054730214398717E-3</c:v>
                </c:pt>
                <c:pt idx="547">
                  <c:v>7.4054730214398717E-3</c:v>
                </c:pt>
                <c:pt idx="548">
                  <c:v>7.4054730214398717E-3</c:v>
                </c:pt>
                <c:pt idx="549">
                  <c:v>7.4054730214398717E-3</c:v>
                </c:pt>
                <c:pt idx="550">
                  <c:v>7.4054730214398717E-3</c:v>
                </c:pt>
                <c:pt idx="551">
                  <c:v>7.4054730214398717E-3</c:v>
                </c:pt>
                <c:pt idx="552">
                  <c:v>7.4054730214398717E-3</c:v>
                </c:pt>
                <c:pt idx="553">
                  <c:v>7.4054730214398717E-3</c:v>
                </c:pt>
                <c:pt idx="554">
                  <c:v>7.4054730214398717E-3</c:v>
                </c:pt>
                <c:pt idx="555">
                  <c:v>7.4054730214398717E-3</c:v>
                </c:pt>
                <c:pt idx="556">
                  <c:v>7.4054730214398717E-3</c:v>
                </c:pt>
                <c:pt idx="557">
                  <c:v>7.4054730214398717E-3</c:v>
                </c:pt>
                <c:pt idx="558">
                  <c:v>7.4054730214398717E-3</c:v>
                </c:pt>
                <c:pt idx="559">
                  <c:v>7.4054730214398717E-3</c:v>
                </c:pt>
                <c:pt idx="560">
                  <c:v>7.4054730214398717E-3</c:v>
                </c:pt>
                <c:pt idx="561">
                  <c:v>7.4054730214398717E-3</c:v>
                </c:pt>
                <c:pt idx="562">
                  <c:v>7.4054730214398717E-3</c:v>
                </c:pt>
                <c:pt idx="563">
                  <c:v>7.4054730214398717E-3</c:v>
                </c:pt>
                <c:pt idx="564">
                  <c:v>7.4054730214398717E-3</c:v>
                </c:pt>
                <c:pt idx="565">
                  <c:v>7.4054730214398717E-3</c:v>
                </c:pt>
                <c:pt idx="566">
                  <c:v>7.4054730214398717E-3</c:v>
                </c:pt>
                <c:pt idx="567">
                  <c:v>7.4054730214398717E-3</c:v>
                </c:pt>
                <c:pt idx="568">
                  <c:v>7.4054730214398717E-3</c:v>
                </c:pt>
                <c:pt idx="569">
                  <c:v>7.4054730214398717E-3</c:v>
                </c:pt>
                <c:pt idx="570">
                  <c:v>7.4054730214398717E-3</c:v>
                </c:pt>
                <c:pt idx="571">
                  <c:v>7.4054730214398717E-3</c:v>
                </c:pt>
                <c:pt idx="572">
                  <c:v>7.4054730214398717E-3</c:v>
                </c:pt>
                <c:pt idx="573">
                  <c:v>7.4054730214398717E-3</c:v>
                </c:pt>
                <c:pt idx="574">
                  <c:v>7.4054730214398717E-3</c:v>
                </c:pt>
                <c:pt idx="575">
                  <c:v>7.4054730214398717E-3</c:v>
                </c:pt>
                <c:pt idx="576">
                  <c:v>7.4054730214398717E-3</c:v>
                </c:pt>
                <c:pt idx="577">
                  <c:v>7.4054730214398717E-3</c:v>
                </c:pt>
                <c:pt idx="578">
                  <c:v>7.4054730214398717E-3</c:v>
                </c:pt>
                <c:pt idx="579">
                  <c:v>7.4054730214398717E-3</c:v>
                </c:pt>
                <c:pt idx="580">
                  <c:v>7.4054730214398717E-3</c:v>
                </c:pt>
                <c:pt idx="581">
                  <c:v>7.4054730214398717E-3</c:v>
                </c:pt>
                <c:pt idx="582">
                  <c:v>7.4054730214398717E-3</c:v>
                </c:pt>
                <c:pt idx="583">
                  <c:v>7.4054730214398717E-3</c:v>
                </c:pt>
                <c:pt idx="584">
                  <c:v>7.4054730214398717E-3</c:v>
                </c:pt>
                <c:pt idx="585">
                  <c:v>7.4054730214398717E-3</c:v>
                </c:pt>
                <c:pt idx="586">
                  <c:v>7.4054730214398717E-3</c:v>
                </c:pt>
                <c:pt idx="587">
                  <c:v>7.4054730214398717E-3</c:v>
                </c:pt>
                <c:pt idx="588">
                  <c:v>7.4054730214398717E-3</c:v>
                </c:pt>
                <c:pt idx="589">
                  <c:v>7.4054730214398717E-3</c:v>
                </c:pt>
                <c:pt idx="590">
                  <c:v>7.4054730214398717E-3</c:v>
                </c:pt>
                <c:pt idx="591">
                  <c:v>7.4054730214398717E-3</c:v>
                </c:pt>
                <c:pt idx="592">
                  <c:v>7.4054730214398717E-3</c:v>
                </c:pt>
                <c:pt idx="593">
                  <c:v>7.4054730214398717E-3</c:v>
                </c:pt>
                <c:pt idx="594">
                  <c:v>7.4054730214398717E-3</c:v>
                </c:pt>
                <c:pt idx="595">
                  <c:v>7.4054730214398717E-3</c:v>
                </c:pt>
                <c:pt idx="596">
                  <c:v>7.4054730214398717E-3</c:v>
                </c:pt>
                <c:pt idx="597">
                  <c:v>7.4054730214398717E-3</c:v>
                </c:pt>
                <c:pt idx="598">
                  <c:v>7.4054730214398717E-3</c:v>
                </c:pt>
                <c:pt idx="599">
                  <c:v>7.4054730214398717E-3</c:v>
                </c:pt>
                <c:pt idx="600">
                  <c:v>7.4054730214398717E-3</c:v>
                </c:pt>
                <c:pt idx="601">
                  <c:v>7.4054730214398717E-3</c:v>
                </c:pt>
                <c:pt idx="602">
                  <c:v>7.4054730214398717E-3</c:v>
                </c:pt>
                <c:pt idx="603">
                  <c:v>7.4054730214398717E-3</c:v>
                </c:pt>
                <c:pt idx="604">
                  <c:v>7.4054730214398717E-3</c:v>
                </c:pt>
                <c:pt idx="605">
                  <c:v>7.4054730214398717E-3</c:v>
                </c:pt>
                <c:pt idx="606">
                  <c:v>7.4054730214398717E-3</c:v>
                </c:pt>
                <c:pt idx="607">
                  <c:v>7.4054730214398717E-3</c:v>
                </c:pt>
                <c:pt idx="608">
                  <c:v>7.4054730214398717E-3</c:v>
                </c:pt>
                <c:pt idx="609">
                  <c:v>7.4054730214398717E-3</c:v>
                </c:pt>
                <c:pt idx="610">
                  <c:v>7.4054730214398717E-3</c:v>
                </c:pt>
                <c:pt idx="611">
                  <c:v>7.4054730214398717E-3</c:v>
                </c:pt>
                <c:pt idx="612">
                  <c:v>7.4054730214398717E-3</c:v>
                </c:pt>
                <c:pt idx="613">
                  <c:v>7.4054730214398717E-3</c:v>
                </c:pt>
                <c:pt idx="614">
                  <c:v>7.4054730214398717E-3</c:v>
                </c:pt>
                <c:pt idx="615">
                  <c:v>7.4054730214398717E-3</c:v>
                </c:pt>
                <c:pt idx="616">
                  <c:v>7.4054730214398717E-3</c:v>
                </c:pt>
                <c:pt idx="617">
                  <c:v>7.4054730214398717E-3</c:v>
                </c:pt>
                <c:pt idx="618">
                  <c:v>7.4054730214398717E-3</c:v>
                </c:pt>
                <c:pt idx="619">
                  <c:v>7.4054730214398717E-3</c:v>
                </c:pt>
                <c:pt idx="620">
                  <c:v>7.4054730214398717E-3</c:v>
                </c:pt>
                <c:pt idx="621">
                  <c:v>7.4054730214398717E-3</c:v>
                </c:pt>
                <c:pt idx="622">
                  <c:v>7.4054730214398717E-3</c:v>
                </c:pt>
                <c:pt idx="623">
                  <c:v>7.4054730214398717E-3</c:v>
                </c:pt>
                <c:pt idx="624">
                  <c:v>7.4054730214398717E-3</c:v>
                </c:pt>
                <c:pt idx="625">
                  <c:v>7.4054730214398717E-3</c:v>
                </c:pt>
                <c:pt idx="626">
                  <c:v>7.4054730214398717E-3</c:v>
                </c:pt>
                <c:pt idx="627">
                  <c:v>7.4054730214398717E-3</c:v>
                </c:pt>
                <c:pt idx="628">
                  <c:v>7.4054730214398717E-3</c:v>
                </c:pt>
                <c:pt idx="629">
                  <c:v>7.4054730214398717E-3</c:v>
                </c:pt>
                <c:pt idx="630">
                  <c:v>7.4054730214398717E-3</c:v>
                </c:pt>
                <c:pt idx="631">
                  <c:v>7.4054730214398717E-3</c:v>
                </c:pt>
                <c:pt idx="632">
                  <c:v>7.4054730214398717E-3</c:v>
                </c:pt>
                <c:pt idx="633">
                  <c:v>7.4054730214398717E-3</c:v>
                </c:pt>
                <c:pt idx="634">
                  <c:v>7.4054730214398717E-3</c:v>
                </c:pt>
                <c:pt idx="635">
                  <c:v>7.4054730214398717E-3</c:v>
                </c:pt>
                <c:pt idx="636">
                  <c:v>7.4054730214398717E-3</c:v>
                </c:pt>
                <c:pt idx="637">
                  <c:v>7.4054730214398717E-3</c:v>
                </c:pt>
                <c:pt idx="638">
                  <c:v>7.4054730214398717E-3</c:v>
                </c:pt>
                <c:pt idx="639">
                  <c:v>7.4054730214398717E-3</c:v>
                </c:pt>
                <c:pt idx="640">
                  <c:v>7.4054730214398717E-3</c:v>
                </c:pt>
                <c:pt idx="641">
                  <c:v>7.4054730214398717E-3</c:v>
                </c:pt>
                <c:pt idx="642">
                  <c:v>7.4054730214398717E-3</c:v>
                </c:pt>
                <c:pt idx="643">
                  <c:v>7.4054730214398717E-3</c:v>
                </c:pt>
                <c:pt idx="644">
                  <c:v>7.4054730214398717E-3</c:v>
                </c:pt>
                <c:pt idx="645">
                  <c:v>7.4054730214398717E-3</c:v>
                </c:pt>
                <c:pt idx="646">
                  <c:v>7.4054730214398717E-3</c:v>
                </c:pt>
                <c:pt idx="647">
                  <c:v>7.4054730214398717E-3</c:v>
                </c:pt>
                <c:pt idx="648">
                  <c:v>7.4054730214398717E-3</c:v>
                </c:pt>
                <c:pt idx="649">
                  <c:v>7.4054730214398717E-3</c:v>
                </c:pt>
                <c:pt idx="650">
                  <c:v>7.4054730214398717E-3</c:v>
                </c:pt>
                <c:pt idx="651">
                  <c:v>7.4054730214398717E-3</c:v>
                </c:pt>
                <c:pt idx="652">
                  <c:v>7.4054730214398717E-3</c:v>
                </c:pt>
                <c:pt idx="653">
                  <c:v>7.4054730214398717E-3</c:v>
                </c:pt>
                <c:pt idx="654">
                  <c:v>7.4054730214398717E-3</c:v>
                </c:pt>
                <c:pt idx="655">
                  <c:v>7.4054730214398717E-3</c:v>
                </c:pt>
                <c:pt idx="656">
                  <c:v>7.4054730214398717E-3</c:v>
                </c:pt>
                <c:pt idx="657">
                  <c:v>7.4054730214398717E-3</c:v>
                </c:pt>
                <c:pt idx="658">
                  <c:v>7.4054730214398717E-3</c:v>
                </c:pt>
                <c:pt idx="659">
                  <c:v>7.4054730214398717E-3</c:v>
                </c:pt>
                <c:pt idx="660">
                  <c:v>7.4054730214398717E-3</c:v>
                </c:pt>
                <c:pt idx="661">
                  <c:v>7.4054730214398717E-3</c:v>
                </c:pt>
                <c:pt idx="662">
                  <c:v>7.4054730214398717E-3</c:v>
                </c:pt>
                <c:pt idx="663">
                  <c:v>7.4054730214398717E-3</c:v>
                </c:pt>
                <c:pt idx="664">
                  <c:v>7.4054730214398717E-3</c:v>
                </c:pt>
                <c:pt idx="665">
                  <c:v>7.4054730214398717E-3</c:v>
                </c:pt>
                <c:pt idx="666">
                  <c:v>7.4054730214398717E-3</c:v>
                </c:pt>
                <c:pt idx="667">
                  <c:v>7.4054730214398717E-3</c:v>
                </c:pt>
                <c:pt idx="668">
                  <c:v>7.4054730214398717E-3</c:v>
                </c:pt>
                <c:pt idx="669">
                  <c:v>7.4054730214398717E-3</c:v>
                </c:pt>
                <c:pt idx="670">
                  <c:v>7.4054730214398717E-3</c:v>
                </c:pt>
                <c:pt idx="671">
                  <c:v>7.4054730214398717E-3</c:v>
                </c:pt>
                <c:pt idx="672">
                  <c:v>7.4054730214398717E-3</c:v>
                </c:pt>
                <c:pt idx="673">
                  <c:v>7.4054730214398717E-3</c:v>
                </c:pt>
                <c:pt idx="674">
                  <c:v>7.4054730214398717E-3</c:v>
                </c:pt>
                <c:pt idx="675">
                  <c:v>7.4054730214398717E-3</c:v>
                </c:pt>
                <c:pt idx="676">
                  <c:v>7.4054730214398717E-3</c:v>
                </c:pt>
                <c:pt idx="677">
                  <c:v>7.4054730214398717E-3</c:v>
                </c:pt>
                <c:pt idx="678">
                  <c:v>7.4054730214398717E-3</c:v>
                </c:pt>
                <c:pt idx="679">
                  <c:v>7.4054730214398717E-3</c:v>
                </c:pt>
                <c:pt idx="680">
                  <c:v>7.4054730214398717E-3</c:v>
                </c:pt>
                <c:pt idx="681">
                  <c:v>7.4054730214398717E-3</c:v>
                </c:pt>
                <c:pt idx="682">
                  <c:v>7.4054730214398717E-3</c:v>
                </c:pt>
                <c:pt idx="683">
                  <c:v>7.4054730214398717E-3</c:v>
                </c:pt>
                <c:pt idx="684">
                  <c:v>7.4054730214398717E-3</c:v>
                </c:pt>
                <c:pt idx="685">
                  <c:v>7.4054730214398717E-3</c:v>
                </c:pt>
                <c:pt idx="686">
                  <c:v>7.4054730214398717E-3</c:v>
                </c:pt>
                <c:pt idx="687">
                  <c:v>7.4054730214398717E-3</c:v>
                </c:pt>
                <c:pt idx="688">
                  <c:v>7.4054730214398717E-3</c:v>
                </c:pt>
                <c:pt idx="689">
                  <c:v>7.4054730214398717E-3</c:v>
                </c:pt>
                <c:pt idx="690">
                  <c:v>7.4054730214398717E-3</c:v>
                </c:pt>
                <c:pt idx="691">
                  <c:v>7.4054730214398717E-3</c:v>
                </c:pt>
                <c:pt idx="692">
                  <c:v>7.4054730214398717E-3</c:v>
                </c:pt>
                <c:pt idx="693">
                  <c:v>7.4054730214398717E-3</c:v>
                </c:pt>
                <c:pt idx="694">
                  <c:v>7.4054730214398717E-3</c:v>
                </c:pt>
                <c:pt idx="695">
                  <c:v>7.4054730214398717E-3</c:v>
                </c:pt>
                <c:pt idx="696">
                  <c:v>7.4054730214398717E-3</c:v>
                </c:pt>
                <c:pt idx="697">
                  <c:v>7.4054730214398717E-3</c:v>
                </c:pt>
                <c:pt idx="698">
                  <c:v>7.4054730214398717E-3</c:v>
                </c:pt>
                <c:pt idx="699">
                  <c:v>7.4054730214398717E-3</c:v>
                </c:pt>
                <c:pt idx="700">
                  <c:v>7.4054730214398717E-3</c:v>
                </c:pt>
                <c:pt idx="701">
                  <c:v>7.4054730214398717E-3</c:v>
                </c:pt>
                <c:pt idx="702">
                  <c:v>7.4054730214398717E-3</c:v>
                </c:pt>
                <c:pt idx="703">
                  <c:v>7.4054730214398717E-3</c:v>
                </c:pt>
                <c:pt idx="704">
                  <c:v>7.4054730214398717E-3</c:v>
                </c:pt>
                <c:pt idx="705">
                  <c:v>7.4054730214398717E-3</c:v>
                </c:pt>
                <c:pt idx="706">
                  <c:v>7.4054730214398717E-3</c:v>
                </c:pt>
                <c:pt idx="707">
                  <c:v>7.4054730214398717E-3</c:v>
                </c:pt>
                <c:pt idx="708">
                  <c:v>7.4054730214398717E-3</c:v>
                </c:pt>
                <c:pt idx="709">
                  <c:v>7.4054730214398717E-3</c:v>
                </c:pt>
                <c:pt idx="710">
                  <c:v>7.4054730214398717E-3</c:v>
                </c:pt>
                <c:pt idx="711">
                  <c:v>7.4054730214398717E-3</c:v>
                </c:pt>
                <c:pt idx="712">
                  <c:v>7.4054730214398717E-3</c:v>
                </c:pt>
                <c:pt idx="713">
                  <c:v>7.4054730214398717E-3</c:v>
                </c:pt>
                <c:pt idx="714">
                  <c:v>7.4054730214398717E-3</c:v>
                </c:pt>
                <c:pt idx="715">
                  <c:v>7.4054730214398717E-3</c:v>
                </c:pt>
                <c:pt idx="716">
                  <c:v>7.4054730214398717E-3</c:v>
                </c:pt>
                <c:pt idx="717">
                  <c:v>7.4054730214398717E-3</c:v>
                </c:pt>
                <c:pt idx="718">
                  <c:v>7.4054730214398717E-3</c:v>
                </c:pt>
                <c:pt idx="719">
                  <c:v>7.4054730214398717E-3</c:v>
                </c:pt>
                <c:pt idx="720">
                  <c:v>7.4054730214398717E-3</c:v>
                </c:pt>
                <c:pt idx="721">
                  <c:v>7.4054730214398717E-3</c:v>
                </c:pt>
                <c:pt idx="722">
                  <c:v>7.4054730214398717E-3</c:v>
                </c:pt>
                <c:pt idx="723">
                  <c:v>7.4054730214398717E-3</c:v>
                </c:pt>
                <c:pt idx="724">
                  <c:v>7.4054730214398717E-3</c:v>
                </c:pt>
                <c:pt idx="725">
                  <c:v>7.4054730214398717E-3</c:v>
                </c:pt>
                <c:pt idx="726">
                  <c:v>7.4054730214398717E-3</c:v>
                </c:pt>
                <c:pt idx="727">
                  <c:v>7.4054730214398717E-3</c:v>
                </c:pt>
                <c:pt idx="728">
                  <c:v>7.4054730214398717E-3</c:v>
                </c:pt>
                <c:pt idx="729">
                  <c:v>7.4054730214398717E-3</c:v>
                </c:pt>
                <c:pt idx="730">
                  <c:v>7.4054730214398717E-3</c:v>
                </c:pt>
                <c:pt idx="731">
                  <c:v>7.4054730214398717E-3</c:v>
                </c:pt>
                <c:pt idx="732">
                  <c:v>7.4054730214398717E-3</c:v>
                </c:pt>
                <c:pt idx="733">
                  <c:v>7.4054730214398717E-3</c:v>
                </c:pt>
                <c:pt idx="734">
                  <c:v>7.4054730214398717E-3</c:v>
                </c:pt>
                <c:pt idx="735">
                  <c:v>7.4054730214398717E-3</c:v>
                </c:pt>
                <c:pt idx="736">
                  <c:v>7.4054730214398717E-3</c:v>
                </c:pt>
                <c:pt idx="737">
                  <c:v>7.4054730214398717E-3</c:v>
                </c:pt>
                <c:pt idx="738">
                  <c:v>7.4054730214398717E-3</c:v>
                </c:pt>
                <c:pt idx="739">
                  <c:v>7.4054730214398717E-3</c:v>
                </c:pt>
                <c:pt idx="740">
                  <c:v>7.4054730214398717E-3</c:v>
                </c:pt>
                <c:pt idx="741">
                  <c:v>7.4054730214398717E-3</c:v>
                </c:pt>
                <c:pt idx="742">
                  <c:v>7.4054730214398717E-3</c:v>
                </c:pt>
                <c:pt idx="743">
                  <c:v>7.4054730214398717E-3</c:v>
                </c:pt>
                <c:pt idx="744">
                  <c:v>7.4054730214398717E-3</c:v>
                </c:pt>
                <c:pt idx="745">
                  <c:v>7.4054730214398717E-3</c:v>
                </c:pt>
                <c:pt idx="746">
                  <c:v>7.4054730214398717E-3</c:v>
                </c:pt>
                <c:pt idx="747">
                  <c:v>7.4054730214398717E-3</c:v>
                </c:pt>
                <c:pt idx="748">
                  <c:v>7.4054730214398717E-3</c:v>
                </c:pt>
                <c:pt idx="749">
                  <c:v>7.4054730214398717E-3</c:v>
                </c:pt>
                <c:pt idx="750">
                  <c:v>7.4054730214398717E-3</c:v>
                </c:pt>
                <c:pt idx="751">
                  <c:v>7.4054730214398717E-3</c:v>
                </c:pt>
                <c:pt idx="752">
                  <c:v>7.4054730214398717E-3</c:v>
                </c:pt>
                <c:pt idx="753">
                  <c:v>7.4054730214398717E-3</c:v>
                </c:pt>
                <c:pt idx="754">
                  <c:v>7.4054730214398717E-3</c:v>
                </c:pt>
                <c:pt idx="755">
                  <c:v>7.4054730214398717E-3</c:v>
                </c:pt>
                <c:pt idx="756">
                  <c:v>7.4054730214398717E-3</c:v>
                </c:pt>
                <c:pt idx="757">
                  <c:v>7.4054730214398717E-3</c:v>
                </c:pt>
                <c:pt idx="758">
                  <c:v>7.4054730214398717E-3</c:v>
                </c:pt>
                <c:pt idx="759">
                  <c:v>7.4054730214398717E-3</c:v>
                </c:pt>
                <c:pt idx="760">
                  <c:v>7.4054730214398717E-3</c:v>
                </c:pt>
                <c:pt idx="761">
                  <c:v>7.4054730214398717E-3</c:v>
                </c:pt>
                <c:pt idx="762">
                  <c:v>7.4054730214398717E-3</c:v>
                </c:pt>
                <c:pt idx="763">
                  <c:v>7.4054730214398717E-3</c:v>
                </c:pt>
                <c:pt idx="764">
                  <c:v>7.4054730214398717E-3</c:v>
                </c:pt>
                <c:pt idx="765">
                  <c:v>7.4054730214398717E-3</c:v>
                </c:pt>
                <c:pt idx="766">
                  <c:v>7.4054730214398717E-3</c:v>
                </c:pt>
                <c:pt idx="767">
                  <c:v>7.4054730214398717E-3</c:v>
                </c:pt>
                <c:pt idx="768">
                  <c:v>7.4054730214398717E-3</c:v>
                </c:pt>
                <c:pt idx="769">
                  <c:v>7.4054730214398717E-3</c:v>
                </c:pt>
                <c:pt idx="770">
                  <c:v>7.4054730214398717E-3</c:v>
                </c:pt>
                <c:pt idx="771">
                  <c:v>7.4054730214398717E-3</c:v>
                </c:pt>
                <c:pt idx="772">
                  <c:v>7.4054730214398717E-3</c:v>
                </c:pt>
                <c:pt idx="773">
                  <c:v>7.4054730214398717E-3</c:v>
                </c:pt>
                <c:pt idx="774">
                  <c:v>7.4054730214398717E-3</c:v>
                </c:pt>
                <c:pt idx="775">
                  <c:v>7.4054730214398717E-3</c:v>
                </c:pt>
                <c:pt idx="776">
                  <c:v>7.4054730214398717E-3</c:v>
                </c:pt>
                <c:pt idx="777">
                  <c:v>7.4054730214398717E-3</c:v>
                </c:pt>
                <c:pt idx="778">
                  <c:v>7.4054730214398717E-3</c:v>
                </c:pt>
                <c:pt idx="779">
                  <c:v>7.4054730214398717E-3</c:v>
                </c:pt>
                <c:pt idx="780">
                  <c:v>7.4054730214398717E-3</c:v>
                </c:pt>
                <c:pt idx="781">
                  <c:v>7.4054730214398717E-3</c:v>
                </c:pt>
                <c:pt idx="782">
                  <c:v>7.4054730214398717E-3</c:v>
                </c:pt>
                <c:pt idx="783">
                  <c:v>7.4054730214398717E-3</c:v>
                </c:pt>
                <c:pt idx="784">
                  <c:v>7.4054730214398717E-3</c:v>
                </c:pt>
                <c:pt idx="785">
                  <c:v>7.4054730214398717E-3</c:v>
                </c:pt>
                <c:pt idx="786">
                  <c:v>7.4054730214398717E-3</c:v>
                </c:pt>
                <c:pt idx="787">
                  <c:v>7.4054730214398717E-3</c:v>
                </c:pt>
                <c:pt idx="788">
                  <c:v>7.4054730214398717E-3</c:v>
                </c:pt>
                <c:pt idx="789">
                  <c:v>7.4054730214398717E-3</c:v>
                </c:pt>
                <c:pt idx="790">
                  <c:v>7.4054730214398717E-3</c:v>
                </c:pt>
                <c:pt idx="791">
                  <c:v>7.4054730214398717E-3</c:v>
                </c:pt>
                <c:pt idx="792">
                  <c:v>7.4054730214398717E-3</c:v>
                </c:pt>
                <c:pt idx="793">
                  <c:v>7.4054730214398717E-3</c:v>
                </c:pt>
                <c:pt idx="794">
                  <c:v>7.4054730214398717E-3</c:v>
                </c:pt>
                <c:pt idx="795">
                  <c:v>7.4054730214398717E-3</c:v>
                </c:pt>
                <c:pt idx="796">
                  <c:v>7.4054730214398717E-3</c:v>
                </c:pt>
                <c:pt idx="797">
                  <c:v>7.4054730214398717E-3</c:v>
                </c:pt>
                <c:pt idx="798">
                  <c:v>7.4054730214398717E-3</c:v>
                </c:pt>
                <c:pt idx="799">
                  <c:v>7.4054730214398717E-3</c:v>
                </c:pt>
                <c:pt idx="800">
                  <c:v>7.4054730214398717E-3</c:v>
                </c:pt>
                <c:pt idx="801">
                  <c:v>7.4054730214398717E-3</c:v>
                </c:pt>
                <c:pt idx="802">
                  <c:v>7.4054730214398717E-3</c:v>
                </c:pt>
                <c:pt idx="803">
                  <c:v>7.4054730214398717E-3</c:v>
                </c:pt>
                <c:pt idx="804">
                  <c:v>7.4054730214398717E-3</c:v>
                </c:pt>
                <c:pt idx="805">
                  <c:v>7.4054730214398717E-3</c:v>
                </c:pt>
                <c:pt idx="806">
                  <c:v>7.4054730214398717E-3</c:v>
                </c:pt>
                <c:pt idx="807">
                  <c:v>7.4054730214398717E-3</c:v>
                </c:pt>
                <c:pt idx="808">
                  <c:v>7.4054730214398717E-3</c:v>
                </c:pt>
                <c:pt idx="809">
                  <c:v>7.4054730214398717E-3</c:v>
                </c:pt>
                <c:pt idx="810">
                  <c:v>7.4054730214398717E-3</c:v>
                </c:pt>
                <c:pt idx="811">
                  <c:v>7.4054730214398717E-3</c:v>
                </c:pt>
                <c:pt idx="812">
                  <c:v>7.4054730214398717E-3</c:v>
                </c:pt>
                <c:pt idx="813">
                  <c:v>7.4054730214398717E-3</c:v>
                </c:pt>
                <c:pt idx="814">
                  <c:v>7.4054730214398717E-3</c:v>
                </c:pt>
                <c:pt idx="815">
                  <c:v>7.4054730214398717E-3</c:v>
                </c:pt>
                <c:pt idx="816">
                  <c:v>7.4054730214398717E-3</c:v>
                </c:pt>
                <c:pt idx="817">
                  <c:v>7.4054730214398717E-3</c:v>
                </c:pt>
                <c:pt idx="818">
                  <c:v>7.4054730214398717E-3</c:v>
                </c:pt>
                <c:pt idx="819">
                  <c:v>7.4054730214398717E-3</c:v>
                </c:pt>
                <c:pt idx="820">
                  <c:v>7.4054730214398717E-3</c:v>
                </c:pt>
                <c:pt idx="821">
                  <c:v>7.4054730214398717E-3</c:v>
                </c:pt>
                <c:pt idx="822">
                  <c:v>7.4054730214398717E-3</c:v>
                </c:pt>
                <c:pt idx="823">
                  <c:v>7.4054730214398717E-3</c:v>
                </c:pt>
                <c:pt idx="824">
                  <c:v>7.4054730214398717E-3</c:v>
                </c:pt>
                <c:pt idx="825">
                  <c:v>7.4054730214398717E-3</c:v>
                </c:pt>
                <c:pt idx="826">
                  <c:v>7.4054730214398717E-3</c:v>
                </c:pt>
                <c:pt idx="827">
                  <c:v>7.4054730214398717E-3</c:v>
                </c:pt>
                <c:pt idx="828">
                  <c:v>7.4054730214398717E-3</c:v>
                </c:pt>
                <c:pt idx="829">
                  <c:v>7.4054730214398717E-3</c:v>
                </c:pt>
                <c:pt idx="830">
                  <c:v>7.4054730214398717E-3</c:v>
                </c:pt>
                <c:pt idx="831">
                  <c:v>7.4054730214398717E-3</c:v>
                </c:pt>
                <c:pt idx="832">
                  <c:v>7.4054730214398717E-3</c:v>
                </c:pt>
                <c:pt idx="833">
                  <c:v>7.4054730214398717E-3</c:v>
                </c:pt>
                <c:pt idx="834">
                  <c:v>7.4054730214398717E-3</c:v>
                </c:pt>
                <c:pt idx="835">
                  <c:v>7.4054730214398717E-3</c:v>
                </c:pt>
                <c:pt idx="836">
                  <c:v>7.4054730214398717E-3</c:v>
                </c:pt>
                <c:pt idx="837">
                  <c:v>7.4054730214398717E-3</c:v>
                </c:pt>
                <c:pt idx="838">
                  <c:v>7.4054730214398717E-3</c:v>
                </c:pt>
                <c:pt idx="839">
                  <c:v>7.4054730214398717E-3</c:v>
                </c:pt>
                <c:pt idx="840">
                  <c:v>7.4054730214398717E-3</c:v>
                </c:pt>
                <c:pt idx="841">
                  <c:v>7.4054730214398717E-3</c:v>
                </c:pt>
                <c:pt idx="842">
                  <c:v>7.4054730214398717E-3</c:v>
                </c:pt>
                <c:pt idx="843">
                  <c:v>7.4054730214398717E-3</c:v>
                </c:pt>
                <c:pt idx="844">
                  <c:v>7.4054730214398717E-3</c:v>
                </c:pt>
                <c:pt idx="845">
                  <c:v>7.4054730214398717E-3</c:v>
                </c:pt>
                <c:pt idx="846">
                  <c:v>7.4054730214398717E-3</c:v>
                </c:pt>
                <c:pt idx="847">
                  <c:v>7.4054730214398717E-3</c:v>
                </c:pt>
                <c:pt idx="848">
                  <c:v>7.4054730214398717E-3</c:v>
                </c:pt>
                <c:pt idx="849">
                  <c:v>7.4054730214398717E-3</c:v>
                </c:pt>
                <c:pt idx="850">
                  <c:v>7.4054730214398717E-3</c:v>
                </c:pt>
                <c:pt idx="851">
                  <c:v>7.4054730214398717E-3</c:v>
                </c:pt>
                <c:pt idx="852">
                  <c:v>7.4054730214398717E-3</c:v>
                </c:pt>
                <c:pt idx="853">
                  <c:v>7.4054730214398717E-3</c:v>
                </c:pt>
                <c:pt idx="854">
                  <c:v>7.4054730214398717E-3</c:v>
                </c:pt>
                <c:pt idx="855">
                  <c:v>7.4054730214398717E-3</c:v>
                </c:pt>
                <c:pt idx="856">
                  <c:v>7.4054730214398717E-3</c:v>
                </c:pt>
                <c:pt idx="857">
                  <c:v>7.4054730214398717E-3</c:v>
                </c:pt>
                <c:pt idx="858">
                  <c:v>7.4054730214398717E-3</c:v>
                </c:pt>
                <c:pt idx="859">
                  <c:v>7.4054730214398717E-3</c:v>
                </c:pt>
                <c:pt idx="860">
                  <c:v>7.4054730214398717E-3</c:v>
                </c:pt>
                <c:pt idx="861">
                  <c:v>7.4054730214398717E-3</c:v>
                </c:pt>
                <c:pt idx="862">
                  <c:v>7.4054730214398717E-3</c:v>
                </c:pt>
                <c:pt idx="863">
                  <c:v>7.4054730214398717E-3</c:v>
                </c:pt>
                <c:pt idx="864">
                  <c:v>7.4054730214398717E-3</c:v>
                </c:pt>
                <c:pt idx="865">
                  <c:v>7.4054730214398717E-3</c:v>
                </c:pt>
                <c:pt idx="866">
                  <c:v>7.4054730214398717E-3</c:v>
                </c:pt>
                <c:pt idx="867">
                  <c:v>7.4054730214398717E-3</c:v>
                </c:pt>
                <c:pt idx="868">
                  <c:v>7.4054730214398717E-3</c:v>
                </c:pt>
                <c:pt idx="869">
                  <c:v>7.4054730214398717E-3</c:v>
                </c:pt>
                <c:pt idx="870">
                  <c:v>7.4054730214398717E-3</c:v>
                </c:pt>
                <c:pt idx="871">
                  <c:v>7.4054730214398717E-3</c:v>
                </c:pt>
                <c:pt idx="872">
                  <c:v>7.4054730214398717E-3</c:v>
                </c:pt>
                <c:pt idx="873">
                  <c:v>7.4054730214398717E-3</c:v>
                </c:pt>
                <c:pt idx="874">
                  <c:v>7.4054730214398717E-3</c:v>
                </c:pt>
                <c:pt idx="875">
                  <c:v>7.4054730214398717E-3</c:v>
                </c:pt>
                <c:pt idx="876">
                  <c:v>7.4054730214398717E-3</c:v>
                </c:pt>
                <c:pt idx="877">
                  <c:v>7.4054730214398717E-3</c:v>
                </c:pt>
                <c:pt idx="878">
                  <c:v>7.4054730214398717E-3</c:v>
                </c:pt>
                <c:pt idx="879">
                  <c:v>7.4054730214398717E-3</c:v>
                </c:pt>
                <c:pt idx="880">
                  <c:v>7.4054730214398717E-3</c:v>
                </c:pt>
                <c:pt idx="881">
                  <c:v>7.4054730214398717E-3</c:v>
                </c:pt>
                <c:pt idx="882">
                  <c:v>7.4054730214398717E-3</c:v>
                </c:pt>
                <c:pt idx="883">
                  <c:v>7.4054730214398717E-3</c:v>
                </c:pt>
                <c:pt idx="884">
                  <c:v>7.4054730214398717E-3</c:v>
                </c:pt>
                <c:pt idx="885">
                  <c:v>7.4054730214398717E-3</c:v>
                </c:pt>
                <c:pt idx="886">
                  <c:v>7.4054730214398717E-3</c:v>
                </c:pt>
                <c:pt idx="887">
                  <c:v>7.4054730214398717E-3</c:v>
                </c:pt>
                <c:pt idx="888">
                  <c:v>7.4054730214398717E-3</c:v>
                </c:pt>
                <c:pt idx="889">
                  <c:v>7.4054730214398717E-3</c:v>
                </c:pt>
                <c:pt idx="890">
                  <c:v>7.4054730214398717E-3</c:v>
                </c:pt>
                <c:pt idx="891">
                  <c:v>7.4054730214398717E-3</c:v>
                </c:pt>
                <c:pt idx="892">
                  <c:v>7.4054730214398717E-3</c:v>
                </c:pt>
                <c:pt idx="893">
                  <c:v>7.4054730214398717E-3</c:v>
                </c:pt>
                <c:pt idx="894">
                  <c:v>7.4054730214398717E-3</c:v>
                </c:pt>
                <c:pt idx="895">
                  <c:v>7.4054730214398717E-3</c:v>
                </c:pt>
                <c:pt idx="896">
                  <c:v>7.4054730214398717E-3</c:v>
                </c:pt>
                <c:pt idx="897">
                  <c:v>7.4054730214398717E-3</c:v>
                </c:pt>
                <c:pt idx="898">
                  <c:v>7.4054730214398717E-3</c:v>
                </c:pt>
                <c:pt idx="899">
                  <c:v>7.4054730214398717E-3</c:v>
                </c:pt>
                <c:pt idx="900">
                  <c:v>7.4054730214398717E-3</c:v>
                </c:pt>
                <c:pt idx="901">
                  <c:v>7.4054730214398717E-3</c:v>
                </c:pt>
                <c:pt idx="902">
                  <c:v>7.4054730214398717E-3</c:v>
                </c:pt>
                <c:pt idx="903">
                  <c:v>7.4054730214398717E-3</c:v>
                </c:pt>
                <c:pt idx="904">
                  <c:v>7.4054730214398717E-3</c:v>
                </c:pt>
                <c:pt idx="905">
                  <c:v>7.4054730214398717E-3</c:v>
                </c:pt>
                <c:pt idx="906">
                  <c:v>7.4054730214398717E-3</c:v>
                </c:pt>
                <c:pt idx="907">
                  <c:v>7.4054730214398717E-3</c:v>
                </c:pt>
                <c:pt idx="908">
                  <c:v>7.4054730214398717E-3</c:v>
                </c:pt>
                <c:pt idx="909">
                  <c:v>7.4054730214398717E-3</c:v>
                </c:pt>
                <c:pt idx="910">
                  <c:v>7.4054730214398717E-3</c:v>
                </c:pt>
                <c:pt idx="911">
                  <c:v>7.4054730214398717E-3</c:v>
                </c:pt>
                <c:pt idx="912">
                  <c:v>7.4054730214398717E-3</c:v>
                </c:pt>
                <c:pt idx="913">
                  <c:v>7.4054730214398717E-3</c:v>
                </c:pt>
                <c:pt idx="914">
                  <c:v>7.4054730214398717E-3</c:v>
                </c:pt>
                <c:pt idx="915">
                  <c:v>7.4054730214398717E-3</c:v>
                </c:pt>
                <c:pt idx="916">
                  <c:v>7.4054730214398717E-3</c:v>
                </c:pt>
                <c:pt idx="917">
                  <c:v>7.4054730214398717E-3</c:v>
                </c:pt>
                <c:pt idx="918">
                  <c:v>7.4054730214398717E-3</c:v>
                </c:pt>
                <c:pt idx="919">
                  <c:v>7.4054730214398717E-3</c:v>
                </c:pt>
                <c:pt idx="920">
                  <c:v>7.4054730214398717E-3</c:v>
                </c:pt>
                <c:pt idx="921">
                  <c:v>7.4054730214398717E-3</c:v>
                </c:pt>
                <c:pt idx="922">
                  <c:v>7.4054730214398717E-3</c:v>
                </c:pt>
                <c:pt idx="923">
                  <c:v>7.4054730214398717E-3</c:v>
                </c:pt>
                <c:pt idx="924">
                  <c:v>7.4054730214398717E-3</c:v>
                </c:pt>
                <c:pt idx="925">
                  <c:v>7.4054730214398717E-3</c:v>
                </c:pt>
                <c:pt idx="926">
                  <c:v>7.4054730214398717E-3</c:v>
                </c:pt>
                <c:pt idx="927">
                  <c:v>7.4054730214398717E-3</c:v>
                </c:pt>
                <c:pt idx="928">
                  <c:v>7.4054730214398717E-3</c:v>
                </c:pt>
                <c:pt idx="929">
                  <c:v>7.4054730214398717E-3</c:v>
                </c:pt>
                <c:pt idx="930">
                  <c:v>7.4054730214398717E-3</c:v>
                </c:pt>
                <c:pt idx="931">
                  <c:v>7.4054730214398717E-3</c:v>
                </c:pt>
                <c:pt idx="932">
                  <c:v>7.4054730214398717E-3</c:v>
                </c:pt>
                <c:pt idx="933">
                  <c:v>7.4054730214398717E-3</c:v>
                </c:pt>
                <c:pt idx="934">
                  <c:v>7.4054730214398717E-3</c:v>
                </c:pt>
                <c:pt idx="935">
                  <c:v>7.4054730214398717E-3</c:v>
                </c:pt>
                <c:pt idx="936">
                  <c:v>7.4054730214398717E-3</c:v>
                </c:pt>
                <c:pt idx="937">
                  <c:v>7.4054730214398717E-3</c:v>
                </c:pt>
                <c:pt idx="938">
                  <c:v>7.4054730214398717E-3</c:v>
                </c:pt>
                <c:pt idx="939">
                  <c:v>7.4054730214398717E-3</c:v>
                </c:pt>
                <c:pt idx="940">
                  <c:v>7.4054730214398717E-3</c:v>
                </c:pt>
                <c:pt idx="941">
                  <c:v>7.4054730214398717E-3</c:v>
                </c:pt>
                <c:pt idx="942">
                  <c:v>7.4054730214398717E-3</c:v>
                </c:pt>
                <c:pt idx="943">
                  <c:v>7.4054730214398717E-3</c:v>
                </c:pt>
                <c:pt idx="944">
                  <c:v>7.4054730214398717E-3</c:v>
                </c:pt>
                <c:pt idx="945">
                  <c:v>7.4054730214398717E-3</c:v>
                </c:pt>
                <c:pt idx="946">
                  <c:v>7.4054730214398717E-3</c:v>
                </c:pt>
                <c:pt idx="947">
                  <c:v>7.4054730214398717E-3</c:v>
                </c:pt>
                <c:pt idx="948">
                  <c:v>7.4054730214398717E-3</c:v>
                </c:pt>
                <c:pt idx="949">
                  <c:v>7.4054730214398717E-3</c:v>
                </c:pt>
                <c:pt idx="950">
                  <c:v>7.4054730214398717E-3</c:v>
                </c:pt>
                <c:pt idx="951">
                  <c:v>7.4054730214398717E-3</c:v>
                </c:pt>
                <c:pt idx="952">
                  <c:v>7.4054730214398717E-3</c:v>
                </c:pt>
                <c:pt idx="953">
                  <c:v>7.4054730214398717E-3</c:v>
                </c:pt>
                <c:pt idx="954">
                  <c:v>7.4054730214398717E-3</c:v>
                </c:pt>
                <c:pt idx="955">
                  <c:v>7.4054730214398717E-3</c:v>
                </c:pt>
                <c:pt idx="956">
                  <c:v>7.4054730214398717E-3</c:v>
                </c:pt>
                <c:pt idx="957">
                  <c:v>7.4054730214398717E-3</c:v>
                </c:pt>
                <c:pt idx="958">
                  <c:v>7.4054730214398717E-3</c:v>
                </c:pt>
                <c:pt idx="959">
                  <c:v>7.4054730214398717E-3</c:v>
                </c:pt>
                <c:pt idx="960">
                  <c:v>7.4054730214398717E-3</c:v>
                </c:pt>
                <c:pt idx="961">
                  <c:v>7.4054730214398717E-3</c:v>
                </c:pt>
                <c:pt idx="962">
                  <c:v>7.4054730214398717E-3</c:v>
                </c:pt>
                <c:pt idx="963">
                  <c:v>7.4054730214398717E-3</c:v>
                </c:pt>
                <c:pt idx="964">
                  <c:v>7.4054730214398717E-3</c:v>
                </c:pt>
                <c:pt idx="965">
                  <c:v>7.4054730214398717E-3</c:v>
                </c:pt>
                <c:pt idx="966">
                  <c:v>7.4054730214398717E-3</c:v>
                </c:pt>
                <c:pt idx="967">
                  <c:v>7.4054730214398717E-3</c:v>
                </c:pt>
                <c:pt idx="968">
                  <c:v>7.4054730214398717E-3</c:v>
                </c:pt>
                <c:pt idx="969">
                  <c:v>7.4054730214398717E-3</c:v>
                </c:pt>
                <c:pt idx="970">
                  <c:v>7.4054730214398717E-3</c:v>
                </c:pt>
                <c:pt idx="971">
                  <c:v>7.4054730214398717E-3</c:v>
                </c:pt>
                <c:pt idx="972">
                  <c:v>7.4054730214398717E-3</c:v>
                </c:pt>
                <c:pt idx="973">
                  <c:v>7.4054730214398717E-3</c:v>
                </c:pt>
                <c:pt idx="974">
                  <c:v>7.4054730214398717E-3</c:v>
                </c:pt>
                <c:pt idx="975">
                  <c:v>7.4054730214398717E-3</c:v>
                </c:pt>
                <c:pt idx="976">
                  <c:v>7.4054730214398717E-3</c:v>
                </c:pt>
                <c:pt idx="977">
                  <c:v>7.4054730214398717E-3</c:v>
                </c:pt>
                <c:pt idx="978">
                  <c:v>7.4054730214398717E-3</c:v>
                </c:pt>
                <c:pt idx="979">
                  <c:v>7.4054730214398717E-3</c:v>
                </c:pt>
                <c:pt idx="980">
                  <c:v>7.4054730214398717E-3</c:v>
                </c:pt>
                <c:pt idx="981">
                  <c:v>7.4054730214398717E-3</c:v>
                </c:pt>
                <c:pt idx="982">
                  <c:v>7.4054730214398717E-3</c:v>
                </c:pt>
                <c:pt idx="983">
                  <c:v>7.4054730214398717E-3</c:v>
                </c:pt>
                <c:pt idx="984">
                  <c:v>7.4054730214398717E-3</c:v>
                </c:pt>
                <c:pt idx="985">
                  <c:v>7.4054730214398717E-3</c:v>
                </c:pt>
                <c:pt idx="986">
                  <c:v>7.4054730214398717E-3</c:v>
                </c:pt>
                <c:pt idx="987">
                  <c:v>7.4054730214398717E-3</c:v>
                </c:pt>
                <c:pt idx="988">
                  <c:v>7.4054730214398717E-3</c:v>
                </c:pt>
                <c:pt idx="989">
                  <c:v>7.4054730214398717E-3</c:v>
                </c:pt>
                <c:pt idx="990">
                  <c:v>7.4054730214398717E-3</c:v>
                </c:pt>
                <c:pt idx="991">
                  <c:v>7.4054730214398717E-3</c:v>
                </c:pt>
                <c:pt idx="992">
                  <c:v>7.4054730214398717E-3</c:v>
                </c:pt>
                <c:pt idx="993">
                  <c:v>7.4054730214398717E-3</c:v>
                </c:pt>
                <c:pt idx="994">
                  <c:v>7.4054730214398717E-3</c:v>
                </c:pt>
                <c:pt idx="995">
                  <c:v>7.4054730214398717E-3</c:v>
                </c:pt>
                <c:pt idx="996">
                  <c:v>7.4054730214398717E-3</c:v>
                </c:pt>
                <c:pt idx="997">
                  <c:v>7.4054730214398717E-3</c:v>
                </c:pt>
                <c:pt idx="998">
                  <c:v>7.4054730214398717E-3</c:v>
                </c:pt>
                <c:pt idx="999">
                  <c:v>7.4054730214398717E-3</c:v>
                </c:pt>
                <c:pt idx="1000">
                  <c:v>7.4054730214398717E-3</c:v>
                </c:pt>
                <c:pt idx="1001">
                  <c:v>7.4054730214398717E-3</c:v>
                </c:pt>
                <c:pt idx="1002">
                  <c:v>7.4054730214398717E-3</c:v>
                </c:pt>
                <c:pt idx="1003">
                  <c:v>7.4054730214398717E-3</c:v>
                </c:pt>
                <c:pt idx="1004">
                  <c:v>7.4054730214398717E-3</c:v>
                </c:pt>
                <c:pt idx="1005">
                  <c:v>7.4054730214398717E-3</c:v>
                </c:pt>
                <c:pt idx="1006">
                  <c:v>7.4054730214398717E-3</c:v>
                </c:pt>
                <c:pt idx="1007">
                  <c:v>7.4054730214398717E-3</c:v>
                </c:pt>
                <c:pt idx="1008">
                  <c:v>7.4054730214398717E-3</c:v>
                </c:pt>
                <c:pt idx="1009">
                  <c:v>7.4054730214398717E-3</c:v>
                </c:pt>
                <c:pt idx="1010">
                  <c:v>7.4054730214398717E-3</c:v>
                </c:pt>
                <c:pt idx="1011">
                  <c:v>7.4054730214398717E-3</c:v>
                </c:pt>
                <c:pt idx="1012">
                  <c:v>7.4054730214398717E-3</c:v>
                </c:pt>
                <c:pt idx="1013">
                  <c:v>7.4054730214398717E-3</c:v>
                </c:pt>
                <c:pt idx="1014">
                  <c:v>7.4054730214398717E-3</c:v>
                </c:pt>
                <c:pt idx="1015">
                  <c:v>7.4054730214398717E-3</c:v>
                </c:pt>
                <c:pt idx="1016">
                  <c:v>7.4054730214398717E-3</c:v>
                </c:pt>
                <c:pt idx="1017">
                  <c:v>7.4054730214398717E-3</c:v>
                </c:pt>
                <c:pt idx="1018">
                  <c:v>7.4054730214398717E-3</c:v>
                </c:pt>
                <c:pt idx="1019">
                  <c:v>7.4054730214398717E-3</c:v>
                </c:pt>
                <c:pt idx="1020">
                  <c:v>7.4054730214398717E-3</c:v>
                </c:pt>
                <c:pt idx="1021">
                  <c:v>7.4054730214398717E-3</c:v>
                </c:pt>
                <c:pt idx="1022">
                  <c:v>7.4054730214398717E-3</c:v>
                </c:pt>
                <c:pt idx="1023">
                  <c:v>7.4054730214398717E-3</c:v>
                </c:pt>
                <c:pt idx="1024">
                  <c:v>7.4054730214398717E-3</c:v>
                </c:pt>
                <c:pt idx="1025">
                  <c:v>7.4054730214398717E-3</c:v>
                </c:pt>
                <c:pt idx="1026">
                  <c:v>7.4054730214398717E-3</c:v>
                </c:pt>
                <c:pt idx="1027">
                  <c:v>7.4054730214398717E-3</c:v>
                </c:pt>
                <c:pt idx="1028">
                  <c:v>7.4054730214398717E-3</c:v>
                </c:pt>
                <c:pt idx="1029">
                  <c:v>7.4054730214398717E-3</c:v>
                </c:pt>
                <c:pt idx="1030">
                  <c:v>7.4054730214398717E-3</c:v>
                </c:pt>
                <c:pt idx="1031">
                  <c:v>7.4054730214398717E-3</c:v>
                </c:pt>
                <c:pt idx="1032">
                  <c:v>7.4054730214398717E-3</c:v>
                </c:pt>
                <c:pt idx="1033">
                  <c:v>7.4054730214398717E-3</c:v>
                </c:pt>
                <c:pt idx="1034">
                  <c:v>7.4054730214398717E-3</c:v>
                </c:pt>
                <c:pt idx="1035">
                  <c:v>7.4054730214398717E-3</c:v>
                </c:pt>
                <c:pt idx="1036">
                  <c:v>7.4054730214398717E-3</c:v>
                </c:pt>
                <c:pt idx="1037">
                  <c:v>7.4054730214398717E-3</c:v>
                </c:pt>
                <c:pt idx="1038">
                  <c:v>7.4054730214398717E-3</c:v>
                </c:pt>
                <c:pt idx="1039">
                  <c:v>7.4054730214398717E-3</c:v>
                </c:pt>
                <c:pt idx="1040">
                  <c:v>7.4054730214398717E-3</c:v>
                </c:pt>
                <c:pt idx="1041">
                  <c:v>7.4054730214398717E-3</c:v>
                </c:pt>
                <c:pt idx="1042">
                  <c:v>7.4054730214398717E-3</c:v>
                </c:pt>
                <c:pt idx="1043">
                  <c:v>7.4054730214398717E-3</c:v>
                </c:pt>
                <c:pt idx="1044">
                  <c:v>7.4054730214398717E-3</c:v>
                </c:pt>
                <c:pt idx="1045">
                  <c:v>7.4054730214398717E-3</c:v>
                </c:pt>
                <c:pt idx="1046">
                  <c:v>7.4054730214398717E-3</c:v>
                </c:pt>
                <c:pt idx="1047">
                  <c:v>7.4054730214398717E-3</c:v>
                </c:pt>
                <c:pt idx="1048">
                  <c:v>7.4054730214398717E-3</c:v>
                </c:pt>
                <c:pt idx="1049">
                  <c:v>7.4054730214398717E-3</c:v>
                </c:pt>
                <c:pt idx="1050">
                  <c:v>7.4054730214398717E-3</c:v>
                </c:pt>
                <c:pt idx="1051">
                  <c:v>7.4054730214398717E-3</c:v>
                </c:pt>
                <c:pt idx="1052">
                  <c:v>7.4054730214398717E-3</c:v>
                </c:pt>
                <c:pt idx="1053">
                  <c:v>7.4054730214398717E-3</c:v>
                </c:pt>
                <c:pt idx="1054">
                  <c:v>7.4054730214398717E-3</c:v>
                </c:pt>
                <c:pt idx="1055">
                  <c:v>7.4054730214398717E-3</c:v>
                </c:pt>
                <c:pt idx="1056">
                  <c:v>7.4054730214398717E-3</c:v>
                </c:pt>
                <c:pt idx="1057">
                  <c:v>7.4054730214398717E-3</c:v>
                </c:pt>
                <c:pt idx="1058">
                  <c:v>7.4054730214398717E-3</c:v>
                </c:pt>
                <c:pt idx="1059">
                  <c:v>7.4054730214398717E-3</c:v>
                </c:pt>
                <c:pt idx="1060">
                  <c:v>7.4054730214398717E-3</c:v>
                </c:pt>
                <c:pt idx="1061">
                  <c:v>7.4054730214398717E-3</c:v>
                </c:pt>
                <c:pt idx="1062">
                  <c:v>7.4054730214398717E-3</c:v>
                </c:pt>
                <c:pt idx="1063">
                  <c:v>7.4054730214398717E-3</c:v>
                </c:pt>
                <c:pt idx="1064">
                  <c:v>7.4054730214398717E-3</c:v>
                </c:pt>
                <c:pt idx="1065">
                  <c:v>7.4054730214398717E-3</c:v>
                </c:pt>
                <c:pt idx="1066">
                  <c:v>7.4054730214398717E-3</c:v>
                </c:pt>
                <c:pt idx="1067">
                  <c:v>7.4054730214398717E-3</c:v>
                </c:pt>
                <c:pt idx="1068">
                  <c:v>7.4054730214398717E-3</c:v>
                </c:pt>
                <c:pt idx="1069">
                  <c:v>7.4054730214398717E-3</c:v>
                </c:pt>
                <c:pt idx="1070">
                  <c:v>7.4054730214398717E-3</c:v>
                </c:pt>
                <c:pt idx="1071">
                  <c:v>7.4054730214398717E-3</c:v>
                </c:pt>
                <c:pt idx="1072">
                  <c:v>7.4054730214398717E-3</c:v>
                </c:pt>
                <c:pt idx="1073">
                  <c:v>7.4054730214398717E-3</c:v>
                </c:pt>
                <c:pt idx="1074">
                  <c:v>7.4054730214398717E-3</c:v>
                </c:pt>
                <c:pt idx="1075">
                  <c:v>7.4054730214398717E-3</c:v>
                </c:pt>
                <c:pt idx="1076">
                  <c:v>7.4054730214398717E-3</c:v>
                </c:pt>
                <c:pt idx="1077">
                  <c:v>7.4054730214398717E-3</c:v>
                </c:pt>
                <c:pt idx="1078">
                  <c:v>7.4054730214398717E-3</c:v>
                </c:pt>
                <c:pt idx="1079">
                  <c:v>7.4054730214398717E-3</c:v>
                </c:pt>
                <c:pt idx="1080">
                  <c:v>7.4054730214398717E-3</c:v>
                </c:pt>
                <c:pt idx="1081">
                  <c:v>7.4054730214398717E-3</c:v>
                </c:pt>
                <c:pt idx="1082">
                  <c:v>7.4054730214398717E-3</c:v>
                </c:pt>
                <c:pt idx="1083">
                  <c:v>7.4054730214398717E-3</c:v>
                </c:pt>
                <c:pt idx="1084">
                  <c:v>7.4054730214398717E-3</c:v>
                </c:pt>
                <c:pt idx="1085">
                  <c:v>7.4054730214398717E-3</c:v>
                </c:pt>
                <c:pt idx="1086">
                  <c:v>7.4054730214398717E-3</c:v>
                </c:pt>
                <c:pt idx="1087">
                  <c:v>7.4054730214398717E-3</c:v>
                </c:pt>
                <c:pt idx="1088">
                  <c:v>7.4054730214398717E-3</c:v>
                </c:pt>
                <c:pt idx="1089">
                  <c:v>7.4054730214398717E-3</c:v>
                </c:pt>
                <c:pt idx="1090">
                  <c:v>7.4054730214398717E-3</c:v>
                </c:pt>
                <c:pt idx="1091">
                  <c:v>7.4054730214398717E-3</c:v>
                </c:pt>
                <c:pt idx="1092">
                  <c:v>7.4054730214398717E-3</c:v>
                </c:pt>
                <c:pt idx="1093">
                  <c:v>7.4054730214398717E-3</c:v>
                </c:pt>
                <c:pt idx="1094">
                  <c:v>7.4054730214398717E-3</c:v>
                </c:pt>
                <c:pt idx="1095">
                  <c:v>7.4054730214398717E-3</c:v>
                </c:pt>
                <c:pt idx="1096">
                  <c:v>7.4054730214398717E-3</c:v>
                </c:pt>
                <c:pt idx="1097">
                  <c:v>7.4054730214398717E-3</c:v>
                </c:pt>
                <c:pt idx="1098">
                  <c:v>7.4054730214398717E-3</c:v>
                </c:pt>
                <c:pt idx="1099">
                  <c:v>7.4054730214398717E-3</c:v>
                </c:pt>
                <c:pt idx="1100">
                  <c:v>7.4054730214398717E-3</c:v>
                </c:pt>
                <c:pt idx="1101">
                  <c:v>7.4054730214398717E-3</c:v>
                </c:pt>
                <c:pt idx="1102">
                  <c:v>7.4054730214398717E-3</c:v>
                </c:pt>
                <c:pt idx="1103">
                  <c:v>7.4054730214398717E-3</c:v>
                </c:pt>
                <c:pt idx="1104">
                  <c:v>7.4054730214398717E-3</c:v>
                </c:pt>
                <c:pt idx="1105">
                  <c:v>7.4054730214398717E-3</c:v>
                </c:pt>
                <c:pt idx="1106">
                  <c:v>7.4054730214398717E-3</c:v>
                </c:pt>
                <c:pt idx="1107">
                  <c:v>7.4054730214398717E-3</c:v>
                </c:pt>
                <c:pt idx="1108">
                  <c:v>7.4054730214398717E-3</c:v>
                </c:pt>
                <c:pt idx="1109">
                  <c:v>7.4054730214398717E-3</c:v>
                </c:pt>
                <c:pt idx="1110">
                  <c:v>7.4054730214398717E-3</c:v>
                </c:pt>
                <c:pt idx="1111">
                  <c:v>7.4054730214398717E-3</c:v>
                </c:pt>
                <c:pt idx="1112">
                  <c:v>7.4054730214398717E-3</c:v>
                </c:pt>
                <c:pt idx="1113">
                  <c:v>7.4054730214398717E-3</c:v>
                </c:pt>
                <c:pt idx="1114">
                  <c:v>7.4054730214398717E-3</c:v>
                </c:pt>
                <c:pt idx="1115">
                  <c:v>7.4054730214398717E-3</c:v>
                </c:pt>
                <c:pt idx="1116">
                  <c:v>7.4054730214398717E-3</c:v>
                </c:pt>
                <c:pt idx="1117">
                  <c:v>7.4054730214398717E-3</c:v>
                </c:pt>
                <c:pt idx="1118">
                  <c:v>7.4054730214398717E-3</c:v>
                </c:pt>
                <c:pt idx="1119">
                  <c:v>7.4054730214398717E-3</c:v>
                </c:pt>
                <c:pt idx="1120">
                  <c:v>7.4054730214398717E-3</c:v>
                </c:pt>
                <c:pt idx="1121">
                  <c:v>7.4054730214398717E-3</c:v>
                </c:pt>
                <c:pt idx="1122">
                  <c:v>7.4054730214398717E-3</c:v>
                </c:pt>
                <c:pt idx="1123">
                  <c:v>7.4054730214398717E-3</c:v>
                </c:pt>
                <c:pt idx="1124">
                  <c:v>7.4054730214398717E-3</c:v>
                </c:pt>
                <c:pt idx="1125">
                  <c:v>7.4054730214398717E-3</c:v>
                </c:pt>
                <c:pt idx="1126">
                  <c:v>7.4054730214398717E-3</c:v>
                </c:pt>
                <c:pt idx="1127">
                  <c:v>7.4054730214398717E-3</c:v>
                </c:pt>
                <c:pt idx="1128">
                  <c:v>7.4054730214398717E-3</c:v>
                </c:pt>
                <c:pt idx="1129">
                  <c:v>7.4054730214398717E-3</c:v>
                </c:pt>
                <c:pt idx="1130">
                  <c:v>7.4054730214398717E-3</c:v>
                </c:pt>
                <c:pt idx="1131">
                  <c:v>7.4054730214398717E-3</c:v>
                </c:pt>
                <c:pt idx="1132">
                  <c:v>7.4054730214398717E-3</c:v>
                </c:pt>
                <c:pt idx="1133">
                  <c:v>7.4054730214398717E-3</c:v>
                </c:pt>
                <c:pt idx="1134">
                  <c:v>7.4054730214398717E-3</c:v>
                </c:pt>
                <c:pt idx="1135">
                  <c:v>7.4054730214398717E-3</c:v>
                </c:pt>
                <c:pt idx="1136">
                  <c:v>7.4054730214398717E-3</c:v>
                </c:pt>
                <c:pt idx="1137">
                  <c:v>7.4054730214398717E-3</c:v>
                </c:pt>
                <c:pt idx="1138">
                  <c:v>7.4054730214398717E-3</c:v>
                </c:pt>
                <c:pt idx="1139">
                  <c:v>7.4054730214398717E-3</c:v>
                </c:pt>
                <c:pt idx="1140">
                  <c:v>7.4054730214398717E-3</c:v>
                </c:pt>
                <c:pt idx="1141">
                  <c:v>7.4054730214398717E-3</c:v>
                </c:pt>
                <c:pt idx="1142">
                  <c:v>7.4054730214398717E-3</c:v>
                </c:pt>
                <c:pt idx="1143">
                  <c:v>7.4054730214398717E-3</c:v>
                </c:pt>
                <c:pt idx="1144">
                  <c:v>7.4054730214398717E-3</c:v>
                </c:pt>
                <c:pt idx="1145">
                  <c:v>7.4054730214398717E-3</c:v>
                </c:pt>
                <c:pt idx="1146">
                  <c:v>7.4054730214398717E-3</c:v>
                </c:pt>
                <c:pt idx="1147">
                  <c:v>7.4054730214398717E-3</c:v>
                </c:pt>
                <c:pt idx="1148">
                  <c:v>7.4054730214398717E-3</c:v>
                </c:pt>
                <c:pt idx="1149">
                  <c:v>7.4054730214398717E-3</c:v>
                </c:pt>
                <c:pt idx="1150">
                  <c:v>7.4054730214398717E-3</c:v>
                </c:pt>
                <c:pt idx="1151">
                  <c:v>7.4054730214398717E-3</c:v>
                </c:pt>
                <c:pt idx="1152">
                  <c:v>7.4054730214398717E-3</c:v>
                </c:pt>
                <c:pt idx="1153">
                  <c:v>7.4054730214398717E-3</c:v>
                </c:pt>
                <c:pt idx="1154">
                  <c:v>7.4054730214398717E-3</c:v>
                </c:pt>
                <c:pt idx="1155">
                  <c:v>7.4054730214398717E-3</c:v>
                </c:pt>
                <c:pt idx="1156">
                  <c:v>7.4054730214398717E-3</c:v>
                </c:pt>
                <c:pt idx="1157">
                  <c:v>7.4054730214398717E-3</c:v>
                </c:pt>
                <c:pt idx="1158">
                  <c:v>7.4054730214398717E-3</c:v>
                </c:pt>
                <c:pt idx="1159">
                  <c:v>7.4054730214398717E-3</c:v>
                </c:pt>
                <c:pt idx="1160">
                  <c:v>7.4054730214398717E-3</c:v>
                </c:pt>
                <c:pt idx="1161">
                  <c:v>7.4054730214398717E-3</c:v>
                </c:pt>
                <c:pt idx="1162">
                  <c:v>7.4054730214398717E-3</c:v>
                </c:pt>
                <c:pt idx="1163">
                  <c:v>7.4054730214398717E-3</c:v>
                </c:pt>
                <c:pt idx="1164">
                  <c:v>7.4054730214398717E-3</c:v>
                </c:pt>
                <c:pt idx="1165">
                  <c:v>7.4054730214398717E-3</c:v>
                </c:pt>
                <c:pt idx="1166">
                  <c:v>7.4054730214398717E-3</c:v>
                </c:pt>
                <c:pt idx="1167">
                  <c:v>7.4054730214398717E-3</c:v>
                </c:pt>
                <c:pt idx="1168">
                  <c:v>7.4054730214398717E-3</c:v>
                </c:pt>
                <c:pt idx="1169">
                  <c:v>7.4054730214398717E-3</c:v>
                </c:pt>
                <c:pt idx="1170">
                  <c:v>7.4054730214398717E-3</c:v>
                </c:pt>
                <c:pt idx="1171">
                  <c:v>7.4054730214398717E-3</c:v>
                </c:pt>
                <c:pt idx="1172">
                  <c:v>7.4054730214398717E-3</c:v>
                </c:pt>
                <c:pt idx="1173">
                  <c:v>7.4054730214398717E-3</c:v>
                </c:pt>
                <c:pt idx="1174">
                  <c:v>7.4054730214398717E-3</c:v>
                </c:pt>
                <c:pt idx="1175">
                  <c:v>7.4054730214398717E-3</c:v>
                </c:pt>
                <c:pt idx="1176">
                  <c:v>7.4054730214398717E-3</c:v>
                </c:pt>
                <c:pt idx="1177">
                  <c:v>7.4054730214398717E-3</c:v>
                </c:pt>
                <c:pt idx="1178">
                  <c:v>7.4054730214398717E-3</c:v>
                </c:pt>
                <c:pt idx="1179">
                  <c:v>7.4054730214398717E-3</c:v>
                </c:pt>
                <c:pt idx="1180">
                  <c:v>7.4054730214398717E-3</c:v>
                </c:pt>
                <c:pt idx="1181">
                  <c:v>7.4054730214398717E-3</c:v>
                </c:pt>
                <c:pt idx="1182">
                  <c:v>7.4054730214398717E-3</c:v>
                </c:pt>
                <c:pt idx="1183">
                  <c:v>7.4054730214398717E-3</c:v>
                </c:pt>
                <c:pt idx="1184">
                  <c:v>7.4054730214398717E-3</c:v>
                </c:pt>
                <c:pt idx="1185">
                  <c:v>7.4054730214398717E-3</c:v>
                </c:pt>
                <c:pt idx="1186">
                  <c:v>7.4054730214398717E-3</c:v>
                </c:pt>
                <c:pt idx="1187">
                  <c:v>7.4054730214398717E-3</c:v>
                </c:pt>
                <c:pt idx="1188">
                  <c:v>7.4054730214398717E-3</c:v>
                </c:pt>
                <c:pt idx="1189">
                  <c:v>7.4054730214398717E-3</c:v>
                </c:pt>
                <c:pt idx="1190">
                  <c:v>7.4054730214398717E-3</c:v>
                </c:pt>
                <c:pt idx="1191">
                  <c:v>7.4054730214398717E-3</c:v>
                </c:pt>
                <c:pt idx="1192">
                  <c:v>7.4054730214398717E-3</c:v>
                </c:pt>
                <c:pt idx="1193">
                  <c:v>7.4054730214398717E-3</c:v>
                </c:pt>
                <c:pt idx="1194">
                  <c:v>7.4054730214398717E-3</c:v>
                </c:pt>
                <c:pt idx="1195">
                  <c:v>7.4054730214398717E-3</c:v>
                </c:pt>
                <c:pt idx="1196">
                  <c:v>7.4054730214398717E-3</c:v>
                </c:pt>
                <c:pt idx="1197">
                  <c:v>7.4054730214398717E-3</c:v>
                </c:pt>
                <c:pt idx="1198">
                  <c:v>7.4054730214398717E-3</c:v>
                </c:pt>
                <c:pt idx="1199">
                  <c:v>7.4054730214398717E-3</c:v>
                </c:pt>
                <c:pt idx="1200">
                  <c:v>7.4054730214398717E-3</c:v>
                </c:pt>
                <c:pt idx="1201">
                  <c:v>7.4054730214398717E-3</c:v>
                </c:pt>
                <c:pt idx="1202">
                  <c:v>7.4054730214398717E-3</c:v>
                </c:pt>
                <c:pt idx="1203">
                  <c:v>7.4054730214398717E-3</c:v>
                </c:pt>
                <c:pt idx="1204">
                  <c:v>7.4054730214398717E-3</c:v>
                </c:pt>
                <c:pt idx="1205">
                  <c:v>7.4054730214398717E-3</c:v>
                </c:pt>
                <c:pt idx="1206">
                  <c:v>7.4054730214398717E-3</c:v>
                </c:pt>
                <c:pt idx="1207">
                  <c:v>7.4054730214398717E-3</c:v>
                </c:pt>
                <c:pt idx="1208">
                  <c:v>7.4054730214398717E-3</c:v>
                </c:pt>
                <c:pt idx="1209">
                  <c:v>7.4054730214398717E-3</c:v>
                </c:pt>
                <c:pt idx="1210">
                  <c:v>7.4054730214398717E-3</c:v>
                </c:pt>
                <c:pt idx="1211">
                  <c:v>7.4054730214398717E-3</c:v>
                </c:pt>
                <c:pt idx="1212">
                  <c:v>7.4054730214398717E-3</c:v>
                </c:pt>
                <c:pt idx="1213">
                  <c:v>7.4054730214398717E-3</c:v>
                </c:pt>
                <c:pt idx="1214">
                  <c:v>7.4054730214398717E-3</c:v>
                </c:pt>
                <c:pt idx="1215">
                  <c:v>7.4054730214398717E-3</c:v>
                </c:pt>
                <c:pt idx="1216">
                  <c:v>7.4054730214398717E-3</c:v>
                </c:pt>
                <c:pt idx="1217">
                  <c:v>7.4054730214398717E-3</c:v>
                </c:pt>
                <c:pt idx="1218">
                  <c:v>7.4054730214398717E-3</c:v>
                </c:pt>
                <c:pt idx="1219">
                  <c:v>7.4054730214398717E-3</c:v>
                </c:pt>
                <c:pt idx="1220">
                  <c:v>7.4054730214398717E-3</c:v>
                </c:pt>
                <c:pt idx="1221">
                  <c:v>7.4054730214398717E-3</c:v>
                </c:pt>
                <c:pt idx="1222">
                  <c:v>7.4054730214398717E-3</c:v>
                </c:pt>
                <c:pt idx="1223">
                  <c:v>7.4054730214398717E-3</c:v>
                </c:pt>
                <c:pt idx="1224">
                  <c:v>7.4054730214398717E-3</c:v>
                </c:pt>
                <c:pt idx="1225">
                  <c:v>7.4054730214398717E-3</c:v>
                </c:pt>
                <c:pt idx="1226">
                  <c:v>7.4054730214398717E-3</c:v>
                </c:pt>
                <c:pt idx="1227">
                  <c:v>7.4054730214398717E-3</c:v>
                </c:pt>
                <c:pt idx="1228">
                  <c:v>7.4054730214398717E-3</c:v>
                </c:pt>
                <c:pt idx="1229">
                  <c:v>7.4054730214398717E-3</c:v>
                </c:pt>
                <c:pt idx="1230">
                  <c:v>7.4054730214398717E-3</c:v>
                </c:pt>
                <c:pt idx="1231">
                  <c:v>7.4054730214398717E-3</c:v>
                </c:pt>
                <c:pt idx="1232">
                  <c:v>7.4054730214398717E-3</c:v>
                </c:pt>
                <c:pt idx="1233">
                  <c:v>7.4054730214398717E-3</c:v>
                </c:pt>
                <c:pt idx="1234">
                  <c:v>7.4054730214398717E-3</c:v>
                </c:pt>
                <c:pt idx="1235">
                  <c:v>7.4054730214398717E-3</c:v>
                </c:pt>
                <c:pt idx="1236">
                  <c:v>7.4054730214398717E-3</c:v>
                </c:pt>
                <c:pt idx="1237">
                  <c:v>7.4054730214398717E-3</c:v>
                </c:pt>
                <c:pt idx="1238">
                  <c:v>7.4054730214398717E-3</c:v>
                </c:pt>
                <c:pt idx="1239">
                  <c:v>7.4054730214398717E-3</c:v>
                </c:pt>
                <c:pt idx="1240">
                  <c:v>7.4054730214398717E-3</c:v>
                </c:pt>
                <c:pt idx="1241">
                  <c:v>7.4054730214398717E-3</c:v>
                </c:pt>
                <c:pt idx="1242">
                  <c:v>7.4054730214398717E-3</c:v>
                </c:pt>
                <c:pt idx="1243">
                  <c:v>7.4054730214398717E-3</c:v>
                </c:pt>
                <c:pt idx="1244">
                  <c:v>7.4054730214398717E-3</c:v>
                </c:pt>
                <c:pt idx="1245">
                  <c:v>7.4054730214398717E-3</c:v>
                </c:pt>
                <c:pt idx="1246">
                  <c:v>7.4054730214398717E-3</c:v>
                </c:pt>
                <c:pt idx="1247">
                  <c:v>7.4054730214398717E-3</c:v>
                </c:pt>
                <c:pt idx="1248">
                  <c:v>7.4054730214398717E-3</c:v>
                </c:pt>
                <c:pt idx="1249">
                  <c:v>7.4054730214398717E-3</c:v>
                </c:pt>
                <c:pt idx="1250">
                  <c:v>7.4054730214398717E-3</c:v>
                </c:pt>
                <c:pt idx="1251">
                  <c:v>7.4054730214398717E-3</c:v>
                </c:pt>
                <c:pt idx="1252">
                  <c:v>7.4054730214398717E-3</c:v>
                </c:pt>
                <c:pt idx="1253">
                  <c:v>7.4054730214398717E-3</c:v>
                </c:pt>
                <c:pt idx="1254">
                  <c:v>7.4054730214398717E-3</c:v>
                </c:pt>
                <c:pt idx="1255">
                  <c:v>7.4054730214398717E-3</c:v>
                </c:pt>
                <c:pt idx="1256">
                  <c:v>7.4054730214398717E-3</c:v>
                </c:pt>
                <c:pt idx="1257">
                  <c:v>7.4054730214398717E-3</c:v>
                </c:pt>
                <c:pt idx="1258">
                  <c:v>7.4054730214398717E-3</c:v>
                </c:pt>
                <c:pt idx="1259">
                  <c:v>7.4054730214398717E-3</c:v>
                </c:pt>
                <c:pt idx="1260">
                  <c:v>7.4054730214398717E-3</c:v>
                </c:pt>
                <c:pt idx="1261">
                  <c:v>7.4054730214398717E-3</c:v>
                </c:pt>
                <c:pt idx="1262">
                  <c:v>7.4054730214398717E-3</c:v>
                </c:pt>
                <c:pt idx="1263">
                  <c:v>7.4054730214398717E-3</c:v>
                </c:pt>
                <c:pt idx="1264">
                  <c:v>7.4054730214398717E-3</c:v>
                </c:pt>
                <c:pt idx="1265">
                  <c:v>7.4054730214398717E-3</c:v>
                </c:pt>
                <c:pt idx="1266">
                  <c:v>7.4054730214398717E-3</c:v>
                </c:pt>
                <c:pt idx="1267">
                  <c:v>7.4054730214398717E-3</c:v>
                </c:pt>
                <c:pt idx="1268">
                  <c:v>7.4054730214398717E-3</c:v>
                </c:pt>
                <c:pt idx="1269">
                  <c:v>7.4054730214398717E-3</c:v>
                </c:pt>
                <c:pt idx="1270">
                  <c:v>7.4054730214398717E-3</c:v>
                </c:pt>
                <c:pt idx="1271">
                  <c:v>7.4054730214398717E-3</c:v>
                </c:pt>
                <c:pt idx="1272">
                  <c:v>7.4054730214398717E-3</c:v>
                </c:pt>
                <c:pt idx="1273">
                  <c:v>7.4054730214398717E-3</c:v>
                </c:pt>
                <c:pt idx="1274">
                  <c:v>7.4054730214398717E-3</c:v>
                </c:pt>
                <c:pt idx="1275">
                  <c:v>7.4054730214398717E-3</c:v>
                </c:pt>
                <c:pt idx="1276">
                  <c:v>7.4054730214398717E-3</c:v>
                </c:pt>
                <c:pt idx="1277">
                  <c:v>7.4054730214398717E-3</c:v>
                </c:pt>
                <c:pt idx="1278">
                  <c:v>7.4054730214398717E-3</c:v>
                </c:pt>
                <c:pt idx="1279">
                  <c:v>7.4054730214398717E-3</c:v>
                </c:pt>
                <c:pt idx="1280">
                  <c:v>7.4054730214398717E-3</c:v>
                </c:pt>
                <c:pt idx="1281">
                  <c:v>7.4054730214398717E-3</c:v>
                </c:pt>
                <c:pt idx="1282">
                  <c:v>7.4054730214398717E-3</c:v>
                </c:pt>
                <c:pt idx="1283">
                  <c:v>7.4054730214398717E-3</c:v>
                </c:pt>
                <c:pt idx="1284">
                  <c:v>7.4054730214398717E-3</c:v>
                </c:pt>
                <c:pt idx="1285">
                  <c:v>7.4054730214398717E-3</c:v>
                </c:pt>
                <c:pt idx="1286">
                  <c:v>7.4054730214398717E-3</c:v>
                </c:pt>
                <c:pt idx="1287">
                  <c:v>7.4054730214398717E-3</c:v>
                </c:pt>
                <c:pt idx="1288">
                  <c:v>7.4054730214398717E-3</c:v>
                </c:pt>
                <c:pt idx="1289">
                  <c:v>7.4054730214398717E-3</c:v>
                </c:pt>
                <c:pt idx="1290">
                  <c:v>7.4054730214398717E-3</c:v>
                </c:pt>
                <c:pt idx="1291">
                  <c:v>7.4054730214398717E-3</c:v>
                </c:pt>
                <c:pt idx="1292">
                  <c:v>7.4054730214398717E-3</c:v>
                </c:pt>
                <c:pt idx="1293">
                  <c:v>7.4054730214398717E-3</c:v>
                </c:pt>
                <c:pt idx="1294">
                  <c:v>7.4054730214398717E-3</c:v>
                </c:pt>
                <c:pt idx="1295">
                  <c:v>7.4054730214398717E-3</c:v>
                </c:pt>
                <c:pt idx="1296">
                  <c:v>7.4054730214398717E-3</c:v>
                </c:pt>
                <c:pt idx="1297">
                  <c:v>7.4054730214398717E-3</c:v>
                </c:pt>
                <c:pt idx="1298">
                  <c:v>7.4054730214398717E-3</c:v>
                </c:pt>
                <c:pt idx="1299">
                  <c:v>7.4054730214398717E-3</c:v>
                </c:pt>
                <c:pt idx="1300">
                  <c:v>7.4054730214398717E-3</c:v>
                </c:pt>
                <c:pt idx="1301">
                  <c:v>7.4054730214398717E-3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9428992"/>
        <c:axId val="119435264"/>
      </c:lineChart>
      <c:catAx>
        <c:axId val="1194289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Date</a:t>
                </a:r>
              </a:p>
            </c:rich>
          </c:tx>
          <c:layout>
            <c:manualLayout>
              <c:xMode val="edge"/>
              <c:yMode val="edge"/>
              <c:x val="0.54755774931118684"/>
              <c:y val="0.88196714047107749"/>
            </c:manualLayout>
          </c:layout>
          <c:overlay val="0"/>
          <c:spPr>
            <a:noFill/>
            <a:ln w="25400">
              <a:noFill/>
            </a:ln>
          </c:spPr>
        </c:title>
        <c:numFmt formatCode="m/d/yyyy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19435264"/>
        <c:crosses val="autoZero"/>
        <c:auto val="0"/>
        <c:lblAlgn val="ctr"/>
        <c:lblOffset val="100"/>
        <c:tickLblSkip val="100"/>
        <c:tickMarkSkip val="100"/>
        <c:noMultiLvlLbl val="0"/>
      </c:catAx>
      <c:valAx>
        <c:axId val="119435264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Standard Deviation</a:t>
                </a:r>
              </a:p>
            </c:rich>
          </c:tx>
          <c:layout>
            <c:manualLayout>
              <c:xMode val="edge"/>
              <c:yMode val="edge"/>
              <c:x val="4.1131089957038951E-2"/>
              <c:y val="0.28524593516719504"/>
            </c:manualLayout>
          </c:layout>
          <c:overlay val="0"/>
          <c:spPr>
            <a:noFill/>
            <a:ln w="25400">
              <a:noFill/>
            </a:ln>
          </c:spPr>
        </c:title>
        <c:numFmt formatCode="0.00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194289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orientation="landscape" horizontalDpi="-4" verticalDpi="0"/>
  </c:printSettings>
</c:chartSpace>
</file>

<file path=xl/ctrlProps/ctrlProp1.xml><?xml version="1.0" encoding="utf-8"?>
<formControlPr xmlns="http://schemas.microsoft.com/office/spreadsheetml/2009/9/main" objectType="Drop" dropLines="59" dropStyle="combo" dx="16" fmlaLink="$E$9" fmlaRange="$E$10:$E$11" sel="2" val="0"/>
</file>

<file path=xl/ctrlProps/ctrlProp2.xml><?xml version="1.0" encoding="utf-8"?>
<formControlPr xmlns="http://schemas.microsoft.com/office/spreadsheetml/2009/9/main" objectType="Drop" dropLines="59" dropStyle="combo" dx="16" fmlaLink="$F$9" fmlaRange="$F$10:$F$11" val="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214313</xdr:colOff>
      <xdr:row>0</xdr:row>
      <xdr:rowOff>0</xdr:rowOff>
    </xdr:from>
    <xdr:to>
      <xdr:col>20</xdr:col>
      <xdr:colOff>369093</xdr:colOff>
      <xdr:row>34</xdr:row>
      <xdr:rowOff>119065</xdr:rowOff>
    </xdr:to>
    <xdr:graphicFrame macro="">
      <xdr:nvGraphicFramePr>
        <xdr:cNvPr id="2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200025</xdr:colOff>
      <xdr:row>3</xdr:row>
      <xdr:rowOff>9525</xdr:rowOff>
    </xdr:from>
    <xdr:to>
      <xdr:col>16</xdr:col>
      <xdr:colOff>247650</xdr:colOff>
      <xdr:row>20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590550</xdr:colOff>
      <xdr:row>3</xdr:row>
      <xdr:rowOff>28575</xdr:rowOff>
    </xdr:from>
    <xdr:to>
      <xdr:col>17</xdr:col>
      <xdr:colOff>28575</xdr:colOff>
      <xdr:row>20</xdr:row>
      <xdr:rowOff>19050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1266825</xdr:colOff>
          <xdr:row>5</xdr:row>
          <xdr:rowOff>47625</xdr:rowOff>
        </xdr:from>
        <xdr:to>
          <xdr:col>2</xdr:col>
          <xdr:colOff>561975</xdr:colOff>
          <xdr:row>6</xdr:row>
          <xdr:rowOff>123825</xdr:rowOff>
        </xdr:to>
        <xdr:sp macro="" textlink="">
          <xdr:nvSpPr>
            <xdr:cNvPr id="11265" name="Drop Dow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1247775</xdr:colOff>
          <xdr:row>3</xdr:row>
          <xdr:rowOff>85725</xdr:rowOff>
        </xdr:from>
        <xdr:to>
          <xdr:col>2</xdr:col>
          <xdr:colOff>552450</xdr:colOff>
          <xdr:row>5</xdr:row>
          <xdr:rowOff>0</xdr:rowOff>
        </xdr:to>
        <xdr:sp macro="" textlink="">
          <xdr:nvSpPr>
            <xdr:cNvPr id="11266" name="Drop Down 2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85725</xdr:colOff>
      <xdr:row>31</xdr:row>
      <xdr:rowOff>28574</xdr:rowOff>
    </xdr:from>
    <xdr:to>
      <xdr:col>6</xdr:col>
      <xdr:colOff>838201</xdr:colOff>
      <xdr:row>36</xdr:row>
      <xdr:rowOff>190499</xdr:rowOff>
    </xdr:to>
    <xdr:sp macro="" textlink="">
      <xdr:nvSpPr>
        <xdr:cNvPr id="2" name="Rectangle 1"/>
        <xdr:cNvSpPr/>
      </xdr:nvSpPr>
      <xdr:spPr>
        <a:xfrm>
          <a:off x="3743325" y="5934074"/>
          <a:ext cx="523876" cy="1114425"/>
        </a:xfrm>
        <a:prstGeom prst="rect">
          <a:avLst/>
        </a:prstGeom>
        <a:noFill/>
        <a:ln>
          <a:solidFill>
            <a:schemeClr val="accent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6</xdr:col>
      <xdr:colOff>838201</xdr:colOff>
      <xdr:row>33</xdr:row>
      <xdr:rowOff>9525</xdr:rowOff>
    </xdr:from>
    <xdr:to>
      <xdr:col>7</xdr:col>
      <xdr:colOff>228600</xdr:colOff>
      <xdr:row>33</xdr:row>
      <xdr:rowOff>28575</xdr:rowOff>
    </xdr:to>
    <xdr:cxnSp macro="">
      <xdr:nvCxnSpPr>
        <xdr:cNvPr id="3" name="Straight Arrow Connector 3"/>
        <xdr:cNvCxnSpPr/>
      </xdr:nvCxnSpPr>
      <xdr:spPr>
        <a:xfrm flipH="1">
          <a:off x="4267201" y="6296025"/>
          <a:ext cx="228599" cy="19050"/>
        </a:xfrm>
        <a:prstGeom prst="straightConnector1">
          <a:avLst/>
        </a:prstGeom>
        <a:ln w="25400">
          <a:solidFill>
            <a:schemeClr val="accent2">
              <a:lumMod val="75000"/>
            </a:schemeClr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238124</xdr:colOff>
      <xdr:row>32</xdr:row>
      <xdr:rowOff>66675</xdr:rowOff>
    </xdr:from>
    <xdr:ext cx="895351" cy="264560"/>
    <xdr:sp macro="" textlink="">
      <xdr:nvSpPr>
        <xdr:cNvPr id="4" name="TextBox 5"/>
        <xdr:cNvSpPr txBox="1"/>
      </xdr:nvSpPr>
      <xdr:spPr>
        <a:xfrm>
          <a:off x="4505324" y="6162675"/>
          <a:ext cx="895351" cy="264560"/>
        </a:xfrm>
        <a:prstGeom prst="rect">
          <a:avLst/>
        </a:prstGeom>
        <a:noFill/>
        <a:ln w="25400">
          <a:solidFill>
            <a:schemeClr val="accent2">
              <a:lumMod val="7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36000" rIns="36000" rtlCol="0" anchor="t">
          <a:spAutoFit/>
        </a:bodyPr>
        <a:lstStyle/>
        <a:p>
          <a:r>
            <a:rPr lang="en-CA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max(S</a:t>
          </a:r>
          <a:r>
            <a:rPr lang="en-CA" sz="1100" baseline="-250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N</a:t>
          </a:r>
          <a:r>
            <a:rPr lang="en-CA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– X, 0)</a:t>
          </a:r>
          <a:endParaRPr lang="en-CA" sz="1100"/>
        </a:p>
      </xdr:txBody>
    </xdr:sp>
    <xdr:clientData/>
  </xdr:oneCellAnchor>
  <xdr:twoCellAnchor>
    <xdr:from>
      <xdr:col>6</xdr:col>
      <xdr:colOff>95250</xdr:colOff>
      <xdr:row>23</xdr:row>
      <xdr:rowOff>180975</xdr:rowOff>
    </xdr:from>
    <xdr:to>
      <xdr:col>7</xdr:col>
      <xdr:colOff>1</xdr:colOff>
      <xdr:row>30</xdr:row>
      <xdr:rowOff>9525</xdr:rowOff>
    </xdr:to>
    <xdr:sp macro="" textlink="">
      <xdr:nvSpPr>
        <xdr:cNvPr id="5" name="Rectangle 4"/>
        <xdr:cNvSpPr/>
      </xdr:nvSpPr>
      <xdr:spPr>
        <a:xfrm>
          <a:off x="3752850" y="4562475"/>
          <a:ext cx="514351" cy="1162050"/>
        </a:xfrm>
        <a:prstGeom prst="rect">
          <a:avLst/>
        </a:prstGeom>
        <a:noFill/>
        <a:ln>
          <a:solidFill>
            <a:schemeClr val="accent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6</xdr:col>
      <xdr:colOff>838200</xdr:colOff>
      <xdr:row>26</xdr:row>
      <xdr:rowOff>180975</xdr:rowOff>
    </xdr:from>
    <xdr:to>
      <xdr:col>7</xdr:col>
      <xdr:colOff>361950</xdr:colOff>
      <xdr:row>27</xdr:row>
      <xdr:rowOff>9525</xdr:rowOff>
    </xdr:to>
    <xdr:cxnSp macro="">
      <xdr:nvCxnSpPr>
        <xdr:cNvPr id="6" name="Straight Arrow Connector 7"/>
        <xdr:cNvCxnSpPr/>
      </xdr:nvCxnSpPr>
      <xdr:spPr>
        <a:xfrm flipH="1">
          <a:off x="4267200" y="5133975"/>
          <a:ext cx="361950" cy="19050"/>
        </a:xfrm>
        <a:prstGeom prst="straightConnector1">
          <a:avLst/>
        </a:prstGeom>
        <a:ln w="25400">
          <a:solidFill>
            <a:schemeClr val="accent2">
              <a:lumMod val="75000"/>
            </a:schemeClr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381000</xdr:colOff>
      <xdr:row>26</xdr:row>
      <xdr:rowOff>85725</xdr:rowOff>
    </xdr:from>
    <xdr:ext cx="310213" cy="264560"/>
    <xdr:sp macro="" textlink="">
      <xdr:nvSpPr>
        <xdr:cNvPr id="7" name="TextBox 8"/>
        <xdr:cNvSpPr txBox="1"/>
      </xdr:nvSpPr>
      <xdr:spPr>
        <a:xfrm>
          <a:off x="4648200" y="5038725"/>
          <a:ext cx="310213" cy="264560"/>
        </a:xfrm>
        <a:prstGeom prst="rect">
          <a:avLst/>
        </a:prstGeom>
        <a:noFill/>
        <a:ln w="25400">
          <a:solidFill>
            <a:schemeClr val="accent2">
              <a:lumMod val="7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CA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S</a:t>
          </a:r>
          <a:r>
            <a:rPr lang="en-CA" sz="1100" baseline="-250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N</a:t>
          </a:r>
          <a:endParaRPr lang="en-CA" sz="1100"/>
        </a:p>
      </xdr:txBody>
    </xdr:sp>
    <xdr:clientData/>
  </xdr:oneCellAnchor>
  <xdr:twoCellAnchor>
    <xdr:from>
      <xdr:col>2</xdr:col>
      <xdr:colOff>123825</xdr:colOff>
      <xdr:row>23</xdr:row>
      <xdr:rowOff>123825</xdr:rowOff>
    </xdr:from>
    <xdr:to>
      <xdr:col>6</xdr:col>
      <xdr:colOff>85725</xdr:colOff>
      <xdr:row>23</xdr:row>
      <xdr:rowOff>123825</xdr:rowOff>
    </xdr:to>
    <xdr:cxnSp macro="">
      <xdr:nvCxnSpPr>
        <xdr:cNvPr id="8" name="Straight Arrow Connector 13"/>
        <xdr:cNvCxnSpPr/>
      </xdr:nvCxnSpPr>
      <xdr:spPr>
        <a:xfrm>
          <a:off x="1343025" y="4505325"/>
          <a:ext cx="2400300" cy="0"/>
        </a:xfrm>
        <a:prstGeom prst="straightConnector1">
          <a:avLst/>
        </a:prstGeom>
        <a:ln w="28575">
          <a:solidFill>
            <a:schemeClr val="accent2">
              <a:lumMod val="75000"/>
            </a:schemeClr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38100</xdr:colOff>
      <xdr:row>30</xdr:row>
      <xdr:rowOff>133350</xdr:rowOff>
    </xdr:from>
    <xdr:to>
      <xdr:col>6</xdr:col>
      <xdr:colOff>0</xdr:colOff>
      <xdr:row>30</xdr:row>
      <xdr:rowOff>133350</xdr:rowOff>
    </xdr:to>
    <xdr:cxnSp macro="">
      <xdr:nvCxnSpPr>
        <xdr:cNvPr id="9" name="Straight Arrow Connector 16"/>
        <xdr:cNvCxnSpPr/>
      </xdr:nvCxnSpPr>
      <xdr:spPr>
        <a:xfrm flipH="1">
          <a:off x="1257300" y="5848350"/>
          <a:ext cx="2400300" cy="0"/>
        </a:xfrm>
        <a:prstGeom prst="straightConnector1">
          <a:avLst/>
        </a:prstGeom>
        <a:ln w="28575">
          <a:solidFill>
            <a:schemeClr val="accent2">
              <a:lumMod val="75000"/>
            </a:schemeClr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0</xdr:col>
      <xdr:colOff>895351</xdr:colOff>
      <xdr:row>33</xdr:row>
      <xdr:rowOff>19050</xdr:rowOff>
    </xdr:from>
    <xdr:ext cx="466724" cy="436786"/>
    <xdr:sp macro="" textlink="">
      <xdr:nvSpPr>
        <xdr:cNvPr id="10" name="TextBox 17"/>
        <xdr:cNvSpPr txBox="1"/>
      </xdr:nvSpPr>
      <xdr:spPr>
        <a:xfrm>
          <a:off x="609601" y="6305550"/>
          <a:ext cx="466724" cy="436786"/>
        </a:xfrm>
        <a:prstGeom prst="rect">
          <a:avLst/>
        </a:prstGeom>
        <a:noFill/>
        <a:ln w="25400">
          <a:solidFill>
            <a:schemeClr val="accent2">
              <a:lumMod val="7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CA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Call Price</a:t>
          </a:r>
          <a:endParaRPr lang="en-CA" sz="1100"/>
        </a:p>
      </xdr:txBody>
    </xdr:sp>
    <xdr:clientData/>
  </xdr:oneCellAnchor>
  <xdr:twoCellAnchor>
    <xdr:from>
      <xdr:col>1</xdr:col>
      <xdr:colOff>119063</xdr:colOff>
      <xdr:row>32</xdr:row>
      <xdr:rowOff>9525</xdr:rowOff>
    </xdr:from>
    <xdr:to>
      <xdr:col>1</xdr:col>
      <xdr:colOff>161925</xdr:colOff>
      <xdr:row>33</xdr:row>
      <xdr:rowOff>19050</xdr:rowOff>
    </xdr:to>
    <xdr:cxnSp macro="">
      <xdr:nvCxnSpPr>
        <xdr:cNvPr id="11" name="Straight Arrow Connector 18"/>
        <xdr:cNvCxnSpPr>
          <a:stCxn id="10" idx="0"/>
        </xdr:cNvCxnSpPr>
      </xdr:nvCxnSpPr>
      <xdr:spPr>
        <a:xfrm flipV="1">
          <a:off x="728663" y="6105525"/>
          <a:ext cx="42862" cy="200025"/>
        </a:xfrm>
        <a:prstGeom prst="straightConnector1">
          <a:avLst/>
        </a:prstGeom>
        <a:ln w="25400">
          <a:solidFill>
            <a:schemeClr val="accent2">
              <a:lumMod val="75000"/>
            </a:schemeClr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390525</xdr:colOff>
      <xdr:row>23</xdr:row>
      <xdr:rowOff>180975</xdr:rowOff>
    </xdr:from>
    <xdr:to>
      <xdr:col>6</xdr:col>
      <xdr:colOff>838200</xdr:colOff>
      <xdr:row>25</xdr:row>
      <xdr:rowOff>9525</xdr:rowOff>
    </xdr:to>
    <xdr:sp macro="" textlink="">
      <xdr:nvSpPr>
        <xdr:cNvPr id="13" name="Rectangle 12"/>
        <xdr:cNvSpPr/>
      </xdr:nvSpPr>
      <xdr:spPr>
        <a:xfrm>
          <a:off x="1000125" y="4562475"/>
          <a:ext cx="3267075" cy="209550"/>
        </a:xfrm>
        <a:prstGeom prst="rect">
          <a:avLst/>
        </a:prstGeom>
        <a:noFill/>
        <a:ln>
          <a:solidFill>
            <a:schemeClr val="accent1">
              <a:shade val="50000"/>
              <a:alpha val="7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1</xdr:col>
      <xdr:colOff>161925</xdr:colOff>
      <xdr:row>23</xdr:row>
      <xdr:rowOff>85725</xdr:rowOff>
    </xdr:from>
    <xdr:to>
      <xdr:col>1</xdr:col>
      <xdr:colOff>390525</xdr:colOff>
      <xdr:row>24</xdr:row>
      <xdr:rowOff>95250</xdr:rowOff>
    </xdr:to>
    <xdr:cxnSp macro="">
      <xdr:nvCxnSpPr>
        <xdr:cNvPr id="14" name="Straight Arrow Connector 27"/>
        <xdr:cNvCxnSpPr>
          <a:endCxn id="13" idx="1"/>
        </xdr:cNvCxnSpPr>
      </xdr:nvCxnSpPr>
      <xdr:spPr>
        <a:xfrm>
          <a:off x="771525" y="4467225"/>
          <a:ext cx="228600" cy="200025"/>
        </a:xfrm>
        <a:prstGeom prst="straightConnector1">
          <a:avLst/>
        </a:prstGeom>
        <a:ln w="25400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0</xdr:col>
      <xdr:colOff>885825</xdr:colOff>
      <xdr:row>22</xdr:row>
      <xdr:rowOff>19050</xdr:rowOff>
    </xdr:from>
    <xdr:ext cx="404919" cy="257175"/>
    <xdr:sp macro="" textlink="">
      <xdr:nvSpPr>
        <xdr:cNvPr id="15" name="TextBox 30"/>
        <xdr:cNvSpPr txBox="1"/>
      </xdr:nvSpPr>
      <xdr:spPr>
        <a:xfrm>
          <a:off x="609600" y="4210050"/>
          <a:ext cx="404919" cy="257175"/>
        </a:xfrm>
        <a:prstGeom prst="rect">
          <a:avLst/>
        </a:prstGeom>
        <a:noFill/>
        <a:ln w="25400">
          <a:solidFill>
            <a:schemeClr val="accen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CA" sz="1100"/>
            <a:t>S</a:t>
          </a:r>
          <a:r>
            <a:rPr lang="en-CA" sz="1100" baseline="-25000"/>
            <a:t>n</a:t>
          </a:r>
          <a:r>
            <a:rPr lang="en-CA" sz="1100"/>
            <a:t> u</a:t>
          </a:r>
        </a:p>
      </xdr:txBody>
    </xdr:sp>
    <xdr:clientData/>
  </xdr:oneCellAnchor>
  <xdr:twoCellAnchor>
    <xdr:from>
      <xdr:col>2</xdr:col>
      <xdr:colOff>104775</xdr:colOff>
      <xdr:row>25</xdr:row>
      <xdr:rowOff>9525</xdr:rowOff>
    </xdr:from>
    <xdr:to>
      <xdr:col>3</xdr:col>
      <xdr:colOff>28575</xdr:colOff>
      <xdr:row>26</xdr:row>
      <xdr:rowOff>9525</xdr:rowOff>
    </xdr:to>
    <xdr:sp macro="" textlink="">
      <xdr:nvSpPr>
        <xdr:cNvPr id="16" name="Rectangle 15"/>
        <xdr:cNvSpPr/>
      </xdr:nvSpPr>
      <xdr:spPr>
        <a:xfrm>
          <a:off x="1323975" y="4772025"/>
          <a:ext cx="533400" cy="190500"/>
        </a:xfrm>
        <a:prstGeom prst="rect">
          <a:avLst/>
        </a:prstGeom>
        <a:noFill/>
        <a:ln>
          <a:solidFill>
            <a:schemeClr val="accent3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oneCellAnchor>
    <xdr:from>
      <xdr:col>2</xdr:col>
      <xdr:colOff>180975</xdr:colOff>
      <xdr:row>27</xdr:row>
      <xdr:rowOff>28575</xdr:rowOff>
    </xdr:from>
    <xdr:ext cx="403187" cy="264560"/>
    <xdr:sp macro="" textlink="">
      <xdr:nvSpPr>
        <xdr:cNvPr id="17" name="TextBox 43"/>
        <xdr:cNvSpPr txBox="1"/>
      </xdr:nvSpPr>
      <xdr:spPr>
        <a:xfrm>
          <a:off x="1400175" y="5172075"/>
          <a:ext cx="403187" cy="264560"/>
        </a:xfrm>
        <a:prstGeom prst="rect">
          <a:avLst/>
        </a:prstGeom>
        <a:noFill/>
        <a:ln w="25400">
          <a:solidFill>
            <a:schemeClr val="accent3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CA" sz="1100"/>
            <a:t>d S</a:t>
          </a:r>
          <a:r>
            <a:rPr lang="en-CA" sz="1100" baseline="-25000"/>
            <a:t>0</a:t>
          </a:r>
        </a:p>
      </xdr:txBody>
    </xdr:sp>
    <xdr:clientData/>
  </xdr:oneCellAnchor>
  <xdr:twoCellAnchor>
    <xdr:from>
      <xdr:col>2</xdr:col>
      <xdr:colOff>371475</xdr:colOff>
      <xdr:row>26</xdr:row>
      <xdr:rowOff>9525</xdr:rowOff>
    </xdr:from>
    <xdr:to>
      <xdr:col>2</xdr:col>
      <xdr:colOff>382569</xdr:colOff>
      <xdr:row>27</xdr:row>
      <xdr:rowOff>28575</xdr:rowOff>
    </xdr:to>
    <xdr:cxnSp macro="">
      <xdr:nvCxnSpPr>
        <xdr:cNvPr id="18" name="Straight Arrow Connector 45"/>
        <xdr:cNvCxnSpPr>
          <a:stCxn id="17" idx="0"/>
          <a:endCxn id="16" idx="2"/>
        </xdr:cNvCxnSpPr>
      </xdr:nvCxnSpPr>
      <xdr:spPr>
        <a:xfrm flipH="1" flipV="1">
          <a:off x="1590675" y="4962525"/>
          <a:ext cx="11094" cy="209550"/>
        </a:xfrm>
        <a:prstGeom prst="straightConnector1">
          <a:avLst/>
        </a:prstGeom>
        <a:ln w="25400">
          <a:solidFill>
            <a:schemeClr val="accent3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244497</xdr:colOff>
      <xdr:row>27</xdr:row>
      <xdr:rowOff>9525</xdr:rowOff>
    </xdr:from>
    <xdr:to>
      <xdr:col>3</xdr:col>
      <xdr:colOff>276225</xdr:colOff>
      <xdr:row>28</xdr:row>
      <xdr:rowOff>38100</xdr:rowOff>
    </xdr:to>
    <xdr:cxnSp macro="">
      <xdr:nvCxnSpPr>
        <xdr:cNvPr id="19" name="Straight Arrow Connector 50"/>
        <xdr:cNvCxnSpPr>
          <a:stCxn id="21" idx="0"/>
          <a:endCxn id="20" idx="2"/>
        </xdr:cNvCxnSpPr>
      </xdr:nvCxnSpPr>
      <xdr:spPr>
        <a:xfrm flipV="1">
          <a:off x="2073297" y="5153025"/>
          <a:ext cx="31728" cy="219075"/>
        </a:xfrm>
        <a:prstGeom prst="straightConnector1">
          <a:avLst/>
        </a:prstGeom>
        <a:ln w="25400">
          <a:solidFill>
            <a:schemeClr val="accent3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9525</xdr:colOff>
      <xdr:row>26</xdr:row>
      <xdr:rowOff>9525</xdr:rowOff>
    </xdr:from>
    <xdr:to>
      <xdr:col>4</xdr:col>
      <xdr:colOff>114300</xdr:colOff>
      <xdr:row>27</xdr:row>
      <xdr:rowOff>9525</xdr:rowOff>
    </xdr:to>
    <xdr:sp macro="" textlink="">
      <xdr:nvSpPr>
        <xdr:cNvPr id="20" name="Rectangle 19"/>
        <xdr:cNvSpPr/>
      </xdr:nvSpPr>
      <xdr:spPr>
        <a:xfrm>
          <a:off x="1838325" y="4962525"/>
          <a:ext cx="714375" cy="190500"/>
        </a:xfrm>
        <a:prstGeom prst="rect">
          <a:avLst/>
        </a:prstGeom>
        <a:noFill/>
        <a:ln>
          <a:solidFill>
            <a:schemeClr val="accent3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oneCellAnchor>
    <xdr:from>
      <xdr:col>3</xdr:col>
      <xdr:colOff>19050</xdr:colOff>
      <xdr:row>28</xdr:row>
      <xdr:rowOff>38100</xdr:rowOff>
    </xdr:from>
    <xdr:ext cx="450893" cy="264560"/>
    <xdr:sp macro="" textlink="">
      <xdr:nvSpPr>
        <xdr:cNvPr id="21" name="TextBox 55"/>
        <xdr:cNvSpPr txBox="1"/>
      </xdr:nvSpPr>
      <xdr:spPr>
        <a:xfrm>
          <a:off x="1847850" y="5372100"/>
          <a:ext cx="450893" cy="264560"/>
        </a:xfrm>
        <a:prstGeom prst="rect">
          <a:avLst/>
        </a:prstGeom>
        <a:noFill/>
        <a:ln w="25400">
          <a:solidFill>
            <a:schemeClr val="accent3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CA" sz="1100"/>
            <a:t>d</a:t>
          </a:r>
          <a:r>
            <a:rPr lang="en-CA" sz="1100" baseline="30000"/>
            <a:t>2</a:t>
          </a:r>
          <a:r>
            <a:rPr lang="en-CA" sz="1100"/>
            <a:t> S</a:t>
          </a:r>
          <a:r>
            <a:rPr lang="en-CA" sz="1100" baseline="-25000"/>
            <a:t>0</a:t>
          </a:r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im/Downloads/SystemXAktiv/Finans/NewModels/ExcelPC/Chapter1and2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pter1and2"/>
    </sheetNames>
    <definedNames>
      <definedName name="PartialBarrier"/>
    </defined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"/>
  <sheetViews>
    <sheetView workbookViewId="0"/>
  </sheetViews>
  <sheetFormatPr baseColWidth="10" defaultRowHeight="1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L1809"/>
  <sheetViews>
    <sheetView workbookViewId="0">
      <selection activeCell="M6" sqref="K2:M6"/>
    </sheetView>
  </sheetViews>
  <sheetFormatPr baseColWidth="10" defaultRowHeight="15"/>
  <cols>
    <col min="1" max="1" width="10.7109375" bestFit="1" customWidth="1"/>
    <col min="2" max="2" width="12.28515625" customWidth="1"/>
    <col min="3" max="3" width="10.42578125" bestFit="1" customWidth="1"/>
  </cols>
  <sheetData>
    <row r="1" spans="1:12">
      <c r="A1" s="104"/>
    </row>
    <row r="2" spans="1:12">
      <c r="A2" s="108" t="s">
        <v>93</v>
      </c>
      <c r="B2" s="107"/>
      <c r="D2" s="107" t="s">
        <v>94</v>
      </c>
      <c r="G2" s="107" t="s">
        <v>95</v>
      </c>
      <c r="K2" t="s">
        <v>136</v>
      </c>
    </row>
    <row r="3" spans="1:12">
      <c r="A3" s="108" t="s">
        <v>19</v>
      </c>
      <c r="B3" s="107" t="s">
        <v>96</v>
      </c>
      <c r="D3" s="107" t="s">
        <v>19</v>
      </c>
      <c r="E3" s="107" t="s">
        <v>96</v>
      </c>
      <c r="G3" s="107" t="s">
        <v>19</v>
      </c>
      <c r="H3" s="107" t="s">
        <v>96</v>
      </c>
      <c r="K3" s="105">
        <v>41334</v>
      </c>
      <c r="L3" s="156">
        <f>cubspline(K3,$A$4:$A$1809,$B$4:$B$1809)</f>
        <v>2.0664943978190422</v>
      </c>
    </row>
    <row r="4" spans="1:12">
      <c r="A4" s="105">
        <v>40277</v>
      </c>
      <c r="B4">
        <v>1.8940999999999999</v>
      </c>
      <c r="D4" s="105">
        <v>40277</v>
      </c>
      <c r="E4">
        <v>1.4031</v>
      </c>
      <c r="G4" s="105">
        <v>40277</v>
      </c>
      <c r="H4">
        <v>1.35</v>
      </c>
    </row>
    <row r="5" spans="1:12">
      <c r="A5" s="105">
        <v>40278</v>
      </c>
      <c r="B5">
        <v>1.8940999999999999</v>
      </c>
      <c r="D5" s="105">
        <v>40280</v>
      </c>
      <c r="E5">
        <v>1.3997999999999999</v>
      </c>
      <c r="G5" s="105">
        <v>40280</v>
      </c>
      <c r="H5">
        <v>1.3592</v>
      </c>
    </row>
    <row r="6" spans="1:12">
      <c r="A6" s="105">
        <v>40279</v>
      </c>
      <c r="B6">
        <v>1.8940999999999999</v>
      </c>
      <c r="D6" s="105">
        <v>40281</v>
      </c>
      <c r="E6">
        <v>1.3966000000000001</v>
      </c>
      <c r="G6" s="105">
        <v>40281</v>
      </c>
      <c r="H6">
        <v>1.3613999999999999</v>
      </c>
    </row>
    <row r="7" spans="1:12">
      <c r="A7" s="105">
        <v>40280</v>
      </c>
      <c r="B7">
        <v>1.9026000000000001</v>
      </c>
      <c r="D7" s="105">
        <v>40282</v>
      </c>
      <c r="E7">
        <v>1.3939999999999999</v>
      </c>
      <c r="G7" s="105">
        <v>40282</v>
      </c>
      <c r="H7">
        <v>1.3653</v>
      </c>
    </row>
    <row r="8" spans="1:12">
      <c r="A8" s="105">
        <v>40281</v>
      </c>
      <c r="B8">
        <v>1.9012</v>
      </c>
      <c r="D8" s="105">
        <v>40283</v>
      </c>
      <c r="E8">
        <v>1.3991</v>
      </c>
      <c r="G8" s="105">
        <v>40283</v>
      </c>
      <c r="H8">
        <v>1.3573</v>
      </c>
    </row>
    <row r="9" spans="1:12">
      <c r="A9" s="105">
        <v>40282</v>
      </c>
      <c r="B9">
        <v>1.9033</v>
      </c>
      <c r="D9" s="105">
        <v>40284</v>
      </c>
      <c r="E9">
        <v>1.4034</v>
      </c>
      <c r="G9" s="105">
        <v>40284</v>
      </c>
      <c r="H9">
        <v>1.3503000000000001</v>
      </c>
    </row>
    <row r="10" spans="1:12">
      <c r="A10" s="105">
        <v>40283</v>
      </c>
      <c r="B10">
        <v>1.899</v>
      </c>
      <c r="D10" s="105">
        <v>40287</v>
      </c>
      <c r="E10">
        <v>1.4034</v>
      </c>
      <c r="G10" s="105">
        <v>40287</v>
      </c>
      <c r="H10">
        <v>1.3489</v>
      </c>
    </row>
    <row r="11" spans="1:12">
      <c r="A11" s="105">
        <v>40284</v>
      </c>
      <c r="B11">
        <v>1.895</v>
      </c>
      <c r="D11" s="105">
        <v>40288</v>
      </c>
      <c r="E11">
        <v>1.4116</v>
      </c>
      <c r="G11" s="105">
        <v>40288</v>
      </c>
      <c r="H11">
        <v>1.3434999999999999</v>
      </c>
    </row>
    <row r="12" spans="1:12">
      <c r="A12" s="105">
        <v>40285</v>
      </c>
      <c r="B12">
        <v>1.8949</v>
      </c>
      <c r="D12" s="105">
        <v>40289</v>
      </c>
      <c r="E12">
        <v>1.4137999999999999</v>
      </c>
      <c r="G12" s="105">
        <v>40289</v>
      </c>
      <c r="H12">
        <v>1.339</v>
      </c>
    </row>
    <row r="13" spans="1:12">
      <c r="A13" s="105">
        <v>40286</v>
      </c>
      <c r="B13">
        <v>1.8925000000000001</v>
      </c>
      <c r="D13" s="105">
        <v>40290</v>
      </c>
      <c r="E13">
        <v>1.4198999999999999</v>
      </c>
      <c r="G13" s="105">
        <v>40290</v>
      </c>
      <c r="H13">
        <v>1.3294999999999999</v>
      </c>
    </row>
    <row r="14" spans="1:12">
      <c r="A14" s="105">
        <v>40287</v>
      </c>
      <c r="B14">
        <v>1.8931</v>
      </c>
      <c r="D14" s="105">
        <v>40291</v>
      </c>
      <c r="E14">
        <v>1.4157</v>
      </c>
      <c r="G14" s="105">
        <v>40291</v>
      </c>
      <c r="H14">
        <v>1.3384</v>
      </c>
    </row>
    <row r="15" spans="1:12">
      <c r="A15" s="105">
        <v>40288</v>
      </c>
      <c r="B15">
        <v>1.8964000000000001</v>
      </c>
      <c r="D15" s="105">
        <v>40294</v>
      </c>
      <c r="E15">
        <v>1.4159999999999999</v>
      </c>
      <c r="G15" s="105">
        <v>40294</v>
      </c>
      <c r="H15">
        <v>1.3383</v>
      </c>
    </row>
    <row r="16" spans="1:12">
      <c r="A16" s="105">
        <v>40289</v>
      </c>
      <c r="B16">
        <v>1.8931</v>
      </c>
      <c r="D16" s="105">
        <v>40295</v>
      </c>
      <c r="E16">
        <v>1.4332</v>
      </c>
      <c r="G16" s="105">
        <v>40295</v>
      </c>
      <c r="H16">
        <v>1.3174999999999999</v>
      </c>
    </row>
    <row r="17" spans="1:8">
      <c r="A17" s="105">
        <v>40290</v>
      </c>
      <c r="B17">
        <v>1.8875999999999999</v>
      </c>
      <c r="D17" s="105">
        <v>40296</v>
      </c>
      <c r="E17">
        <v>1.4330000000000001</v>
      </c>
      <c r="G17" s="105">
        <v>40296</v>
      </c>
      <c r="H17">
        <v>1.3221000000000001</v>
      </c>
    </row>
    <row r="18" spans="1:8">
      <c r="A18" s="105">
        <v>40291</v>
      </c>
      <c r="B18">
        <v>1.8948</v>
      </c>
      <c r="D18" s="105">
        <v>40297</v>
      </c>
      <c r="E18">
        <v>1.4337</v>
      </c>
      <c r="G18" s="105">
        <v>40297</v>
      </c>
      <c r="H18">
        <v>1.3232999999999999</v>
      </c>
    </row>
    <row r="19" spans="1:8">
      <c r="A19" s="105">
        <v>40292</v>
      </c>
      <c r="B19">
        <v>1.8940999999999999</v>
      </c>
      <c r="D19" s="105">
        <v>40298</v>
      </c>
      <c r="E19">
        <v>1.4266000000000001</v>
      </c>
      <c r="G19" s="105">
        <v>40298</v>
      </c>
      <c r="H19">
        <v>1.3293999999999999</v>
      </c>
    </row>
    <row r="20" spans="1:8">
      <c r="A20" s="105">
        <v>40293</v>
      </c>
      <c r="B20">
        <v>1.8952</v>
      </c>
      <c r="D20" s="105">
        <v>40301</v>
      </c>
      <c r="E20">
        <v>1.4371</v>
      </c>
      <c r="G20" s="105">
        <v>40301</v>
      </c>
      <c r="H20">
        <v>1.3194999999999999</v>
      </c>
    </row>
    <row r="21" spans="1:8">
      <c r="A21" s="105">
        <v>40294</v>
      </c>
      <c r="B21">
        <v>1.895</v>
      </c>
      <c r="D21" s="105">
        <v>40302</v>
      </c>
      <c r="E21">
        <v>1.452</v>
      </c>
      <c r="G21" s="105">
        <v>40302</v>
      </c>
      <c r="H21">
        <v>1.2987</v>
      </c>
    </row>
    <row r="22" spans="1:8">
      <c r="A22" s="105">
        <v>40295</v>
      </c>
      <c r="B22">
        <v>1.8884000000000001</v>
      </c>
      <c r="D22" s="105">
        <v>40303</v>
      </c>
      <c r="E22">
        <v>1.4629000000000001</v>
      </c>
      <c r="G22" s="105">
        <v>40303</v>
      </c>
      <c r="H22">
        <v>1.2814000000000001</v>
      </c>
    </row>
    <row r="23" spans="1:8">
      <c r="A23" s="105">
        <v>40296</v>
      </c>
      <c r="B23">
        <v>1.8948</v>
      </c>
      <c r="D23" s="105">
        <v>40304</v>
      </c>
      <c r="E23">
        <v>1.4853000000000001</v>
      </c>
      <c r="G23" s="105">
        <v>40304</v>
      </c>
      <c r="H23">
        <v>1.262</v>
      </c>
    </row>
    <row r="24" spans="1:8">
      <c r="A24" s="105">
        <v>40297</v>
      </c>
      <c r="B24">
        <v>1.8972</v>
      </c>
      <c r="D24" s="105">
        <v>40305</v>
      </c>
      <c r="E24">
        <v>1.4726999999999999</v>
      </c>
      <c r="G24" s="105">
        <v>40305</v>
      </c>
      <c r="H24">
        <v>1.2755000000000001</v>
      </c>
    </row>
    <row r="25" spans="1:8">
      <c r="A25" s="105">
        <v>40298</v>
      </c>
      <c r="B25">
        <v>1.8967000000000001</v>
      </c>
      <c r="D25" s="105">
        <v>40308</v>
      </c>
      <c r="E25">
        <v>1.4733000000000001</v>
      </c>
      <c r="G25" s="105">
        <v>40308</v>
      </c>
      <c r="H25">
        <v>1.2786999999999999</v>
      </c>
    </row>
    <row r="26" spans="1:8">
      <c r="A26" s="105">
        <v>40299</v>
      </c>
      <c r="B26">
        <v>1.9003000000000001</v>
      </c>
      <c r="D26" s="105">
        <v>40309</v>
      </c>
      <c r="E26">
        <v>1.4766999999999999</v>
      </c>
      <c r="G26" s="105">
        <v>40309</v>
      </c>
      <c r="H26">
        <v>1.2662</v>
      </c>
    </row>
    <row r="27" spans="1:8">
      <c r="A27" s="105">
        <v>40300</v>
      </c>
      <c r="B27">
        <v>1.8985000000000001</v>
      </c>
      <c r="D27" s="105">
        <v>40310</v>
      </c>
      <c r="E27">
        <v>1.4813000000000001</v>
      </c>
      <c r="G27" s="105">
        <v>40310</v>
      </c>
      <c r="H27">
        <v>1.2614000000000001</v>
      </c>
    </row>
    <row r="28" spans="1:8">
      <c r="A28" s="105">
        <v>40301</v>
      </c>
      <c r="B28">
        <v>1.8963000000000001</v>
      </c>
      <c r="D28" s="105">
        <v>40311</v>
      </c>
      <c r="E28">
        <v>1.4879</v>
      </c>
      <c r="G28" s="105">
        <v>40311</v>
      </c>
      <c r="H28">
        <v>1.2535000000000001</v>
      </c>
    </row>
    <row r="29" spans="1:8">
      <c r="A29" s="105">
        <v>40302</v>
      </c>
      <c r="B29">
        <v>1.8858999999999999</v>
      </c>
      <c r="D29" s="105">
        <v>40312</v>
      </c>
      <c r="E29">
        <v>1.5037</v>
      </c>
      <c r="G29" s="105">
        <v>40312</v>
      </c>
      <c r="H29">
        <v>1.2358</v>
      </c>
    </row>
    <row r="30" spans="1:8">
      <c r="A30" s="105">
        <v>40303</v>
      </c>
      <c r="B30">
        <v>1.8746</v>
      </c>
      <c r="D30" s="105">
        <v>40315</v>
      </c>
      <c r="E30">
        <v>1.5026999999999999</v>
      </c>
      <c r="G30" s="105">
        <v>40315</v>
      </c>
      <c r="H30">
        <v>1.2395</v>
      </c>
    </row>
    <row r="31" spans="1:8">
      <c r="A31" s="105">
        <v>40304</v>
      </c>
      <c r="B31">
        <v>1.8746</v>
      </c>
      <c r="D31" s="105">
        <v>40316</v>
      </c>
      <c r="E31">
        <v>1.5201</v>
      </c>
      <c r="G31" s="105">
        <v>40316</v>
      </c>
      <c r="H31">
        <v>1.2202</v>
      </c>
    </row>
    <row r="32" spans="1:8">
      <c r="A32" s="105">
        <v>40305</v>
      </c>
      <c r="B32">
        <v>1.8784000000000001</v>
      </c>
      <c r="D32" s="105">
        <v>40317</v>
      </c>
      <c r="E32">
        <v>1.5005999999999999</v>
      </c>
      <c r="G32" s="105">
        <v>40317</v>
      </c>
      <c r="H32">
        <v>1.2415</v>
      </c>
    </row>
    <row r="33" spans="1:8">
      <c r="A33" s="105">
        <v>40306</v>
      </c>
      <c r="B33">
        <v>1.8782000000000001</v>
      </c>
      <c r="D33" s="105">
        <v>40318</v>
      </c>
      <c r="E33">
        <v>1.4945999999999999</v>
      </c>
      <c r="G33" s="105">
        <v>40318</v>
      </c>
      <c r="H33">
        <v>1.2486999999999999</v>
      </c>
    </row>
    <row r="34" spans="1:8">
      <c r="A34" s="105">
        <v>40307</v>
      </c>
      <c r="B34">
        <v>1.8824000000000001</v>
      </c>
      <c r="D34" s="105">
        <v>40319</v>
      </c>
      <c r="E34">
        <v>1.4869000000000001</v>
      </c>
      <c r="G34" s="105">
        <v>40319</v>
      </c>
      <c r="H34">
        <v>1.2569999999999999</v>
      </c>
    </row>
    <row r="35" spans="1:8">
      <c r="A35" s="105">
        <v>40308</v>
      </c>
      <c r="B35">
        <v>1.8836999999999999</v>
      </c>
      <c r="D35" s="105">
        <v>40322</v>
      </c>
      <c r="E35">
        <v>1.5026999999999999</v>
      </c>
      <c r="G35" s="105">
        <v>40322</v>
      </c>
      <c r="H35">
        <v>1.2372000000000001</v>
      </c>
    </row>
    <row r="36" spans="1:8">
      <c r="A36" s="105">
        <v>40309</v>
      </c>
      <c r="B36">
        <v>1.8701000000000001</v>
      </c>
      <c r="D36" s="105">
        <v>40323</v>
      </c>
      <c r="E36">
        <v>1.5005999999999999</v>
      </c>
      <c r="G36" s="105">
        <v>40323</v>
      </c>
      <c r="H36">
        <v>1.2344999999999999</v>
      </c>
    </row>
    <row r="37" spans="1:8">
      <c r="A37" s="105">
        <v>40310</v>
      </c>
      <c r="B37">
        <v>1.8684000000000001</v>
      </c>
      <c r="D37" s="105">
        <v>40324</v>
      </c>
      <c r="E37">
        <v>1.5199</v>
      </c>
      <c r="G37" s="105">
        <v>40324</v>
      </c>
      <c r="H37">
        <v>1.2178</v>
      </c>
    </row>
    <row r="38" spans="1:8">
      <c r="A38" s="105">
        <v>40311</v>
      </c>
      <c r="B38">
        <v>1.8646</v>
      </c>
      <c r="D38" s="105">
        <v>40325</v>
      </c>
      <c r="E38">
        <v>1.5007999999999999</v>
      </c>
      <c r="G38" s="105">
        <v>40325</v>
      </c>
      <c r="H38">
        <v>1.2362</v>
      </c>
    </row>
    <row r="39" spans="1:8">
      <c r="A39" s="105">
        <v>40312</v>
      </c>
      <c r="B39">
        <v>1.8593</v>
      </c>
      <c r="D39" s="105">
        <v>40326</v>
      </c>
      <c r="E39">
        <v>1.5113000000000001</v>
      </c>
      <c r="G39" s="105">
        <v>40326</v>
      </c>
      <c r="H39">
        <v>1.2273000000000001</v>
      </c>
    </row>
    <row r="40" spans="1:8">
      <c r="A40" s="105">
        <v>40313</v>
      </c>
      <c r="B40">
        <v>1.8584000000000001</v>
      </c>
      <c r="D40" s="105">
        <v>40329</v>
      </c>
      <c r="E40">
        <v>1.5073000000000001</v>
      </c>
      <c r="G40" s="105">
        <v>40329</v>
      </c>
      <c r="H40">
        <v>1.2305999999999999</v>
      </c>
    </row>
    <row r="41" spans="1:8">
      <c r="A41" s="105">
        <v>40314</v>
      </c>
      <c r="B41">
        <v>1.8573999999999999</v>
      </c>
      <c r="D41" s="105">
        <v>40330</v>
      </c>
      <c r="E41">
        <v>1.5098</v>
      </c>
      <c r="G41" s="105">
        <v>40330</v>
      </c>
      <c r="H41">
        <v>1.2229000000000001</v>
      </c>
    </row>
    <row r="42" spans="1:8">
      <c r="A42" s="105">
        <v>40315</v>
      </c>
      <c r="B42">
        <v>1.8624000000000001</v>
      </c>
      <c r="D42" s="105">
        <v>40331</v>
      </c>
      <c r="E42">
        <v>1.5094000000000001</v>
      </c>
      <c r="G42" s="105">
        <v>40331</v>
      </c>
      <c r="H42">
        <v>1.2249000000000001</v>
      </c>
    </row>
    <row r="43" spans="1:8">
      <c r="A43" s="105">
        <v>40316</v>
      </c>
      <c r="B43">
        <v>1.8549</v>
      </c>
      <c r="D43" s="105">
        <v>40332</v>
      </c>
      <c r="E43">
        <v>1.5196000000000001</v>
      </c>
      <c r="G43" s="105">
        <v>40332</v>
      </c>
      <c r="H43">
        <v>1.2162999999999999</v>
      </c>
    </row>
    <row r="44" spans="1:8">
      <c r="A44" s="105">
        <v>40317</v>
      </c>
      <c r="B44">
        <v>1.863</v>
      </c>
      <c r="D44" s="105">
        <v>40333</v>
      </c>
      <c r="E44">
        <v>1.5342</v>
      </c>
      <c r="G44" s="105">
        <v>40333</v>
      </c>
      <c r="H44">
        <v>1.1967000000000001</v>
      </c>
    </row>
    <row r="45" spans="1:8">
      <c r="A45" s="105">
        <v>40318</v>
      </c>
      <c r="B45">
        <v>1.8662000000000001</v>
      </c>
      <c r="D45" s="105">
        <v>40336</v>
      </c>
      <c r="E45">
        <v>1.5354000000000001</v>
      </c>
      <c r="G45" s="105">
        <v>40336</v>
      </c>
      <c r="H45">
        <v>1.1922999999999999</v>
      </c>
    </row>
    <row r="46" spans="1:8">
      <c r="A46" s="105">
        <v>40319</v>
      </c>
      <c r="B46">
        <v>1.8693</v>
      </c>
      <c r="D46" s="105">
        <v>40337</v>
      </c>
      <c r="E46">
        <v>1.5305</v>
      </c>
      <c r="G46" s="105">
        <v>40337</v>
      </c>
      <c r="H46">
        <v>1.1973</v>
      </c>
    </row>
    <row r="47" spans="1:8">
      <c r="A47" s="105">
        <v>40320</v>
      </c>
      <c r="B47">
        <v>1.8691</v>
      </c>
      <c r="D47" s="105">
        <v>40338</v>
      </c>
      <c r="E47">
        <v>1.5297000000000001</v>
      </c>
      <c r="G47" s="105">
        <v>40338</v>
      </c>
      <c r="H47">
        <v>1.1979</v>
      </c>
    </row>
    <row r="48" spans="1:8">
      <c r="A48" s="105">
        <v>40321</v>
      </c>
      <c r="B48">
        <v>1.869</v>
      </c>
      <c r="D48" s="105">
        <v>40339</v>
      </c>
      <c r="E48">
        <v>1.5195000000000001</v>
      </c>
      <c r="G48" s="105">
        <v>40339</v>
      </c>
      <c r="H48">
        <v>1.2123999999999999</v>
      </c>
    </row>
    <row r="49" spans="1:8">
      <c r="A49" s="105">
        <v>40322</v>
      </c>
      <c r="B49">
        <v>1.8591</v>
      </c>
      <c r="D49" s="105">
        <v>40340</v>
      </c>
      <c r="E49">
        <v>1.5215000000000001</v>
      </c>
      <c r="G49" s="105">
        <v>40340</v>
      </c>
      <c r="H49">
        <v>1.2112000000000001</v>
      </c>
    </row>
    <row r="50" spans="1:8">
      <c r="A50" s="105">
        <v>40323</v>
      </c>
      <c r="B50">
        <v>1.8526</v>
      </c>
      <c r="D50" s="105">
        <v>40343</v>
      </c>
      <c r="E50">
        <v>1.516</v>
      </c>
      <c r="G50" s="105">
        <v>40343</v>
      </c>
      <c r="H50">
        <v>1.2221</v>
      </c>
    </row>
    <row r="51" spans="1:8">
      <c r="A51" s="105">
        <v>40324</v>
      </c>
      <c r="B51">
        <v>1.8502000000000001</v>
      </c>
      <c r="D51" s="105">
        <v>40344</v>
      </c>
      <c r="E51">
        <v>1.5063</v>
      </c>
      <c r="G51" s="105">
        <v>40344</v>
      </c>
      <c r="H51">
        <v>1.2332000000000001</v>
      </c>
    </row>
    <row r="52" spans="1:8">
      <c r="A52" s="105">
        <v>40325</v>
      </c>
      <c r="B52">
        <v>1.8551</v>
      </c>
      <c r="D52" s="105">
        <v>40345</v>
      </c>
      <c r="E52">
        <v>1.5082</v>
      </c>
      <c r="G52" s="105">
        <v>40345</v>
      </c>
      <c r="H52">
        <v>1.2311000000000001</v>
      </c>
    </row>
    <row r="53" spans="1:8">
      <c r="A53" s="105">
        <v>40326</v>
      </c>
      <c r="B53">
        <v>1.8549</v>
      </c>
      <c r="D53" s="105">
        <v>40346</v>
      </c>
      <c r="E53">
        <v>1.5028999999999999</v>
      </c>
      <c r="G53" s="105">
        <v>40346</v>
      </c>
      <c r="H53">
        <v>1.2388999999999999</v>
      </c>
    </row>
    <row r="54" spans="1:8">
      <c r="A54" s="105">
        <v>40327</v>
      </c>
      <c r="B54">
        <v>1.8549</v>
      </c>
      <c r="D54" s="105">
        <v>40347</v>
      </c>
      <c r="E54">
        <v>1.5027999999999999</v>
      </c>
      <c r="G54" s="105">
        <v>40347</v>
      </c>
      <c r="H54">
        <v>1.2387999999999999</v>
      </c>
    </row>
    <row r="55" spans="1:8">
      <c r="A55" s="105">
        <v>40328</v>
      </c>
      <c r="B55">
        <v>1.8552</v>
      </c>
      <c r="D55" s="105">
        <v>40350</v>
      </c>
      <c r="E55">
        <v>1.5108999999999999</v>
      </c>
      <c r="G55" s="105">
        <v>40350</v>
      </c>
      <c r="H55">
        <v>1.2312000000000001</v>
      </c>
    </row>
    <row r="56" spans="1:8">
      <c r="A56" s="105">
        <v>40329</v>
      </c>
      <c r="B56">
        <v>1.855</v>
      </c>
      <c r="D56" s="105">
        <v>40351</v>
      </c>
      <c r="E56">
        <v>1.5141</v>
      </c>
      <c r="G56" s="105">
        <v>40351</v>
      </c>
      <c r="H56">
        <v>1.2271000000000001</v>
      </c>
    </row>
    <row r="57" spans="1:8">
      <c r="A57" s="105">
        <v>40330</v>
      </c>
      <c r="B57">
        <v>1.8465</v>
      </c>
      <c r="D57" s="105">
        <v>40352</v>
      </c>
      <c r="E57">
        <v>1.5112000000000001</v>
      </c>
      <c r="G57" s="105">
        <v>40352</v>
      </c>
      <c r="H57">
        <v>1.2311000000000001</v>
      </c>
    </row>
    <row r="58" spans="1:8">
      <c r="A58" s="105">
        <v>40331</v>
      </c>
      <c r="B58">
        <v>1.8486</v>
      </c>
      <c r="D58" s="105">
        <v>40353</v>
      </c>
      <c r="E58">
        <v>1.5099</v>
      </c>
      <c r="G58" s="105">
        <v>40353</v>
      </c>
      <c r="H58">
        <v>1.2333000000000001</v>
      </c>
    </row>
    <row r="59" spans="1:8">
      <c r="A59" s="105">
        <v>40332</v>
      </c>
      <c r="B59">
        <v>1.8480000000000001</v>
      </c>
      <c r="D59" s="105">
        <v>40354</v>
      </c>
      <c r="E59">
        <v>1.5044</v>
      </c>
      <c r="G59" s="105">
        <v>40354</v>
      </c>
      <c r="H59">
        <v>1.2369000000000001</v>
      </c>
    </row>
    <row r="60" spans="1:8">
      <c r="A60" s="105">
        <v>40333</v>
      </c>
      <c r="B60">
        <v>1.8362000000000001</v>
      </c>
      <c r="D60" s="105">
        <v>40357</v>
      </c>
      <c r="E60">
        <v>1.5172000000000001</v>
      </c>
      <c r="G60" s="105">
        <v>40357</v>
      </c>
      <c r="H60">
        <v>1.2277</v>
      </c>
    </row>
    <row r="61" spans="1:8">
      <c r="A61" s="105">
        <v>40334</v>
      </c>
      <c r="B61">
        <v>1.8334999999999999</v>
      </c>
      <c r="D61" s="105">
        <v>40358</v>
      </c>
      <c r="E61">
        <v>1.5243</v>
      </c>
      <c r="G61" s="105">
        <v>40358</v>
      </c>
      <c r="H61">
        <v>1.2188000000000001</v>
      </c>
    </row>
    <row r="62" spans="1:8">
      <c r="A62" s="105">
        <v>40335</v>
      </c>
      <c r="B62">
        <v>1.8347</v>
      </c>
      <c r="D62" s="105">
        <v>40359</v>
      </c>
      <c r="E62">
        <v>1.5203</v>
      </c>
      <c r="G62" s="105">
        <v>40359</v>
      </c>
      <c r="H62">
        <v>1.2238</v>
      </c>
    </row>
    <row r="63" spans="1:8">
      <c r="A63" s="105">
        <v>40336</v>
      </c>
      <c r="B63">
        <v>1.8308</v>
      </c>
      <c r="D63" s="105">
        <v>40360</v>
      </c>
      <c r="E63">
        <v>1.4924999999999999</v>
      </c>
      <c r="G63" s="105">
        <v>40360</v>
      </c>
      <c r="H63">
        <v>1.2526999999999999</v>
      </c>
    </row>
    <row r="64" spans="1:8">
      <c r="A64" s="105">
        <v>40337</v>
      </c>
      <c r="B64">
        <v>1.8324</v>
      </c>
      <c r="D64" s="105">
        <v>40361</v>
      </c>
      <c r="E64">
        <v>1.4931000000000001</v>
      </c>
      <c r="G64" s="105">
        <v>40361</v>
      </c>
      <c r="H64">
        <v>1.2565999999999999</v>
      </c>
    </row>
    <row r="65" spans="1:8">
      <c r="A65" s="105">
        <v>40338</v>
      </c>
      <c r="B65">
        <v>1.8322000000000001</v>
      </c>
      <c r="D65" s="105">
        <v>40364</v>
      </c>
      <c r="E65">
        <v>1.4902</v>
      </c>
      <c r="G65" s="105">
        <v>40364</v>
      </c>
      <c r="H65">
        <v>1.2538</v>
      </c>
    </row>
    <row r="66" spans="1:8">
      <c r="A66" s="105">
        <v>40339</v>
      </c>
      <c r="B66">
        <v>1.8423</v>
      </c>
      <c r="D66" s="105">
        <v>40365</v>
      </c>
      <c r="E66">
        <v>1.4818</v>
      </c>
      <c r="G66" s="105">
        <v>40365</v>
      </c>
      <c r="H66">
        <v>1.2625999999999999</v>
      </c>
    </row>
    <row r="67" spans="1:8">
      <c r="A67" s="105">
        <v>40340</v>
      </c>
      <c r="B67">
        <v>1.8429</v>
      </c>
      <c r="D67" s="105">
        <v>40366</v>
      </c>
      <c r="E67">
        <v>1.4827999999999999</v>
      </c>
      <c r="G67" s="105">
        <v>40366</v>
      </c>
      <c r="H67">
        <v>1.2638</v>
      </c>
    </row>
    <row r="68" spans="1:8">
      <c r="A68" s="105">
        <v>40341</v>
      </c>
      <c r="B68">
        <v>1.8429</v>
      </c>
      <c r="D68" s="105">
        <v>40367</v>
      </c>
      <c r="E68">
        <v>1.4812000000000001</v>
      </c>
      <c r="G68" s="105">
        <v>40367</v>
      </c>
      <c r="H68">
        <v>1.2698</v>
      </c>
    </row>
    <row r="69" spans="1:8">
      <c r="A69" s="105">
        <v>40342</v>
      </c>
      <c r="B69">
        <v>1.847</v>
      </c>
      <c r="D69" s="105">
        <v>40368</v>
      </c>
      <c r="E69">
        <v>1.4867999999999999</v>
      </c>
      <c r="G69" s="105">
        <v>40368</v>
      </c>
      <c r="H69">
        <v>1.2641</v>
      </c>
    </row>
    <row r="70" spans="1:8">
      <c r="A70" s="105">
        <v>40343</v>
      </c>
      <c r="B70">
        <v>1.8525</v>
      </c>
      <c r="D70" s="105">
        <v>40371</v>
      </c>
      <c r="E70">
        <v>1.4915</v>
      </c>
      <c r="G70" s="105">
        <v>40371</v>
      </c>
      <c r="H70">
        <v>1.2596000000000001</v>
      </c>
    </row>
    <row r="71" spans="1:8">
      <c r="A71" s="105">
        <v>40344</v>
      </c>
      <c r="B71">
        <v>1.8575999999999999</v>
      </c>
      <c r="D71" s="105">
        <v>40372</v>
      </c>
      <c r="E71">
        <v>1.4791000000000001</v>
      </c>
      <c r="G71" s="105">
        <v>40372</v>
      </c>
      <c r="H71">
        <v>1.2724</v>
      </c>
    </row>
    <row r="72" spans="1:8">
      <c r="A72" s="105">
        <v>40345</v>
      </c>
      <c r="B72">
        <v>1.8569</v>
      </c>
      <c r="D72" s="105">
        <v>40373</v>
      </c>
      <c r="E72">
        <v>1.4795</v>
      </c>
      <c r="G72" s="105">
        <v>40373</v>
      </c>
      <c r="H72">
        <v>1.2743</v>
      </c>
    </row>
    <row r="73" spans="1:8">
      <c r="A73" s="105">
        <v>40346</v>
      </c>
      <c r="B73">
        <v>1.8616999999999999</v>
      </c>
      <c r="D73" s="105">
        <v>40374</v>
      </c>
      <c r="E73">
        <v>1.4599</v>
      </c>
      <c r="G73" s="105">
        <v>40374</v>
      </c>
      <c r="H73">
        <v>1.2949999999999999</v>
      </c>
    </row>
    <row r="74" spans="1:8">
      <c r="A74" s="105">
        <v>40347</v>
      </c>
      <c r="B74">
        <v>1.8615999999999999</v>
      </c>
      <c r="D74" s="105">
        <v>40375</v>
      </c>
      <c r="E74">
        <v>1.4649000000000001</v>
      </c>
      <c r="G74" s="105">
        <v>40375</v>
      </c>
      <c r="H74">
        <v>1.2929999999999999</v>
      </c>
    </row>
    <row r="75" spans="1:8">
      <c r="A75" s="105">
        <v>40348</v>
      </c>
      <c r="B75">
        <v>1.8615999999999999</v>
      </c>
      <c r="D75" s="105">
        <v>40378</v>
      </c>
      <c r="E75">
        <v>1.4646999999999999</v>
      </c>
      <c r="G75" s="105">
        <v>40378</v>
      </c>
      <c r="H75">
        <v>1.2942</v>
      </c>
    </row>
    <row r="76" spans="1:8">
      <c r="A76" s="105">
        <v>40349</v>
      </c>
      <c r="B76">
        <v>1.8615999999999999</v>
      </c>
      <c r="D76" s="105">
        <v>40379</v>
      </c>
      <c r="E76">
        <v>1.4703999999999999</v>
      </c>
      <c r="G76" s="105">
        <v>40379</v>
      </c>
      <c r="H76">
        <v>1.288</v>
      </c>
    </row>
    <row r="77" spans="1:8">
      <c r="A77" s="105">
        <v>40350</v>
      </c>
      <c r="B77">
        <v>1.8604000000000001</v>
      </c>
      <c r="D77" s="105">
        <v>40380</v>
      </c>
      <c r="E77">
        <v>1.4806999999999999</v>
      </c>
      <c r="G77" s="105">
        <v>40380</v>
      </c>
      <c r="H77">
        <v>1.2754000000000001</v>
      </c>
    </row>
    <row r="78" spans="1:8">
      <c r="A78" s="105">
        <v>40351</v>
      </c>
      <c r="B78">
        <v>1.8579000000000001</v>
      </c>
      <c r="D78" s="105">
        <v>40381</v>
      </c>
      <c r="E78">
        <v>1.4697</v>
      </c>
      <c r="G78" s="105">
        <v>40381</v>
      </c>
      <c r="H78">
        <v>1.2892999999999999</v>
      </c>
    </row>
    <row r="79" spans="1:8">
      <c r="A79" s="105">
        <v>40352</v>
      </c>
      <c r="B79">
        <v>1.8603000000000001</v>
      </c>
      <c r="D79" s="105">
        <v>40382</v>
      </c>
      <c r="E79">
        <v>1.4674</v>
      </c>
      <c r="G79" s="105">
        <v>40382</v>
      </c>
      <c r="H79">
        <v>1.2908999999999999</v>
      </c>
    </row>
    <row r="80" spans="1:8">
      <c r="A80" s="105">
        <v>40353</v>
      </c>
      <c r="B80">
        <v>1.8622000000000001</v>
      </c>
      <c r="D80" s="105">
        <v>40385</v>
      </c>
      <c r="E80">
        <v>1.4618</v>
      </c>
      <c r="G80" s="105">
        <v>40385</v>
      </c>
      <c r="H80">
        <v>1.2994000000000001</v>
      </c>
    </row>
    <row r="81" spans="1:8">
      <c r="A81" s="105">
        <v>40354</v>
      </c>
      <c r="B81">
        <v>1.8608</v>
      </c>
      <c r="D81" s="105">
        <v>40386</v>
      </c>
      <c r="E81">
        <v>1.4618</v>
      </c>
      <c r="G81" s="105">
        <v>40386</v>
      </c>
      <c r="H81">
        <v>1.2996000000000001</v>
      </c>
    </row>
    <row r="82" spans="1:8">
      <c r="A82" s="105">
        <v>40355</v>
      </c>
      <c r="B82">
        <v>1.8631</v>
      </c>
      <c r="D82" s="105">
        <v>40387</v>
      </c>
      <c r="E82">
        <v>1.4618</v>
      </c>
      <c r="G82" s="105">
        <v>40387</v>
      </c>
      <c r="H82">
        <v>1.2995000000000001</v>
      </c>
    </row>
    <row r="83" spans="1:8">
      <c r="A83" s="105">
        <v>40356</v>
      </c>
      <c r="B83">
        <v>1.8631</v>
      </c>
      <c r="D83" s="105">
        <v>40388</v>
      </c>
      <c r="E83">
        <v>1.4572000000000001</v>
      </c>
      <c r="G83" s="105">
        <v>40388</v>
      </c>
      <c r="H83">
        <v>1.3079000000000001</v>
      </c>
    </row>
    <row r="84" spans="1:8">
      <c r="A84" s="105">
        <v>40357</v>
      </c>
      <c r="B84">
        <v>1.8626</v>
      </c>
      <c r="D84" s="105">
        <v>40389</v>
      </c>
      <c r="E84">
        <v>1.4601999999999999</v>
      </c>
      <c r="G84" s="105">
        <v>40389</v>
      </c>
      <c r="H84">
        <v>1.3051999999999999</v>
      </c>
    </row>
    <row r="85" spans="1:8">
      <c r="A85" s="105">
        <v>40358</v>
      </c>
      <c r="B85">
        <v>1.8577999999999999</v>
      </c>
      <c r="D85" s="105">
        <v>40392</v>
      </c>
      <c r="E85">
        <v>1.4504999999999999</v>
      </c>
      <c r="G85" s="105">
        <v>40392</v>
      </c>
      <c r="H85">
        <v>1.3179000000000001</v>
      </c>
    </row>
    <row r="86" spans="1:8">
      <c r="A86" s="105">
        <v>40359</v>
      </c>
      <c r="B86">
        <v>1.8607</v>
      </c>
      <c r="D86" s="105">
        <v>40393</v>
      </c>
      <c r="E86">
        <v>1.4442999999999999</v>
      </c>
      <c r="G86" s="105">
        <v>40393</v>
      </c>
      <c r="H86">
        <v>1.3230999999999999</v>
      </c>
    </row>
    <row r="87" spans="1:8">
      <c r="A87" s="105">
        <v>40360</v>
      </c>
      <c r="B87">
        <v>1.8696999999999999</v>
      </c>
      <c r="D87" s="105">
        <v>40394</v>
      </c>
      <c r="E87">
        <v>1.4490000000000001</v>
      </c>
      <c r="G87" s="105">
        <v>40394</v>
      </c>
      <c r="H87">
        <v>1.3161</v>
      </c>
    </row>
    <row r="88" spans="1:8">
      <c r="A88" s="105">
        <v>40361</v>
      </c>
      <c r="B88">
        <v>1.8756999999999999</v>
      </c>
      <c r="D88" s="105">
        <v>40395</v>
      </c>
      <c r="E88">
        <v>1.4474</v>
      </c>
      <c r="G88" s="105">
        <v>40395</v>
      </c>
      <c r="H88">
        <v>1.3189</v>
      </c>
    </row>
    <row r="89" spans="1:8">
      <c r="A89" s="105">
        <v>40362</v>
      </c>
      <c r="B89">
        <v>1.8762000000000001</v>
      </c>
      <c r="D89" s="105">
        <v>40396</v>
      </c>
      <c r="E89">
        <v>1.4401999999999999</v>
      </c>
      <c r="G89" s="105">
        <v>40396</v>
      </c>
      <c r="H89">
        <v>1.3280000000000001</v>
      </c>
    </row>
    <row r="90" spans="1:8">
      <c r="A90" s="105">
        <v>40363</v>
      </c>
      <c r="B90">
        <v>1.8762000000000001</v>
      </c>
      <c r="D90" s="105">
        <v>40399</v>
      </c>
      <c r="E90">
        <v>1.4419999999999999</v>
      </c>
      <c r="G90" s="105">
        <v>40399</v>
      </c>
      <c r="H90">
        <v>1.3222</v>
      </c>
    </row>
    <row r="91" spans="1:8">
      <c r="A91" s="105">
        <v>40364</v>
      </c>
      <c r="B91">
        <v>1.8684000000000001</v>
      </c>
      <c r="D91" s="105">
        <v>40400</v>
      </c>
      <c r="E91">
        <v>1.4447000000000001</v>
      </c>
      <c r="G91" s="105">
        <v>40400</v>
      </c>
      <c r="H91">
        <v>1.3177000000000001</v>
      </c>
    </row>
    <row r="92" spans="1:8">
      <c r="A92" s="105">
        <v>40365</v>
      </c>
      <c r="B92">
        <v>1.8711</v>
      </c>
      <c r="D92" s="105">
        <v>40401</v>
      </c>
      <c r="E92">
        <v>1.4655</v>
      </c>
      <c r="G92" s="105">
        <v>40401</v>
      </c>
      <c r="H92">
        <v>1.2863</v>
      </c>
    </row>
    <row r="93" spans="1:8">
      <c r="A93" s="105">
        <v>40366</v>
      </c>
      <c r="B93">
        <v>1.8738999999999999</v>
      </c>
      <c r="D93" s="105">
        <v>40402</v>
      </c>
      <c r="E93">
        <v>1.4698</v>
      </c>
      <c r="G93" s="105">
        <v>40402</v>
      </c>
      <c r="H93">
        <v>1.2828999999999999</v>
      </c>
    </row>
    <row r="94" spans="1:8">
      <c r="A94" s="105">
        <v>40367</v>
      </c>
      <c r="B94">
        <v>1.8808</v>
      </c>
      <c r="D94" s="105">
        <v>40403</v>
      </c>
      <c r="E94">
        <v>1.4767999999999999</v>
      </c>
      <c r="G94" s="105">
        <v>40403</v>
      </c>
      <c r="H94">
        <v>1.2754000000000001</v>
      </c>
    </row>
    <row r="95" spans="1:8">
      <c r="A95" s="105">
        <v>40368</v>
      </c>
      <c r="B95">
        <v>1.8794999999999999</v>
      </c>
      <c r="D95" s="105">
        <v>40406</v>
      </c>
      <c r="E95">
        <v>1.4714</v>
      </c>
      <c r="G95" s="105">
        <v>40406</v>
      </c>
      <c r="H95">
        <v>1.2827</v>
      </c>
    </row>
    <row r="96" spans="1:8">
      <c r="A96" s="105">
        <v>40369</v>
      </c>
      <c r="B96">
        <v>1.8798999999999999</v>
      </c>
      <c r="D96" s="105">
        <v>40407</v>
      </c>
      <c r="E96">
        <v>1.4670000000000001</v>
      </c>
      <c r="G96" s="105">
        <v>40407</v>
      </c>
      <c r="H96">
        <v>1.2885</v>
      </c>
    </row>
    <row r="97" spans="1:8">
      <c r="A97" s="105">
        <v>40370</v>
      </c>
      <c r="B97">
        <v>1.8797999999999999</v>
      </c>
      <c r="D97" s="105">
        <v>40408</v>
      </c>
      <c r="E97">
        <v>1.4696</v>
      </c>
      <c r="G97" s="105">
        <v>40408</v>
      </c>
      <c r="H97">
        <v>1.2853000000000001</v>
      </c>
    </row>
    <row r="98" spans="1:8">
      <c r="A98" s="105">
        <v>40371</v>
      </c>
      <c r="B98">
        <v>1.8788</v>
      </c>
      <c r="D98" s="105">
        <v>40409</v>
      </c>
      <c r="E98">
        <v>1.4728000000000001</v>
      </c>
      <c r="G98" s="105">
        <v>40409</v>
      </c>
      <c r="H98">
        <v>1.2823</v>
      </c>
    </row>
    <row r="99" spans="1:8">
      <c r="A99" s="105">
        <v>40372</v>
      </c>
      <c r="B99">
        <v>1.8819999999999999</v>
      </c>
      <c r="D99" s="105">
        <v>40410</v>
      </c>
      <c r="E99">
        <v>1.4842</v>
      </c>
      <c r="G99" s="105">
        <v>40410</v>
      </c>
      <c r="H99">
        <v>1.2712000000000001</v>
      </c>
    </row>
    <row r="100" spans="1:8">
      <c r="A100" s="105">
        <v>40373</v>
      </c>
      <c r="B100">
        <v>1.8848</v>
      </c>
      <c r="D100" s="105">
        <v>40413</v>
      </c>
      <c r="E100">
        <v>1.4884999999999999</v>
      </c>
      <c r="G100" s="105">
        <v>40413</v>
      </c>
      <c r="H100">
        <v>1.2657</v>
      </c>
    </row>
    <row r="101" spans="1:8">
      <c r="A101" s="105">
        <v>40374</v>
      </c>
      <c r="B101">
        <v>1.8904000000000001</v>
      </c>
      <c r="D101" s="105">
        <v>40414</v>
      </c>
      <c r="E101">
        <v>1.4944999999999999</v>
      </c>
      <c r="G101" s="105">
        <v>40414</v>
      </c>
      <c r="H101">
        <v>1.2626999999999999</v>
      </c>
    </row>
    <row r="102" spans="1:8">
      <c r="A102" s="105">
        <v>40375</v>
      </c>
      <c r="B102">
        <v>1.8944000000000001</v>
      </c>
      <c r="D102" s="105">
        <v>40415</v>
      </c>
      <c r="E102">
        <v>1.4925999999999999</v>
      </c>
      <c r="G102" s="105">
        <v>40415</v>
      </c>
      <c r="H102">
        <v>1.2659</v>
      </c>
    </row>
    <row r="103" spans="1:8">
      <c r="A103" s="105">
        <v>40376</v>
      </c>
      <c r="B103">
        <v>1.8938999999999999</v>
      </c>
      <c r="D103" s="105">
        <v>40416</v>
      </c>
      <c r="E103">
        <v>1.4888999999999999</v>
      </c>
      <c r="G103" s="105">
        <v>40416</v>
      </c>
      <c r="H103">
        <v>1.2716000000000001</v>
      </c>
    </row>
    <row r="104" spans="1:8">
      <c r="A104" s="105">
        <v>40377</v>
      </c>
      <c r="B104">
        <v>1.8936999999999999</v>
      </c>
      <c r="D104" s="105">
        <v>40417</v>
      </c>
      <c r="E104">
        <v>1.4849000000000001</v>
      </c>
      <c r="G104" s="105">
        <v>40417</v>
      </c>
      <c r="H104">
        <v>1.2763</v>
      </c>
    </row>
    <row r="105" spans="1:8">
      <c r="A105" s="105">
        <v>40378</v>
      </c>
      <c r="B105">
        <v>1.8956</v>
      </c>
      <c r="D105" s="105">
        <v>40420</v>
      </c>
      <c r="E105">
        <v>1.4919</v>
      </c>
      <c r="G105" s="105">
        <v>40420</v>
      </c>
      <c r="H105">
        <v>1.2663</v>
      </c>
    </row>
    <row r="106" spans="1:8">
      <c r="A106" s="105">
        <v>40379</v>
      </c>
      <c r="B106">
        <v>1.8937999999999999</v>
      </c>
      <c r="D106" s="105">
        <v>40421</v>
      </c>
      <c r="E106">
        <v>1.4906999999999999</v>
      </c>
      <c r="G106" s="105">
        <v>40421</v>
      </c>
      <c r="H106">
        <v>1.268</v>
      </c>
    </row>
    <row r="107" spans="1:8">
      <c r="A107" s="105">
        <v>40380</v>
      </c>
      <c r="B107">
        <v>1.8885000000000001</v>
      </c>
      <c r="D107" s="105">
        <v>40422</v>
      </c>
      <c r="E107">
        <v>1.482</v>
      </c>
      <c r="G107" s="105">
        <v>40422</v>
      </c>
      <c r="H107">
        <v>1.2808999999999999</v>
      </c>
    </row>
    <row r="108" spans="1:8">
      <c r="A108" s="105">
        <v>40381</v>
      </c>
      <c r="B108">
        <v>1.8948</v>
      </c>
      <c r="D108" s="105">
        <v>40423</v>
      </c>
      <c r="E108">
        <v>1.4813000000000001</v>
      </c>
      <c r="G108" s="105">
        <v>40423</v>
      </c>
      <c r="H108">
        <v>1.2826</v>
      </c>
    </row>
    <row r="109" spans="1:8">
      <c r="A109" s="105">
        <v>40382</v>
      </c>
      <c r="B109">
        <v>1.8942000000000001</v>
      </c>
      <c r="D109" s="105">
        <v>40424</v>
      </c>
      <c r="E109">
        <v>1.4781</v>
      </c>
      <c r="G109" s="105">
        <v>40424</v>
      </c>
      <c r="H109">
        <v>1.2896000000000001</v>
      </c>
    </row>
    <row r="110" spans="1:8">
      <c r="A110" s="105">
        <v>40383</v>
      </c>
      <c r="B110">
        <v>1.8946000000000001</v>
      </c>
      <c r="D110" s="105">
        <v>40427</v>
      </c>
      <c r="E110">
        <v>1.4773000000000001</v>
      </c>
      <c r="G110" s="105">
        <v>40427</v>
      </c>
      <c r="H110">
        <v>1.2876000000000001</v>
      </c>
    </row>
    <row r="111" spans="1:8">
      <c r="A111" s="105">
        <v>40384</v>
      </c>
      <c r="B111">
        <v>1.8935</v>
      </c>
      <c r="D111" s="105">
        <v>40428</v>
      </c>
      <c r="E111">
        <v>1.4910000000000001</v>
      </c>
      <c r="G111" s="105">
        <v>40428</v>
      </c>
      <c r="H111">
        <v>1.2682</v>
      </c>
    </row>
    <row r="112" spans="1:8">
      <c r="A112" s="105">
        <v>40385</v>
      </c>
      <c r="B112">
        <v>1.8995</v>
      </c>
      <c r="D112" s="105">
        <v>40429</v>
      </c>
      <c r="E112">
        <v>1.4876</v>
      </c>
      <c r="G112" s="105">
        <v>40429</v>
      </c>
      <c r="H112">
        <v>1.272</v>
      </c>
    </row>
    <row r="113" spans="1:8">
      <c r="A113" s="105">
        <v>40386</v>
      </c>
      <c r="B113">
        <v>1.8997999999999999</v>
      </c>
      <c r="D113" s="105">
        <v>40430</v>
      </c>
      <c r="E113">
        <v>1.4895</v>
      </c>
      <c r="G113" s="105">
        <v>40430</v>
      </c>
      <c r="H113">
        <v>1.2696000000000001</v>
      </c>
    </row>
    <row r="114" spans="1:8">
      <c r="A114" s="105">
        <v>40387</v>
      </c>
      <c r="B114">
        <v>1.8996999999999999</v>
      </c>
      <c r="D114" s="105">
        <v>40431</v>
      </c>
      <c r="E114">
        <v>1.4905999999999999</v>
      </c>
      <c r="G114" s="105">
        <v>40431</v>
      </c>
      <c r="H114">
        <v>1.2679</v>
      </c>
    </row>
    <row r="115" spans="1:8">
      <c r="A115" s="105">
        <v>40388</v>
      </c>
      <c r="B115">
        <v>1.9057999999999999</v>
      </c>
      <c r="D115" s="105">
        <v>40434</v>
      </c>
      <c r="E115">
        <v>1.4761</v>
      </c>
      <c r="G115" s="105">
        <v>40434</v>
      </c>
      <c r="H115">
        <v>1.2883</v>
      </c>
    </row>
    <row r="116" spans="1:8">
      <c r="A116" s="105">
        <v>40389</v>
      </c>
      <c r="B116">
        <v>1.9056999999999999</v>
      </c>
      <c r="D116" s="105">
        <v>40435</v>
      </c>
      <c r="E116">
        <v>1.4617</v>
      </c>
      <c r="G116" s="105">
        <v>40435</v>
      </c>
      <c r="H116">
        <v>1.2998000000000001</v>
      </c>
    </row>
    <row r="117" spans="1:8">
      <c r="A117" s="105">
        <v>40390</v>
      </c>
      <c r="B117">
        <v>1.9026000000000001</v>
      </c>
      <c r="D117" s="105">
        <v>40436</v>
      </c>
      <c r="E117">
        <v>1.4610000000000001</v>
      </c>
      <c r="G117" s="105">
        <v>40436</v>
      </c>
      <c r="H117">
        <v>1.3010999999999999</v>
      </c>
    </row>
    <row r="118" spans="1:8">
      <c r="A118" s="105">
        <v>40391</v>
      </c>
      <c r="B118">
        <v>1.9026000000000001</v>
      </c>
      <c r="D118" s="105">
        <v>40437</v>
      </c>
      <c r="E118">
        <v>1.4582999999999999</v>
      </c>
      <c r="G118" s="105">
        <v>40437</v>
      </c>
      <c r="H118">
        <v>1.3078000000000001</v>
      </c>
    </row>
    <row r="119" spans="1:8">
      <c r="A119" s="105">
        <v>40392</v>
      </c>
      <c r="B119">
        <v>1.9116</v>
      </c>
      <c r="D119" s="105">
        <v>40438</v>
      </c>
      <c r="E119">
        <v>1.4579</v>
      </c>
      <c r="G119" s="105">
        <v>40438</v>
      </c>
      <c r="H119">
        <v>1.3049999999999999</v>
      </c>
    </row>
    <row r="120" spans="1:8">
      <c r="A120" s="105">
        <v>40393</v>
      </c>
      <c r="B120">
        <v>1.9109</v>
      </c>
      <c r="D120" s="105">
        <v>40441</v>
      </c>
      <c r="E120">
        <v>1.4622999999999999</v>
      </c>
      <c r="G120" s="105">
        <v>40441</v>
      </c>
      <c r="H120">
        <v>1.3061</v>
      </c>
    </row>
    <row r="121" spans="1:8">
      <c r="A121" s="105">
        <v>40394</v>
      </c>
      <c r="B121">
        <v>1.9069</v>
      </c>
      <c r="D121" s="105">
        <v>40442</v>
      </c>
      <c r="E121">
        <v>1.4480999999999999</v>
      </c>
      <c r="G121" s="105">
        <v>40442</v>
      </c>
      <c r="H121">
        <v>1.3264</v>
      </c>
    </row>
    <row r="122" spans="1:8">
      <c r="A122" s="105">
        <v>40395</v>
      </c>
      <c r="B122">
        <v>1.909</v>
      </c>
      <c r="D122" s="105">
        <v>40443</v>
      </c>
      <c r="E122">
        <v>1.4372</v>
      </c>
      <c r="G122" s="105">
        <v>40443</v>
      </c>
      <c r="H122">
        <v>1.3406</v>
      </c>
    </row>
    <row r="123" spans="1:8">
      <c r="A123" s="105">
        <v>40396</v>
      </c>
      <c r="B123">
        <v>1.9127000000000001</v>
      </c>
      <c r="D123" s="105">
        <v>40444</v>
      </c>
      <c r="E123">
        <v>1.4455</v>
      </c>
      <c r="G123" s="105">
        <v>40444</v>
      </c>
      <c r="H123">
        <v>1.3313999999999999</v>
      </c>
    </row>
    <row r="124" spans="1:8">
      <c r="A124" s="105">
        <v>40397</v>
      </c>
      <c r="B124">
        <v>1.9098999999999999</v>
      </c>
      <c r="D124" s="105">
        <v>40445</v>
      </c>
      <c r="E124">
        <v>1.4308000000000001</v>
      </c>
      <c r="G124" s="105">
        <v>40445</v>
      </c>
      <c r="H124">
        <v>1.3492</v>
      </c>
    </row>
    <row r="125" spans="1:8">
      <c r="A125" s="105">
        <v>40398</v>
      </c>
      <c r="B125">
        <v>1.9115</v>
      </c>
      <c r="D125" s="105">
        <v>40448</v>
      </c>
      <c r="E125">
        <v>1.4300999999999999</v>
      </c>
      <c r="G125" s="105">
        <v>40448</v>
      </c>
      <c r="H125">
        <v>1.3454999999999999</v>
      </c>
    </row>
    <row r="126" spans="1:8">
      <c r="A126" s="105">
        <v>40399</v>
      </c>
      <c r="B126">
        <v>1.9065000000000001</v>
      </c>
      <c r="D126" s="105">
        <v>40449</v>
      </c>
      <c r="E126">
        <v>1.4227000000000001</v>
      </c>
      <c r="G126" s="105">
        <v>40449</v>
      </c>
      <c r="H126">
        <v>1.3585</v>
      </c>
    </row>
    <row r="127" spans="1:8">
      <c r="A127" s="105">
        <v>40400</v>
      </c>
      <c r="B127">
        <v>1.9037999999999999</v>
      </c>
      <c r="D127" s="105">
        <v>40450</v>
      </c>
      <c r="E127">
        <v>1.4211</v>
      </c>
      <c r="G127" s="105">
        <v>40450</v>
      </c>
      <c r="H127">
        <v>1.3627</v>
      </c>
    </row>
    <row r="128" spans="1:8">
      <c r="A128" s="105">
        <v>40401</v>
      </c>
      <c r="B128">
        <v>1.885</v>
      </c>
      <c r="D128" s="105">
        <v>40451</v>
      </c>
      <c r="E128">
        <v>1.4197</v>
      </c>
      <c r="G128" s="105">
        <v>40451</v>
      </c>
      <c r="H128">
        <v>1.3633999999999999</v>
      </c>
    </row>
    <row r="129" spans="1:8">
      <c r="A129" s="105">
        <v>40402</v>
      </c>
      <c r="B129">
        <v>1.8853</v>
      </c>
      <c r="D129" s="105">
        <v>40452</v>
      </c>
      <c r="E129">
        <v>1.4204000000000001</v>
      </c>
      <c r="G129" s="105">
        <v>40452</v>
      </c>
      <c r="H129">
        <v>1.3791</v>
      </c>
    </row>
    <row r="130" spans="1:8">
      <c r="A130" s="105">
        <v>40403</v>
      </c>
      <c r="B130">
        <v>1.8829</v>
      </c>
      <c r="D130" s="105">
        <v>40455</v>
      </c>
      <c r="E130">
        <v>1.4162999999999999</v>
      </c>
      <c r="G130" s="105">
        <v>40455</v>
      </c>
      <c r="H130">
        <v>1.3685</v>
      </c>
    </row>
    <row r="131" spans="1:8">
      <c r="A131" s="105">
        <v>40404</v>
      </c>
      <c r="B131">
        <v>1.8798999999999999</v>
      </c>
      <c r="D131" s="105">
        <v>40456</v>
      </c>
      <c r="E131">
        <v>1.419</v>
      </c>
      <c r="G131" s="105">
        <v>40456</v>
      </c>
      <c r="H131">
        <v>1.3838999999999999</v>
      </c>
    </row>
    <row r="132" spans="1:8">
      <c r="A132" s="105">
        <v>40405</v>
      </c>
      <c r="B132">
        <v>1.8827</v>
      </c>
      <c r="D132" s="105">
        <v>40457</v>
      </c>
      <c r="E132">
        <v>1.3982000000000001</v>
      </c>
      <c r="G132" s="105">
        <v>40457</v>
      </c>
      <c r="H132">
        <v>1.393</v>
      </c>
    </row>
    <row r="133" spans="1:8">
      <c r="A133" s="105">
        <v>40406</v>
      </c>
      <c r="B133">
        <v>1.8869</v>
      </c>
      <c r="D133" s="105">
        <v>40458</v>
      </c>
      <c r="E133">
        <v>1.3952</v>
      </c>
      <c r="G133" s="105">
        <v>40458</v>
      </c>
      <c r="H133">
        <v>1.3926000000000001</v>
      </c>
    </row>
    <row r="134" spans="1:8">
      <c r="A134" s="105">
        <v>40407</v>
      </c>
      <c r="B134">
        <v>1.8896999999999999</v>
      </c>
      <c r="D134" s="105">
        <v>40459</v>
      </c>
      <c r="E134">
        <v>1.3920999999999999</v>
      </c>
      <c r="G134" s="105">
        <v>40459</v>
      </c>
      <c r="H134">
        <v>1.3938999999999999</v>
      </c>
    </row>
    <row r="135" spans="1:8">
      <c r="A135" s="105">
        <v>40408</v>
      </c>
      <c r="B135">
        <v>1.889</v>
      </c>
      <c r="D135" s="105">
        <v>40462</v>
      </c>
      <c r="E135">
        <v>1.3964000000000001</v>
      </c>
      <c r="G135" s="105">
        <v>40462</v>
      </c>
      <c r="H135">
        <v>1.3875999999999999</v>
      </c>
    </row>
    <row r="136" spans="1:8">
      <c r="A136" s="105">
        <v>40409</v>
      </c>
      <c r="B136">
        <v>1.8886000000000001</v>
      </c>
      <c r="D136" s="105">
        <v>40463</v>
      </c>
      <c r="E136">
        <v>1.3936999999999999</v>
      </c>
      <c r="G136" s="105">
        <v>40463</v>
      </c>
      <c r="H136">
        <v>1.3925000000000001</v>
      </c>
    </row>
    <row r="137" spans="1:8">
      <c r="A137" s="105">
        <v>40410</v>
      </c>
      <c r="B137">
        <v>1.8858999999999999</v>
      </c>
      <c r="D137" s="105">
        <v>40464</v>
      </c>
      <c r="E137">
        <v>1.3940999999999999</v>
      </c>
      <c r="G137" s="105">
        <v>40464</v>
      </c>
      <c r="H137">
        <v>1.3960999999999999</v>
      </c>
    </row>
    <row r="138" spans="1:8">
      <c r="A138" s="105">
        <v>40411</v>
      </c>
      <c r="B138">
        <v>1.8858999999999999</v>
      </c>
      <c r="D138" s="105">
        <v>40465</v>
      </c>
      <c r="E138">
        <v>1.3831</v>
      </c>
      <c r="G138" s="105">
        <v>40465</v>
      </c>
      <c r="H138">
        <v>1.4084000000000001</v>
      </c>
    </row>
    <row r="139" spans="1:8">
      <c r="A139" s="105">
        <v>40412</v>
      </c>
      <c r="B139">
        <v>1.8852</v>
      </c>
      <c r="D139" s="105">
        <v>40466</v>
      </c>
      <c r="E139">
        <v>1.3887</v>
      </c>
      <c r="G139" s="105">
        <v>40466</v>
      </c>
      <c r="H139">
        <v>1.3976999999999999</v>
      </c>
    </row>
    <row r="140" spans="1:8">
      <c r="A140" s="105">
        <v>40413</v>
      </c>
      <c r="B140">
        <v>1.8844000000000001</v>
      </c>
      <c r="D140" s="105">
        <v>40469</v>
      </c>
      <c r="E140">
        <v>1.3879999999999999</v>
      </c>
      <c r="G140" s="105">
        <v>40469</v>
      </c>
      <c r="H140">
        <v>1.3934</v>
      </c>
    </row>
    <row r="141" spans="1:8">
      <c r="A141" s="105">
        <v>40414</v>
      </c>
      <c r="B141">
        <v>1.8872</v>
      </c>
      <c r="D141" s="105">
        <v>40470</v>
      </c>
      <c r="E141">
        <v>1.4059999999999999</v>
      </c>
      <c r="G141" s="105">
        <v>40470</v>
      </c>
      <c r="H141">
        <v>1.3727</v>
      </c>
    </row>
    <row r="142" spans="1:8">
      <c r="A142" s="105">
        <v>40415</v>
      </c>
      <c r="B142">
        <v>1.8894</v>
      </c>
      <c r="D142" s="105">
        <v>40471</v>
      </c>
      <c r="E142">
        <v>1.3906000000000001</v>
      </c>
      <c r="G142" s="105">
        <v>40471</v>
      </c>
      <c r="H142">
        <v>1.3964000000000001</v>
      </c>
    </row>
    <row r="143" spans="1:8">
      <c r="A143" s="105">
        <v>40416</v>
      </c>
      <c r="B143">
        <v>1.8929</v>
      </c>
      <c r="D143" s="105">
        <v>40472</v>
      </c>
      <c r="E143">
        <v>1.3939999999999999</v>
      </c>
      <c r="G143" s="105">
        <v>40472</v>
      </c>
      <c r="H143">
        <v>1.3919999999999999</v>
      </c>
    </row>
    <row r="144" spans="1:8">
      <c r="A144" s="105">
        <v>40417</v>
      </c>
      <c r="B144">
        <v>1.8949</v>
      </c>
      <c r="D144" s="105">
        <v>40473</v>
      </c>
      <c r="E144">
        <v>1.3922000000000001</v>
      </c>
      <c r="G144" s="105">
        <v>40473</v>
      </c>
      <c r="H144">
        <v>1.3954</v>
      </c>
    </row>
    <row r="145" spans="1:8">
      <c r="A145" s="105">
        <v>40418</v>
      </c>
      <c r="B145">
        <v>1.8948</v>
      </c>
      <c r="D145" s="105">
        <v>40476</v>
      </c>
      <c r="E145">
        <v>1.3917999999999999</v>
      </c>
      <c r="G145" s="105">
        <v>40476</v>
      </c>
      <c r="H145">
        <v>1.3965000000000001</v>
      </c>
    </row>
    <row r="146" spans="1:8">
      <c r="A146" s="105">
        <v>40419</v>
      </c>
      <c r="B146">
        <v>1.8976999999999999</v>
      </c>
      <c r="D146" s="105">
        <v>40477</v>
      </c>
      <c r="E146">
        <v>1.395</v>
      </c>
      <c r="G146" s="105">
        <v>40477</v>
      </c>
      <c r="H146">
        <v>1.3858999999999999</v>
      </c>
    </row>
    <row r="147" spans="1:8">
      <c r="A147" s="105">
        <v>40420</v>
      </c>
      <c r="B147">
        <v>1.8893</v>
      </c>
      <c r="D147" s="105">
        <v>40478</v>
      </c>
      <c r="E147">
        <v>1.4</v>
      </c>
      <c r="G147" s="105">
        <v>40478</v>
      </c>
      <c r="H147">
        <v>1.3769</v>
      </c>
    </row>
    <row r="148" spans="1:8">
      <c r="A148" s="105">
        <v>40421</v>
      </c>
      <c r="B148">
        <v>1.8902000000000001</v>
      </c>
      <c r="D148" s="105">
        <v>40479</v>
      </c>
      <c r="E148">
        <v>1.3934</v>
      </c>
      <c r="G148" s="105">
        <v>40479</v>
      </c>
      <c r="H148">
        <v>1.393</v>
      </c>
    </row>
    <row r="149" spans="1:8">
      <c r="A149" s="105">
        <v>40422</v>
      </c>
      <c r="B149">
        <v>1.8982000000000001</v>
      </c>
      <c r="D149" s="105">
        <v>40480</v>
      </c>
      <c r="E149">
        <v>1.3952</v>
      </c>
      <c r="G149" s="105">
        <v>40480</v>
      </c>
      <c r="H149">
        <v>1.3947000000000001</v>
      </c>
    </row>
    <row r="150" spans="1:8">
      <c r="A150" s="105">
        <v>40423</v>
      </c>
      <c r="B150">
        <v>1.8997999999999999</v>
      </c>
      <c r="D150" s="105">
        <v>40483</v>
      </c>
      <c r="E150">
        <v>1.3974</v>
      </c>
      <c r="G150" s="105">
        <v>40483</v>
      </c>
      <c r="H150">
        <v>1.3893</v>
      </c>
    </row>
    <row r="151" spans="1:8">
      <c r="A151" s="105">
        <v>40424</v>
      </c>
      <c r="B151">
        <v>1.9058999999999999</v>
      </c>
      <c r="D151" s="105">
        <v>40484</v>
      </c>
      <c r="E151">
        <v>1.3875999999999999</v>
      </c>
      <c r="G151" s="105">
        <v>40484</v>
      </c>
      <c r="H151">
        <v>1.4034</v>
      </c>
    </row>
    <row r="152" spans="1:8">
      <c r="A152" s="105">
        <v>40425</v>
      </c>
      <c r="B152">
        <v>1.8995</v>
      </c>
      <c r="D152" s="105">
        <v>40485</v>
      </c>
      <c r="E152">
        <v>1.3813</v>
      </c>
      <c r="G152" s="105">
        <v>40485</v>
      </c>
      <c r="H152">
        <v>1.4138999999999999</v>
      </c>
    </row>
    <row r="153" spans="1:8">
      <c r="A153" s="105">
        <v>40426</v>
      </c>
      <c r="B153">
        <v>1.8995</v>
      </c>
      <c r="D153" s="105">
        <v>40486</v>
      </c>
      <c r="E153">
        <v>1.3756999999999999</v>
      </c>
      <c r="G153" s="105">
        <v>40486</v>
      </c>
      <c r="H153">
        <v>1.4207000000000001</v>
      </c>
    </row>
    <row r="154" spans="1:8">
      <c r="A154" s="105">
        <v>40427</v>
      </c>
      <c r="B154">
        <v>1.9021999999999999</v>
      </c>
      <c r="D154" s="105">
        <v>40487</v>
      </c>
      <c r="E154">
        <v>1.3777999999999999</v>
      </c>
      <c r="G154" s="105">
        <v>40487</v>
      </c>
      <c r="H154">
        <v>1.4032</v>
      </c>
    </row>
    <row r="155" spans="1:8">
      <c r="A155" s="105">
        <v>40428</v>
      </c>
      <c r="B155">
        <v>1.8909</v>
      </c>
      <c r="D155" s="105">
        <v>40490</v>
      </c>
      <c r="E155">
        <v>1.3913</v>
      </c>
      <c r="G155" s="105">
        <v>40490</v>
      </c>
      <c r="H155">
        <v>1.3919999999999999</v>
      </c>
    </row>
    <row r="156" spans="1:8">
      <c r="A156" s="105">
        <v>40429</v>
      </c>
      <c r="B156">
        <v>1.8918999999999999</v>
      </c>
      <c r="D156" s="105">
        <v>40491</v>
      </c>
      <c r="E156">
        <v>1.4033</v>
      </c>
      <c r="G156" s="105">
        <v>40491</v>
      </c>
      <c r="H156">
        <v>1.3773</v>
      </c>
    </row>
    <row r="157" spans="1:8">
      <c r="A157" s="105">
        <v>40430</v>
      </c>
      <c r="B157">
        <v>1.8912</v>
      </c>
      <c r="D157" s="105">
        <v>40492</v>
      </c>
      <c r="E157">
        <v>1.4052</v>
      </c>
      <c r="G157" s="105">
        <v>40492</v>
      </c>
      <c r="H157">
        <v>1.3783000000000001</v>
      </c>
    </row>
    <row r="158" spans="1:8">
      <c r="A158" s="105">
        <v>40431</v>
      </c>
      <c r="B158">
        <v>1.8900999999999999</v>
      </c>
      <c r="D158" s="105">
        <v>40493</v>
      </c>
      <c r="E158">
        <v>1.4134</v>
      </c>
      <c r="G158" s="105">
        <v>40493</v>
      </c>
      <c r="H158">
        <v>1.3667</v>
      </c>
    </row>
    <row r="159" spans="1:8">
      <c r="A159" s="105">
        <v>40432</v>
      </c>
      <c r="B159">
        <v>1.8896999999999999</v>
      </c>
      <c r="D159" s="105">
        <v>40494</v>
      </c>
      <c r="E159">
        <v>1.4129</v>
      </c>
      <c r="G159" s="105">
        <v>40494</v>
      </c>
      <c r="H159">
        <v>1.3691</v>
      </c>
    </row>
    <row r="160" spans="1:8">
      <c r="A160" s="105">
        <v>40433</v>
      </c>
      <c r="B160">
        <v>1.8896999999999999</v>
      </c>
      <c r="D160" s="105">
        <v>40497</v>
      </c>
      <c r="E160">
        <v>1.4194</v>
      </c>
      <c r="G160" s="105">
        <v>40497</v>
      </c>
      <c r="H160">
        <v>1.3587</v>
      </c>
    </row>
    <row r="161" spans="1:8">
      <c r="A161" s="105">
        <v>40434</v>
      </c>
      <c r="B161">
        <v>1.9016</v>
      </c>
      <c r="D161" s="105">
        <v>40498</v>
      </c>
      <c r="E161">
        <v>1.4173</v>
      </c>
      <c r="G161" s="105">
        <v>40498</v>
      </c>
      <c r="H161">
        <v>1.3489</v>
      </c>
    </row>
    <row r="162" spans="1:8">
      <c r="A162" s="105">
        <v>40435</v>
      </c>
      <c r="B162">
        <v>1.8997999999999999</v>
      </c>
      <c r="D162" s="105">
        <v>40499</v>
      </c>
      <c r="E162">
        <v>1.4241999999999999</v>
      </c>
      <c r="G162" s="105">
        <v>40499</v>
      </c>
      <c r="H162">
        <v>1.3529</v>
      </c>
    </row>
    <row r="163" spans="1:8">
      <c r="A163" s="105">
        <v>40436</v>
      </c>
      <c r="B163">
        <v>1.901</v>
      </c>
      <c r="D163" s="105">
        <v>40500</v>
      </c>
      <c r="E163">
        <v>1.415</v>
      </c>
      <c r="G163" s="105">
        <v>40500</v>
      </c>
      <c r="H163">
        <v>1.3643000000000001</v>
      </c>
    </row>
    <row r="164" spans="1:8">
      <c r="A164" s="105">
        <v>40437</v>
      </c>
      <c r="B164">
        <v>1.9072</v>
      </c>
      <c r="D164" s="105">
        <v>40501</v>
      </c>
      <c r="E164">
        <v>1.4152</v>
      </c>
      <c r="G164" s="105">
        <v>40501</v>
      </c>
      <c r="H164">
        <v>1.3673</v>
      </c>
    </row>
    <row r="165" spans="1:8">
      <c r="A165" s="105">
        <v>40438</v>
      </c>
      <c r="B165">
        <v>1.9018999999999999</v>
      </c>
      <c r="D165" s="105">
        <v>40504</v>
      </c>
      <c r="E165">
        <v>1.4171</v>
      </c>
      <c r="G165" s="105">
        <v>40504</v>
      </c>
      <c r="H165">
        <v>1.3627</v>
      </c>
    </row>
    <row r="166" spans="1:8">
      <c r="A166" s="105">
        <v>40439</v>
      </c>
      <c r="B166">
        <v>1.9028</v>
      </c>
      <c r="D166" s="105">
        <v>40505</v>
      </c>
      <c r="E166">
        <v>1.4331</v>
      </c>
      <c r="G166" s="105">
        <v>40505</v>
      </c>
      <c r="H166">
        <v>1.3367</v>
      </c>
    </row>
    <row r="167" spans="1:8">
      <c r="A167" s="105">
        <v>40440</v>
      </c>
      <c r="B167">
        <v>1.9028</v>
      </c>
      <c r="D167" s="105">
        <v>40506</v>
      </c>
      <c r="E167">
        <v>1.4352</v>
      </c>
      <c r="G167" s="105">
        <v>40506</v>
      </c>
      <c r="H167">
        <v>1.3334999999999999</v>
      </c>
    </row>
    <row r="168" spans="1:8">
      <c r="A168" s="105">
        <v>40441</v>
      </c>
      <c r="B168">
        <v>1.9100999999999999</v>
      </c>
      <c r="D168" s="105">
        <v>40507</v>
      </c>
      <c r="E168">
        <v>1.4340999999999999</v>
      </c>
      <c r="G168" s="105">
        <v>40507</v>
      </c>
      <c r="H168">
        <v>1.3360000000000001</v>
      </c>
    </row>
    <row r="169" spans="1:8">
      <c r="A169" s="105">
        <v>40442</v>
      </c>
      <c r="B169">
        <v>1.9208000000000001</v>
      </c>
      <c r="D169" s="105">
        <v>40508</v>
      </c>
      <c r="E169">
        <v>1.4434</v>
      </c>
      <c r="G169" s="105">
        <v>40508</v>
      </c>
      <c r="H169">
        <v>1.3242</v>
      </c>
    </row>
    <row r="170" spans="1:8">
      <c r="A170" s="105">
        <v>40443</v>
      </c>
      <c r="B170">
        <v>1.9267000000000001</v>
      </c>
      <c r="D170" s="105">
        <v>40511</v>
      </c>
      <c r="E170">
        <v>1.4535</v>
      </c>
      <c r="G170" s="105">
        <v>40511</v>
      </c>
      <c r="H170">
        <v>1.3125</v>
      </c>
    </row>
    <row r="171" spans="1:8">
      <c r="A171" s="105">
        <v>40444</v>
      </c>
      <c r="B171">
        <v>1.9245000000000001</v>
      </c>
      <c r="D171" s="105">
        <v>40512</v>
      </c>
      <c r="E171">
        <v>1.4639</v>
      </c>
      <c r="G171" s="105">
        <v>40512</v>
      </c>
      <c r="H171">
        <v>1.2983</v>
      </c>
    </row>
    <row r="172" spans="1:8">
      <c r="A172" s="105">
        <v>40445</v>
      </c>
      <c r="B172">
        <v>1.9296</v>
      </c>
      <c r="D172" s="105">
        <v>40513</v>
      </c>
      <c r="E172">
        <v>1.4540999999999999</v>
      </c>
      <c r="G172" s="105">
        <v>40513</v>
      </c>
      <c r="H172">
        <v>1.3139000000000001</v>
      </c>
    </row>
    <row r="173" spans="1:8">
      <c r="A173" s="105">
        <v>40446</v>
      </c>
      <c r="B173">
        <v>1.9308000000000001</v>
      </c>
      <c r="D173" s="105">
        <v>40514</v>
      </c>
      <c r="E173">
        <v>1.4476</v>
      </c>
      <c r="G173" s="105">
        <v>40514</v>
      </c>
      <c r="H173">
        <v>1.3209</v>
      </c>
    </row>
    <row r="174" spans="1:8">
      <c r="A174" s="105">
        <v>40447</v>
      </c>
      <c r="B174">
        <v>1.9307000000000001</v>
      </c>
      <c r="D174" s="105">
        <v>40515</v>
      </c>
      <c r="E174">
        <v>1.4339</v>
      </c>
      <c r="G174" s="105">
        <v>40515</v>
      </c>
      <c r="H174">
        <v>1.3413999999999999</v>
      </c>
    </row>
    <row r="175" spans="1:8">
      <c r="A175" s="105">
        <v>40448</v>
      </c>
      <c r="B175">
        <v>1.9236</v>
      </c>
      <c r="D175" s="105">
        <v>40518</v>
      </c>
      <c r="E175">
        <v>1.4429000000000001</v>
      </c>
      <c r="G175" s="105">
        <v>40518</v>
      </c>
      <c r="H175">
        <v>1.3308</v>
      </c>
    </row>
    <row r="176" spans="1:8">
      <c r="A176" s="105">
        <v>40449</v>
      </c>
      <c r="B176">
        <v>1.9320999999999999</v>
      </c>
      <c r="D176" s="105">
        <v>40519</v>
      </c>
      <c r="E176">
        <v>1.4418</v>
      </c>
      <c r="G176" s="105">
        <v>40519</v>
      </c>
      <c r="H176">
        <v>1.3261000000000001</v>
      </c>
    </row>
    <row r="177" spans="1:8">
      <c r="A177" s="105">
        <v>40450</v>
      </c>
      <c r="B177">
        <v>1.9358</v>
      </c>
      <c r="D177" s="105">
        <v>40520</v>
      </c>
      <c r="E177">
        <v>1.444</v>
      </c>
      <c r="G177" s="105">
        <v>40520</v>
      </c>
      <c r="H177">
        <v>1.3262</v>
      </c>
    </row>
    <row r="178" spans="1:8">
      <c r="A178" s="105">
        <v>40451</v>
      </c>
      <c r="B178">
        <v>1.9349000000000001</v>
      </c>
      <c r="D178" s="105">
        <v>40521</v>
      </c>
      <c r="E178">
        <v>1.4442999999999999</v>
      </c>
      <c r="G178" s="105">
        <v>40521</v>
      </c>
      <c r="H178">
        <v>1.3239000000000001</v>
      </c>
    </row>
    <row r="179" spans="1:8">
      <c r="A179" s="105">
        <v>40452</v>
      </c>
      <c r="B179">
        <v>1.9461999999999999</v>
      </c>
      <c r="D179" s="105">
        <v>40522</v>
      </c>
      <c r="E179">
        <v>1.4471000000000001</v>
      </c>
      <c r="G179" s="105">
        <v>40522</v>
      </c>
      <c r="H179">
        <v>1.3226</v>
      </c>
    </row>
    <row r="180" spans="1:8">
      <c r="A180" s="105">
        <v>40453</v>
      </c>
      <c r="B180">
        <v>1.946</v>
      </c>
      <c r="D180" s="105">
        <v>40525</v>
      </c>
      <c r="E180">
        <v>1.4401999999999999</v>
      </c>
      <c r="G180" s="105">
        <v>40525</v>
      </c>
      <c r="H180">
        <v>1.3391</v>
      </c>
    </row>
    <row r="181" spans="1:8">
      <c r="A181" s="105">
        <v>40454</v>
      </c>
      <c r="B181">
        <v>1.946</v>
      </c>
      <c r="D181" s="105">
        <v>40526</v>
      </c>
      <c r="E181">
        <v>1.4361999999999999</v>
      </c>
      <c r="G181" s="105">
        <v>40526</v>
      </c>
      <c r="H181">
        <v>1.3378000000000001</v>
      </c>
    </row>
    <row r="182" spans="1:8">
      <c r="A182" s="105">
        <v>40455</v>
      </c>
      <c r="B182">
        <v>1.9377</v>
      </c>
      <c r="D182" s="105">
        <v>40527</v>
      </c>
      <c r="E182">
        <v>1.4477</v>
      </c>
      <c r="G182" s="105">
        <v>40527</v>
      </c>
      <c r="H182">
        <v>1.3213999999999999</v>
      </c>
    </row>
    <row r="183" spans="1:8">
      <c r="A183" s="105">
        <v>40456</v>
      </c>
      <c r="B183">
        <v>1.946</v>
      </c>
      <c r="D183" s="105">
        <v>40528</v>
      </c>
      <c r="E183">
        <v>1.4473</v>
      </c>
      <c r="G183" s="105">
        <v>40528</v>
      </c>
      <c r="H183">
        <v>1.3244</v>
      </c>
    </row>
    <row r="184" spans="1:8">
      <c r="A184" s="105">
        <v>40457</v>
      </c>
      <c r="B184">
        <v>1.9468000000000001</v>
      </c>
      <c r="D184" s="105">
        <v>40529</v>
      </c>
      <c r="E184">
        <v>1.4507000000000001</v>
      </c>
      <c r="G184" s="105">
        <v>40529</v>
      </c>
      <c r="H184">
        <v>1.3188</v>
      </c>
    </row>
    <row r="185" spans="1:8">
      <c r="A185" s="105">
        <v>40458</v>
      </c>
      <c r="B185">
        <v>1.9427000000000001</v>
      </c>
      <c r="D185" s="105">
        <v>40532</v>
      </c>
      <c r="E185">
        <v>1.4560999999999999</v>
      </c>
      <c r="G185" s="105">
        <v>40532</v>
      </c>
      <c r="H185">
        <v>1.3130999999999999</v>
      </c>
    </row>
    <row r="186" spans="1:8">
      <c r="A186" s="105">
        <v>40459</v>
      </c>
      <c r="B186">
        <v>1.9393</v>
      </c>
      <c r="D186" s="105">
        <v>40533</v>
      </c>
      <c r="E186">
        <v>1.4578</v>
      </c>
      <c r="G186" s="105">
        <v>40533</v>
      </c>
      <c r="H186">
        <v>1.31</v>
      </c>
    </row>
    <row r="187" spans="1:8">
      <c r="A187" s="105">
        <v>40461</v>
      </c>
      <c r="B187">
        <v>1.9409000000000001</v>
      </c>
      <c r="D187" s="105">
        <v>40534</v>
      </c>
      <c r="E187">
        <v>1.4572000000000001</v>
      </c>
      <c r="G187" s="105">
        <v>40534</v>
      </c>
      <c r="H187">
        <v>1.31</v>
      </c>
    </row>
    <row r="188" spans="1:8">
      <c r="A188" s="105">
        <v>40462</v>
      </c>
      <c r="B188">
        <v>1.9377</v>
      </c>
      <c r="D188" s="105">
        <v>40535</v>
      </c>
      <c r="E188">
        <v>1.4503999999999999</v>
      </c>
      <c r="G188" s="105">
        <v>40535</v>
      </c>
      <c r="H188">
        <v>1.3113999999999999</v>
      </c>
    </row>
    <row r="189" spans="1:8">
      <c r="A189" s="105">
        <v>40463</v>
      </c>
      <c r="B189">
        <v>1.9397</v>
      </c>
      <c r="D189" s="105">
        <v>40536</v>
      </c>
      <c r="E189">
        <v>1.4535</v>
      </c>
      <c r="G189" s="105">
        <v>40536</v>
      </c>
      <c r="H189">
        <v>1.3122</v>
      </c>
    </row>
    <row r="190" spans="1:8">
      <c r="A190" s="105">
        <v>40464</v>
      </c>
      <c r="B190">
        <v>1.9448000000000001</v>
      </c>
      <c r="D190" s="105">
        <v>40539</v>
      </c>
      <c r="E190">
        <v>1.448</v>
      </c>
      <c r="G190" s="105">
        <v>40539</v>
      </c>
      <c r="H190">
        <v>1.3165</v>
      </c>
    </row>
    <row r="191" spans="1:8">
      <c r="A191" s="105">
        <v>40465</v>
      </c>
      <c r="B191">
        <v>1.9468000000000001</v>
      </c>
      <c r="D191" s="105">
        <v>40540</v>
      </c>
      <c r="E191">
        <v>1.4553</v>
      </c>
      <c r="G191" s="105">
        <v>40540</v>
      </c>
      <c r="H191">
        <v>1.3115000000000001</v>
      </c>
    </row>
    <row r="192" spans="1:8">
      <c r="A192" s="105">
        <v>40466</v>
      </c>
      <c r="B192">
        <v>1.9399</v>
      </c>
      <c r="D192" s="105">
        <v>40541</v>
      </c>
      <c r="E192">
        <v>1.4469000000000001</v>
      </c>
      <c r="G192" s="105">
        <v>40541</v>
      </c>
      <c r="H192">
        <v>1.3225</v>
      </c>
    </row>
    <row r="193" spans="1:8">
      <c r="A193" s="105">
        <v>40467</v>
      </c>
      <c r="B193">
        <v>1.9419999999999999</v>
      </c>
      <c r="D193" s="105">
        <v>40542</v>
      </c>
      <c r="E193">
        <v>1.4419</v>
      </c>
      <c r="G193" s="105">
        <v>40542</v>
      </c>
      <c r="H193">
        <v>1.3290999999999999</v>
      </c>
    </row>
    <row r="194" spans="1:8">
      <c r="A194" s="105">
        <v>40468</v>
      </c>
      <c r="B194">
        <v>1.9419999999999999</v>
      </c>
      <c r="D194" s="105">
        <v>40543</v>
      </c>
      <c r="E194">
        <v>1.44</v>
      </c>
      <c r="G194" s="105">
        <v>40543</v>
      </c>
      <c r="H194">
        <v>1.3384</v>
      </c>
    </row>
    <row r="195" spans="1:8">
      <c r="A195" s="105">
        <v>40469</v>
      </c>
      <c r="B195">
        <v>1.9336</v>
      </c>
      <c r="D195" s="105">
        <v>40546</v>
      </c>
      <c r="E195">
        <v>1.4416</v>
      </c>
      <c r="G195" s="105">
        <v>40546</v>
      </c>
      <c r="H195">
        <v>1.3361000000000001</v>
      </c>
    </row>
    <row r="196" spans="1:8">
      <c r="A196" s="105">
        <v>40470</v>
      </c>
      <c r="B196">
        <v>1.9293</v>
      </c>
      <c r="D196" s="105">
        <v>40547</v>
      </c>
      <c r="E196">
        <v>1.4468000000000001</v>
      </c>
      <c r="G196" s="105">
        <v>40547</v>
      </c>
      <c r="H196">
        <v>1.3308</v>
      </c>
    </row>
    <row r="197" spans="1:8">
      <c r="A197" s="105">
        <v>40471</v>
      </c>
      <c r="B197">
        <v>1.9410000000000001</v>
      </c>
      <c r="D197" s="105">
        <v>40548</v>
      </c>
      <c r="E197">
        <v>1.4512</v>
      </c>
      <c r="G197" s="105">
        <v>40548</v>
      </c>
      <c r="H197">
        <v>1.3149</v>
      </c>
    </row>
    <row r="198" spans="1:8">
      <c r="A198" s="105">
        <v>40472</v>
      </c>
      <c r="B198">
        <v>1.94</v>
      </c>
      <c r="D198" s="105">
        <v>40549</v>
      </c>
      <c r="E198">
        <v>1.456</v>
      </c>
      <c r="G198" s="105">
        <v>40549</v>
      </c>
      <c r="H198">
        <v>1.3003</v>
      </c>
    </row>
    <row r="199" spans="1:8">
      <c r="A199" s="105">
        <v>40473</v>
      </c>
      <c r="B199">
        <v>1.9435</v>
      </c>
      <c r="D199" s="105">
        <v>40550</v>
      </c>
      <c r="E199">
        <v>1.4703999999999999</v>
      </c>
      <c r="G199" s="105">
        <v>40550</v>
      </c>
      <c r="H199">
        <v>1.2907</v>
      </c>
    </row>
    <row r="200" spans="1:8">
      <c r="A200" s="105">
        <v>40474</v>
      </c>
      <c r="B200">
        <v>1.9420999999999999</v>
      </c>
      <c r="D200" s="105">
        <v>40553</v>
      </c>
      <c r="E200">
        <v>1.4661999999999999</v>
      </c>
      <c r="G200" s="105">
        <v>40553</v>
      </c>
      <c r="H200">
        <v>1.2950999999999999</v>
      </c>
    </row>
    <row r="201" spans="1:8">
      <c r="A201" s="105">
        <v>40475</v>
      </c>
      <c r="B201">
        <v>1.9453</v>
      </c>
      <c r="D201" s="105">
        <v>40554</v>
      </c>
      <c r="E201">
        <v>1.4657</v>
      </c>
      <c r="G201" s="105">
        <v>40554</v>
      </c>
      <c r="H201">
        <v>1.2974000000000001</v>
      </c>
    </row>
    <row r="202" spans="1:8">
      <c r="A202" s="105">
        <v>40476</v>
      </c>
      <c r="B202">
        <v>1.9429000000000001</v>
      </c>
      <c r="D202" s="105">
        <v>40555</v>
      </c>
      <c r="E202">
        <v>1.4598</v>
      </c>
      <c r="G202" s="105">
        <v>40555</v>
      </c>
      <c r="H202">
        <v>1.3130999999999999</v>
      </c>
    </row>
    <row r="203" spans="1:8">
      <c r="A203" s="105">
        <v>40477</v>
      </c>
      <c r="B203">
        <v>1.9379</v>
      </c>
      <c r="D203" s="105">
        <v>40556</v>
      </c>
      <c r="E203">
        <v>1.4370000000000001</v>
      </c>
      <c r="G203" s="105">
        <v>40556</v>
      </c>
      <c r="H203">
        <v>1.3364</v>
      </c>
    </row>
    <row r="204" spans="1:8">
      <c r="A204" s="105">
        <v>40478</v>
      </c>
      <c r="B204">
        <v>1.9212</v>
      </c>
      <c r="D204" s="105">
        <v>40557</v>
      </c>
      <c r="E204">
        <v>1.4373</v>
      </c>
      <c r="G204" s="105">
        <v>40557</v>
      </c>
      <c r="H204">
        <v>1.3388</v>
      </c>
    </row>
    <row r="205" spans="1:8">
      <c r="A205" s="105">
        <v>40479</v>
      </c>
      <c r="B205">
        <v>1.9400999999999999</v>
      </c>
      <c r="D205" s="105">
        <v>40560</v>
      </c>
      <c r="E205">
        <v>1.4356</v>
      </c>
      <c r="G205" s="105">
        <v>40560</v>
      </c>
      <c r="H205">
        <v>1.3293999999999999</v>
      </c>
    </row>
    <row r="206" spans="1:8">
      <c r="A206" s="105">
        <v>40480</v>
      </c>
      <c r="B206">
        <v>1.9448000000000001</v>
      </c>
      <c r="D206" s="105">
        <v>40561</v>
      </c>
      <c r="E206">
        <v>1.4305000000000001</v>
      </c>
      <c r="G206" s="105">
        <v>40561</v>
      </c>
      <c r="H206">
        <v>1.3387</v>
      </c>
    </row>
    <row r="207" spans="1:8">
      <c r="A207" s="105">
        <v>40481</v>
      </c>
      <c r="B207">
        <v>1.9499</v>
      </c>
      <c r="D207" s="105">
        <v>40562</v>
      </c>
      <c r="E207">
        <v>1.4345000000000001</v>
      </c>
      <c r="G207" s="105">
        <v>40562</v>
      </c>
      <c r="H207">
        <v>1.3472999999999999</v>
      </c>
    </row>
    <row r="208" spans="1:8">
      <c r="A208" s="105">
        <v>40482</v>
      </c>
      <c r="B208">
        <v>1.9440999999999999</v>
      </c>
      <c r="D208" s="105">
        <v>40563</v>
      </c>
      <c r="E208">
        <v>1.4293</v>
      </c>
      <c r="G208" s="105">
        <v>40563</v>
      </c>
      <c r="H208">
        <v>1.3472999999999999</v>
      </c>
    </row>
    <row r="209" spans="1:8">
      <c r="A209" s="105">
        <v>40483</v>
      </c>
      <c r="B209">
        <v>1.9403999999999999</v>
      </c>
      <c r="D209" s="105">
        <v>40564</v>
      </c>
      <c r="E209">
        <v>1.4153</v>
      </c>
      <c r="G209" s="105">
        <v>40564</v>
      </c>
      <c r="H209">
        <v>1.3621000000000001</v>
      </c>
    </row>
    <row r="210" spans="1:8">
      <c r="A210" s="105">
        <v>40484</v>
      </c>
      <c r="B210">
        <v>1.9460999999999999</v>
      </c>
      <c r="D210" s="105">
        <v>40567</v>
      </c>
      <c r="E210">
        <v>1.4128000000000001</v>
      </c>
      <c r="G210" s="105">
        <v>40567</v>
      </c>
      <c r="H210">
        <v>1.3637999999999999</v>
      </c>
    </row>
    <row r="211" spans="1:8">
      <c r="A211" s="105">
        <v>40485</v>
      </c>
      <c r="B211">
        <v>1.9517</v>
      </c>
      <c r="D211" s="105">
        <v>40568</v>
      </c>
      <c r="E211">
        <v>1.4118999999999999</v>
      </c>
      <c r="G211" s="105">
        <v>40568</v>
      </c>
      <c r="H211">
        <v>1.3681000000000001</v>
      </c>
    </row>
    <row r="212" spans="1:8">
      <c r="A212" s="105">
        <v>40486</v>
      </c>
      <c r="B212">
        <v>1.9643999999999999</v>
      </c>
      <c r="D212" s="105">
        <v>40569</v>
      </c>
      <c r="E212">
        <v>1.4142999999999999</v>
      </c>
      <c r="G212" s="105">
        <v>40569</v>
      </c>
      <c r="H212">
        <v>1.3713</v>
      </c>
    </row>
    <row r="213" spans="1:8">
      <c r="A213" s="105">
        <v>40487</v>
      </c>
      <c r="B213">
        <v>1.9342999999999999</v>
      </c>
      <c r="D213" s="105">
        <v>40570</v>
      </c>
      <c r="E213">
        <v>1.4125000000000001</v>
      </c>
      <c r="G213" s="105">
        <v>40570</v>
      </c>
      <c r="H213">
        <v>1.3734</v>
      </c>
    </row>
    <row r="214" spans="1:8">
      <c r="A214" s="105">
        <v>40488</v>
      </c>
      <c r="B214">
        <v>1.9326000000000001</v>
      </c>
      <c r="D214" s="105">
        <v>40571</v>
      </c>
      <c r="E214">
        <v>1.4180999999999999</v>
      </c>
      <c r="G214" s="105">
        <v>40571</v>
      </c>
      <c r="H214">
        <v>1.3611</v>
      </c>
    </row>
    <row r="215" spans="1:8">
      <c r="A215" s="105">
        <v>40489</v>
      </c>
      <c r="B215">
        <v>1.9326000000000001</v>
      </c>
      <c r="D215" s="105">
        <v>40574</v>
      </c>
      <c r="E215">
        <v>1.4159999999999999</v>
      </c>
      <c r="G215" s="105">
        <v>40574</v>
      </c>
      <c r="H215">
        <v>1.3694</v>
      </c>
    </row>
    <row r="216" spans="1:8">
      <c r="A216" s="105">
        <v>40490</v>
      </c>
      <c r="B216">
        <v>1.9422999999999999</v>
      </c>
      <c r="D216" s="105">
        <v>40575</v>
      </c>
      <c r="E216">
        <v>1.4046000000000001</v>
      </c>
      <c r="G216" s="105">
        <v>40575</v>
      </c>
      <c r="H216">
        <v>1.3829</v>
      </c>
    </row>
    <row r="217" spans="1:8">
      <c r="A217" s="105">
        <v>40491</v>
      </c>
      <c r="B217">
        <v>1.9350000000000001</v>
      </c>
      <c r="D217" s="105">
        <v>40576</v>
      </c>
      <c r="E217">
        <v>1.4057999999999999</v>
      </c>
      <c r="G217" s="105">
        <v>40576</v>
      </c>
      <c r="H217">
        <v>1.3811</v>
      </c>
    </row>
    <row r="218" spans="1:8">
      <c r="A218" s="105">
        <v>40492</v>
      </c>
      <c r="B218">
        <v>1.9356</v>
      </c>
      <c r="D218" s="105">
        <v>40577</v>
      </c>
      <c r="E218">
        <v>1.419</v>
      </c>
      <c r="G218" s="105">
        <v>40577</v>
      </c>
      <c r="H218">
        <v>1.3633999999999999</v>
      </c>
    </row>
    <row r="219" spans="1:8">
      <c r="A219" s="105">
        <v>40493</v>
      </c>
      <c r="B219">
        <v>1.9309000000000001</v>
      </c>
      <c r="D219" s="105">
        <v>40578</v>
      </c>
      <c r="E219">
        <v>1.4137</v>
      </c>
      <c r="G219" s="105">
        <v>40578</v>
      </c>
      <c r="H219">
        <v>1.3581000000000001</v>
      </c>
    </row>
    <row r="220" spans="1:8">
      <c r="A220" s="105">
        <v>40494</v>
      </c>
      <c r="B220">
        <v>1.9321999999999999</v>
      </c>
      <c r="D220" s="105">
        <v>40581</v>
      </c>
      <c r="E220">
        <v>1.4172</v>
      </c>
      <c r="G220" s="105">
        <v>40581</v>
      </c>
      <c r="H220">
        <v>1.3583000000000001</v>
      </c>
    </row>
    <row r="221" spans="1:8">
      <c r="A221" s="105">
        <v>40495</v>
      </c>
      <c r="B221">
        <v>1.9355</v>
      </c>
      <c r="D221" s="105">
        <v>40582</v>
      </c>
      <c r="E221">
        <v>1.4134</v>
      </c>
      <c r="G221" s="105">
        <v>40582</v>
      </c>
      <c r="H221">
        <v>1.3625</v>
      </c>
    </row>
    <row r="222" spans="1:8">
      <c r="A222" s="105">
        <v>40496</v>
      </c>
      <c r="B222">
        <v>1.9359</v>
      </c>
      <c r="D222" s="105">
        <v>40583</v>
      </c>
      <c r="E222">
        <v>1.4064000000000001</v>
      </c>
      <c r="G222" s="105">
        <v>40583</v>
      </c>
      <c r="H222">
        <v>1.3733</v>
      </c>
    </row>
    <row r="223" spans="1:8">
      <c r="A223" s="105">
        <v>40497</v>
      </c>
      <c r="B223">
        <v>1.9280999999999999</v>
      </c>
      <c r="D223" s="105">
        <v>40584</v>
      </c>
      <c r="E223">
        <v>1.4176</v>
      </c>
      <c r="G223" s="105">
        <v>40584</v>
      </c>
      <c r="H223">
        <v>1.3603000000000001</v>
      </c>
    </row>
    <row r="224" spans="1:8">
      <c r="A224" s="105">
        <v>40498</v>
      </c>
      <c r="B224">
        <v>1.9195</v>
      </c>
      <c r="D224" s="105">
        <v>40585</v>
      </c>
      <c r="E224">
        <v>1.4226000000000001</v>
      </c>
      <c r="G224" s="105">
        <v>40585</v>
      </c>
      <c r="H224">
        <v>1.3553999999999999</v>
      </c>
    </row>
    <row r="225" spans="1:8">
      <c r="A225" s="105">
        <v>40499</v>
      </c>
      <c r="B225">
        <v>1.9236</v>
      </c>
      <c r="D225" s="105">
        <v>40588</v>
      </c>
      <c r="E225">
        <v>1.4261999999999999</v>
      </c>
      <c r="G225" s="105">
        <v>40588</v>
      </c>
      <c r="H225">
        <v>1.3489</v>
      </c>
    </row>
    <row r="226" spans="1:8">
      <c r="A226" s="105">
        <v>40500</v>
      </c>
      <c r="B226">
        <v>1.9297</v>
      </c>
      <c r="D226" s="105">
        <v>40589</v>
      </c>
      <c r="E226">
        <v>1.4288000000000001</v>
      </c>
      <c r="G226" s="105">
        <v>40589</v>
      </c>
      <c r="H226">
        <v>1.3487</v>
      </c>
    </row>
    <row r="227" spans="1:8">
      <c r="A227" s="105">
        <v>40501</v>
      </c>
      <c r="B227">
        <v>1.9315</v>
      </c>
      <c r="D227" s="105">
        <v>40590</v>
      </c>
      <c r="E227">
        <v>1.4238</v>
      </c>
      <c r="G227" s="105">
        <v>40590</v>
      </c>
      <c r="H227">
        <v>1.3569</v>
      </c>
    </row>
    <row r="228" spans="1:8">
      <c r="A228" s="105">
        <v>40502</v>
      </c>
      <c r="B228">
        <v>1.925</v>
      </c>
      <c r="D228" s="105">
        <v>40591</v>
      </c>
      <c r="E228">
        <v>1.4206000000000001</v>
      </c>
      <c r="G228" s="105">
        <v>40591</v>
      </c>
      <c r="H228">
        <v>1.3609</v>
      </c>
    </row>
    <row r="229" spans="1:8">
      <c r="A229" s="105">
        <v>40504</v>
      </c>
      <c r="B229">
        <v>1.93</v>
      </c>
      <c r="D229" s="105">
        <v>40592</v>
      </c>
      <c r="E229">
        <v>1.4208000000000001</v>
      </c>
      <c r="G229" s="105">
        <v>40592</v>
      </c>
      <c r="H229">
        <v>1.3693</v>
      </c>
    </row>
    <row r="230" spans="1:8">
      <c r="A230" s="105">
        <v>40505</v>
      </c>
      <c r="B230">
        <v>1.9148000000000001</v>
      </c>
      <c r="D230" s="105">
        <v>40595</v>
      </c>
      <c r="E230">
        <v>1.4117999999999999</v>
      </c>
      <c r="G230" s="105">
        <v>40595</v>
      </c>
      <c r="H230">
        <v>1.3677999999999999</v>
      </c>
    </row>
    <row r="231" spans="1:8">
      <c r="A231" s="105">
        <v>40506</v>
      </c>
      <c r="B231">
        <v>1.9128000000000001</v>
      </c>
      <c r="D231" s="105">
        <v>40596</v>
      </c>
      <c r="E231">
        <v>1.4175</v>
      </c>
      <c r="G231" s="105">
        <v>40596</v>
      </c>
      <c r="H231">
        <v>1.365</v>
      </c>
    </row>
    <row r="232" spans="1:8">
      <c r="A232" s="105">
        <v>40507</v>
      </c>
      <c r="B232">
        <v>1.9157999999999999</v>
      </c>
      <c r="D232" s="105">
        <v>40597</v>
      </c>
      <c r="E232">
        <v>1.4094</v>
      </c>
      <c r="G232" s="105">
        <v>40597</v>
      </c>
      <c r="H232">
        <v>1.3749</v>
      </c>
    </row>
    <row r="233" spans="1:8">
      <c r="A233" s="105">
        <v>40508</v>
      </c>
      <c r="B233">
        <v>1.9103000000000001</v>
      </c>
      <c r="D233" s="105">
        <v>40598</v>
      </c>
      <c r="E233">
        <v>1.4073</v>
      </c>
      <c r="G233" s="105">
        <v>40598</v>
      </c>
      <c r="H233">
        <v>1.38</v>
      </c>
    </row>
    <row r="234" spans="1:8">
      <c r="A234" s="105">
        <v>40509</v>
      </c>
      <c r="B234">
        <v>1.9113</v>
      </c>
      <c r="D234" s="105">
        <v>40599</v>
      </c>
      <c r="E234">
        <v>1.4104000000000001</v>
      </c>
      <c r="G234" s="105">
        <v>40599</v>
      </c>
      <c r="H234">
        <v>1.3754</v>
      </c>
    </row>
    <row r="235" spans="1:8">
      <c r="A235" s="105">
        <v>40510</v>
      </c>
      <c r="B235">
        <v>1.9117</v>
      </c>
      <c r="D235" s="105">
        <v>40602</v>
      </c>
      <c r="E235">
        <v>1.4074</v>
      </c>
      <c r="G235" s="105">
        <v>40602</v>
      </c>
      <c r="H235">
        <v>1.3806</v>
      </c>
    </row>
    <row r="236" spans="1:8">
      <c r="A236" s="105">
        <v>40511</v>
      </c>
      <c r="B236">
        <v>1.9077999999999999</v>
      </c>
      <c r="D236" s="105">
        <v>40603</v>
      </c>
      <c r="E236">
        <v>1.4096</v>
      </c>
      <c r="G236" s="105">
        <v>40603</v>
      </c>
      <c r="H236">
        <v>1.3776999999999999</v>
      </c>
    </row>
    <row r="237" spans="1:8">
      <c r="A237" s="105">
        <v>40512</v>
      </c>
      <c r="B237">
        <v>1.9015</v>
      </c>
      <c r="D237" s="105">
        <v>40604</v>
      </c>
      <c r="E237">
        <v>1.4008</v>
      </c>
      <c r="G237" s="105">
        <v>40604</v>
      </c>
      <c r="H237">
        <v>1.3866000000000001</v>
      </c>
    </row>
    <row r="238" spans="1:8">
      <c r="A238" s="105">
        <v>40513</v>
      </c>
      <c r="B238">
        <v>1.9094</v>
      </c>
      <c r="D238" s="105">
        <v>40605</v>
      </c>
      <c r="E238">
        <v>1.3948</v>
      </c>
      <c r="G238" s="105">
        <v>40605</v>
      </c>
      <c r="H238">
        <v>1.3969</v>
      </c>
    </row>
    <row r="239" spans="1:8">
      <c r="A239" s="105">
        <v>40514</v>
      </c>
      <c r="B239">
        <v>1.9131</v>
      </c>
      <c r="D239" s="105">
        <v>40606</v>
      </c>
      <c r="E239">
        <v>1.3954</v>
      </c>
      <c r="G239" s="105">
        <v>40606</v>
      </c>
      <c r="H239">
        <v>1.3987000000000001</v>
      </c>
    </row>
    <row r="240" spans="1:8">
      <c r="A240" s="105">
        <v>40515</v>
      </c>
      <c r="B240">
        <v>1.9224000000000001</v>
      </c>
      <c r="D240" s="105">
        <v>40609</v>
      </c>
      <c r="E240">
        <v>1.3975</v>
      </c>
      <c r="G240" s="105">
        <v>40609</v>
      </c>
      <c r="H240">
        <v>1.3968</v>
      </c>
    </row>
    <row r="241" spans="1:8">
      <c r="A241" s="105">
        <v>40517</v>
      </c>
      <c r="B241">
        <v>1.9247000000000001</v>
      </c>
      <c r="D241" s="105">
        <v>40610</v>
      </c>
      <c r="E241">
        <v>1.4015</v>
      </c>
      <c r="G241" s="105">
        <v>40610</v>
      </c>
      <c r="H241">
        <v>1.3905000000000001</v>
      </c>
    </row>
    <row r="242" spans="1:8">
      <c r="A242" s="105">
        <v>40518</v>
      </c>
      <c r="B242">
        <v>1.9155</v>
      </c>
      <c r="D242" s="105">
        <v>40611</v>
      </c>
      <c r="E242">
        <v>1.4011</v>
      </c>
      <c r="G242" s="105">
        <v>40611</v>
      </c>
      <c r="H242">
        <v>1.3909</v>
      </c>
    </row>
    <row r="243" spans="1:8">
      <c r="A243" s="105">
        <v>40519</v>
      </c>
      <c r="B243">
        <v>1.9113</v>
      </c>
      <c r="D243" s="105">
        <v>40612</v>
      </c>
      <c r="E243">
        <v>1.4080999999999999</v>
      </c>
      <c r="G243" s="105">
        <v>40612</v>
      </c>
      <c r="H243">
        <v>1.3797999999999999</v>
      </c>
    </row>
    <row r="244" spans="1:8">
      <c r="A244" s="105">
        <v>40520</v>
      </c>
      <c r="B244">
        <v>1.9140999999999999</v>
      </c>
      <c r="D244" s="105">
        <v>40613</v>
      </c>
      <c r="E244">
        <v>1.3976</v>
      </c>
      <c r="G244" s="105">
        <v>40613</v>
      </c>
      <c r="H244">
        <v>1.3903000000000001</v>
      </c>
    </row>
    <row r="245" spans="1:8">
      <c r="A245" s="105">
        <v>40521</v>
      </c>
      <c r="B245">
        <v>1.9115</v>
      </c>
      <c r="D245" s="105">
        <v>40616</v>
      </c>
      <c r="E245">
        <v>1.3959999999999999</v>
      </c>
      <c r="G245" s="105">
        <v>40616</v>
      </c>
      <c r="H245">
        <v>1.3992</v>
      </c>
    </row>
    <row r="246" spans="1:8">
      <c r="A246" s="105">
        <v>40522</v>
      </c>
      <c r="B246">
        <v>1.9125000000000001</v>
      </c>
      <c r="D246" s="105">
        <v>40617</v>
      </c>
      <c r="E246">
        <v>1.3917999999999999</v>
      </c>
      <c r="G246" s="105">
        <v>40617</v>
      </c>
      <c r="H246">
        <v>1.3997999999999999</v>
      </c>
    </row>
    <row r="247" spans="1:8">
      <c r="A247" s="105">
        <v>40523</v>
      </c>
      <c r="B247">
        <v>1.9133</v>
      </c>
      <c r="D247" s="105">
        <v>40618</v>
      </c>
      <c r="E247">
        <v>1.405</v>
      </c>
      <c r="G247" s="105">
        <v>40618</v>
      </c>
      <c r="H247">
        <v>1.39</v>
      </c>
    </row>
    <row r="248" spans="1:8">
      <c r="A248" s="105">
        <v>40524</v>
      </c>
      <c r="B248">
        <v>1.9135</v>
      </c>
      <c r="D248" s="105">
        <v>40619</v>
      </c>
      <c r="E248">
        <v>1.3926000000000001</v>
      </c>
      <c r="G248" s="105">
        <v>40619</v>
      </c>
      <c r="H248">
        <v>1.4020999999999999</v>
      </c>
    </row>
    <row r="249" spans="1:8">
      <c r="A249" s="105">
        <v>40525</v>
      </c>
      <c r="B249">
        <v>1.9194</v>
      </c>
      <c r="D249" s="105">
        <v>40620</v>
      </c>
      <c r="E249">
        <v>1.3795999999999999</v>
      </c>
      <c r="G249" s="105">
        <v>40620</v>
      </c>
      <c r="H249">
        <v>1.4181999999999999</v>
      </c>
    </row>
    <row r="250" spans="1:8">
      <c r="A250" s="105">
        <v>40526</v>
      </c>
      <c r="B250">
        <v>1.9188000000000001</v>
      </c>
      <c r="D250" s="105">
        <v>40623</v>
      </c>
      <c r="E250">
        <v>1.3768</v>
      </c>
      <c r="G250" s="105">
        <v>40623</v>
      </c>
      <c r="H250">
        <v>1.4226000000000001</v>
      </c>
    </row>
    <row r="251" spans="1:8">
      <c r="A251" s="105">
        <v>40527</v>
      </c>
      <c r="B251">
        <v>1.9141999999999999</v>
      </c>
      <c r="D251" s="105">
        <v>40624</v>
      </c>
      <c r="E251">
        <v>1.3806</v>
      </c>
      <c r="G251" s="105">
        <v>40624</v>
      </c>
      <c r="H251">
        <v>1.4196</v>
      </c>
    </row>
    <row r="252" spans="1:8">
      <c r="A252" s="105">
        <v>40528</v>
      </c>
      <c r="B252">
        <v>1.9153</v>
      </c>
      <c r="D252" s="105">
        <v>40625</v>
      </c>
      <c r="E252">
        <v>1.3884000000000001</v>
      </c>
      <c r="G252" s="105">
        <v>40625</v>
      </c>
      <c r="H252">
        <v>1.4088000000000001</v>
      </c>
    </row>
    <row r="253" spans="1:8">
      <c r="A253" s="105">
        <v>40529</v>
      </c>
      <c r="B253">
        <v>1.9153</v>
      </c>
      <c r="D253" s="105">
        <v>40626</v>
      </c>
      <c r="E253">
        <v>1.3855999999999999</v>
      </c>
      <c r="G253" s="105">
        <v>40626</v>
      </c>
      <c r="H253">
        <v>1.4177</v>
      </c>
    </row>
    <row r="254" spans="1:8">
      <c r="A254" s="105">
        <v>40530</v>
      </c>
      <c r="B254">
        <v>1.9153</v>
      </c>
      <c r="D254" s="105">
        <v>40627</v>
      </c>
      <c r="E254">
        <v>1.3873</v>
      </c>
      <c r="G254" s="105">
        <v>40627</v>
      </c>
      <c r="H254">
        <v>1.4088000000000001</v>
      </c>
    </row>
    <row r="255" spans="1:8">
      <c r="A255" s="105">
        <v>40531</v>
      </c>
      <c r="B255">
        <v>1.9153</v>
      </c>
      <c r="D255" s="105">
        <v>40630</v>
      </c>
      <c r="E255">
        <v>1.387</v>
      </c>
      <c r="G255" s="105">
        <v>40630</v>
      </c>
      <c r="H255">
        <v>1.4087000000000001</v>
      </c>
    </row>
    <row r="256" spans="1:8">
      <c r="A256" s="105">
        <v>40532</v>
      </c>
      <c r="B256">
        <v>1.9120999999999999</v>
      </c>
      <c r="D256" s="105">
        <v>40631</v>
      </c>
      <c r="E256">
        <v>1.3877999999999999</v>
      </c>
      <c r="G256" s="105">
        <v>40631</v>
      </c>
      <c r="H256">
        <v>1.4113</v>
      </c>
    </row>
    <row r="257" spans="1:8">
      <c r="A257" s="105">
        <v>40533</v>
      </c>
      <c r="B257">
        <v>1.9105000000000001</v>
      </c>
      <c r="D257" s="105">
        <v>40632</v>
      </c>
      <c r="E257">
        <v>1.3828</v>
      </c>
      <c r="G257" s="105">
        <v>40632</v>
      </c>
      <c r="H257">
        <v>1.4127000000000001</v>
      </c>
    </row>
    <row r="258" spans="1:8">
      <c r="A258" s="105">
        <v>40534</v>
      </c>
      <c r="B258">
        <v>1.9098999999999999</v>
      </c>
      <c r="D258" s="105">
        <v>40633</v>
      </c>
      <c r="E258">
        <v>1.3867</v>
      </c>
      <c r="G258" s="105">
        <v>40633</v>
      </c>
      <c r="H258">
        <v>1.4157999999999999</v>
      </c>
    </row>
    <row r="259" spans="1:8">
      <c r="A259" s="105">
        <v>40535</v>
      </c>
      <c r="B259">
        <v>1.9049</v>
      </c>
      <c r="D259" s="105">
        <v>40634</v>
      </c>
      <c r="E259">
        <v>1.3847</v>
      </c>
      <c r="G259" s="105">
        <v>40634</v>
      </c>
      <c r="H259">
        <v>1.4237</v>
      </c>
    </row>
    <row r="260" spans="1:8">
      <c r="A260" s="105">
        <v>40536</v>
      </c>
      <c r="B260">
        <v>1.9074</v>
      </c>
      <c r="D260" s="105">
        <v>40637</v>
      </c>
      <c r="E260">
        <v>1.3833</v>
      </c>
      <c r="G260" s="105">
        <v>40637</v>
      </c>
      <c r="H260">
        <v>1.4220999999999999</v>
      </c>
    </row>
    <row r="261" spans="1:8">
      <c r="A261" s="105">
        <v>40537</v>
      </c>
      <c r="B261">
        <v>1.9065000000000001</v>
      </c>
      <c r="D261" s="105">
        <v>40638</v>
      </c>
      <c r="E261">
        <v>1.3838999999999999</v>
      </c>
      <c r="G261" s="105">
        <v>40638</v>
      </c>
      <c r="H261">
        <v>1.4222999999999999</v>
      </c>
    </row>
    <row r="262" spans="1:8">
      <c r="A262" s="105">
        <v>40538</v>
      </c>
      <c r="B262">
        <v>1.9065000000000001</v>
      </c>
      <c r="D262" s="105">
        <v>40639</v>
      </c>
      <c r="E262">
        <v>1.3772</v>
      </c>
      <c r="G262" s="105">
        <v>40639</v>
      </c>
      <c r="H262">
        <v>1.4331</v>
      </c>
    </row>
    <row r="263" spans="1:8">
      <c r="A263" s="105">
        <v>40539</v>
      </c>
      <c r="B263">
        <v>1.9097999999999999</v>
      </c>
      <c r="D263" s="105">
        <v>40640</v>
      </c>
      <c r="E263">
        <v>1.3757999999999999</v>
      </c>
      <c r="G263" s="105">
        <v>40640</v>
      </c>
      <c r="H263">
        <v>1.4308000000000001</v>
      </c>
    </row>
    <row r="264" spans="1:8">
      <c r="A264" s="105">
        <v>40540</v>
      </c>
      <c r="B264">
        <v>1.9088000000000001</v>
      </c>
      <c r="D264" s="105">
        <v>40641</v>
      </c>
      <c r="E264">
        <v>1.3689</v>
      </c>
      <c r="G264" s="105">
        <v>40641</v>
      </c>
      <c r="H264">
        <v>1.4482999999999999</v>
      </c>
    </row>
    <row r="265" spans="1:8">
      <c r="A265" s="105">
        <v>40541</v>
      </c>
      <c r="B265">
        <v>1.9137999999999999</v>
      </c>
      <c r="D265" s="105">
        <v>40644</v>
      </c>
      <c r="E265">
        <v>1.3689</v>
      </c>
      <c r="G265" s="105">
        <v>40644</v>
      </c>
      <c r="H265">
        <v>1.4436</v>
      </c>
    </row>
    <row r="266" spans="1:8">
      <c r="A266" s="105">
        <v>40542</v>
      </c>
      <c r="B266">
        <v>1.9165000000000001</v>
      </c>
      <c r="D266" s="105">
        <v>40645</v>
      </c>
      <c r="E266">
        <v>1.3685</v>
      </c>
      <c r="G266" s="105">
        <v>40645</v>
      </c>
      <c r="H266">
        <v>1.4477</v>
      </c>
    </row>
    <row r="267" spans="1:8">
      <c r="A267" s="105">
        <v>40543</v>
      </c>
      <c r="B267">
        <v>1.927</v>
      </c>
      <c r="D267" s="105">
        <v>40646</v>
      </c>
      <c r="E267">
        <v>1.3696999999999999</v>
      </c>
      <c r="G267" s="105">
        <v>40646</v>
      </c>
      <c r="H267">
        <v>1.4442999999999999</v>
      </c>
    </row>
    <row r="268" spans="1:8">
      <c r="A268" s="105">
        <v>40546</v>
      </c>
      <c r="B268">
        <v>1.9216</v>
      </c>
      <c r="D268" s="105">
        <v>40647</v>
      </c>
      <c r="E268">
        <v>1.3728</v>
      </c>
      <c r="G268" s="105">
        <v>40647</v>
      </c>
      <c r="H268">
        <v>1.4488000000000001</v>
      </c>
    </row>
    <row r="269" spans="1:8">
      <c r="A269" s="105">
        <v>40547</v>
      </c>
      <c r="B269">
        <v>1.9177</v>
      </c>
      <c r="D269" s="105">
        <v>40648</v>
      </c>
      <c r="E269">
        <v>1.375</v>
      </c>
      <c r="G269" s="105">
        <v>40648</v>
      </c>
      <c r="H269">
        <v>1.4430000000000001</v>
      </c>
    </row>
    <row r="270" spans="1:8">
      <c r="A270" s="105">
        <v>40548</v>
      </c>
      <c r="B270">
        <v>1.9092</v>
      </c>
      <c r="D270" s="105">
        <v>40651</v>
      </c>
      <c r="E270">
        <v>1.3836999999999999</v>
      </c>
      <c r="G270" s="105">
        <v>40651</v>
      </c>
      <c r="H270">
        <v>1.4235</v>
      </c>
    </row>
    <row r="271" spans="1:8">
      <c r="A271" s="105">
        <v>40549</v>
      </c>
      <c r="B271">
        <v>1.9039999999999999</v>
      </c>
      <c r="D271" s="105">
        <v>40652</v>
      </c>
      <c r="E271">
        <v>1.3740000000000001</v>
      </c>
      <c r="G271" s="105">
        <v>40652</v>
      </c>
      <c r="H271">
        <v>1.4335</v>
      </c>
    </row>
    <row r="272" spans="1:8">
      <c r="A272" s="105">
        <v>40550</v>
      </c>
      <c r="B272">
        <v>1.8983000000000001</v>
      </c>
      <c r="D272" s="105">
        <v>40653</v>
      </c>
      <c r="E272">
        <v>1.369</v>
      </c>
      <c r="G272" s="105">
        <v>40653</v>
      </c>
      <c r="H272">
        <v>1.4522999999999999</v>
      </c>
    </row>
    <row r="273" spans="1:8">
      <c r="A273" s="105">
        <v>40551</v>
      </c>
      <c r="B273">
        <v>1.8982000000000001</v>
      </c>
      <c r="D273" s="105">
        <v>40654</v>
      </c>
      <c r="E273">
        <v>1.3582000000000001</v>
      </c>
      <c r="G273" s="105">
        <v>40654</v>
      </c>
      <c r="H273">
        <v>1.4552</v>
      </c>
    </row>
    <row r="274" spans="1:8">
      <c r="A274" s="105">
        <v>40552</v>
      </c>
      <c r="B274">
        <v>1.8982000000000001</v>
      </c>
      <c r="D274" s="105">
        <v>40655</v>
      </c>
      <c r="E274">
        <v>1.3553999999999999</v>
      </c>
      <c r="G274" s="105">
        <v>40655</v>
      </c>
      <c r="H274">
        <v>1.4560999999999999</v>
      </c>
    </row>
    <row r="275" spans="1:8">
      <c r="A275" s="105">
        <v>40553</v>
      </c>
      <c r="B275">
        <v>1.9013</v>
      </c>
      <c r="D275" s="105">
        <v>40658</v>
      </c>
      <c r="E275">
        <v>1.3605</v>
      </c>
      <c r="G275" s="105">
        <v>40658</v>
      </c>
      <c r="H275">
        <v>1.4581999999999999</v>
      </c>
    </row>
    <row r="276" spans="1:8">
      <c r="A276" s="105">
        <v>40554</v>
      </c>
      <c r="B276">
        <v>1.9020999999999999</v>
      </c>
      <c r="D276" s="105">
        <v>40659</v>
      </c>
      <c r="E276">
        <v>1.3569</v>
      </c>
      <c r="G276" s="105">
        <v>40659</v>
      </c>
      <c r="H276">
        <v>1.4643999999999999</v>
      </c>
    </row>
    <row r="277" spans="1:8">
      <c r="A277" s="105">
        <v>40555</v>
      </c>
      <c r="B277">
        <v>1.9096</v>
      </c>
      <c r="D277" s="105">
        <v>40660</v>
      </c>
      <c r="E277">
        <v>1.3463000000000001</v>
      </c>
      <c r="G277" s="105">
        <v>40660</v>
      </c>
      <c r="H277">
        <v>1.4787999999999999</v>
      </c>
    </row>
    <row r="278" spans="1:8">
      <c r="A278" s="105">
        <v>40556</v>
      </c>
      <c r="B278">
        <v>1.9198</v>
      </c>
      <c r="D278" s="105">
        <v>40661</v>
      </c>
      <c r="E278">
        <v>1.3460000000000001</v>
      </c>
      <c r="G278" s="105">
        <v>40661</v>
      </c>
      <c r="H278">
        <v>1.4822</v>
      </c>
    </row>
    <row r="279" spans="1:8">
      <c r="A279" s="105">
        <v>40557</v>
      </c>
      <c r="B279">
        <v>1.9245000000000001</v>
      </c>
      <c r="D279" s="105">
        <v>40662</v>
      </c>
      <c r="E279">
        <v>1.3480000000000001</v>
      </c>
      <c r="G279" s="105">
        <v>40662</v>
      </c>
      <c r="H279">
        <v>1.4806999999999999</v>
      </c>
    </row>
    <row r="280" spans="1:8">
      <c r="A280" s="105">
        <v>40558</v>
      </c>
      <c r="B280">
        <v>1.9215</v>
      </c>
      <c r="D280" s="105">
        <v>40665</v>
      </c>
      <c r="E280">
        <v>1.3462000000000001</v>
      </c>
      <c r="G280" s="105">
        <v>40665</v>
      </c>
      <c r="H280">
        <v>1.4830000000000001</v>
      </c>
    </row>
    <row r="281" spans="1:8">
      <c r="A281" s="105">
        <v>40560</v>
      </c>
      <c r="B281">
        <v>1.92</v>
      </c>
      <c r="D281" s="105">
        <v>40666</v>
      </c>
      <c r="E281">
        <v>1.3498000000000001</v>
      </c>
      <c r="G281" s="105">
        <v>40666</v>
      </c>
      <c r="H281">
        <v>1.4824999999999999</v>
      </c>
    </row>
    <row r="282" spans="1:8">
      <c r="A282" s="105">
        <v>40561</v>
      </c>
      <c r="B282">
        <v>1.9216</v>
      </c>
      <c r="D282" s="105">
        <v>40667</v>
      </c>
      <c r="E282">
        <v>1.3460000000000001</v>
      </c>
      <c r="G282" s="105">
        <v>40667</v>
      </c>
      <c r="H282">
        <v>1.4826999999999999</v>
      </c>
    </row>
    <row r="283" spans="1:8">
      <c r="A283" s="105">
        <v>40562</v>
      </c>
      <c r="B283">
        <v>1.9254</v>
      </c>
      <c r="D283" s="105">
        <v>40668</v>
      </c>
      <c r="E283">
        <v>1.3642000000000001</v>
      </c>
      <c r="G283" s="105">
        <v>40668</v>
      </c>
      <c r="H283">
        <v>1.4539</v>
      </c>
    </row>
    <row r="284" spans="1:8">
      <c r="A284" s="105">
        <v>40563</v>
      </c>
      <c r="B284">
        <v>1.9251</v>
      </c>
      <c r="D284" s="105">
        <v>40669</v>
      </c>
      <c r="E284">
        <v>1.3526</v>
      </c>
      <c r="G284" s="105">
        <v>40669</v>
      </c>
      <c r="H284">
        <v>1.4316</v>
      </c>
    </row>
    <row r="285" spans="1:8">
      <c r="A285" s="105">
        <v>40564</v>
      </c>
      <c r="B285">
        <v>1.929</v>
      </c>
      <c r="D285" s="105">
        <v>40672</v>
      </c>
      <c r="E285">
        <v>1.3767</v>
      </c>
      <c r="G285" s="105">
        <v>40672</v>
      </c>
      <c r="H285">
        <v>1.4365000000000001</v>
      </c>
    </row>
    <row r="286" spans="1:8">
      <c r="A286" s="105">
        <v>40565</v>
      </c>
      <c r="B286">
        <v>1.929</v>
      </c>
      <c r="D286" s="105">
        <v>40673</v>
      </c>
      <c r="E286">
        <v>1.3733</v>
      </c>
      <c r="G286" s="105">
        <v>40673</v>
      </c>
      <c r="H286">
        <v>1.4409000000000001</v>
      </c>
    </row>
    <row r="287" spans="1:8">
      <c r="A287" s="105">
        <v>40566</v>
      </c>
      <c r="B287">
        <v>1.929</v>
      </c>
      <c r="D287" s="105">
        <v>40674</v>
      </c>
      <c r="E287">
        <v>1.3845000000000001</v>
      </c>
      <c r="G287" s="105">
        <v>40674</v>
      </c>
      <c r="H287">
        <v>1.4192</v>
      </c>
    </row>
    <row r="288" spans="1:8">
      <c r="A288" s="105">
        <v>40567</v>
      </c>
      <c r="B288">
        <v>1.9321999999999999</v>
      </c>
      <c r="D288" s="105">
        <v>40675</v>
      </c>
      <c r="E288">
        <v>1.3823000000000001</v>
      </c>
      <c r="G288" s="105">
        <v>40675</v>
      </c>
      <c r="H288">
        <v>1.4246000000000001</v>
      </c>
    </row>
    <row r="289" spans="1:8">
      <c r="A289" s="105">
        <v>40568</v>
      </c>
      <c r="B289">
        <v>1.9369000000000001</v>
      </c>
      <c r="D289" s="105">
        <v>40676</v>
      </c>
      <c r="E289">
        <v>1.3912</v>
      </c>
      <c r="G289" s="105">
        <v>40676</v>
      </c>
      <c r="H289">
        <v>1.4118999999999999</v>
      </c>
    </row>
    <row r="290" spans="1:8">
      <c r="A290" s="105">
        <v>40569</v>
      </c>
      <c r="B290">
        <v>1.9383999999999999</v>
      </c>
      <c r="D290" s="105">
        <v>40679</v>
      </c>
      <c r="E290">
        <v>1.3871</v>
      </c>
      <c r="G290" s="105">
        <v>40679</v>
      </c>
      <c r="H290">
        <v>1.4156</v>
      </c>
    </row>
    <row r="291" spans="1:8">
      <c r="A291" s="105">
        <v>40570</v>
      </c>
      <c r="B291">
        <v>1.9397</v>
      </c>
      <c r="D291" s="105">
        <v>40680</v>
      </c>
      <c r="E291">
        <v>1.3872</v>
      </c>
      <c r="G291" s="105">
        <v>40680</v>
      </c>
      <c r="H291">
        <v>1.4237</v>
      </c>
    </row>
    <row r="292" spans="1:8">
      <c r="A292" s="105">
        <v>40571</v>
      </c>
      <c r="B292">
        <v>1.9359</v>
      </c>
      <c r="D292" s="105">
        <v>40681</v>
      </c>
      <c r="E292">
        <v>1.3915999999999999</v>
      </c>
      <c r="G292" s="105">
        <v>40681</v>
      </c>
      <c r="H292">
        <v>1.425</v>
      </c>
    </row>
    <row r="293" spans="1:8">
      <c r="A293" s="105">
        <v>40572</v>
      </c>
      <c r="B293">
        <v>1.9297</v>
      </c>
      <c r="D293" s="105">
        <v>40682</v>
      </c>
      <c r="E293">
        <v>1.3781000000000001</v>
      </c>
      <c r="G293" s="105">
        <v>40682</v>
      </c>
      <c r="H293">
        <v>1.4309000000000001</v>
      </c>
    </row>
    <row r="294" spans="1:8">
      <c r="A294" s="105">
        <v>40574</v>
      </c>
      <c r="B294">
        <v>1.9437</v>
      </c>
      <c r="D294" s="105">
        <v>40683</v>
      </c>
      <c r="E294">
        <v>1.3898999999999999</v>
      </c>
      <c r="G294" s="105">
        <v>40683</v>
      </c>
      <c r="H294">
        <v>1.4160999999999999</v>
      </c>
    </row>
    <row r="295" spans="1:8">
      <c r="A295" s="105">
        <v>40575</v>
      </c>
      <c r="B295">
        <v>1.9442999999999999</v>
      </c>
      <c r="D295" s="105">
        <v>40686</v>
      </c>
      <c r="E295">
        <v>1.3943000000000001</v>
      </c>
      <c r="G295" s="105">
        <v>40686</v>
      </c>
      <c r="H295">
        <v>1.4048</v>
      </c>
    </row>
    <row r="296" spans="1:8">
      <c r="A296" s="105">
        <v>40576</v>
      </c>
      <c r="B296">
        <v>1.944</v>
      </c>
      <c r="D296" s="105">
        <v>40687</v>
      </c>
      <c r="E296">
        <v>1.3907</v>
      </c>
      <c r="G296" s="105">
        <v>40687</v>
      </c>
      <c r="H296">
        <v>1.41</v>
      </c>
    </row>
    <row r="297" spans="1:8">
      <c r="A297" s="105">
        <v>40577</v>
      </c>
      <c r="B297">
        <v>1.9361999999999999</v>
      </c>
      <c r="D297" s="105">
        <v>40688</v>
      </c>
      <c r="E297">
        <v>1.3938999999999999</v>
      </c>
      <c r="G297" s="105">
        <v>40688</v>
      </c>
      <c r="H297">
        <v>1.4088000000000001</v>
      </c>
    </row>
    <row r="298" spans="1:8">
      <c r="A298" s="105">
        <v>40578</v>
      </c>
      <c r="B298">
        <v>1.9287000000000001</v>
      </c>
      <c r="D298" s="105">
        <v>40689</v>
      </c>
      <c r="E298">
        <v>1.3894</v>
      </c>
      <c r="G298" s="105">
        <v>40689</v>
      </c>
      <c r="H298">
        <v>1.4145000000000001</v>
      </c>
    </row>
    <row r="299" spans="1:8">
      <c r="A299" s="105">
        <v>40579</v>
      </c>
      <c r="B299">
        <v>1.9239999999999999</v>
      </c>
      <c r="D299" s="105">
        <v>40690</v>
      </c>
      <c r="E299">
        <v>1.3792</v>
      </c>
      <c r="G299" s="105">
        <v>40690</v>
      </c>
      <c r="H299">
        <v>1.4319</v>
      </c>
    </row>
    <row r="300" spans="1:8">
      <c r="A300" s="105">
        <v>40580</v>
      </c>
      <c r="B300">
        <v>1.9239999999999999</v>
      </c>
      <c r="D300" s="105">
        <v>40693</v>
      </c>
      <c r="E300">
        <v>1.3828</v>
      </c>
      <c r="G300" s="105">
        <v>40693</v>
      </c>
      <c r="H300">
        <v>1.4281999999999999</v>
      </c>
    </row>
    <row r="301" spans="1:8">
      <c r="A301" s="105">
        <v>40581</v>
      </c>
      <c r="B301">
        <v>1.9287000000000001</v>
      </c>
      <c r="D301" s="105">
        <v>40694</v>
      </c>
      <c r="E301">
        <v>1.3745000000000001</v>
      </c>
      <c r="G301" s="105">
        <v>40694</v>
      </c>
      <c r="H301">
        <v>1.4396</v>
      </c>
    </row>
    <row r="302" spans="1:8">
      <c r="A302" s="105">
        <v>40582</v>
      </c>
      <c r="B302">
        <v>1.9308000000000001</v>
      </c>
      <c r="D302" s="105">
        <v>40695</v>
      </c>
      <c r="E302">
        <v>1.3763000000000001</v>
      </c>
      <c r="G302" s="105">
        <v>40695</v>
      </c>
      <c r="H302">
        <v>1.4328000000000001</v>
      </c>
    </row>
    <row r="303" spans="1:8">
      <c r="A303" s="105">
        <v>40583</v>
      </c>
      <c r="B303">
        <v>1.93</v>
      </c>
      <c r="D303" s="105">
        <v>40696</v>
      </c>
      <c r="E303">
        <v>1.3608</v>
      </c>
      <c r="G303" s="105">
        <v>40696</v>
      </c>
      <c r="H303">
        <v>1.4491000000000001</v>
      </c>
    </row>
    <row r="304" spans="1:8">
      <c r="A304" s="105">
        <v>40584</v>
      </c>
      <c r="B304">
        <v>1.9242999999999999</v>
      </c>
      <c r="D304" s="105">
        <v>40697</v>
      </c>
      <c r="E304">
        <v>1.3573999999999999</v>
      </c>
      <c r="G304" s="105">
        <v>40697</v>
      </c>
      <c r="H304">
        <v>1.4635</v>
      </c>
    </row>
    <row r="305" spans="1:8">
      <c r="A305" s="105">
        <v>40585</v>
      </c>
      <c r="B305">
        <v>1.9252</v>
      </c>
      <c r="D305" s="105">
        <v>40700</v>
      </c>
      <c r="E305">
        <v>1.3602000000000001</v>
      </c>
      <c r="G305" s="105">
        <v>40700</v>
      </c>
      <c r="H305">
        <v>1.4576</v>
      </c>
    </row>
    <row r="306" spans="1:8">
      <c r="A306" s="105">
        <v>40586</v>
      </c>
      <c r="B306">
        <v>1.9252</v>
      </c>
      <c r="D306" s="105">
        <v>40701</v>
      </c>
      <c r="E306">
        <v>1.3526</v>
      </c>
      <c r="G306" s="105">
        <v>40701</v>
      </c>
      <c r="H306">
        <v>1.4691000000000001</v>
      </c>
    </row>
    <row r="307" spans="1:8">
      <c r="A307" s="105">
        <v>40587</v>
      </c>
      <c r="B307">
        <v>1.9260999999999999</v>
      </c>
      <c r="D307" s="105">
        <v>40702</v>
      </c>
      <c r="E307">
        <v>1.3595999999999999</v>
      </c>
      <c r="G307" s="105">
        <v>40702</v>
      </c>
      <c r="H307">
        <v>1.4582999999999999</v>
      </c>
    </row>
    <row r="308" spans="1:8">
      <c r="A308" s="105">
        <v>40588</v>
      </c>
      <c r="B308">
        <v>1.9278</v>
      </c>
      <c r="D308" s="105">
        <v>40703</v>
      </c>
      <c r="E308">
        <v>1.363</v>
      </c>
      <c r="G308" s="105">
        <v>40703</v>
      </c>
      <c r="H308">
        <v>1.4510000000000001</v>
      </c>
    </row>
    <row r="309" spans="1:8">
      <c r="A309" s="105">
        <v>40589</v>
      </c>
      <c r="B309">
        <v>1.9277</v>
      </c>
      <c r="D309" s="105">
        <v>40704</v>
      </c>
      <c r="E309">
        <v>1.3762000000000001</v>
      </c>
      <c r="G309" s="105">
        <v>40704</v>
      </c>
      <c r="H309">
        <v>1.4347000000000001</v>
      </c>
    </row>
    <row r="310" spans="1:8">
      <c r="A310" s="105">
        <v>40590</v>
      </c>
      <c r="B310">
        <v>1.9318</v>
      </c>
      <c r="D310" s="105">
        <v>40707</v>
      </c>
      <c r="E310">
        <v>1.3708</v>
      </c>
      <c r="G310" s="105">
        <v>40707</v>
      </c>
      <c r="H310">
        <v>1.4413</v>
      </c>
    </row>
    <row r="311" spans="1:8">
      <c r="A311" s="105">
        <v>40591</v>
      </c>
      <c r="B311">
        <v>1.9338</v>
      </c>
      <c r="D311" s="105">
        <v>40708</v>
      </c>
      <c r="E311">
        <v>1.3695999999999999</v>
      </c>
      <c r="G311" s="105">
        <v>40708</v>
      </c>
      <c r="H311">
        <v>1.444</v>
      </c>
    </row>
    <row r="312" spans="1:8">
      <c r="A312" s="105">
        <v>40592</v>
      </c>
      <c r="B312">
        <v>1.9395</v>
      </c>
      <c r="D312" s="105">
        <v>40709</v>
      </c>
      <c r="E312">
        <v>1.3846000000000001</v>
      </c>
      <c r="G312" s="105">
        <v>40709</v>
      </c>
      <c r="H312">
        <v>1.4180999999999999</v>
      </c>
    </row>
    <row r="313" spans="1:8">
      <c r="A313" s="105">
        <v>40593</v>
      </c>
      <c r="B313">
        <v>1.9392</v>
      </c>
      <c r="D313" s="105">
        <v>40710</v>
      </c>
      <c r="E313">
        <v>1.3853</v>
      </c>
      <c r="G313" s="105">
        <v>40710</v>
      </c>
      <c r="H313">
        <v>1.4204000000000001</v>
      </c>
    </row>
    <row r="314" spans="1:8">
      <c r="A314" s="105">
        <v>40594</v>
      </c>
      <c r="B314">
        <v>1.9392</v>
      </c>
      <c r="D314" s="105">
        <v>40711</v>
      </c>
      <c r="E314">
        <v>1.3759999999999999</v>
      </c>
      <c r="G314" s="105">
        <v>40711</v>
      </c>
      <c r="H314">
        <v>1.4306000000000001</v>
      </c>
    </row>
    <row r="315" spans="1:8">
      <c r="A315" s="105">
        <v>40595</v>
      </c>
      <c r="B315">
        <v>1.9374</v>
      </c>
      <c r="D315" s="105">
        <v>40714</v>
      </c>
      <c r="E315">
        <v>1.3754</v>
      </c>
      <c r="G315" s="105">
        <v>40714</v>
      </c>
      <c r="H315">
        <v>1.4303999999999999</v>
      </c>
    </row>
    <row r="316" spans="1:8">
      <c r="A316" s="105">
        <v>40596</v>
      </c>
      <c r="B316">
        <v>1.9359999999999999</v>
      </c>
      <c r="D316" s="105">
        <v>40715</v>
      </c>
      <c r="E316">
        <v>1.3689</v>
      </c>
      <c r="G316" s="105">
        <v>40715</v>
      </c>
      <c r="H316">
        <v>1.4412</v>
      </c>
    </row>
    <row r="317" spans="1:8">
      <c r="A317" s="105">
        <v>40597</v>
      </c>
      <c r="B317">
        <v>1.9406000000000001</v>
      </c>
      <c r="D317" s="105">
        <v>40716</v>
      </c>
      <c r="E317">
        <v>1.3726</v>
      </c>
      <c r="G317" s="105">
        <v>40716</v>
      </c>
      <c r="H317">
        <v>1.4357</v>
      </c>
    </row>
    <row r="318" spans="1:8">
      <c r="A318" s="105">
        <v>40598</v>
      </c>
      <c r="B318">
        <v>1.9431</v>
      </c>
      <c r="D318" s="105">
        <v>40717</v>
      </c>
      <c r="E318">
        <v>1.3781000000000001</v>
      </c>
      <c r="G318" s="105">
        <v>40717</v>
      </c>
      <c r="H318">
        <v>1.4256</v>
      </c>
    </row>
    <row r="319" spans="1:8">
      <c r="A319" s="105">
        <v>40599</v>
      </c>
      <c r="B319">
        <v>1.9408000000000001</v>
      </c>
      <c r="D319" s="105">
        <v>40718</v>
      </c>
      <c r="E319">
        <v>1.3832</v>
      </c>
      <c r="G319" s="105">
        <v>40718</v>
      </c>
      <c r="H319">
        <v>1.4188000000000001</v>
      </c>
    </row>
    <row r="320" spans="1:8">
      <c r="A320" s="105">
        <v>40600</v>
      </c>
      <c r="B320">
        <v>1.9420999999999999</v>
      </c>
      <c r="D320" s="105">
        <v>40721</v>
      </c>
      <c r="E320">
        <v>1.3786</v>
      </c>
      <c r="G320" s="105">
        <v>40721</v>
      </c>
      <c r="H320">
        <v>1.4287000000000001</v>
      </c>
    </row>
    <row r="321" spans="1:8">
      <c r="A321" s="105">
        <v>40601</v>
      </c>
      <c r="B321">
        <v>1.9406000000000001</v>
      </c>
      <c r="D321" s="105">
        <v>40722</v>
      </c>
      <c r="E321">
        <v>1.3745000000000001</v>
      </c>
      <c r="G321" s="105">
        <v>40722</v>
      </c>
      <c r="H321">
        <v>1.4371</v>
      </c>
    </row>
    <row r="322" spans="1:8">
      <c r="A322" s="105">
        <v>40602</v>
      </c>
      <c r="B322">
        <v>1.9435</v>
      </c>
      <c r="D322" s="105">
        <v>40723</v>
      </c>
      <c r="E322">
        <v>1.3696999999999999</v>
      </c>
      <c r="G322" s="105">
        <v>40723</v>
      </c>
      <c r="H322">
        <v>1.4435</v>
      </c>
    </row>
    <row r="323" spans="1:8">
      <c r="A323" s="105">
        <v>40603</v>
      </c>
      <c r="B323">
        <v>1.9419999999999999</v>
      </c>
      <c r="D323" s="105">
        <v>40724</v>
      </c>
      <c r="E323">
        <v>1.3653</v>
      </c>
      <c r="G323" s="105">
        <v>40724</v>
      </c>
      <c r="H323">
        <v>1.4501999999999999</v>
      </c>
    </row>
    <row r="324" spans="1:8">
      <c r="A324" s="105">
        <v>40604</v>
      </c>
      <c r="B324">
        <v>1.9461999999999999</v>
      </c>
      <c r="D324" s="105">
        <v>40725</v>
      </c>
      <c r="E324">
        <v>1.3646</v>
      </c>
      <c r="G324" s="105">
        <v>40725</v>
      </c>
      <c r="H324">
        <v>1.4525999999999999</v>
      </c>
    </row>
    <row r="325" spans="1:8">
      <c r="A325" s="105">
        <v>40605</v>
      </c>
      <c r="B325">
        <v>1.9504999999999999</v>
      </c>
      <c r="D325" s="105">
        <v>40728</v>
      </c>
      <c r="E325">
        <v>1.3645</v>
      </c>
      <c r="G325" s="105">
        <v>40728</v>
      </c>
      <c r="H325">
        <v>1.4539</v>
      </c>
    </row>
    <row r="326" spans="1:8">
      <c r="A326" s="105">
        <v>40606</v>
      </c>
      <c r="B326">
        <v>1.9514</v>
      </c>
      <c r="D326" s="105">
        <v>40729</v>
      </c>
      <c r="E326">
        <v>1.3677999999999999</v>
      </c>
      <c r="G326" s="105">
        <v>40729</v>
      </c>
      <c r="H326">
        <v>1.4429000000000001</v>
      </c>
    </row>
    <row r="327" spans="1:8">
      <c r="A327" s="105">
        <v>40607</v>
      </c>
      <c r="B327">
        <v>1.9484999999999999</v>
      </c>
      <c r="D327" s="105">
        <v>40730</v>
      </c>
      <c r="E327">
        <v>1.3725000000000001</v>
      </c>
      <c r="G327" s="105">
        <v>40730</v>
      </c>
      <c r="H327">
        <v>1.4319</v>
      </c>
    </row>
    <row r="328" spans="1:8">
      <c r="A328" s="105">
        <v>40608</v>
      </c>
      <c r="B328">
        <v>1.9519</v>
      </c>
      <c r="D328" s="105">
        <v>40731</v>
      </c>
      <c r="E328">
        <v>1.3746</v>
      </c>
      <c r="G328" s="105">
        <v>40731</v>
      </c>
      <c r="H328">
        <v>1.4363999999999999</v>
      </c>
    </row>
    <row r="329" spans="1:8">
      <c r="A329" s="105">
        <v>40609</v>
      </c>
      <c r="B329">
        <v>1.9534</v>
      </c>
      <c r="D329" s="105">
        <v>40732</v>
      </c>
      <c r="E329">
        <v>1.3813</v>
      </c>
      <c r="G329" s="105">
        <v>40732</v>
      </c>
      <c r="H329">
        <v>1.4265000000000001</v>
      </c>
    </row>
    <row r="330" spans="1:8">
      <c r="A330" s="105">
        <v>40610</v>
      </c>
      <c r="B330">
        <v>1.9492</v>
      </c>
      <c r="D330" s="105">
        <v>40735</v>
      </c>
      <c r="E330">
        <v>1.3992</v>
      </c>
      <c r="G330" s="105">
        <v>40735</v>
      </c>
      <c r="H330">
        <v>1.4029</v>
      </c>
    </row>
    <row r="331" spans="1:8">
      <c r="A331" s="105">
        <v>40611</v>
      </c>
      <c r="B331">
        <v>1.9492</v>
      </c>
      <c r="D331" s="105">
        <v>40736</v>
      </c>
      <c r="E331">
        <v>1.3943000000000001</v>
      </c>
      <c r="G331" s="105">
        <v>40736</v>
      </c>
      <c r="H331">
        <v>1.3976</v>
      </c>
    </row>
    <row r="332" spans="1:8">
      <c r="A332" s="105">
        <v>40612</v>
      </c>
      <c r="B332">
        <v>1.9427000000000001</v>
      </c>
      <c r="D332" s="105">
        <v>40737</v>
      </c>
      <c r="E332">
        <v>1.3882000000000001</v>
      </c>
      <c r="G332" s="105">
        <v>40737</v>
      </c>
      <c r="H332">
        <v>1.4167000000000001</v>
      </c>
    </row>
    <row r="333" spans="1:8">
      <c r="A333" s="105">
        <v>40613</v>
      </c>
      <c r="B333">
        <v>1.9478</v>
      </c>
      <c r="D333" s="105">
        <v>40738</v>
      </c>
      <c r="E333">
        <v>1.3887</v>
      </c>
      <c r="G333" s="105">
        <v>40738</v>
      </c>
      <c r="H333">
        <v>1.4142999999999999</v>
      </c>
    </row>
    <row r="334" spans="1:8">
      <c r="A334" s="105">
        <v>40614</v>
      </c>
      <c r="B334">
        <v>1.9458</v>
      </c>
      <c r="D334" s="105">
        <v>40739</v>
      </c>
      <c r="E334">
        <v>1.3883000000000001</v>
      </c>
      <c r="G334" s="105">
        <v>40739</v>
      </c>
      <c r="H334">
        <v>1.4157</v>
      </c>
    </row>
    <row r="335" spans="1:8">
      <c r="A335" s="105">
        <v>40615</v>
      </c>
      <c r="B335">
        <v>1.9453</v>
      </c>
      <c r="D335" s="105">
        <v>40742</v>
      </c>
      <c r="E335">
        <v>1.3922000000000001</v>
      </c>
      <c r="G335" s="105">
        <v>40742</v>
      </c>
      <c r="H335">
        <v>1.4112</v>
      </c>
    </row>
    <row r="336" spans="1:8">
      <c r="A336" s="105">
        <v>40616</v>
      </c>
      <c r="B336">
        <v>1.9552</v>
      </c>
      <c r="D336" s="105">
        <v>40743</v>
      </c>
      <c r="E336">
        <v>1.3926000000000001</v>
      </c>
      <c r="G336" s="105">
        <v>40743</v>
      </c>
      <c r="H336">
        <v>1.4156</v>
      </c>
    </row>
    <row r="337" spans="1:8">
      <c r="A337" s="105">
        <v>40617</v>
      </c>
      <c r="B337">
        <v>1.9532</v>
      </c>
      <c r="D337" s="105">
        <v>40744</v>
      </c>
      <c r="E337">
        <v>1.3817999999999999</v>
      </c>
      <c r="G337" s="105">
        <v>40744</v>
      </c>
      <c r="H337">
        <v>1.4215</v>
      </c>
    </row>
    <row r="338" spans="1:8">
      <c r="A338" s="105">
        <v>40618</v>
      </c>
      <c r="B338">
        <v>1.9507000000000001</v>
      </c>
      <c r="D338" s="105">
        <v>40745</v>
      </c>
      <c r="E338">
        <v>1.3702000000000001</v>
      </c>
      <c r="G338" s="105">
        <v>40745</v>
      </c>
      <c r="H338">
        <v>1.4424999999999999</v>
      </c>
    </row>
    <row r="339" spans="1:8">
      <c r="A339" s="105">
        <v>40619</v>
      </c>
      <c r="B339">
        <v>1.9534</v>
      </c>
      <c r="D339" s="105">
        <v>40746</v>
      </c>
      <c r="E339">
        <v>1.3693</v>
      </c>
      <c r="G339" s="105">
        <v>40746</v>
      </c>
      <c r="H339">
        <v>1.4359999999999999</v>
      </c>
    </row>
    <row r="340" spans="1:8">
      <c r="A340" s="105">
        <v>40620</v>
      </c>
      <c r="B340">
        <v>1.9564999999999999</v>
      </c>
      <c r="D340" s="105">
        <v>40749</v>
      </c>
      <c r="E340">
        <v>1.3735999999999999</v>
      </c>
      <c r="G340" s="105">
        <v>40749</v>
      </c>
      <c r="H340">
        <v>1.4377</v>
      </c>
    </row>
    <row r="341" spans="1:8">
      <c r="A341" s="105">
        <v>40621</v>
      </c>
      <c r="B341">
        <v>1.9519</v>
      </c>
      <c r="D341" s="105">
        <v>40750</v>
      </c>
      <c r="E341">
        <v>1.3617999999999999</v>
      </c>
      <c r="G341" s="105">
        <v>40750</v>
      </c>
      <c r="H341">
        <v>1.4511000000000001</v>
      </c>
    </row>
    <row r="342" spans="1:8">
      <c r="A342" s="105">
        <v>40622</v>
      </c>
      <c r="B342">
        <v>1.9519</v>
      </c>
      <c r="D342" s="105">
        <v>40751</v>
      </c>
      <c r="E342">
        <v>1.3714999999999999</v>
      </c>
      <c r="G342" s="105">
        <v>40751</v>
      </c>
      <c r="H342">
        <v>1.4369000000000001</v>
      </c>
    </row>
    <row r="343" spans="1:8">
      <c r="A343" s="105">
        <v>40623</v>
      </c>
      <c r="B343">
        <v>1.9581</v>
      </c>
      <c r="D343" s="105">
        <v>40752</v>
      </c>
      <c r="E343">
        <v>1.3742000000000001</v>
      </c>
      <c r="G343" s="105">
        <v>40752</v>
      </c>
      <c r="H343">
        <v>1.4334</v>
      </c>
    </row>
    <row r="344" spans="1:8">
      <c r="A344" s="105">
        <v>40624</v>
      </c>
      <c r="B344">
        <v>1.9609000000000001</v>
      </c>
      <c r="D344" s="105">
        <v>40753</v>
      </c>
      <c r="E344">
        <v>1.3709</v>
      </c>
      <c r="G344" s="105">
        <v>40753</v>
      </c>
      <c r="H344">
        <v>1.4398</v>
      </c>
    </row>
    <row r="345" spans="1:8">
      <c r="A345" s="105">
        <v>40625</v>
      </c>
      <c r="B345">
        <v>1.9570000000000001</v>
      </c>
      <c r="D345" s="105">
        <v>40756</v>
      </c>
      <c r="E345">
        <v>1.3796999999999999</v>
      </c>
      <c r="G345" s="105">
        <v>40756</v>
      </c>
      <c r="H345">
        <v>1.425</v>
      </c>
    </row>
    <row r="346" spans="1:8">
      <c r="A346" s="105">
        <v>40626</v>
      </c>
      <c r="B346">
        <v>1.9603999999999999</v>
      </c>
      <c r="D346" s="105">
        <v>40757</v>
      </c>
      <c r="E346">
        <v>1.3817999999999999</v>
      </c>
      <c r="G346" s="105">
        <v>40757</v>
      </c>
      <c r="H346">
        <v>1.4202999999999999</v>
      </c>
    </row>
    <row r="347" spans="1:8">
      <c r="A347" s="105">
        <v>40627</v>
      </c>
      <c r="B347">
        <v>1.9542999999999999</v>
      </c>
      <c r="D347" s="105">
        <v>40758</v>
      </c>
      <c r="E347">
        <v>1.3733</v>
      </c>
      <c r="G347" s="105">
        <v>40758</v>
      </c>
      <c r="H347">
        <v>1.4322999999999999</v>
      </c>
    </row>
    <row r="348" spans="1:8">
      <c r="A348" s="105">
        <v>40628</v>
      </c>
      <c r="B348">
        <v>1.9575</v>
      </c>
      <c r="D348" s="105">
        <v>40759</v>
      </c>
      <c r="E348">
        <v>1.391</v>
      </c>
      <c r="G348" s="105">
        <v>40759</v>
      </c>
      <c r="H348">
        <v>1.4092</v>
      </c>
    </row>
    <row r="349" spans="1:8">
      <c r="A349" s="105">
        <v>40629</v>
      </c>
      <c r="B349">
        <v>1.9575</v>
      </c>
      <c r="D349" s="105">
        <v>40760</v>
      </c>
      <c r="E349">
        <v>1.3757999999999999</v>
      </c>
      <c r="G349" s="105">
        <v>40760</v>
      </c>
      <c r="H349">
        <v>1.4281999999999999</v>
      </c>
    </row>
    <row r="350" spans="1:8">
      <c r="A350" s="105">
        <v>40630</v>
      </c>
      <c r="B350">
        <v>1.956</v>
      </c>
      <c r="D350" s="105">
        <v>40763</v>
      </c>
      <c r="E350">
        <v>1.3833</v>
      </c>
      <c r="G350" s="105">
        <v>40763</v>
      </c>
      <c r="H350">
        <v>1.4178999999999999</v>
      </c>
    </row>
    <row r="351" spans="1:8">
      <c r="A351" s="105">
        <v>40631</v>
      </c>
      <c r="B351">
        <v>1.9588000000000001</v>
      </c>
      <c r="D351" s="105">
        <v>40764</v>
      </c>
      <c r="E351">
        <v>1.3726</v>
      </c>
      <c r="G351" s="105">
        <v>40764</v>
      </c>
      <c r="H351">
        <v>1.4376</v>
      </c>
    </row>
    <row r="352" spans="1:8">
      <c r="A352" s="105">
        <v>40632</v>
      </c>
      <c r="B352">
        <v>1.9623999999999999</v>
      </c>
      <c r="D352" s="105">
        <v>40765</v>
      </c>
      <c r="E352">
        <v>1.3861000000000001</v>
      </c>
      <c r="G352" s="105">
        <v>40765</v>
      </c>
      <c r="H352">
        <v>1.4177999999999999</v>
      </c>
    </row>
    <row r="353" spans="1:8">
      <c r="A353" s="105">
        <v>40633</v>
      </c>
      <c r="B353">
        <v>1.9646999999999999</v>
      </c>
      <c r="D353" s="105">
        <v>40766</v>
      </c>
      <c r="E353">
        <v>1.3791</v>
      </c>
      <c r="G353" s="105">
        <v>40766</v>
      </c>
      <c r="H353">
        <v>1.4240999999999999</v>
      </c>
    </row>
    <row r="354" spans="1:8">
      <c r="A354" s="105">
        <v>40634</v>
      </c>
      <c r="B354">
        <v>1.9713000000000001</v>
      </c>
      <c r="D354" s="105">
        <v>40767</v>
      </c>
      <c r="E354">
        <v>1.3808</v>
      </c>
      <c r="G354" s="105">
        <v>40767</v>
      </c>
      <c r="H354">
        <v>1.4248000000000001</v>
      </c>
    </row>
    <row r="355" spans="1:8">
      <c r="A355" s="105">
        <v>40635</v>
      </c>
      <c r="B355">
        <v>1.9733000000000001</v>
      </c>
      <c r="D355" s="105">
        <v>40770</v>
      </c>
      <c r="E355">
        <v>1.3681000000000001</v>
      </c>
      <c r="G355" s="105">
        <v>40770</v>
      </c>
      <c r="H355">
        <v>1.4444999999999999</v>
      </c>
    </row>
    <row r="356" spans="1:8">
      <c r="A356" s="105">
        <v>40636</v>
      </c>
      <c r="B356">
        <v>1.9624999999999999</v>
      </c>
      <c r="D356" s="105">
        <v>40771</v>
      </c>
      <c r="E356">
        <v>1.3663000000000001</v>
      </c>
      <c r="G356" s="105">
        <v>40771</v>
      </c>
      <c r="H356">
        <v>1.4407000000000001</v>
      </c>
    </row>
    <row r="357" spans="1:8">
      <c r="A357" s="105">
        <v>40637</v>
      </c>
      <c r="B357">
        <v>1.9694</v>
      </c>
      <c r="D357" s="105">
        <v>40772</v>
      </c>
      <c r="E357">
        <v>1.3685</v>
      </c>
      <c r="G357" s="105">
        <v>40772</v>
      </c>
      <c r="H357">
        <v>1.4426000000000001</v>
      </c>
    </row>
    <row r="358" spans="1:8">
      <c r="A358" s="105">
        <v>40638</v>
      </c>
      <c r="B358">
        <v>1.9690000000000001</v>
      </c>
      <c r="D358" s="105">
        <v>40773</v>
      </c>
      <c r="E358">
        <v>1.3740000000000001</v>
      </c>
      <c r="G358" s="105">
        <v>40773</v>
      </c>
      <c r="H358">
        <v>1.4333</v>
      </c>
    </row>
    <row r="359" spans="1:8">
      <c r="A359" s="105">
        <v>40639</v>
      </c>
      <c r="B359">
        <v>1.9753000000000001</v>
      </c>
      <c r="D359" s="105">
        <v>40774</v>
      </c>
      <c r="E359">
        <v>1.3681000000000001</v>
      </c>
      <c r="G359" s="105">
        <v>40774</v>
      </c>
      <c r="H359">
        <v>1.4397</v>
      </c>
    </row>
    <row r="360" spans="1:8">
      <c r="A360" s="105">
        <v>40640</v>
      </c>
      <c r="B360">
        <v>1.9746999999999999</v>
      </c>
      <c r="D360" s="105">
        <v>40777</v>
      </c>
      <c r="E360">
        <v>1.373</v>
      </c>
      <c r="G360" s="105">
        <v>40777</v>
      </c>
      <c r="H360">
        <v>1.4358</v>
      </c>
    </row>
    <row r="361" spans="1:8">
      <c r="A361" s="105">
        <v>40641</v>
      </c>
      <c r="B361">
        <v>1.9818</v>
      </c>
      <c r="D361" s="105">
        <v>40778</v>
      </c>
      <c r="E361">
        <v>1.3687</v>
      </c>
      <c r="G361" s="105">
        <v>40778</v>
      </c>
      <c r="H361">
        <v>1.4441999999999999</v>
      </c>
    </row>
    <row r="362" spans="1:8">
      <c r="A362" s="105">
        <v>40642</v>
      </c>
      <c r="B362">
        <v>1.9812000000000001</v>
      </c>
      <c r="D362" s="105">
        <v>40779</v>
      </c>
      <c r="E362">
        <v>1.3665</v>
      </c>
      <c r="G362" s="105">
        <v>40779</v>
      </c>
      <c r="H362">
        <v>1.4414</v>
      </c>
    </row>
    <row r="363" spans="1:8">
      <c r="A363" s="105">
        <v>40643</v>
      </c>
      <c r="B363">
        <v>1.9834000000000001</v>
      </c>
      <c r="D363" s="105">
        <v>40780</v>
      </c>
      <c r="E363">
        <v>1.3698999999999999</v>
      </c>
      <c r="G363" s="105">
        <v>40780</v>
      </c>
      <c r="H363">
        <v>1.4379</v>
      </c>
    </row>
    <row r="364" spans="1:8">
      <c r="A364" s="105">
        <v>40644</v>
      </c>
      <c r="B364">
        <v>1.9751000000000001</v>
      </c>
      <c r="D364" s="105">
        <v>40781</v>
      </c>
      <c r="E364">
        <v>1.3647</v>
      </c>
      <c r="G364" s="105">
        <v>40781</v>
      </c>
      <c r="H364">
        <v>1.4499</v>
      </c>
    </row>
    <row r="365" spans="1:8">
      <c r="A365" s="105">
        <v>40645</v>
      </c>
      <c r="B365">
        <v>1.9826999999999999</v>
      </c>
      <c r="D365" s="105">
        <v>40784</v>
      </c>
      <c r="E365">
        <v>1.3636999999999999</v>
      </c>
      <c r="G365" s="105">
        <v>40784</v>
      </c>
      <c r="H365">
        <v>1.4511000000000001</v>
      </c>
    </row>
    <row r="366" spans="1:8">
      <c r="A366" s="105">
        <v>40646</v>
      </c>
      <c r="B366">
        <v>1.9824999999999999</v>
      </c>
      <c r="D366" s="105">
        <v>40785</v>
      </c>
      <c r="E366">
        <v>1.3685</v>
      </c>
      <c r="G366" s="105">
        <v>40785</v>
      </c>
      <c r="H366">
        <v>1.4440999999999999</v>
      </c>
    </row>
    <row r="367" spans="1:8">
      <c r="A367" s="105">
        <v>40647</v>
      </c>
      <c r="B367">
        <v>1.9830000000000001</v>
      </c>
      <c r="D367" s="105">
        <v>40786</v>
      </c>
      <c r="E367">
        <v>1.3704000000000001</v>
      </c>
      <c r="G367" s="105">
        <v>40786</v>
      </c>
      <c r="H367">
        <v>1.4369000000000001</v>
      </c>
    </row>
    <row r="368" spans="1:8">
      <c r="A368" s="105">
        <v>40648</v>
      </c>
      <c r="B368">
        <v>1.9751000000000001</v>
      </c>
      <c r="D368" s="105">
        <v>40787</v>
      </c>
      <c r="E368">
        <v>1.3778999999999999</v>
      </c>
      <c r="G368" s="105">
        <v>40787</v>
      </c>
      <c r="H368">
        <v>1.4258999999999999</v>
      </c>
    </row>
    <row r="369" spans="1:8">
      <c r="A369" s="105">
        <v>40649</v>
      </c>
      <c r="B369">
        <v>1.9764999999999999</v>
      </c>
      <c r="D369" s="105">
        <v>40788</v>
      </c>
      <c r="E369">
        <v>1.3841000000000001</v>
      </c>
      <c r="G369" s="105">
        <v>40788</v>
      </c>
      <c r="H369">
        <v>1.4205000000000001</v>
      </c>
    </row>
    <row r="370" spans="1:8">
      <c r="A370" s="105">
        <v>40650</v>
      </c>
      <c r="B370">
        <v>1.9804999999999999</v>
      </c>
      <c r="D370" s="105">
        <v>40791</v>
      </c>
      <c r="E370">
        <v>1.3915</v>
      </c>
      <c r="G370" s="105">
        <v>40791</v>
      </c>
      <c r="H370">
        <v>1.4097999999999999</v>
      </c>
    </row>
    <row r="371" spans="1:8">
      <c r="A371" s="105">
        <v>40651</v>
      </c>
      <c r="B371">
        <v>1.9691000000000001</v>
      </c>
      <c r="D371" s="105">
        <v>40792</v>
      </c>
      <c r="E371">
        <v>1.3918999999999999</v>
      </c>
      <c r="G371" s="105">
        <v>40792</v>
      </c>
      <c r="H371">
        <v>1.3997999999999999</v>
      </c>
    </row>
    <row r="372" spans="1:8">
      <c r="A372" s="105">
        <v>40652</v>
      </c>
      <c r="B372">
        <v>1.9745999999999999</v>
      </c>
      <c r="D372" s="105">
        <v>40793</v>
      </c>
      <c r="E372">
        <v>1.3886000000000001</v>
      </c>
      <c r="G372" s="105">
        <v>40793</v>
      </c>
      <c r="H372">
        <v>1.4097999999999999</v>
      </c>
    </row>
    <row r="373" spans="1:8">
      <c r="A373" s="105">
        <v>40653</v>
      </c>
      <c r="B373">
        <v>1.9850000000000001</v>
      </c>
      <c r="D373" s="105">
        <v>40794</v>
      </c>
      <c r="E373">
        <v>1.4078999999999999</v>
      </c>
      <c r="G373" s="105">
        <v>40794</v>
      </c>
      <c r="H373">
        <v>1.3882000000000001</v>
      </c>
    </row>
    <row r="374" spans="1:8">
      <c r="A374" s="105">
        <v>40654</v>
      </c>
      <c r="B374">
        <v>1.9846999999999999</v>
      </c>
      <c r="D374" s="105">
        <v>40795</v>
      </c>
      <c r="E374">
        <v>1.4202999999999999</v>
      </c>
      <c r="G374" s="105">
        <v>40795</v>
      </c>
      <c r="H374">
        <v>1.3655999999999999</v>
      </c>
    </row>
    <row r="375" spans="1:8">
      <c r="A375" s="105">
        <v>40655</v>
      </c>
      <c r="B375">
        <v>1.9851000000000001</v>
      </c>
      <c r="D375" s="105">
        <v>40798</v>
      </c>
      <c r="E375">
        <v>1.4188000000000001</v>
      </c>
      <c r="G375" s="105">
        <v>40798</v>
      </c>
      <c r="H375">
        <v>1.3678999999999999</v>
      </c>
    </row>
    <row r="376" spans="1:8">
      <c r="A376" s="105">
        <v>40656</v>
      </c>
      <c r="B376">
        <v>1.9847999999999999</v>
      </c>
      <c r="D376" s="105">
        <v>40799</v>
      </c>
      <c r="E376">
        <v>1.4228000000000001</v>
      </c>
      <c r="G376" s="105">
        <v>40799</v>
      </c>
      <c r="H376">
        <v>1.3677999999999999</v>
      </c>
    </row>
    <row r="377" spans="1:8">
      <c r="A377" s="105">
        <v>40657</v>
      </c>
      <c r="B377">
        <v>1.9847999999999999</v>
      </c>
      <c r="D377" s="105">
        <v>40800</v>
      </c>
      <c r="E377">
        <v>1.4177</v>
      </c>
      <c r="G377" s="105">
        <v>40800</v>
      </c>
      <c r="H377">
        <v>1.3754999999999999</v>
      </c>
    </row>
    <row r="378" spans="1:8">
      <c r="A378" s="105">
        <v>40658</v>
      </c>
      <c r="B378">
        <v>1.9846999999999999</v>
      </c>
      <c r="D378" s="105">
        <v>40801</v>
      </c>
      <c r="E378">
        <v>1.4131</v>
      </c>
      <c r="G378" s="105">
        <v>40801</v>
      </c>
      <c r="H378">
        <v>1.3876999999999999</v>
      </c>
    </row>
    <row r="379" spans="1:8">
      <c r="A379" s="105">
        <v>40659</v>
      </c>
      <c r="B379">
        <v>1.9876</v>
      </c>
      <c r="D379" s="105">
        <v>40802</v>
      </c>
      <c r="E379">
        <v>1.4140999999999999</v>
      </c>
      <c r="G379" s="105">
        <v>40802</v>
      </c>
      <c r="H379">
        <v>1.3795999999999999</v>
      </c>
    </row>
    <row r="380" spans="1:8">
      <c r="A380" s="105">
        <v>40660</v>
      </c>
      <c r="B380">
        <v>1.9947999999999999</v>
      </c>
      <c r="D380" s="105">
        <v>40805</v>
      </c>
      <c r="E380">
        <v>1.4154</v>
      </c>
      <c r="G380" s="105">
        <v>40805</v>
      </c>
      <c r="H380">
        <v>1.3686</v>
      </c>
    </row>
    <row r="381" spans="1:8">
      <c r="A381" s="105">
        <v>40661</v>
      </c>
      <c r="B381">
        <v>1.9964999999999999</v>
      </c>
      <c r="D381" s="105">
        <v>40806</v>
      </c>
      <c r="E381">
        <v>1.4164000000000001</v>
      </c>
      <c r="G381" s="105">
        <v>40806</v>
      </c>
      <c r="H381">
        <v>1.3702000000000001</v>
      </c>
    </row>
    <row r="382" spans="1:8">
      <c r="A382" s="105">
        <v>40662</v>
      </c>
      <c r="B382">
        <v>1.996</v>
      </c>
      <c r="D382" s="105">
        <v>40807</v>
      </c>
      <c r="E382">
        <v>1.4241999999999999</v>
      </c>
      <c r="G382" s="105">
        <v>40807</v>
      </c>
      <c r="H382">
        <v>1.3573</v>
      </c>
    </row>
    <row r="383" spans="1:8">
      <c r="A383" s="105">
        <v>40663</v>
      </c>
      <c r="B383">
        <v>1.9966999999999999</v>
      </c>
      <c r="D383" s="105">
        <v>40808</v>
      </c>
      <c r="E383">
        <v>1.4298999999999999</v>
      </c>
      <c r="G383" s="105">
        <v>40808</v>
      </c>
      <c r="H383">
        <v>1.3465</v>
      </c>
    </row>
    <row r="384" spans="1:8">
      <c r="A384" s="105">
        <v>40664</v>
      </c>
      <c r="B384">
        <v>1.9982</v>
      </c>
      <c r="D384" s="105">
        <v>40809</v>
      </c>
      <c r="E384">
        <v>1.4302999999999999</v>
      </c>
      <c r="G384" s="105">
        <v>40809</v>
      </c>
      <c r="H384">
        <v>1.35</v>
      </c>
    </row>
    <row r="385" spans="1:8">
      <c r="A385" s="105">
        <v>40665</v>
      </c>
      <c r="B385">
        <v>1.9970000000000001</v>
      </c>
      <c r="D385" s="105">
        <v>40812</v>
      </c>
      <c r="E385">
        <v>1.4332</v>
      </c>
      <c r="G385" s="105">
        <v>40812</v>
      </c>
      <c r="H385">
        <v>1.3532999999999999</v>
      </c>
    </row>
    <row r="386" spans="1:8">
      <c r="A386" s="105">
        <v>40666</v>
      </c>
      <c r="B386">
        <v>1.9968999999999999</v>
      </c>
      <c r="D386" s="105">
        <v>40813</v>
      </c>
      <c r="E386">
        <v>1.4248000000000001</v>
      </c>
      <c r="G386" s="105">
        <v>40813</v>
      </c>
      <c r="H386">
        <v>1.3585</v>
      </c>
    </row>
    <row r="387" spans="1:8">
      <c r="A387" s="105">
        <v>40667</v>
      </c>
      <c r="B387">
        <v>1.9971000000000001</v>
      </c>
      <c r="D387" s="105">
        <v>40814</v>
      </c>
      <c r="E387">
        <v>1.4315</v>
      </c>
      <c r="G387" s="105">
        <v>40814</v>
      </c>
      <c r="H387">
        <v>1.3543000000000001</v>
      </c>
    </row>
    <row r="388" spans="1:8">
      <c r="A388" s="105">
        <v>40668</v>
      </c>
      <c r="B388">
        <v>1.9829000000000001</v>
      </c>
      <c r="D388" s="105">
        <v>40815</v>
      </c>
      <c r="E388">
        <v>1.4273</v>
      </c>
      <c r="G388" s="105">
        <v>40815</v>
      </c>
      <c r="H388">
        <v>1.3596999999999999</v>
      </c>
    </row>
    <row r="389" spans="1:8">
      <c r="A389" s="105">
        <v>40669</v>
      </c>
      <c r="B389">
        <v>1.9719</v>
      </c>
      <c r="D389" s="105">
        <v>40816</v>
      </c>
      <c r="E389">
        <v>1.4387000000000001</v>
      </c>
      <c r="G389" s="105">
        <v>40816</v>
      </c>
      <c r="H389">
        <v>1.3387</v>
      </c>
    </row>
    <row r="390" spans="1:8">
      <c r="A390" s="105">
        <v>40670</v>
      </c>
      <c r="B390">
        <v>1.9812000000000001</v>
      </c>
      <c r="D390" s="105">
        <v>40819</v>
      </c>
      <c r="E390">
        <v>1.4543999999999999</v>
      </c>
      <c r="G390" s="105">
        <v>40819</v>
      </c>
      <c r="H390">
        <v>1.3176000000000001</v>
      </c>
    </row>
    <row r="391" spans="1:8">
      <c r="A391" s="105">
        <v>40672</v>
      </c>
      <c r="B391">
        <v>1.9764999999999999</v>
      </c>
      <c r="D391" s="105">
        <v>40820</v>
      </c>
      <c r="E391">
        <v>1.4458</v>
      </c>
      <c r="G391" s="105">
        <v>40820</v>
      </c>
      <c r="H391">
        <v>1.3349</v>
      </c>
    </row>
    <row r="392" spans="1:8">
      <c r="A392" s="105">
        <v>40673</v>
      </c>
      <c r="B392">
        <v>1.9786999999999999</v>
      </c>
      <c r="D392" s="105">
        <v>40821</v>
      </c>
      <c r="E392">
        <v>1.4440999999999999</v>
      </c>
      <c r="G392" s="105">
        <v>40821</v>
      </c>
      <c r="H392">
        <v>1.3348</v>
      </c>
    </row>
    <row r="393" spans="1:8">
      <c r="A393" s="105">
        <v>40674</v>
      </c>
      <c r="B393">
        <v>1.9655</v>
      </c>
      <c r="D393" s="105">
        <v>40822</v>
      </c>
      <c r="E393">
        <v>1.4367000000000001</v>
      </c>
      <c r="G393" s="105">
        <v>40822</v>
      </c>
      <c r="H393">
        <v>1.3436999999999999</v>
      </c>
    </row>
    <row r="394" spans="1:8">
      <c r="A394" s="105">
        <v>40675</v>
      </c>
      <c r="B394">
        <v>1.9697</v>
      </c>
      <c r="D394" s="105">
        <v>40823</v>
      </c>
      <c r="E394">
        <v>1.4472</v>
      </c>
      <c r="G394" s="105">
        <v>40823</v>
      </c>
      <c r="H394">
        <v>1.3378000000000001</v>
      </c>
    </row>
    <row r="395" spans="1:8">
      <c r="A395" s="105">
        <v>40676</v>
      </c>
      <c r="B395">
        <v>1.9642999999999999</v>
      </c>
      <c r="D395" s="105">
        <v>40826</v>
      </c>
      <c r="E395">
        <v>1.4258999999999999</v>
      </c>
      <c r="G395" s="105">
        <v>40826</v>
      </c>
      <c r="H395">
        <v>1.3642000000000001</v>
      </c>
    </row>
    <row r="396" spans="1:8">
      <c r="A396" s="105">
        <v>40677</v>
      </c>
      <c r="B396">
        <v>1.9554</v>
      </c>
      <c r="D396" s="105">
        <v>40827</v>
      </c>
      <c r="E396">
        <v>1.4253</v>
      </c>
      <c r="G396" s="105">
        <v>40827</v>
      </c>
      <c r="H396">
        <v>1.3640000000000001</v>
      </c>
    </row>
    <row r="397" spans="1:8">
      <c r="A397" s="105">
        <v>40678</v>
      </c>
      <c r="B397">
        <v>1.9593</v>
      </c>
      <c r="D397" s="105">
        <v>40828</v>
      </c>
      <c r="E397">
        <v>1.4188000000000001</v>
      </c>
      <c r="G397" s="105">
        <v>40828</v>
      </c>
      <c r="H397">
        <v>1.3791</v>
      </c>
    </row>
    <row r="398" spans="1:8">
      <c r="A398" s="105">
        <v>40679</v>
      </c>
      <c r="B398">
        <v>1.9698</v>
      </c>
      <c r="D398" s="105">
        <v>40829</v>
      </c>
      <c r="E398">
        <v>1.4204000000000001</v>
      </c>
      <c r="G398" s="105">
        <v>40829</v>
      </c>
      <c r="H398">
        <v>1.3776999999999999</v>
      </c>
    </row>
    <row r="399" spans="1:8">
      <c r="A399" s="105">
        <v>40680</v>
      </c>
      <c r="B399">
        <v>1.974</v>
      </c>
      <c r="D399" s="105">
        <v>40830</v>
      </c>
      <c r="E399">
        <v>1.4192</v>
      </c>
      <c r="G399" s="105">
        <v>40830</v>
      </c>
      <c r="H399">
        <v>1.3882000000000001</v>
      </c>
    </row>
    <row r="400" spans="1:8">
      <c r="A400" s="105">
        <v>40681</v>
      </c>
      <c r="B400">
        <v>1.9724999999999999</v>
      </c>
      <c r="D400" s="105">
        <v>40833</v>
      </c>
      <c r="E400">
        <v>1.4260999999999999</v>
      </c>
      <c r="G400" s="105">
        <v>40833</v>
      </c>
      <c r="H400">
        <v>1.3736999999999999</v>
      </c>
    </row>
    <row r="401" spans="1:8">
      <c r="A401" s="105">
        <v>40682</v>
      </c>
      <c r="B401">
        <v>1.9764999999999999</v>
      </c>
      <c r="D401" s="105">
        <v>40834</v>
      </c>
      <c r="E401">
        <v>1.4219999999999999</v>
      </c>
      <c r="G401" s="105">
        <v>40834</v>
      </c>
      <c r="H401">
        <v>1.3752</v>
      </c>
    </row>
    <row r="402" spans="1:8">
      <c r="A402" s="105">
        <v>40683</v>
      </c>
      <c r="B402">
        <v>1.9656</v>
      </c>
      <c r="D402" s="105">
        <v>40835</v>
      </c>
      <c r="E402">
        <v>1.4124000000000001</v>
      </c>
      <c r="G402" s="105">
        <v>40835</v>
      </c>
      <c r="H402">
        <v>1.3759999999999999</v>
      </c>
    </row>
    <row r="403" spans="1:8">
      <c r="A403" s="105">
        <v>40684</v>
      </c>
      <c r="B403">
        <v>1.9661999999999999</v>
      </c>
      <c r="D403" s="105">
        <v>40836</v>
      </c>
      <c r="E403">
        <v>1.421</v>
      </c>
      <c r="G403" s="105">
        <v>40836</v>
      </c>
      <c r="H403">
        <v>1.3779999999999999</v>
      </c>
    </row>
    <row r="404" spans="1:8">
      <c r="A404" s="105">
        <v>40685</v>
      </c>
      <c r="B404">
        <v>1.9661999999999999</v>
      </c>
      <c r="D404" s="105">
        <v>40837</v>
      </c>
      <c r="E404">
        <v>1.4029</v>
      </c>
      <c r="G404" s="105">
        <v>40837</v>
      </c>
      <c r="H404">
        <v>1.3895999999999999</v>
      </c>
    </row>
    <row r="405" spans="1:8">
      <c r="A405" s="105">
        <v>40686</v>
      </c>
      <c r="B405">
        <v>1.9612000000000001</v>
      </c>
      <c r="D405" s="105">
        <v>40840</v>
      </c>
      <c r="E405">
        <v>1.4019999999999999</v>
      </c>
      <c r="G405" s="105">
        <v>40840</v>
      </c>
      <c r="H405">
        <v>1.3929</v>
      </c>
    </row>
    <row r="406" spans="1:8">
      <c r="A406" s="105">
        <v>40687</v>
      </c>
      <c r="B406">
        <v>1.9636</v>
      </c>
      <c r="D406" s="105">
        <v>40841</v>
      </c>
      <c r="E406">
        <v>1.4083000000000001</v>
      </c>
      <c r="G406" s="105">
        <v>40841</v>
      </c>
      <c r="H406">
        <v>1.3908</v>
      </c>
    </row>
    <row r="407" spans="1:8">
      <c r="A407" s="105">
        <v>40688</v>
      </c>
      <c r="B407">
        <v>1.9632000000000001</v>
      </c>
      <c r="D407" s="105">
        <v>40842</v>
      </c>
      <c r="E407">
        <v>1.4056</v>
      </c>
      <c r="G407" s="105">
        <v>40842</v>
      </c>
      <c r="H407">
        <v>1.3906000000000001</v>
      </c>
    </row>
    <row r="408" spans="1:8">
      <c r="A408" s="105">
        <v>40689</v>
      </c>
      <c r="B408">
        <v>1.9661999999999999</v>
      </c>
      <c r="D408" s="105">
        <v>40843</v>
      </c>
      <c r="E408">
        <v>1.3878999999999999</v>
      </c>
      <c r="G408" s="105">
        <v>40843</v>
      </c>
      <c r="H408">
        <v>1.4189000000000001</v>
      </c>
    </row>
    <row r="409" spans="1:8">
      <c r="A409" s="105">
        <v>40690</v>
      </c>
      <c r="B409">
        <v>1.9777</v>
      </c>
      <c r="D409" s="105">
        <v>40844</v>
      </c>
      <c r="E409">
        <v>1.3900999999999999</v>
      </c>
      <c r="G409" s="105">
        <v>40844</v>
      </c>
      <c r="H409">
        <v>1.4147000000000001</v>
      </c>
    </row>
    <row r="410" spans="1:8">
      <c r="A410" s="105">
        <v>40691</v>
      </c>
      <c r="B410">
        <v>1.9634</v>
      </c>
      <c r="D410" s="105">
        <v>40847</v>
      </c>
      <c r="E410">
        <v>1.4137</v>
      </c>
      <c r="G410" s="105">
        <v>40847</v>
      </c>
      <c r="H410">
        <v>1.3857999999999999</v>
      </c>
    </row>
    <row r="411" spans="1:8">
      <c r="A411" s="105">
        <v>40693</v>
      </c>
      <c r="B411">
        <v>1.9736</v>
      </c>
      <c r="D411" s="105">
        <v>40848</v>
      </c>
      <c r="E411">
        <v>1.4200999999999999</v>
      </c>
      <c r="G411" s="105">
        <v>40848</v>
      </c>
      <c r="H411">
        <v>1.3703000000000001</v>
      </c>
    </row>
    <row r="412" spans="1:8">
      <c r="A412" s="105">
        <v>40694</v>
      </c>
      <c r="B412">
        <v>1.9796</v>
      </c>
      <c r="D412" s="105">
        <v>40849</v>
      </c>
      <c r="E412">
        <v>1.4311</v>
      </c>
      <c r="G412" s="105">
        <v>40849</v>
      </c>
      <c r="H412">
        <v>1.3747</v>
      </c>
    </row>
    <row r="413" spans="1:8">
      <c r="A413" s="105">
        <v>40695</v>
      </c>
      <c r="B413">
        <v>1.9745999999999999</v>
      </c>
      <c r="D413" s="105">
        <v>40850</v>
      </c>
      <c r="E413">
        <v>1.4147000000000001</v>
      </c>
      <c r="G413" s="105">
        <v>40850</v>
      </c>
      <c r="H413">
        <v>1.3823000000000001</v>
      </c>
    </row>
    <row r="414" spans="1:8">
      <c r="A414" s="105">
        <v>40696</v>
      </c>
      <c r="B414">
        <v>1.9709000000000001</v>
      </c>
      <c r="D414" s="105">
        <v>40851</v>
      </c>
      <c r="E414">
        <v>1.4305000000000001</v>
      </c>
      <c r="G414" s="105">
        <v>40851</v>
      </c>
      <c r="H414">
        <v>1.3792</v>
      </c>
    </row>
    <row r="415" spans="1:8">
      <c r="A415" s="105">
        <v>40697</v>
      </c>
      <c r="B415">
        <v>1.9876</v>
      </c>
      <c r="D415" s="105">
        <v>40854</v>
      </c>
      <c r="E415">
        <v>1.4308000000000001</v>
      </c>
      <c r="G415" s="105">
        <v>40854</v>
      </c>
      <c r="H415">
        <v>1.3775999999999999</v>
      </c>
    </row>
    <row r="416" spans="1:8">
      <c r="A416" s="105">
        <v>40698</v>
      </c>
      <c r="B416">
        <v>1.9856</v>
      </c>
      <c r="D416" s="105">
        <v>40855</v>
      </c>
      <c r="E416">
        <v>1.4249000000000001</v>
      </c>
      <c r="G416" s="105">
        <v>40855</v>
      </c>
      <c r="H416">
        <v>1.3834</v>
      </c>
    </row>
    <row r="417" spans="1:8">
      <c r="A417" s="105">
        <v>40700</v>
      </c>
      <c r="B417">
        <v>1.9819</v>
      </c>
      <c r="D417" s="105">
        <v>40856</v>
      </c>
      <c r="E417">
        <v>1.444</v>
      </c>
      <c r="G417" s="105">
        <v>40856</v>
      </c>
      <c r="H417">
        <v>1.3542000000000001</v>
      </c>
    </row>
    <row r="418" spans="1:8">
      <c r="A418" s="105">
        <v>40701</v>
      </c>
      <c r="B418">
        <v>1.9873000000000001</v>
      </c>
      <c r="D418" s="105">
        <v>40857</v>
      </c>
      <c r="E418">
        <v>1.4413</v>
      </c>
      <c r="G418" s="105">
        <v>40857</v>
      </c>
      <c r="H418">
        <v>1.3606</v>
      </c>
    </row>
    <row r="419" spans="1:8">
      <c r="A419" s="105">
        <v>40702</v>
      </c>
      <c r="B419">
        <v>1.9817</v>
      </c>
      <c r="D419" s="105">
        <v>40858</v>
      </c>
      <c r="E419">
        <v>1.4301999999999999</v>
      </c>
      <c r="G419" s="105">
        <v>40858</v>
      </c>
      <c r="H419">
        <v>1.375</v>
      </c>
    </row>
    <row r="420" spans="1:8">
      <c r="A420" s="105">
        <v>40703</v>
      </c>
      <c r="B420">
        <v>1.9787999999999999</v>
      </c>
      <c r="D420" s="105">
        <v>40861</v>
      </c>
      <c r="E420">
        <v>1.4398</v>
      </c>
      <c r="G420" s="105">
        <v>40861</v>
      </c>
      <c r="H420">
        <v>1.3633</v>
      </c>
    </row>
    <row r="421" spans="1:8">
      <c r="A421" s="105">
        <v>40704</v>
      </c>
      <c r="B421">
        <v>1.9741</v>
      </c>
      <c r="D421" s="105">
        <v>40862</v>
      </c>
      <c r="E421">
        <v>1.4482999999999999</v>
      </c>
      <c r="G421" s="105">
        <v>40862</v>
      </c>
      <c r="H421">
        <v>1.3539000000000001</v>
      </c>
    </row>
    <row r="422" spans="1:8">
      <c r="A422" s="105">
        <v>40705</v>
      </c>
      <c r="B422">
        <v>1.9750000000000001</v>
      </c>
      <c r="D422" s="105">
        <v>40863</v>
      </c>
      <c r="E422">
        <v>1.4503999999999999</v>
      </c>
      <c r="G422" s="105">
        <v>40863</v>
      </c>
      <c r="H422">
        <v>1.3463000000000001</v>
      </c>
    </row>
    <row r="423" spans="1:8">
      <c r="A423" s="105">
        <v>40706</v>
      </c>
      <c r="B423">
        <v>1.9722999999999999</v>
      </c>
      <c r="D423" s="105">
        <v>40864</v>
      </c>
      <c r="E423">
        <v>1.4495</v>
      </c>
      <c r="G423" s="105">
        <v>40864</v>
      </c>
      <c r="H423">
        <v>1.3458000000000001</v>
      </c>
    </row>
    <row r="424" spans="1:8">
      <c r="A424" s="105">
        <v>40707</v>
      </c>
      <c r="B424">
        <v>1.9757</v>
      </c>
      <c r="D424" s="105">
        <v>40865</v>
      </c>
      <c r="E424">
        <v>1.4534</v>
      </c>
      <c r="G424" s="105">
        <v>40865</v>
      </c>
      <c r="H424">
        <v>1.3525</v>
      </c>
    </row>
    <row r="425" spans="1:8">
      <c r="A425" s="105">
        <v>40708</v>
      </c>
      <c r="B425">
        <v>1.9787999999999999</v>
      </c>
      <c r="D425" s="105">
        <v>40868</v>
      </c>
      <c r="E425">
        <v>1.4505999999999999</v>
      </c>
      <c r="G425" s="105">
        <v>40868</v>
      </c>
      <c r="H425">
        <v>1.3489</v>
      </c>
    </row>
    <row r="426" spans="1:8">
      <c r="A426" s="105">
        <v>40709</v>
      </c>
      <c r="B426">
        <v>1.9628000000000001</v>
      </c>
      <c r="D426" s="105">
        <v>40869</v>
      </c>
      <c r="E426">
        <v>1.4505999999999999</v>
      </c>
      <c r="G426" s="105">
        <v>40869</v>
      </c>
      <c r="H426">
        <v>1.3505</v>
      </c>
    </row>
    <row r="427" spans="1:8">
      <c r="A427" s="105">
        <v>40710</v>
      </c>
      <c r="B427">
        <v>1.9666999999999999</v>
      </c>
      <c r="D427" s="105">
        <v>40870</v>
      </c>
      <c r="E427">
        <v>1.4686999999999999</v>
      </c>
      <c r="G427" s="105">
        <v>40870</v>
      </c>
      <c r="H427">
        <v>1.3342000000000001</v>
      </c>
    </row>
    <row r="428" spans="1:8">
      <c r="A428" s="105">
        <v>40711</v>
      </c>
      <c r="B428">
        <v>1.9696</v>
      </c>
      <c r="D428" s="105">
        <v>40871</v>
      </c>
      <c r="E428">
        <v>1.4681</v>
      </c>
      <c r="G428" s="105">
        <v>40871</v>
      </c>
      <c r="H428">
        <v>1.3347</v>
      </c>
    </row>
    <row r="429" spans="1:8">
      <c r="A429" s="105">
        <v>40712</v>
      </c>
      <c r="B429">
        <v>1.9732000000000001</v>
      </c>
      <c r="D429" s="105">
        <v>40872</v>
      </c>
      <c r="E429">
        <v>1.4755</v>
      </c>
      <c r="G429" s="105">
        <v>40872</v>
      </c>
      <c r="H429">
        <v>1.3239000000000001</v>
      </c>
    </row>
    <row r="430" spans="1:8">
      <c r="A430" s="105">
        <v>40713</v>
      </c>
      <c r="B430">
        <v>1.9711000000000001</v>
      </c>
      <c r="D430" s="105">
        <v>40875</v>
      </c>
      <c r="E430">
        <v>1.4734</v>
      </c>
      <c r="G430" s="105">
        <v>40875</v>
      </c>
      <c r="H430">
        <v>1.3320000000000001</v>
      </c>
    </row>
    <row r="431" spans="1:8">
      <c r="A431" s="105">
        <v>40714</v>
      </c>
      <c r="B431">
        <v>1.97</v>
      </c>
      <c r="D431" s="105">
        <v>40876</v>
      </c>
      <c r="E431">
        <v>1.4733000000000001</v>
      </c>
      <c r="G431" s="105">
        <v>40876</v>
      </c>
      <c r="H431">
        <v>1.3317000000000001</v>
      </c>
    </row>
    <row r="432" spans="1:8">
      <c r="A432" s="105">
        <v>40715</v>
      </c>
      <c r="B432">
        <v>1.9754</v>
      </c>
      <c r="D432" s="105">
        <v>40877</v>
      </c>
      <c r="E432">
        <v>1.4628000000000001</v>
      </c>
      <c r="G432" s="105">
        <v>40877</v>
      </c>
      <c r="H432">
        <v>1.3446</v>
      </c>
    </row>
    <row r="433" spans="1:8">
      <c r="A433" s="105">
        <v>40716</v>
      </c>
      <c r="B433">
        <v>1.9726999999999999</v>
      </c>
      <c r="D433" s="105">
        <v>40878</v>
      </c>
      <c r="E433">
        <v>1.4643999999999999</v>
      </c>
      <c r="G433" s="105">
        <v>40878</v>
      </c>
      <c r="H433">
        <v>1.3461000000000001</v>
      </c>
    </row>
    <row r="434" spans="1:8">
      <c r="A434" s="105">
        <v>40717</v>
      </c>
      <c r="B434">
        <v>1.9675</v>
      </c>
      <c r="D434" s="105">
        <v>40879</v>
      </c>
      <c r="E434">
        <v>1.4671000000000001</v>
      </c>
      <c r="G434" s="105">
        <v>40879</v>
      </c>
      <c r="H434">
        <v>1.3391</v>
      </c>
    </row>
    <row r="435" spans="1:8">
      <c r="A435" s="105">
        <v>40718</v>
      </c>
      <c r="B435">
        <v>1.9618</v>
      </c>
      <c r="D435" s="105">
        <v>40882</v>
      </c>
      <c r="E435">
        <v>1.4679</v>
      </c>
      <c r="G435" s="105">
        <v>40882</v>
      </c>
      <c r="H435">
        <v>1.3401000000000001</v>
      </c>
    </row>
    <row r="436" spans="1:8">
      <c r="A436" s="105">
        <v>40719</v>
      </c>
      <c r="B436">
        <v>1.9644999999999999</v>
      </c>
      <c r="D436" s="105">
        <v>40883</v>
      </c>
      <c r="E436">
        <v>1.4692000000000001</v>
      </c>
      <c r="G436" s="105">
        <v>40883</v>
      </c>
      <c r="H436">
        <v>1.3402000000000001</v>
      </c>
    </row>
    <row r="437" spans="1:8">
      <c r="A437" s="105">
        <v>40720</v>
      </c>
      <c r="B437">
        <v>1.9615</v>
      </c>
      <c r="D437" s="105">
        <v>40884</v>
      </c>
      <c r="E437">
        <v>1.4678</v>
      </c>
      <c r="G437" s="105">
        <v>40884</v>
      </c>
      <c r="H437">
        <v>1.3411999999999999</v>
      </c>
    </row>
    <row r="438" spans="1:8">
      <c r="A438" s="105">
        <v>40721</v>
      </c>
      <c r="B438">
        <v>1.9692000000000001</v>
      </c>
      <c r="D438" s="105">
        <v>40885</v>
      </c>
      <c r="E438">
        <v>1.47</v>
      </c>
      <c r="G438" s="105">
        <v>40885</v>
      </c>
      <c r="H438">
        <v>1.3341000000000001</v>
      </c>
    </row>
    <row r="439" spans="1:8">
      <c r="A439" s="105">
        <v>40722</v>
      </c>
      <c r="B439">
        <v>1.9757</v>
      </c>
      <c r="D439" s="105">
        <v>40886</v>
      </c>
      <c r="E439">
        <v>1.4744999999999999</v>
      </c>
      <c r="G439" s="105">
        <v>40886</v>
      </c>
      <c r="H439">
        <v>1.3386</v>
      </c>
    </row>
    <row r="440" spans="1:8">
      <c r="A440" s="105">
        <v>40723</v>
      </c>
      <c r="B440">
        <v>1.9790000000000001</v>
      </c>
      <c r="D440" s="105">
        <v>40889</v>
      </c>
      <c r="E440">
        <v>1.4804999999999999</v>
      </c>
      <c r="G440" s="105">
        <v>40889</v>
      </c>
      <c r="H440">
        <v>1.3187</v>
      </c>
    </row>
    <row r="441" spans="1:8">
      <c r="A441" s="105">
        <v>40724</v>
      </c>
      <c r="B441">
        <v>1.9810000000000001</v>
      </c>
      <c r="D441" s="105">
        <v>40890</v>
      </c>
      <c r="E441">
        <v>1.494</v>
      </c>
      <c r="G441" s="105">
        <v>40890</v>
      </c>
      <c r="H441">
        <v>1.3037000000000001</v>
      </c>
    </row>
    <row r="442" spans="1:8">
      <c r="A442" s="105">
        <v>40725</v>
      </c>
      <c r="B442">
        <v>1.9823999999999999</v>
      </c>
      <c r="D442" s="105">
        <v>40891</v>
      </c>
      <c r="E442">
        <v>1.4952000000000001</v>
      </c>
      <c r="G442" s="105">
        <v>40891</v>
      </c>
      <c r="H442">
        <v>1.2983</v>
      </c>
    </row>
    <row r="443" spans="1:8">
      <c r="A443" s="105">
        <v>40726</v>
      </c>
      <c r="B443">
        <v>1.984</v>
      </c>
      <c r="D443" s="105">
        <v>40892</v>
      </c>
      <c r="E443">
        <v>1.4922</v>
      </c>
      <c r="G443" s="105">
        <v>40892</v>
      </c>
      <c r="H443">
        <v>1.3016000000000001</v>
      </c>
    </row>
    <row r="444" spans="1:8">
      <c r="A444" s="105">
        <v>40727</v>
      </c>
      <c r="B444">
        <v>1.9754</v>
      </c>
      <c r="D444" s="105">
        <v>40893</v>
      </c>
      <c r="E444">
        <v>1.4896</v>
      </c>
      <c r="G444" s="105">
        <v>40893</v>
      </c>
      <c r="H444">
        <v>1.3046</v>
      </c>
    </row>
    <row r="445" spans="1:8">
      <c r="A445" s="105">
        <v>40728</v>
      </c>
      <c r="B445">
        <v>1.9837</v>
      </c>
      <c r="D445" s="105">
        <v>40896</v>
      </c>
      <c r="E445">
        <v>1.4919</v>
      </c>
      <c r="G445" s="105">
        <v>40896</v>
      </c>
      <c r="H445">
        <v>1.2998000000000001</v>
      </c>
    </row>
    <row r="446" spans="1:8">
      <c r="A446" s="105">
        <v>40729</v>
      </c>
      <c r="B446">
        <v>1.978</v>
      </c>
      <c r="D446" s="105">
        <v>40897</v>
      </c>
      <c r="E446">
        <v>1.4872000000000001</v>
      </c>
      <c r="G446" s="105">
        <v>40897</v>
      </c>
      <c r="H446">
        <v>1.3082</v>
      </c>
    </row>
    <row r="447" spans="1:8">
      <c r="A447" s="105">
        <v>40730</v>
      </c>
      <c r="B447">
        <v>1.9739</v>
      </c>
      <c r="D447" s="105">
        <v>40898</v>
      </c>
      <c r="E447">
        <v>1.4879</v>
      </c>
      <c r="G447" s="105">
        <v>40898</v>
      </c>
      <c r="H447">
        <v>1.3047</v>
      </c>
    </row>
    <row r="448" spans="1:8">
      <c r="A448" s="105">
        <v>40731</v>
      </c>
      <c r="B448">
        <v>1.9759</v>
      </c>
      <c r="D448" s="105">
        <v>40899</v>
      </c>
      <c r="E448">
        <v>1.4866999999999999</v>
      </c>
      <c r="G448" s="105">
        <v>40899</v>
      </c>
      <c r="H448">
        <v>1.3049999999999999</v>
      </c>
    </row>
    <row r="449" spans="1:8">
      <c r="A449" s="105">
        <v>40732</v>
      </c>
      <c r="B449">
        <v>1.9710000000000001</v>
      </c>
      <c r="D449" s="105">
        <v>40900</v>
      </c>
      <c r="E449">
        <v>1.4875</v>
      </c>
      <c r="G449" s="105">
        <v>40900</v>
      </c>
      <c r="H449">
        <v>1.3044</v>
      </c>
    </row>
    <row r="450" spans="1:8">
      <c r="A450" s="105">
        <v>40733</v>
      </c>
      <c r="B450">
        <v>1.9702999999999999</v>
      </c>
      <c r="D450" s="105">
        <v>40903</v>
      </c>
      <c r="E450">
        <v>1.4794</v>
      </c>
      <c r="G450" s="105">
        <v>40903</v>
      </c>
      <c r="H450">
        <v>1.3061</v>
      </c>
    </row>
    <row r="451" spans="1:8">
      <c r="A451" s="105">
        <v>40734</v>
      </c>
      <c r="B451">
        <v>1.9686999999999999</v>
      </c>
      <c r="D451" s="105">
        <v>40904</v>
      </c>
      <c r="E451">
        <v>1.4854000000000001</v>
      </c>
      <c r="G451" s="105">
        <v>40904</v>
      </c>
      <c r="H451">
        <v>1.3070999999999999</v>
      </c>
    </row>
    <row r="452" spans="1:8">
      <c r="A452" s="105">
        <v>40735</v>
      </c>
      <c r="B452">
        <v>1.9587000000000001</v>
      </c>
      <c r="D452" s="105">
        <v>40905</v>
      </c>
      <c r="E452">
        <v>1.4975000000000001</v>
      </c>
      <c r="G452" s="105">
        <v>40905</v>
      </c>
      <c r="H452">
        <v>1.2941</v>
      </c>
    </row>
    <row r="453" spans="1:8">
      <c r="A453" s="105">
        <v>40736</v>
      </c>
      <c r="B453">
        <v>1.9558</v>
      </c>
      <c r="D453" s="105">
        <v>40906</v>
      </c>
      <c r="E453">
        <v>1.4971000000000001</v>
      </c>
      <c r="G453" s="105">
        <v>40906</v>
      </c>
      <c r="H453">
        <v>1.2961</v>
      </c>
    </row>
    <row r="454" spans="1:8">
      <c r="A454" s="105">
        <v>40737</v>
      </c>
      <c r="B454">
        <v>1.9656</v>
      </c>
      <c r="D454" s="105">
        <v>40907</v>
      </c>
      <c r="E454">
        <v>1.498</v>
      </c>
      <c r="G454" s="105">
        <v>40907</v>
      </c>
      <c r="H454">
        <v>1.2961</v>
      </c>
    </row>
    <row r="455" spans="1:8">
      <c r="A455" s="105">
        <v>40738</v>
      </c>
      <c r="B455">
        <v>1.9633</v>
      </c>
      <c r="D455" s="105">
        <v>40910</v>
      </c>
      <c r="E455">
        <v>1.5004999999999999</v>
      </c>
      <c r="G455" s="105">
        <v>40910</v>
      </c>
      <c r="H455">
        <v>1.2934000000000001</v>
      </c>
    </row>
    <row r="456" spans="1:8">
      <c r="A456" s="105">
        <v>40739</v>
      </c>
      <c r="B456">
        <v>1.9633</v>
      </c>
      <c r="D456" s="105">
        <v>40911</v>
      </c>
      <c r="E456">
        <v>1.4906999999999999</v>
      </c>
      <c r="G456" s="105">
        <v>40911</v>
      </c>
      <c r="H456">
        <v>1.3049999999999999</v>
      </c>
    </row>
    <row r="457" spans="1:8">
      <c r="A457" s="105">
        <v>40740</v>
      </c>
      <c r="B457">
        <v>1.9549000000000001</v>
      </c>
      <c r="D457" s="105">
        <v>40912</v>
      </c>
      <c r="E457">
        <v>1.5003</v>
      </c>
      <c r="G457" s="105">
        <v>40912</v>
      </c>
      <c r="H457">
        <v>1.2943</v>
      </c>
    </row>
    <row r="458" spans="1:8">
      <c r="A458" s="105">
        <v>40741</v>
      </c>
      <c r="B458">
        <v>1.9632000000000001</v>
      </c>
      <c r="D458" s="105">
        <v>40913</v>
      </c>
      <c r="E458">
        <v>1.5118</v>
      </c>
      <c r="G458" s="105">
        <v>40913</v>
      </c>
      <c r="H458">
        <v>1.2788999999999999</v>
      </c>
    </row>
    <row r="459" spans="1:8">
      <c r="A459" s="105">
        <v>40742</v>
      </c>
      <c r="B459">
        <v>1.9615</v>
      </c>
      <c r="D459" s="105">
        <v>40914</v>
      </c>
      <c r="E459">
        <v>1.5174000000000001</v>
      </c>
      <c r="G459" s="105">
        <v>40914</v>
      </c>
      <c r="H459">
        <v>1.2717000000000001</v>
      </c>
    </row>
    <row r="460" spans="1:8">
      <c r="A460" s="105">
        <v>40743</v>
      </c>
      <c r="B460">
        <v>1.9634</v>
      </c>
      <c r="D460" s="105">
        <v>40917</v>
      </c>
      <c r="E460">
        <v>1.52</v>
      </c>
      <c r="G460" s="105">
        <v>40917</v>
      </c>
      <c r="H460">
        <v>1.2765</v>
      </c>
    </row>
    <row r="461" spans="1:8">
      <c r="A461" s="105">
        <v>40744</v>
      </c>
      <c r="B461">
        <v>1.9666999999999999</v>
      </c>
      <c r="D461" s="105">
        <v>40918</v>
      </c>
      <c r="E461">
        <v>1.5170999999999999</v>
      </c>
      <c r="G461" s="105">
        <v>40918</v>
      </c>
      <c r="H461">
        <v>1.2778</v>
      </c>
    </row>
    <row r="462" spans="1:8">
      <c r="A462" s="105">
        <v>40745</v>
      </c>
      <c r="B462">
        <v>1.9762999999999999</v>
      </c>
      <c r="D462" s="105">
        <v>40919</v>
      </c>
      <c r="E462">
        <v>1.5241</v>
      </c>
      <c r="G462" s="105">
        <v>40919</v>
      </c>
      <c r="H462">
        <v>1.2706999999999999</v>
      </c>
    </row>
    <row r="463" spans="1:8">
      <c r="A463" s="105">
        <v>40746</v>
      </c>
      <c r="B463">
        <v>1.9726999999999999</v>
      </c>
      <c r="D463" s="105">
        <v>40920</v>
      </c>
      <c r="E463">
        <v>1.5161</v>
      </c>
      <c r="G463" s="105">
        <v>40920</v>
      </c>
      <c r="H463">
        <v>1.2814000000000001</v>
      </c>
    </row>
    <row r="464" spans="1:8">
      <c r="A464" s="105">
        <v>40747</v>
      </c>
      <c r="B464">
        <v>1.9683999999999999</v>
      </c>
      <c r="D464" s="105">
        <v>40921</v>
      </c>
      <c r="E464">
        <v>1.5319</v>
      </c>
      <c r="G464" s="105">
        <v>40921</v>
      </c>
      <c r="H464">
        <v>1.268</v>
      </c>
    </row>
    <row r="465" spans="1:8">
      <c r="A465" s="105">
        <v>40748</v>
      </c>
      <c r="B465">
        <v>1.9688000000000001</v>
      </c>
      <c r="D465" s="105">
        <v>40924</v>
      </c>
      <c r="E465">
        <v>1.5298</v>
      </c>
      <c r="G465" s="105">
        <v>40924</v>
      </c>
      <c r="H465">
        <v>1.2666999999999999</v>
      </c>
    </row>
    <row r="466" spans="1:8">
      <c r="A466" s="105">
        <v>40749</v>
      </c>
      <c r="B466">
        <v>1.9737</v>
      </c>
      <c r="D466" s="105">
        <v>40925</v>
      </c>
      <c r="E466">
        <v>1.5284</v>
      </c>
      <c r="G466" s="105">
        <v>40925</v>
      </c>
      <c r="H466">
        <v>1.2736000000000001</v>
      </c>
    </row>
    <row r="467" spans="1:8">
      <c r="A467" s="105">
        <v>40750</v>
      </c>
      <c r="B467">
        <v>1.9805999999999999</v>
      </c>
      <c r="D467" s="105">
        <v>40926</v>
      </c>
      <c r="E467">
        <v>1.5194000000000001</v>
      </c>
      <c r="G467" s="105">
        <v>40926</v>
      </c>
      <c r="H467">
        <v>1.2863</v>
      </c>
    </row>
    <row r="468" spans="1:8">
      <c r="A468" s="105">
        <v>40751</v>
      </c>
      <c r="B468">
        <v>1.9731000000000001</v>
      </c>
      <c r="D468" s="105">
        <v>40927</v>
      </c>
      <c r="E468">
        <v>1.5119</v>
      </c>
      <c r="G468" s="105">
        <v>40927</v>
      </c>
      <c r="H468">
        <v>1.2968</v>
      </c>
    </row>
    <row r="469" spans="1:8">
      <c r="A469" s="105">
        <v>40752</v>
      </c>
      <c r="B469">
        <v>1.9712000000000001</v>
      </c>
      <c r="D469" s="105">
        <v>40928</v>
      </c>
      <c r="E469">
        <v>1.5147999999999999</v>
      </c>
      <c r="G469" s="105">
        <v>40928</v>
      </c>
      <c r="H469">
        <v>1.2930999999999999</v>
      </c>
    </row>
    <row r="470" spans="1:8">
      <c r="A470" s="105">
        <v>40753</v>
      </c>
      <c r="B470">
        <v>1.9744999999999999</v>
      </c>
      <c r="D470" s="105">
        <v>40931</v>
      </c>
      <c r="E470">
        <v>1.5056</v>
      </c>
      <c r="G470" s="105">
        <v>40931</v>
      </c>
      <c r="H470">
        <v>1.3012999999999999</v>
      </c>
    </row>
    <row r="471" spans="1:8">
      <c r="A471" s="105">
        <v>40754</v>
      </c>
      <c r="B471">
        <v>1.9721</v>
      </c>
      <c r="D471" s="105">
        <v>40932</v>
      </c>
      <c r="E471">
        <v>1.5076000000000001</v>
      </c>
      <c r="G471" s="105">
        <v>40932</v>
      </c>
      <c r="H471">
        <v>1.3036000000000001</v>
      </c>
    </row>
    <row r="472" spans="1:8">
      <c r="A472" s="105">
        <v>40755</v>
      </c>
      <c r="B472">
        <v>1.9710000000000001</v>
      </c>
      <c r="D472" s="105">
        <v>40933</v>
      </c>
      <c r="E472">
        <v>1.4985999999999999</v>
      </c>
      <c r="G472" s="105">
        <v>40933</v>
      </c>
      <c r="H472">
        <v>1.3106</v>
      </c>
    </row>
    <row r="473" spans="1:8">
      <c r="A473" s="105">
        <v>40756</v>
      </c>
      <c r="B473">
        <v>1.9669000000000001</v>
      </c>
      <c r="D473" s="105">
        <v>40934</v>
      </c>
      <c r="E473">
        <v>1.5031000000000001</v>
      </c>
      <c r="G473" s="105">
        <v>40934</v>
      </c>
      <c r="H473">
        <v>1.3109</v>
      </c>
    </row>
    <row r="474" spans="1:8">
      <c r="A474" s="105">
        <v>40757</v>
      </c>
      <c r="B474">
        <v>1.9642999999999999</v>
      </c>
      <c r="D474" s="105">
        <v>40935</v>
      </c>
      <c r="E474">
        <v>1.4972000000000001</v>
      </c>
      <c r="G474" s="105">
        <v>40935</v>
      </c>
      <c r="H474">
        <v>1.3220000000000001</v>
      </c>
    </row>
    <row r="475" spans="1:8">
      <c r="A475" s="105">
        <v>40758</v>
      </c>
      <c r="B475">
        <v>1.9704999999999999</v>
      </c>
      <c r="D475" s="105">
        <v>40938</v>
      </c>
      <c r="E475">
        <v>1.5029999999999999</v>
      </c>
      <c r="G475" s="105">
        <v>40938</v>
      </c>
      <c r="H475">
        <v>1.3144</v>
      </c>
    </row>
    <row r="476" spans="1:8">
      <c r="A476" s="105">
        <v>40759</v>
      </c>
      <c r="B476">
        <v>1.9621999999999999</v>
      </c>
      <c r="D476" s="105">
        <v>40939</v>
      </c>
      <c r="E476">
        <v>1.5108999999999999</v>
      </c>
      <c r="G476" s="105">
        <v>40939</v>
      </c>
      <c r="H476">
        <v>1.3084</v>
      </c>
    </row>
    <row r="477" spans="1:8">
      <c r="A477" s="105">
        <v>40760</v>
      </c>
      <c r="B477">
        <v>1.9725999999999999</v>
      </c>
      <c r="D477" s="105">
        <v>40940</v>
      </c>
      <c r="E477">
        <v>1.5023</v>
      </c>
      <c r="G477" s="105">
        <v>40940</v>
      </c>
      <c r="H477">
        <v>1.3161</v>
      </c>
    </row>
    <row r="478" spans="1:8">
      <c r="A478" s="105">
        <v>40761</v>
      </c>
      <c r="B478">
        <v>1.9645999999999999</v>
      </c>
      <c r="D478" s="105">
        <v>40941</v>
      </c>
      <c r="E478">
        <v>1.5061</v>
      </c>
      <c r="G478" s="105">
        <v>40941</v>
      </c>
      <c r="H478">
        <v>1.3144</v>
      </c>
    </row>
    <row r="479" spans="1:8">
      <c r="A479" s="105">
        <v>40762</v>
      </c>
      <c r="B479">
        <v>1.9645999999999999</v>
      </c>
      <c r="D479" s="105">
        <v>40942</v>
      </c>
      <c r="E479">
        <v>1.5068999999999999</v>
      </c>
      <c r="G479" s="105">
        <v>40942</v>
      </c>
      <c r="H479">
        <v>1.3158000000000001</v>
      </c>
    </row>
    <row r="480" spans="1:8">
      <c r="A480" s="105">
        <v>40763</v>
      </c>
      <c r="B480">
        <v>1.9676</v>
      </c>
      <c r="D480" s="105">
        <v>40945</v>
      </c>
      <c r="E480">
        <v>1.5055000000000001</v>
      </c>
      <c r="G480" s="105">
        <v>40945</v>
      </c>
      <c r="H480">
        <v>1.3129999999999999</v>
      </c>
    </row>
    <row r="481" spans="1:8">
      <c r="A481" s="105">
        <v>40764</v>
      </c>
      <c r="B481">
        <v>1.9753000000000001</v>
      </c>
      <c r="D481" s="105">
        <v>40946</v>
      </c>
      <c r="E481">
        <v>1.5031000000000001</v>
      </c>
      <c r="G481" s="105">
        <v>40946</v>
      </c>
      <c r="H481">
        <v>1.3261000000000001</v>
      </c>
    </row>
    <row r="482" spans="1:8">
      <c r="A482" s="105">
        <v>40765</v>
      </c>
      <c r="B482">
        <v>1.9642999999999999</v>
      </c>
      <c r="D482" s="105">
        <v>40947</v>
      </c>
      <c r="E482">
        <v>1.4965999999999999</v>
      </c>
      <c r="G482" s="105">
        <v>40947</v>
      </c>
      <c r="H482">
        <v>1.3260000000000001</v>
      </c>
    </row>
    <row r="483" spans="1:8">
      <c r="A483" s="105">
        <v>40766</v>
      </c>
      <c r="B483">
        <v>1.9662999999999999</v>
      </c>
      <c r="D483" s="105">
        <v>40948</v>
      </c>
      <c r="E483">
        <v>1.4948999999999999</v>
      </c>
      <c r="G483" s="105">
        <v>40948</v>
      </c>
      <c r="H483">
        <v>1.3286</v>
      </c>
    </row>
    <row r="484" spans="1:8">
      <c r="A484" s="105">
        <v>40767</v>
      </c>
      <c r="B484">
        <v>1.9663999999999999</v>
      </c>
      <c r="D484" s="105">
        <v>40949</v>
      </c>
      <c r="E484">
        <v>1.5048999999999999</v>
      </c>
      <c r="G484" s="105">
        <v>40949</v>
      </c>
      <c r="H484">
        <v>1.3197000000000001</v>
      </c>
    </row>
    <row r="485" spans="1:8">
      <c r="A485" s="105">
        <v>40768</v>
      </c>
      <c r="B485">
        <v>1.9649000000000001</v>
      </c>
      <c r="D485" s="105">
        <v>40952</v>
      </c>
      <c r="E485">
        <v>1.5012000000000001</v>
      </c>
      <c r="G485" s="105">
        <v>40952</v>
      </c>
      <c r="H485">
        <v>1.3186</v>
      </c>
    </row>
    <row r="486" spans="1:8">
      <c r="A486" s="105">
        <v>40769</v>
      </c>
      <c r="B486">
        <v>1.9661999999999999</v>
      </c>
      <c r="D486" s="105">
        <v>40953</v>
      </c>
      <c r="E486">
        <v>1.5044</v>
      </c>
      <c r="G486" s="105">
        <v>40953</v>
      </c>
      <c r="H486">
        <v>1.3133999999999999</v>
      </c>
    </row>
    <row r="487" spans="1:8">
      <c r="A487" s="105">
        <v>40770</v>
      </c>
      <c r="B487">
        <v>1.9783999999999999</v>
      </c>
      <c r="D487" s="105">
        <v>40954</v>
      </c>
      <c r="E487">
        <v>1.5129999999999999</v>
      </c>
      <c r="G487" s="105">
        <v>40954</v>
      </c>
      <c r="H487">
        <v>1.3066</v>
      </c>
    </row>
    <row r="488" spans="1:8">
      <c r="A488" s="105">
        <v>40771</v>
      </c>
      <c r="B488">
        <v>1.9762999999999999</v>
      </c>
      <c r="D488" s="105">
        <v>40955</v>
      </c>
      <c r="E488">
        <v>1.5038</v>
      </c>
      <c r="G488" s="105">
        <v>40955</v>
      </c>
      <c r="H488">
        <v>1.3129999999999999</v>
      </c>
    </row>
    <row r="489" spans="1:8">
      <c r="A489" s="105">
        <v>40772</v>
      </c>
      <c r="B489">
        <v>1.9750000000000001</v>
      </c>
      <c r="D489" s="105">
        <v>40956</v>
      </c>
      <c r="E489">
        <v>1.5098</v>
      </c>
      <c r="G489" s="105">
        <v>40956</v>
      </c>
      <c r="H489">
        <v>1.3140000000000001</v>
      </c>
    </row>
    <row r="490" spans="1:8">
      <c r="A490" s="105">
        <v>40773</v>
      </c>
      <c r="B490">
        <v>1.9699</v>
      </c>
      <c r="D490" s="105">
        <v>40959</v>
      </c>
      <c r="E490">
        <v>1.5026999999999999</v>
      </c>
      <c r="G490" s="105">
        <v>40959</v>
      </c>
      <c r="H490">
        <v>1.3243</v>
      </c>
    </row>
    <row r="491" spans="1:8">
      <c r="A491" s="105">
        <v>40774</v>
      </c>
      <c r="B491">
        <v>1.9726999999999999</v>
      </c>
      <c r="D491" s="105">
        <v>40960</v>
      </c>
      <c r="E491">
        <v>1.5012000000000001</v>
      </c>
      <c r="G491" s="105">
        <v>40960</v>
      </c>
      <c r="H491">
        <v>1.3233999999999999</v>
      </c>
    </row>
    <row r="492" spans="1:8">
      <c r="A492" s="105">
        <v>40775</v>
      </c>
      <c r="B492">
        <v>1.9730000000000001</v>
      </c>
      <c r="D492" s="105">
        <v>40961</v>
      </c>
      <c r="E492">
        <v>1.5044</v>
      </c>
      <c r="G492" s="105">
        <v>40961</v>
      </c>
      <c r="H492">
        <v>1.3249</v>
      </c>
    </row>
    <row r="493" spans="1:8">
      <c r="A493" s="105">
        <v>40776</v>
      </c>
      <c r="B493">
        <v>1.9726999999999999</v>
      </c>
      <c r="D493" s="105">
        <v>40962</v>
      </c>
      <c r="E493">
        <v>1.4967999999999999</v>
      </c>
      <c r="G493" s="105">
        <v>40962</v>
      </c>
      <c r="H493">
        <v>1.3372999999999999</v>
      </c>
    </row>
    <row r="494" spans="1:8">
      <c r="A494" s="105">
        <v>40777</v>
      </c>
      <c r="B494">
        <v>1.9709000000000001</v>
      </c>
      <c r="D494" s="105">
        <v>40963</v>
      </c>
      <c r="E494">
        <v>1.4891000000000001</v>
      </c>
      <c r="G494" s="105">
        <v>40963</v>
      </c>
      <c r="H494">
        <v>1.3448</v>
      </c>
    </row>
    <row r="495" spans="1:8">
      <c r="A495" s="105">
        <v>40778</v>
      </c>
      <c r="B495">
        <v>1.9764999999999999</v>
      </c>
      <c r="D495" s="105">
        <v>40966</v>
      </c>
      <c r="E495">
        <v>1.4936</v>
      </c>
      <c r="G495" s="105">
        <v>40966</v>
      </c>
      <c r="H495">
        <v>1.3398000000000001</v>
      </c>
    </row>
    <row r="496" spans="1:8">
      <c r="A496" s="105">
        <v>40779</v>
      </c>
      <c r="B496">
        <v>1.9750000000000001</v>
      </c>
      <c r="D496" s="105">
        <v>40967</v>
      </c>
      <c r="E496">
        <v>1.4879</v>
      </c>
      <c r="G496" s="105">
        <v>40967</v>
      </c>
      <c r="H496">
        <v>1.3458000000000001</v>
      </c>
    </row>
    <row r="497" spans="1:8">
      <c r="A497" s="105">
        <v>40780</v>
      </c>
      <c r="B497">
        <v>1.9729000000000001</v>
      </c>
      <c r="D497" s="105">
        <v>40968</v>
      </c>
      <c r="E497">
        <v>1.4992000000000001</v>
      </c>
      <c r="G497" s="105">
        <v>40968</v>
      </c>
      <c r="H497">
        <v>1.3325</v>
      </c>
    </row>
    <row r="498" spans="1:8">
      <c r="A498" s="105">
        <v>40781</v>
      </c>
      <c r="B498">
        <v>1.9781</v>
      </c>
      <c r="D498" s="105">
        <v>40969</v>
      </c>
      <c r="E498">
        <v>1.4977</v>
      </c>
      <c r="G498" s="105">
        <v>40969</v>
      </c>
      <c r="H498">
        <v>1.3310999999999999</v>
      </c>
    </row>
    <row r="499" spans="1:8">
      <c r="A499" s="105">
        <v>40782</v>
      </c>
      <c r="B499">
        <v>1.9785999999999999</v>
      </c>
      <c r="D499" s="105">
        <v>40970</v>
      </c>
      <c r="E499">
        <v>1.5061</v>
      </c>
      <c r="G499" s="105">
        <v>40970</v>
      </c>
      <c r="H499">
        <v>1.3198000000000001</v>
      </c>
    </row>
    <row r="500" spans="1:8">
      <c r="A500" s="105">
        <v>40783</v>
      </c>
      <c r="B500">
        <v>1.9762</v>
      </c>
      <c r="D500" s="105">
        <v>40973</v>
      </c>
      <c r="E500">
        <v>1.5058</v>
      </c>
      <c r="G500" s="105">
        <v>40973</v>
      </c>
      <c r="H500">
        <v>1.3217000000000001</v>
      </c>
    </row>
    <row r="501" spans="1:8">
      <c r="A501" s="105">
        <v>40784</v>
      </c>
      <c r="B501">
        <v>1.9802</v>
      </c>
      <c r="D501" s="105">
        <v>40974</v>
      </c>
      <c r="E501">
        <v>1.5137</v>
      </c>
      <c r="G501" s="105">
        <v>40974</v>
      </c>
      <c r="H501">
        <v>1.3111999999999999</v>
      </c>
    </row>
    <row r="502" spans="1:8">
      <c r="A502" s="105">
        <v>40785</v>
      </c>
      <c r="B502">
        <v>1.9763999999999999</v>
      </c>
      <c r="D502" s="105">
        <v>40975</v>
      </c>
      <c r="E502">
        <v>1.512</v>
      </c>
      <c r="G502" s="105">
        <v>40975</v>
      </c>
      <c r="H502">
        <v>1.3149</v>
      </c>
    </row>
    <row r="503" spans="1:8">
      <c r="A503" s="105">
        <v>40786</v>
      </c>
      <c r="B503">
        <v>1.9731000000000001</v>
      </c>
      <c r="D503" s="105">
        <v>40976</v>
      </c>
      <c r="E503">
        <v>1.5019</v>
      </c>
      <c r="G503" s="105">
        <v>40976</v>
      </c>
      <c r="H503">
        <v>1.3274999999999999</v>
      </c>
    </row>
    <row r="504" spans="1:8">
      <c r="A504" s="105">
        <v>40787</v>
      </c>
      <c r="B504">
        <v>1.9674</v>
      </c>
      <c r="D504" s="105">
        <v>40977</v>
      </c>
      <c r="E504">
        <v>1.5147999999999999</v>
      </c>
      <c r="G504" s="105">
        <v>40977</v>
      </c>
      <c r="H504">
        <v>1.3123</v>
      </c>
    </row>
    <row r="505" spans="1:8">
      <c r="A505" s="105">
        <v>40788</v>
      </c>
      <c r="B505">
        <v>1.9666999999999999</v>
      </c>
      <c r="D505" s="105">
        <v>40980</v>
      </c>
      <c r="E505">
        <v>1.512</v>
      </c>
      <c r="G505" s="105">
        <v>40980</v>
      </c>
      <c r="H505">
        <v>1.3154999999999999</v>
      </c>
    </row>
    <row r="506" spans="1:8">
      <c r="A506" s="105">
        <v>40789</v>
      </c>
      <c r="B506">
        <v>1.9589000000000001</v>
      </c>
      <c r="D506" s="105">
        <v>40981</v>
      </c>
      <c r="E506">
        <v>1.5175000000000001</v>
      </c>
      <c r="G506" s="105">
        <v>40981</v>
      </c>
      <c r="H506">
        <v>1.3084</v>
      </c>
    </row>
    <row r="507" spans="1:8">
      <c r="A507" s="105">
        <v>40791</v>
      </c>
      <c r="B507">
        <v>1.9610000000000001</v>
      </c>
      <c r="D507" s="105">
        <v>40982</v>
      </c>
      <c r="E507">
        <v>1.5236000000000001</v>
      </c>
      <c r="G507" s="105">
        <v>40982</v>
      </c>
      <c r="H507">
        <v>1.3031999999999999</v>
      </c>
    </row>
    <row r="508" spans="1:8">
      <c r="A508" s="105">
        <v>40792</v>
      </c>
      <c r="B508">
        <v>1.9555</v>
      </c>
      <c r="D508" s="105">
        <v>40983</v>
      </c>
      <c r="E508">
        <v>1.5279</v>
      </c>
      <c r="G508" s="105">
        <v>40983</v>
      </c>
      <c r="H508">
        <v>1.3080000000000001</v>
      </c>
    </row>
    <row r="509" spans="1:8">
      <c r="A509" s="105">
        <v>40793</v>
      </c>
      <c r="B509">
        <v>1.9630000000000001</v>
      </c>
      <c r="D509" s="105">
        <v>40984</v>
      </c>
      <c r="E509">
        <v>1.5134000000000001</v>
      </c>
      <c r="G509" s="105">
        <v>40984</v>
      </c>
      <c r="H509">
        <v>1.3174999999999999</v>
      </c>
    </row>
    <row r="510" spans="1:8">
      <c r="A510" s="105">
        <v>40794</v>
      </c>
      <c r="B510">
        <v>1.9536</v>
      </c>
      <c r="D510" s="105">
        <v>40987</v>
      </c>
      <c r="E510">
        <v>1.5075000000000001</v>
      </c>
      <c r="G510" s="105">
        <v>40987</v>
      </c>
      <c r="H510">
        <v>1.3238000000000001</v>
      </c>
    </row>
    <row r="511" spans="1:8">
      <c r="A511" s="105">
        <v>40795</v>
      </c>
      <c r="B511">
        <v>1.9450000000000001</v>
      </c>
      <c r="D511" s="105">
        <v>40988</v>
      </c>
      <c r="E511">
        <v>1.5081</v>
      </c>
      <c r="G511" s="105">
        <v>40988</v>
      </c>
      <c r="H511">
        <v>1.3225</v>
      </c>
    </row>
    <row r="512" spans="1:8">
      <c r="A512" s="105">
        <v>40796</v>
      </c>
      <c r="B512">
        <v>1.9450000000000001</v>
      </c>
      <c r="D512" s="105">
        <v>40989</v>
      </c>
      <c r="E512">
        <v>1.5125999999999999</v>
      </c>
      <c r="G512" s="105">
        <v>40989</v>
      </c>
      <c r="H512">
        <v>1.3216000000000001</v>
      </c>
    </row>
    <row r="513" spans="1:8">
      <c r="A513" s="105">
        <v>40797</v>
      </c>
      <c r="B513">
        <v>1.9447000000000001</v>
      </c>
      <c r="D513" s="105">
        <v>40990</v>
      </c>
      <c r="E513">
        <v>1.5082</v>
      </c>
      <c r="G513" s="105">
        <v>40990</v>
      </c>
      <c r="H513">
        <v>1.3201000000000001</v>
      </c>
    </row>
    <row r="514" spans="1:8">
      <c r="A514" s="105">
        <v>40798</v>
      </c>
      <c r="B514">
        <v>1.9468000000000001</v>
      </c>
      <c r="D514" s="105">
        <v>40991</v>
      </c>
      <c r="E514">
        <v>1.5065999999999999</v>
      </c>
      <c r="G514" s="105">
        <v>40991</v>
      </c>
      <c r="H514">
        <v>1.327</v>
      </c>
    </row>
    <row r="515" spans="1:8">
      <c r="A515" s="105">
        <v>40799</v>
      </c>
      <c r="B515">
        <v>1.9464999999999999</v>
      </c>
      <c r="D515" s="105">
        <v>40994</v>
      </c>
      <c r="E515">
        <v>1.5009999999999999</v>
      </c>
      <c r="G515" s="105">
        <v>40994</v>
      </c>
      <c r="H515">
        <v>1.3359000000000001</v>
      </c>
    </row>
    <row r="516" spans="1:8">
      <c r="A516" s="105">
        <v>40800</v>
      </c>
      <c r="B516">
        <v>1.9503999999999999</v>
      </c>
      <c r="D516" s="105">
        <v>40995</v>
      </c>
      <c r="E516">
        <v>1.5031000000000001</v>
      </c>
      <c r="G516" s="105">
        <v>40995</v>
      </c>
      <c r="H516">
        <v>1.3312999999999999</v>
      </c>
    </row>
    <row r="517" spans="1:8">
      <c r="A517" s="105">
        <v>40801</v>
      </c>
      <c r="B517">
        <v>1.9571000000000001</v>
      </c>
      <c r="D517" s="105">
        <v>40996</v>
      </c>
      <c r="E517">
        <v>1.5028999999999999</v>
      </c>
      <c r="G517" s="105">
        <v>40996</v>
      </c>
      <c r="H517">
        <v>1.3317000000000001</v>
      </c>
    </row>
    <row r="518" spans="1:8">
      <c r="A518" s="105">
        <v>40802</v>
      </c>
      <c r="B518">
        <v>1.9499</v>
      </c>
      <c r="D518" s="105">
        <v>40997</v>
      </c>
      <c r="E518">
        <v>1.5009999999999999</v>
      </c>
      <c r="G518" s="105">
        <v>40997</v>
      </c>
      <c r="H518">
        <v>1.3302</v>
      </c>
    </row>
    <row r="519" spans="1:8">
      <c r="A519" s="105">
        <v>40803</v>
      </c>
      <c r="B519">
        <v>1.9386000000000001</v>
      </c>
      <c r="D519" s="105">
        <v>40998</v>
      </c>
      <c r="E519">
        <v>1.5036</v>
      </c>
      <c r="G519" s="105">
        <v>40998</v>
      </c>
      <c r="H519">
        <v>1.3343</v>
      </c>
    </row>
    <row r="520" spans="1:8">
      <c r="A520" s="105">
        <v>40804</v>
      </c>
      <c r="B520">
        <v>1.9516</v>
      </c>
      <c r="D520" s="105">
        <v>41001</v>
      </c>
      <c r="E520">
        <v>1.5078</v>
      </c>
      <c r="G520" s="105">
        <v>41001</v>
      </c>
      <c r="H520">
        <v>1.3321000000000001</v>
      </c>
    </row>
    <row r="521" spans="1:8">
      <c r="A521" s="105">
        <v>40805</v>
      </c>
      <c r="B521">
        <v>1.9438</v>
      </c>
      <c r="D521" s="105">
        <v>41002</v>
      </c>
      <c r="E521">
        <v>1.5085999999999999</v>
      </c>
      <c r="G521" s="105">
        <v>41002</v>
      </c>
      <c r="H521">
        <v>1.3232999999999999</v>
      </c>
    </row>
    <row r="522" spans="1:8">
      <c r="A522" s="105">
        <v>40806</v>
      </c>
      <c r="B522">
        <v>1.9443999999999999</v>
      </c>
      <c r="D522" s="105">
        <v>41003</v>
      </c>
      <c r="E522">
        <v>1.5089999999999999</v>
      </c>
      <c r="G522" s="105">
        <v>41003</v>
      </c>
      <c r="H522">
        <v>1.3142</v>
      </c>
    </row>
    <row r="523" spans="1:8">
      <c r="A523" s="105">
        <v>40807</v>
      </c>
      <c r="B523">
        <v>1.9349000000000001</v>
      </c>
      <c r="D523" s="105">
        <v>41004</v>
      </c>
      <c r="E523">
        <v>1.5259</v>
      </c>
      <c r="G523" s="105">
        <v>41004</v>
      </c>
      <c r="H523">
        <v>1.3066</v>
      </c>
    </row>
    <row r="524" spans="1:8">
      <c r="A524" s="105">
        <v>40808</v>
      </c>
      <c r="B524">
        <v>1.9307000000000001</v>
      </c>
      <c r="D524" s="105">
        <v>41005</v>
      </c>
      <c r="E524">
        <v>1.5184</v>
      </c>
      <c r="G524" s="105">
        <v>41005</v>
      </c>
      <c r="H524">
        <v>1.3096000000000001</v>
      </c>
    </row>
    <row r="525" spans="1:8">
      <c r="A525" s="105">
        <v>40809</v>
      </c>
      <c r="B525">
        <v>1.9321999999999999</v>
      </c>
      <c r="D525" s="105">
        <v>41008</v>
      </c>
      <c r="E525">
        <v>1.5197000000000001</v>
      </c>
      <c r="G525" s="105">
        <v>41008</v>
      </c>
      <c r="H525">
        <v>1.3106</v>
      </c>
    </row>
    <row r="526" spans="1:8">
      <c r="A526" s="105">
        <v>40810</v>
      </c>
      <c r="B526">
        <v>1.925</v>
      </c>
      <c r="D526" s="105">
        <v>41009</v>
      </c>
      <c r="E526">
        <v>1.5249999999999999</v>
      </c>
      <c r="G526" s="105">
        <v>41009</v>
      </c>
      <c r="H526">
        <v>1.3082</v>
      </c>
    </row>
    <row r="527" spans="1:8">
      <c r="A527" s="105">
        <v>40812</v>
      </c>
      <c r="B527">
        <v>1.9350000000000001</v>
      </c>
      <c r="D527" s="105">
        <v>41010</v>
      </c>
      <c r="E527">
        <v>1.5267999999999999</v>
      </c>
      <c r="G527" s="105">
        <v>41010</v>
      </c>
      <c r="H527">
        <v>1.3109999999999999</v>
      </c>
    </row>
    <row r="528" spans="1:8">
      <c r="A528" s="105">
        <v>40813</v>
      </c>
      <c r="B528">
        <v>1.9382999999999999</v>
      </c>
      <c r="D528" s="105">
        <v>41011</v>
      </c>
      <c r="E528">
        <v>1.5139</v>
      </c>
      <c r="G528" s="105">
        <v>41011</v>
      </c>
      <c r="H528">
        <v>1.3188</v>
      </c>
    </row>
    <row r="529" spans="1:8">
      <c r="A529" s="105">
        <v>40814</v>
      </c>
      <c r="B529">
        <v>1.9357</v>
      </c>
      <c r="D529" s="105">
        <v>41012</v>
      </c>
      <c r="E529">
        <v>1.5306999999999999</v>
      </c>
      <c r="G529" s="105">
        <v>41012</v>
      </c>
      <c r="H529">
        <v>1.3078000000000001</v>
      </c>
    </row>
    <row r="530" spans="1:8">
      <c r="A530" s="105">
        <v>40815</v>
      </c>
      <c r="B530">
        <v>1.9387000000000001</v>
      </c>
      <c r="D530" s="105">
        <v>41015</v>
      </c>
      <c r="E530">
        <v>1.5242</v>
      </c>
      <c r="G530" s="105">
        <v>41015</v>
      </c>
      <c r="H530">
        <v>1.3142</v>
      </c>
    </row>
    <row r="531" spans="1:8">
      <c r="A531" s="105">
        <v>40816</v>
      </c>
      <c r="B531">
        <v>1.9277</v>
      </c>
      <c r="D531" s="105">
        <v>41016</v>
      </c>
      <c r="E531">
        <v>1.5198</v>
      </c>
      <c r="G531" s="105">
        <v>41016</v>
      </c>
      <c r="H531">
        <v>1.3127</v>
      </c>
    </row>
    <row r="532" spans="1:8">
      <c r="A532" s="105">
        <v>40817</v>
      </c>
      <c r="B532">
        <v>1.9282999999999999</v>
      </c>
      <c r="D532" s="105">
        <v>41017</v>
      </c>
      <c r="E532">
        <v>1.5271999999999999</v>
      </c>
      <c r="G532" s="105">
        <v>41017</v>
      </c>
      <c r="H532">
        <v>1.3123</v>
      </c>
    </row>
    <row r="533" spans="1:8">
      <c r="A533" s="105">
        <v>40818</v>
      </c>
      <c r="B533">
        <v>1.9275</v>
      </c>
      <c r="D533" s="105">
        <v>41018</v>
      </c>
      <c r="E533">
        <v>1.5237000000000001</v>
      </c>
      <c r="G533" s="105">
        <v>41018</v>
      </c>
      <c r="H533">
        <v>1.3138000000000001</v>
      </c>
    </row>
    <row r="534" spans="1:8">
      <c r="A534" s="105">
        <v>40819</v>
      </c>
      <c r="B534">
        <v>1.9161999999999999</v>
      </c>
      <c r="D534" s="105">
        <v>41019</v>
      </c>
      <c r="E534">
        <v>1.5181</v>
      </c>
      <c r="G534" s="105">
        <v>41019</v>
      </c>
      <c r="H534">
        <v>1.3219000000000001</v>
      </c>
    </row>
    <row r="535" spans="1:8">
      <c r="A535" s="105">
        <v>40820</v>
      </c>
      <c r="B535">
        <v>1.9269000000000001</v>
      </c>
      <c r="D535" s="105">
        <v>41022</v>
      </c>
      <c r="E535">
        <v>1.5237000000000001</v>
      </c>
      <c r="G535" s="105">
        <v>41022</v>
      </c>
      <c r="H535">
        <v>1.3156000000000001</v>
      </c>
    </row>
    <row r="536" spans="1:8">
      <c r="A536" s="105">
        <v>40821</v>
      </c>
      <c r="B536">
        <v>1.9269000000000001</v>
      </c>
      <c r="D536" s="105">
        <v>41023</v>
      </c>
      <c r="E536">
        <v>1.5311999999999999</v>
      </c>
      <c r="G536" s="105">
        <v>41023</v>
      </c>
      <c r="H536">
        <v>1.3197000000000001</v>
      </c>
    </row>
    <row r="537" spans="1:8">
      <c r="A537" s="105">
        <v>40822</v>
      </c>
      <c r="B537">
        <v>1.9320999999999999</v>
      </c>
      <c r="D537" s="105">
        <v>41024</v>
      </c>
      <c r="E537">
        <v>1.5308999999999999</v>
      </c>
      <c r="G537" s="105">
        <v>41024</v>
      </c>
      <c r="H537">
        <v>1.3217000000000001</v>
      </c>
    </row>
    <row r="538" spans="1:8">
      <c r="A538" s="105">
        <v>40823</v>
      </c>
      <c r="B538">
        <v>1.9357</v>
      </c>
      <c r="D538" s="105">
        <v>41025</v>
      </c>
      <c r="E538">
        <v>1.5425</v>
      </c>
      <c r="G538" s="105">
        <v>41025</v>
      </c>
      <c r="H538">
        <v>1.3219000000000001</v>
      </c>
    </row>
    <row r="539" spans="1:8">
      <c r="A539" s="105">
        <v>40824</v>
      </c>
      <c r="B539">
        <v>1.9240999999999999</v>
      </c>
      <c r="D539" s="105">
        <v>41026</v>
      </c>
      <c r="E539">
        <v>1.536</v>
      </c>
      <c r="G539" s="105">
        <v>41026</v>
      </c>
      <c r="H539">
        <v>1.3254999999999999</v>
      </c>
    </row>
    <row r="540" spans="1:8">
      <c r="A540" s="105">
        <v>40825</v>
      </c>
      <c r="B540">
        <v>1.9205000000000001</v>
      </c>
      <c r="D540" s="105">
        <v>41029</v>
      </c>
      <c r="E540">
        <v>1.5339</v>
      </c>
      <c r="G540" s="105">
        <v>41029</v>
      </c>
      <c r="H540">
        <v>1.3239000000000001</v>
      </c>
    </row>
    <row r="541" spans="1:8">
      <c r="A541" s="105">
        <v>40826</v>
      </c>
      <c r="B541">
        <v>1.9456</v>
      </c>
      <c r="D541" s="105">
        <v>41030</v>
      </c>
      <c r="E541">
        <v>1.5329999999999999</v>
      </c>
      <c r="G541" s="105">
        <v>41030</v>
      </c>
      <c r="H541">
        <v>1.3237000000000001</v>
      </c>
    </row>
    <row r="542" spans="1:8">
      <c r="A542" s="105">
        <v>40827</v>
      </c>
      <c r="B542">
        <v>1.946</v>
      </c>
      <c r="D542" s="105">
        <v>41031</v>
      </c>
      <c r="E542">
        <v>1.5409999999999999</v>
      </c>
      <c r="G542" s="105">
        <v>41031</v>
      </c>
      <c r="H542">
        <v>1.3158000000000001</v>
      </c>
    </row>
    <row r="543" spans="1:8">
      <c r="A543" s="105">
        <v>40828</v>
      </c>
      <c r="B543">
        <v>1.9551000000000001</v>
      </c>
      <c r="D543" s="105">
        <v>41032</v>
      </c>
      <c r="E543">
        <v>1.5438000000000001</v>
      </c>
      <c r="G543" s="105">
        <v>41032</v>
      </c>
      <c r="H543">
        <v>1.3151999999999999</v>
      </c>
    </row>
    <row r="544" spans="1:8">
      <c r="A544" s="105">
        <v>40829</v>
      </c>
      <c r="B544">
        <v>1.9584999999999999</v>
      </c>
      <c r="D544" s="105">
        <v>41033</v>
      </c>
      <c r="E544">
        <v>1.5542</v>
      </c>
      <c r="G544" s="105">
        <v>41033</v>
      </c>
      <c r="H544">
        <v>1.3084</v>
      </c>
    </row>
    <row r="545" spans="1:8">
      <c r="A545" s="105">
        <v>40830</v>
      </c>
      <c r="B545">
        <v>1.9701</v>
      </c>
      <c r="D545" s="105">
        <v>41036</v>
      </c>
      <c r="E545">
        <v>1.5498000000000001</v>
      </c>
      <c r="G545" s="105">
        <v>41036</v>
      </c>
      <c r="H545">
        <v>1.3050999999999999</v>
      </c>
    </row>
    <row r="546" spans="1:8">
      <c r="A546" s="105">
        <v>40831</v>
      </c>
      <c r="B546">
        <v>1.9684999999999999</v>
      </c>
      <c r="D546" s="105">
        <v>41037</v>
      </c>
      <c r="E546">
        <v>1.5588</v>
      </c>
      <c r="G546" s="105">
        <v>41037</v>
      </c>
      <c r="H546">
        <v>1.3005</v>
      </c>
    </row>
    <row r="547" spans="1:8">
      <c r="A547" s="105">
        <v>40832</v>
      </c>
      <c r="B547">
        <v>1.9648000000000001</v>
      </c>
      <c r="D547" s="105">
        <v>41038</v>
      </c>
      <c r="E547">
        <v>1.5578000000000001</v>
      </c>
      <c r="G547" s="105">
        <v>41038</v>
      </c>
      <c r="H547">
        <v>1.2928999999999999</v>
      </c>
    </row>
    <row r="548" spans="1:8">
      <c r="A548" s="105">
        <v>40833</v>
      </c>
      <c r="B548">
        <v>1.9594</v>
      </c>
      <c r="D548" s="105">
        <v>41039</v>
      </c>
      <c r="E548">
        <v>1.5588</v>
      </c>
      <c r="G548" s="105">
        <v>41039</v>
      </c>
      <c r="H548">
        <v>1.2936000000000001</v>
      </c>
    </row>
    <row r="549" spans="1:8">
      <c r="A549" s="105">
        <v>40834</v>
      </c>
      <c r="B549">
        <v>1.9603999999999999</v>
      </c>
      <c r="D549" s="105">
        <v>41040</v>
      </c>
      <c r="E549">
        <v>1.5619000000000001</v>
      </c>
      <c r="G549" s="105">
        <v>41040</v>
      </c>
      <c r="H549">
        <v>1.2917000000000001</v>
      </c>
    </row>
    <row r="550" spans="1:8">
      <c r="A550" s="105">
        <v>40835</v>
      </c>
      <c r="B550">
        <v>1.9564999999999999</v>
      </c>
      <c r="D550" s="105">
        <v>41043</v>
      </c>
      <c r="E550">
        <v>1.5743</v>
      </c>
      <c r="G550" s="105">
        <v>41043</v>
      </c>
      <c r="H550">
        <v>1.2823</v>
      </c>
    </row>
    <row r="551" spans="1:8">
      <c r="A551" s="105">
        <v>40836</v>
      </c>
      <c r="B551">
        <v>1.9590000000000001</v>
      </c>
      <c r="D551" s="105">
        <v>41044</v>
      </c>
      <c r="E551">
        <v>1.5851999999999999</v>
      </c>
      <c r="G551" s="105">
        <v>41044</v>
      </c>
      <c r="H551">
        <v>1.2728999999999999</v>
      </c>
    </row>
    <row r="552" spans="1:8">
      <c r="A552" s="105">
        <v>40837</v>
      </c>
      <c r="B552">
        <v>1.9584999999999999</v>
      </c>
      <c r="D552" s="105">
        <v>41045</v>
      </c>
      <c r="E552">
        <v>1.5784</v>
      </c>
      <c r="G552" s="105">
        <v>41045</v>
      </c>
      <c r="H552">
        <v>1.2716000000000001</v>
      </c>
    </row>
    <row r="553" spans="1:8">
      <c r="A553" s="105">
        <v>40838</v>
      </c>
      <c r="B553">
        <v>1.9591000000000001</v>
      </c>
      <c r="D553" s="105">
        <v>41046</v>
      </c>
      <c r="E553">
        <v>1.5860000000000001</v>
      </c>
      <c r="G553" s="105">
        <v>41046</v>
      </c>
      <c r="H553">
        <v>1.2698</v>
      </c>
    </row>
    <row r="554" spans="1:8">
      <c r="A554" s="105">
        <v>40839</v>
      </c>
      <c r="B554">
        <v>1.9591000000000001</v>
      </c>
      <c r="D554" s="105">
        <v>41047</v>
      </c>
      <c r="E554">
        <v>1.5761000000000001</v>
      </c>
      <c r="G554" s="105">
        <v>41047</v>
      </c>
      <c r="H554">
        <v>1.278</v>
      </c>
    </row>
    <row r="555" spans="1:8">
      <c r="A555" s="105">
        <v>40840</v>
      </c>
      <c r="B555">
        <v>1.9630000000000001</v>
      </c>
      <c r="D555" s="105">
        <v>41050</v>
      </c>
      <c r="E555">
        <v>1.5761000000000001</v>
      </c>
      <c r="G555" s="105">
        <v>41050</v>
      </c>
      <c r="H555">
        <v>1.2818000000000001</v>
      </c>
    </row>
    <row r="556" spans="1:8">
      <c r="A556" s="105">
        <v>40841</v>
      </c>
      <c r="B556">
        <v>1.9614</v>
      </c>
      <c r="D556" s="105">
        <v>41051</v>
      </c>
      <c r="E556">
        <v>1.5913999999999999</v>
      </c>
      <c r="G556" s="105">
        <v>41051</v>
      </c>
      <c r="H556">
        <v>1.2684</v>
      </c>
    </row>
    <row r="557" spans="1:8">
      <c r="A557" s="105">
        <v>40842</v>
      </c>
      <c r="B557">
        <v>1.9614</v>
      </c>
      <c r="D557" s="105">
        <v>41052</v>
      </c>
      <c r="E557">
        <v>1.59</v>
      </c>
      <c r="G557" s="105">
        <v>41052</v>
      </c>
      <c r="H557">
        <v>1.2582</v>
      </c>
    </row>
    <row r="558" spans="1:8">
      <c r="A558" s="105">
        <v>40843</v>
      </c>
      <c r="B558">
        <v>1.9781</v>
      </c>
      <c r="D558" s="105">
        <v>41053</v>
      </c>
      <c r="E558">
        <v>1.6051</v>
      </c>
      <c r="G558" s="105">
        <v>41053</v>
      </c>
      <c r="H558">
        <v>1.2532000000000001</v>
      </c>
    </row>
    <row r="559" spans="1:8">
      <c r="A559" s="105">
        <v>40844</v>
      </c>
      <c r="B559">
        <v>1.9797</v>
      </c>
      <c r="D559" s="105">
        <v>41054</v>
      </c>
      <c r="E559">
        <v>1.6032999999999999</v>
      </c>
      <c r="G559" s="105">
        <v>41054</v>
      </c>
      <c r="H559">
        <v>1.2517</v>
      </c>
    </row>
    <row r="560" spans="1:8">
      <c r="A560" s="105">
        <v>40845</v>
      </c>
      <c r="B560">
        <v>1.9783999999999999</v>
      </c>
      <c r="D560" s="105">
        <v>41057</v>
      </c>
      <c r="E560">
        <v>1.6032</v>
      </c>
      <c r="G560" s="105">
        <v>41057</v>
      </c>
      <c r="H560">
        <v>1.2541</v>
      </c>
    </row>
    <row r="561" spans="1:8">
      <c r="A561" s="105">
        <v>40846</v>
      </c>
      <c r="B561">
        <v>1.9783999999999999</v>
      </c>
      <c r="D561" s="105">
        <v>41058</v>
      </c>
      <c r="E561">
        <v>1.6080000000000001</v>
      </c>
      <c r="G561" s="105">
        <v>41058</v>
      </c>
      <c r="H561">
        <v>1.2503</v>
      </c>
    </row>
    <row r="562" spans="1:8">
      <c r="A562" s="105">
        <v>40847</v>
      </c>
      <c r="B562">
        <v>1.9682999999999999</v>
      </c>
      <c r="D562" s="105">
        <v>41059</v>
      </c>
      <c r="E562">
        <v>1.6167</v>
      </c>
      <c r="G562" s="105">
        <v>41059</v>
      </c>
      <c r="H562">
        <v>1.2366999999999999</v>
      </c>
    </row>
    <row r="563" spans="1:8">
      <c r="A563" s="105">
        <v>40848</v>
      </c>
      <c r="B563">
        <v>1.9656</v>
      </c>
      <c r="D563" s="105">
        <v>41060</v>
      </c>
      <c r="E563">
        <v>1.6212</v>
      </c>
      <c r="G563" s="105">
        <v>41060</v>
      </c>
      <c r="H563">
        <v>1.2364999999999999</v>
      </c>
    </row>
    <row r="564" spans="1:8">
      <c r="A564" s="105">
        <v>40849</v>
      </c>
      <c r="B564">
        <v>1.9682999999999999</v>
      </c>
      <c r="D564" s="105">
        <v>41061</v>
      </c>
      <c r="E564">
        <v>1.6136999999999999</v>
      </c>
      <c r="G564" s="105">
        <v>41061</v>
      </c>
      <c r="H564">
        <v>1.2434000000000001</v>
      </c>
    </row>
    <row r="565" spans="1:8">
      <c r="A565" s="105">
        <v>40850</v>
      </c>
      <c r="B565">
        <v>1.9737</v>
      </c>
      <c r="D565" s="105">
        <v>41064</v>
      </c>
      <c r="E565">
        <v>1.6117999999999999</v>
      </c>
      <c r="G565" s="105">
        <v>41064</v>
      </c>
      <c r="H565">
        <v>1.2499</v>
      </c>
    </row>
    <row r="566" spans="1:8">
      <c r="A566" s="105">
        <v>40851</v>
      </c>
      <c r="B566">
        <v>1.9710000000000001</v>
      </c>
      <c r="D566" s="105">
        <v>41065</v>
      </c>
      <c r="E566">
        <v>1.6155999999999999</v>
      </c>
      <c r="G566" s="105">
        <v>41065</v>
      </c>
      <c r="H566">
        <v>1.2452000000000001</v>
      </c>
    </row>
    <row r="567" spans="1:8">
      <c r="A567" s="105">
        <v>40852</v>
      </c>
      <c r="B567">
        <v>1.9751000000000001</v>
      </c>
      <c r="D567" s="105">
        <v>41066</v>
      </c>
      <c r="E567">
        <v>1.6122000000000001</v>
      </c>
      <c r="G567" s="105">
        <v>41066</v>
      </c>
      <c r="H567">
        <v>1.2582</v>
      </c>
    </row>
    <row r="568" spans="1:8">
      <c r="A568" s="105">
        <v>40853</v>
      </c>
      <c r="B568">
        <v>1.9706999999999999</v>
      </c>
      <c r="D568" s="105">
        <v>41067</v>
      </c>
      <c r="E568">
        <v>1.6071</v>
      </c>
      <c r="G568" s="105">
        <v>41067</v>
      </c>
      <c r="H568">
        <v>1.2561</v>
      </c>
    </row>
    <row r="569" spans="1:8">
      <c r="A569" s="105">
        <v>40854</v>
      </c>
      <c r="B569">
        <v>1.9702999999999999</v>
      </c>
      <c r="D569" s="105">
        <v>41068</v>
      </c>
      <c r="E569">
        <v>1.6075999999999999</v>
      </c>
      <c r="G569" s="105">
        <v>41068</v>
      </c>
      <c r="H569">
        <v>1.2517</v>
      </c>
    </row>
    <row r="570" spans="1:8">
      <c r="A570" s="105">
        <v>40855</v>
      </c>
      <c r="B570">
        <v>1.9725999999999999</v>
      </c>
      <c r="D570" s="105">
        <v>41071</v>
      </c>
      <c r="E570">
        <v>1.6144000000000001</v>
      </c>
      <c r="G570" s="105">
        <v>41071</v>
      </c>
      <c r="H570">
        <v>1.2482</v>
      </c>
    </row>
    <row r="571" spans="1:8">
      <c r="A571" s="105">
        <v>40856</v>
      </c>
      <c r="B571">
        <v>1.9572000000000001</v>
      </c>
      <c r="D571" s="105">
        <v>41072</v>
      </c>
      <c r="E571">
        <v>1.6093999999999999</v>
      </c>
      <c r="G571" s="105">
        <v>41072</v>
      </c>
      <c r="H571">
        <v>1.2503</v>
      </c>
    </row>
    <row r="572" spans="1:8">
      <c r="A572" s="105">
        <v>40857</v>
      </c>
      <c r="B572">
        <v>1.9610000000000001</v>
      </c>
      <c r="D572" s="105">
        <v>41073</v>
      </c>
      <c r="E572">
        <v>1.6015999999999999</v>
      </c>
      <c r="G572" s="105">
        <v>41073</v>
      </c>
      <c r="H572">
        <v>1.2557</v>
      </c>
    </row>
    <row r="573" spans="1:8">
      <c r="A573" s="105">
        <v>40858</v>
      </c>
      <c r="B573">
        <v>1.9681</v>
      </c>
      <c r="D573" s="105">
        <v>41074</v>
      </c>
      <c r="E573">
        <v>1.5912999999999999</v>
      </c>
      <c r="G573" s="105">
        <v>41074</v>
      </c>
      <c r="H573">
        <v>1.2633000000000001</v>
      </c>
    </row>
    <row r="574" spans="1:8">
      <c r="A574" s="105">
        <v>40859</v>
      </c>
      <c r="B574">
        <v>1.9694</v>
      </c>
      <c r="D574" s="105">
        <v>41075</v>
      </c>
      <c r="E574">
        <v>1.593</v>
      </c>
      <c r="G574" s="105">
        <v>41075</v>
      </c>
      <c r="H574">
        <v>1.2638</v>
      </c>
    </row>
    <row r="575" spans="1:8">
      <c r="A575" s="105">
        <v>40860</v>
      </c>
      <c r="B575">
        <v>1.9654</v>
      </c>
      <c r="D575" s="105">
        <v>41078</v>
      </c>
      <c r="E575">
        <v>1.5947</v>
      </c>
      <c r="G575" s="105">
        <v>41078</v>
      </c>
      <c r="H575">
        <v>1.2576000000000001</v>
      </c>
    </row>
    <row r="576" spans="1:8">
      <c r="A576" s="105">
        <v>40861</v>
      </c>
      <c r="B576">
        <v>1.966</v>
      </c>
      <c r="D576" s="105">
        <v>41079</v>
      </c>
      <c r="E576">
        <v>1.5845</v>
      </c>
      <c r="G576" s="105">
        <v>41079</v>
      </c>
      <c r="H576">
        <v>1.2685</v>
      </c>
    </row>
    <row r="577" spans="1:8">
      <c r="A577" s="105">
        <v>40862</v>
      </c>
      <c r="B577">
        <v>1.9617</v>
      </c>
      <c r="D577" s="105">
        <v>41080</v>
      </c>
      <c r="E577">
        <v>1.5827</v>
      </c>
      <c r="G577" s="105">
        <v>41080</v>
      </c>
      <c r="H577">
        <v>1.2706999999999999</v>
      </c>
    </row>
    <row r="578" spans="1:8">
      <c r="A578" s="105">
        <v>40863</v>
      </c>
      <c r="B578">
        <v>1.9583999999999999</v>
      </c>
      <c r="D578" s="105">
        <v>41081</v>
      </c>
      <c r="E578">
        <v>1.5955999999999999</v>
      </c>
      <c r="G578" s="105">
        <v>41081</v>
      </c>
      <c r="H578">
        <v>1.254</v>
      </c>
    </row>
    <row r="579" spans="1:8">
      <c r="A579" s="105">
        <v>40864</v>
      </c>
      <c r="B579">
        <v>1.9585999999999999</v>
      </c>
      <c r="D579" s="105">
        <v>41082</v>
      </c>
      <c r="E579">
        <v>1.5935999999999999</v>
      </c>
      <c r="G579" s="105">
        <v>41082</v>
      </c>
      <c r="H579">
        <v>1.2569999999999999</v>
      </c>
    </row>
    <row r="580" spans="1:8">
      <c r="A580" s="105">
        <v>40865</v>
      </c>
      <c r="B580">
        <v>1.9615</v>
      </c>
      <c r="D580" s="105">
        <v>41085</v>
      </c>
      <c r="E580">
        <v>1.5951</v>
      </c>
      <c r="G580" s="105">
        <v>41085</v>
      </c>
      <c r="H580">
        <v>1.2504</v>
      </c>
    </row>
    <row r="581" spans="1:8">
      <c r="A581" s="105">
        <v>40866</v>
      </c>
      <c r="B581">
        <v>1.9619</v>
      </c>
      <c r="D581" s="105">
        <v>41086</v>
      </c>
      <c r="E581">
        <v>1.5974999999999999</v>
      </c>
      <c r="G581" s="105">
        <v>41086</v>
      </c>
      <c r="H581">
        <v>1.2491000000000001</v>
      </c>
    </row>
    <row r="582" spans="1:8">
      <c r="A582" s="105">
        <v>40867</v>
      </c>
      <c r="B582">
        <v>1.9619</v>
      </c>
      <c r="D582" s="105">
        <v>41087</v>
      </c>
      <c r="E582">
        <v>1.5986</v>
      </c>
      <c r="G582" s="105">
        <v>41087</v>
      </c>
      <c r="H582">
        <v>1.2467999999999999</v>
      </c>
    </row>
    <row r="583" spans="1:8">
      <c r="A583" s="105">
        <v>40868</v>
      </c>
      <c r="B583">
        <v>1.9604999999999999</v>
      </c>
      <c r="D583" s="105">
        <v>41088</v>
      </c>
      <c r="E583">
        <v>1.6007</v>
      </c>
      <c r="G583" s="105">
        <v>41088</v>
      </c>
      <c r="H583">
        <v>1.2444</v>
      </c>
    </row>
    <row r="584" spans="1:8">
      <c r="A584" s="105">
        <v>40869</v>
      </c>
      <c r="B584">
        <v>1.9635</v>
      </c>
      <c r="D584" s="105">
        <v>41089</v>
      </c>
      <c r="E584">
        <v>1.5834999999999999</v>
      </c>
      <c r="G584" s="105">
        <v>41089</v>
      </c>
      <c r="H584">
        <v>1.2666999999999999</v>
      </c>
    </row>
    <row r="585" spans="1:8">
      <c r="A585" s="105">
        <v>40870</v>
      </c>
      <c r="B585">
        <v>1.9598</v>
      </c>
      <c r="D585" s="105">
        <v>41092</v>
      </c>
      <c r="E585">
        <v>1.5952999999999999</v>
      </c>
      <c r="G585" s="105">
        <v>41092</v>
      </c>
      <c r="H585">
        <v>1.2576000000000001</v>
      </c>
    </row>
    <row r="586" spans="1:8">
      <c r="A586" s="105">
        <v>40871</v>
      </c>
      <c r="B586">
        <v>1.9601999999999999</v>
      </c>
      <c r="D586" s="105">
        <v>41093</v>
      </c>
      <c r="E586">
        <v>1.5925</v>
      </c>
      <c r="G586" s="105">
        <v>41093</v>
      </c>
      <c r="H586">
        <v>1.2607999999999999</v>
      </c>
    </row>
    <row r="587" spans="1:8">
      <c r="A587" s="105">
        <v>40872</v>
      </c>
      <c r="B587">
        <v>1.9538</v>
      </c>
      <c r="D587" s="105">
        <v>41094</v>
      </c>
      <c r="E587">
        <v>1.6031</v>
      </c>
      <c r="G587" s="105">
        <v>41094</v>
      </c>
      <c r="H587">
        <v>1.2526999999999999</v>
      </c>
    </row>
    <row r="588" spans="1:8">
      <c r="A588" s="105">
        <v>40873</v>
      </c>
      <c r="B588">
        <v>1.9535</v>
      </c>
      <c r="D588" s="105">
        <v>41095</v>
      </c>
      <c r="E588">
        <v>1.6140000000000001</v>
      </c>
      <c r="G588" s="105">
        <v>41095</v>
      </c>
      <c r="H588">
        <v>1.2392000000000001</v>
      </c>
    </row>
    <row r="589" spans="1:8">
      <c r="A589" s="105">
        <v>40874</v>
      </c>
      <c r="B589">
        <v>1.9535</v>
      </c>
      <c r="D589" s="105">
        <v>41096</v>
      </c>
      <c r="E589">
        <v>1.6216999999999999</v>
      </c>
      <c r="G589" s="105">
        <v>41096</v>
      </c>
      <c r="H589">
        <v>1.2291000000000001</v>
      </c>
    </row>
    <row r="590" spans="1:8">
      <c r="A590" s="105">
        <v>40875</v>
      </c>
      <c r="B590">
        <v>1.9619</v>
      </c>
      <c r="D590" s="105">
        <v>41099</v>
      </c>
      <c r="E590">
        <v>1.6234999999999999</v>
      </c>
      <c r="G590" s="105">
        <v>41099</v>
      </c>
      <c r="H590">
        <v>1.2313000000000001</v>
      </c>
    </row>
    <row r="591" spans="1:8">
      <c r="A591" s="105">
        <v>40876</v>
      </c>
      <c r="B591">
        <v>1.9629000000000001</v>
      </c>
      <c r="D591" s="105">
        <v>41100</v>
      </c>
      <c r="E591">
        <v>1.6304000000000001</v>
      </c>
      <c r="G591" s="105">
        <v>41100</v>
      </c>
      <c r="H591">
        <v>1.2250000000000001</v>
      </c>
    </row>
    <row r="592" spans="1:8">
      <c r="A592" s="105">
        <v>40877</v>
      </c>
      <c r="B592">
        <v>1.9704999999999999</v>
      </c>
      <c r="D592" s="105">
        <v>41101</v>
      </c>
      <c r="E592">
        <v>1.6275999999999999</v>
      </c>
      <c r="G592" s="105">
        <v>41101</v>
      </c>
      <c r="H592">
        <v>1.2239</v>
      </c>
    </row>
    <row r="593" spans="1:8">
      <c r="A593" s="105">
        <v>40878</v>
      </c>
      <c r="B593">
        <v>1.9722</v>
      </c>
      <c r="D593" s="105">
        <v>41102</v>
      </c>
      <c r="E593">
        <v>1.6322000000000001</v>
      </c>
      <c r="G593" s="105">
        <v>41102</v>
      </c>
      <c r="H593">
        <v>1.2202999999999999</v>
      </c>
    </row>
    <row r="594" spans="1:8">
      <c r="A594" s="105">
        <v>40879</v>
      </c>
      <c r="B594">
        <v>1.9699</v>
      </c>
      <c r="D594" s="105">
        <v>41103</v>
      </c>
      <c r="E594">
        <v>1.6203000000000001</v>
      </c>
      <c r="G594" s="105">
        <v>41103</v>
      </c>
      <c r="H594">
        <v>1.2249000000000001</v>
      </c>
    </row>
    <row r="595" spans="1:8">
      <c r="A595" s="105">
        <v>40880</v>
      </c>
      <c r="B595">
        <v>1.9705999999999999</v>
      </c>
      <c r="D595" s="105">
        <v>41106</v>
      </c>
      <c r="E595">
        <v>1.6203000000000001</v>
      </c>
      <c r="G595" s="105">
        <v>41106</v>
      </c>
      <c r="H595">
        <v>1.2273000000000001</v>
      </c>
    </row>
    <row r="596" spans="1:8">
      <c r="A596" s="105">
        <v>40881</v>
      </c>
      <c r="B596">
        <v>1.9705999999999999</v>
      </c>
      <c r="D596" s="105">
        <v>41107</v>
      </c>
      <c r="E596">
        <v>1.6213</v>
      </c>
      <c r="G596" s="105">
        <v>41107</v>
      </c>
      <c r="H596">
        <v>1.2294</v>
      </c>
    </row>
    <row r="597" spans="1:8">
      <c r="A597" s="105">
        <v>40882</v>
      </c>
      <c r="B597">
        <v>1.9666999999999999</v>
      </c>
      <c r="D597" s="105">
        <v>41108</v>
      </c>
      <c r="E597">
        <v>1.6227</v>
      </c>
      <c r="G597" s="105">
        <v>41108</v>
      </c>
      <c r="H597">
        <v>1.2283999999999999</v>
      </c>
    </row>
    <row r="598" spans="1:8">
      <c r="A598" s="105">
        <v>40883</v>
      </c>
      <c r="B598">
        <v>1.9697</v>
      </c>
      <c r="D598" s="105">
        <v>41109</v>
      </c>
      <c r="E598">
        <v>1.6192</v>
      </c>
      <c r="G598" s="105">
        <v>41109</v>
      </c>
      <c r="H598">
        <v>1.2281</v>
      </c>
    </row>
    <row r="599" spans="1:8">
      <c r="A599" s="105">
        <v>40884</v>
      </c>
      <c r="B599">
        <v>1.9689000000000001</v>
      </c>
      <c r="D599" s="105">
        <v>41110</v>
      </c>
      <c r="E599">
        <v>1.6314</v>
      </c>
      <c r="G599" s="105">
        <v>41110</v>
      </c>
      <c r="H599">
        <v>1.2157</v>
      </c>
    </row>
    <row r="600" spans="1:8">
      <c r="A600" s="105">
        <v>40885</v>
      </c>
      <c r="B600">
        <v>1.9631000000000001</v>
      </c>
      <c r="D600" s="105">
        <v>41113</v>
      </c>
      <c r="E600">
        <v>1.6333</v>
      </c>
      <c r="G600" s="105">
        <v>41113</v>
      </c>
      <c r="H600">
        <v>1.2117</v>
      </c>
    </row>
    <row r="601" spans="1:8">
      <c r="A601" s="105">
        <v>40886</v>
      </c>
      <c r="B601">
        <v>1.966</v>
      </c>
      <c r="D601" s="105">
        <v>41114</v>
      </c>
      <c r="E601">
        <v>1.6365000000000001</v>
      </c>
      <c r="G601" s="105">
        <v>41114</v>
      </c>
      <c r="H601">
        <v>1.2060999999999999</v>
      </c>
    </row>
    <row r="602" spans="1:8">
      <c r="A602" s="105">
        <v>40887</v>
      </c>
      <c r="B602">
        <v>1.9705999999999999</v>
      </c>
      <c r="D602" s="105">
        <v>41115</v>
      </c>
      <c r="E602">
        <v>1.6309</v>
      </c>
      <c r="G602" s="105">
        <v>41115</v>
      </c>
      <c r="H602">
        <v>1.2158</v>
      </c>
    </row>
    <row r="603" spans="1:8">
      <c r="A603" s="105">
        <v>40888</v>
      </c>
      <c r="B603">
        <v>1.9744999999999999</v>
      </c>
      <c r="D603" s="105">
        <v>41116</v>
      </c>
      <c r="E603">
        <v>1.6197999999999999</v>
      </c>
      <c r="G603" s="105">
        <v>41116</v>
      </c>
      <c r="H603">
        <v>1.2282999999999999</v>
      </c>
    </row>
    <row r="604" spans="1:8">
      <c r="A604" s="105">
        <v>40889</v>
      </c>
      <c r="B604">
        <v>1.9591000000000001</v>
      </c>
      <c r="D604" s="105">
        <v>41117</v>
      </c>
      <c r="E604">
        <v>1.6146</v>
      </c>
      <c r="G604" s="105">
        <v>41117</v>
      </c>
      <c r="H604">
        <v>1.2322</v>
      </c>
    </row>
    <row r="605" spans="1:8">
      <c r="A605" s="105">
        <v>40890</v>
      </c>
      <c r="B605">
        <v>1.9459</v>
      </c>
      <c r="D605" s="105">
        <v>41120</v>
      </c>
      <c r="E605">
        <v>1.6215999999999999</v>
      </c>
      <c r="G605" s="105">
        <v>41120</v>
      </c>
      <c r="H605">
        <v>1.226</v>
      </c>
    </row>
    <row r="606" spans="1:8">
      <c r="A606" s="105">
        <v>40891</v>
      </c>
      <c r="B606">
        <v>1.9399</v>
      </c>
      <c r="D606" s="105">
        <v>41121</v>
      </c>
      <c r="E606">
        <v>1.6193</v>
      </c>
      <c r="G606" s="105">
        <v>41121</v>
      </c>
      <c r="H606">
        <v>1.2303999999999999</v>
      </c>
    </row>
    <row r="607" spans="1:8">
      <c r="A607" s="105">
        <v>40892</v>
      </c>
      <c r="B607">
        <v>1.9417</v>
      </c>
      <c r="D607" s="105">
        <v>41122</v>
      </c>
      <c r="E607">
        <v>1.6228</v>
      </c>
      <c r="G607" s="105">
        <v>41122</v>
      </c>
      <c r="H607">
        <v>1.2224999999999999</v>
      </c>
    </row>
    <row r="608" spans="1:8">
      <c r="A608" s="105">
        <v>40893</v>
      </c>
      <c r="B608">
        <v>1.9421999999999999</v>
      </c>
      <c r="D608" s="105">
        <v>41123</v>
      </c>
      <c r="E608">
        <v>1.6269</v>
      </c>
      <c r="G608" s="105">
        <v>41123</v>
      </c>
      <c r="H608">
        <v>1.218</v>
      </c>
    </row>
    <row r="609" spans="1:8">
      <c r="A609" s="105">
        <v>40894</v>
      </c>
      <c r="B609">
        <v>1.9446000000000001</v>
      </c>
      <c r="D609" s="105">
        <v>41124</v>
      </c>
      <c r="E609">
        <v>1.6080000000000001</v>
      </c>
      <c r="G609" s="105">
        <v>41124</v>
      </c>
      <c r="H609">
        <v>1.2386999999999999</v>
      </c>
    </row>
    <row r="610" spans="1:8">
      <c r="A610" s="105">
        <v>40895</v>
      </c>
      <c r="B610">
        <v>1.9446000000000001</v>
      </c>
      <c r="D610" s="105">
        <v>41127</v>
      </c>
      <c r="E610">
        <v>1.6091</v>
      </c>
      <c r="G610" s="105">
        <v>41127</v>
      </c>
      <c r="H610">
        <v>1.2401</v>
      </c>
    </row>
    <row r="611" spans="1:8">
      <c r="A611" s="105">
        <v>40896</v>
      </c>
      <c r="B611">
        <v>1.9383999999999999</v>
      </c>
      <c r="D611" s="105">
        <v>41128</v>
      </c>
      <c r="E611">
        <v>1.6093999999999999</v>
      </c>
      <c r="G611" s="105">
        <v>41128</v>
      </c>
      <c r="H611">
        <v>1.2399</v>
      </c>
    </row>
    <row r="612" spans="1:8">
      <c r="A612" s="105">
        <v>40897</v>
      </c>
      <c r="B612">
        <v>1.9403999999999999</v>
      </c>
      <c r="D612" s="105">
        <v>41129</v>
      </c>
      <c r="E612">
        <v>1.6119000000000001</v>
      </c>
      <c r="G612" s="105">
        <v>41129</v>
      </c>
      <c r="H612">
        <v>1.2364999999999999</v>
      </c>
    </row>
    <row r="613" spans="1:8">
      <c r="A613" s="105">
        <v>40898</v>
      </c>
      <c r="B613">
        <v>1.9399</v>
      </c>
      <c r="D613" s="105">
        <v>41130</v>
      </c>
      <c r="E613">
        <v>1.6160000000000001</v>
      </c>
      <c r="G613" s="105">
        <v>41130</v>
      </c>
      <c r="H613">
        <v>1.2305999999999999</v>
      </c>
    </row>
    <row r="614" spans="1:8">
      <c r="A614" s="105">
        <v>40899</v>
      </c>
      <c r="B614">
        <v>1.9407000000000001</v>
      </c>
      <c r="D614" s="105">
        <v>41131</v>
      </c>
      <c r="E614">
        <v>1.6155999999999999</v>
      </c>
      <c r="G614" s="105">
        <v>41131</v>
      </c>
      <c r="H614">
        <v>1.2289000000000001</v>
      </c>
    </row>
    <row r="615" spans="1:8">
      <c r="A615" s="105">
        <v>40900</v>
      </c>
      <c r="B615">
        <v>1.9398</v>
      </c>
      <c r="D615" s="105">
        <v>41134</v>
      </c>
      <c r="E615">
        <v>1.6164000000000001</v>
      </c>
      <c r="G615" s="105">
        <v>41134</v>
      </c>
      <c r="H615">
        <v>1.2332000000000001</v>
      </c>
    </row>
    <row r="616" spans="1:8">
      <c r="A616" s="105">
        <v>40901</v>
      </c>
      <c r="B616">
        <v>1.9437</v>
      </c>
      <c r="D616" s="105">
        <v>41135</v>
      </c>
      <c r="E616">
        <v>1.6185</v>
      </c>
      <c r="G616" s="105">
        <v>41135</v>
      </c>
      <c r="H616">
        <v>1.2322</v>
      </c>
    </row>
    <row r="617" spans="1:8">
      <c r="A617" s="105">
        <v>40902</v>
      </c>
      <c r="B617">
        <v>1.9406000000000001</v>
      </c>
      <c r="D617" s="105">
        <v>41136</v>
      </c>
      <c r="E617">
        <v>1.6184000000000001</v>
      </c>
      <c r="G617" s="105">
        <v>41136</v>
      </c>
      <c r="H617">
        <v>1.2290000000000001</v>
      </c>
    </row>
    <row r="618" spans="1:8">
      <c r="A618" s="105">
        <v>40903</v>
      </c>
      <c r="B618">
        <v>1.9408000000000001</v>
      </c>
      <c r="D618" s="105">
        <v>41137</v>
      </c>
      <c r="E618">
        <v>1.617</v>
      </c>
      <c r="G618" s="105">
        <v>41137</v>
      </c>
      <c r="H618">
        <v>1.2356</v>
      </c>
    </row>
    <row r="619" spans="1:8">
      <c r="A619" s="105">
        <v>40904</v>
      </c>
      <c r="B619">
        <v>1.9408000000000001</v>
      </c>
      <c r="D619" s="105">
        <v>41138</v>
      </c>
      <c r="E619">
        <v>1.6184000000000001</v>
      </c>
      <c r="G619" s="105">
        <v>41138</v>
      </c>
      <c r="H619">
        <v>1.2334000000000001</v>
      </c>
    </row>
    <row r="620" spans="1:8">
      <c r="A620" s="105">
        <v>40905</v>
      </c>
      <c r="B620">
        <v>1.9398</v>
      </c>
      <c r="D620" s="105">
        <v>41141</v>
      </c>
      <c r="E620">
        <v>1.6174999999999999</v>
      </c>
      <c r="G620" s="105">
        <v>41141</v>
      </c>
      <c r="H620">
        <v>1.2345999999999999</v>
      </c>
    </row>
    <row r="621" spans="1:8">
      <c r="A621" s="105">
        <v>40906</v>
      </c>
      <c r="B621">
        <v>1.9413</v>
      </c>
      <c r="D621" s="105">
        <v>41142</v>
      </c>
      <c r="E621">
        <v>1.6059000000000001</v>
      </c>
      <c r="G621" s="105">
        <v>41142</v>
      </c>
      <c r="H621">
        <v>1.2473000000000001</v>
      </c>
    </row>
    <row r="622" spans="1:8">
      <c r="A622" s="105">
        <v>40907</v>
      </c>
      <c r="B622">
        <v>1.9432</v>
      </c>
      <c r="D622" s="105">
        <v>41143</v>
      </c>
      <c r="E622">
        <v>1.5985</v>
      </c>
      <c r="G622" s="105">
        <v>41143</v>
      </c>
      <c r="H622">
        <v>1.2528999999999999</v>
      </c>
    </row>
    <row r="623" spans="1:8">
      <c r="A623" s="105">
        <v>40908</v>
      </c>
      <c r="B623">
        <v>1.9409000000000001</v>
      </c>
      <c r="D623" s="105">
        <v>41144</v>
      </c>
      <c r="E623">
        <v>1.5964</v>
      </c>
      <c r="G623" s="105">
        <v>41144</v>
      </c>
      <c r="H623">
        <v>1.2564</v>
      </c>
    </row>
    <row r="624" spans="1:8">
      <c r="A624" s="105">
        <v>40909</v>
      </c>
      <c r="B624">
        <v>1.9428000000000001</v>
      </c>
      <c r="D624" s="105">
        <v>41145</v>
      </c>
      <c r="E624">
        <v>1.6013999999999999</v>
      </c>
      <c r="G624" s="105">
        <v>41145</v>
      </c>
      <c r="H624">
        <v>1.2512000000000001</v>
      </c>
    </row>
    <row r="625" spans="1:8">
      <c r="A625" s="105">
        <v>40910</v>
      </c>
      <c r="B625">
        <v>1.9430000000000001</v>
      </c>
      <c r="D625" s="105">
        <v>41148</v>
      </c>
      <c r="E625">
        <v>1.603</v>
      </c>
      <c r="G625" s="105">
        <v>41148</v>
      </c>
      <c r="H625">
        <v>1.2499</v>
      </c>
    </row>
    <row r="626" spans="1:8">
      <c r="A626" s="105">
        <v>40911</v>
      </c>
      <c r="B626">
        <v>1.9461999999999999</v>
      </c>
      <c r="D626" s="105">
        <v>41149</v>
      </c>
      <c r="E626">
        <v>1.5992</v>
      </c>
      <c r="G626" s="105">
        <v>41149</v>
      </c>
      <c r="H626">
        <v>1.2565</v>
      </c>
    </row>
    <row r="627" spans="1:8">
      <c r="A627" s="105">
        <v>40912</v>
      </c>
      <c r="B627">
        <v>1.9477</v>
      </c>
      <c r="D627" s="105">
        <v>41150</v>
      </c>
      <c r="E627">
        <v>1.5991</v>
      </c>
      <c r="G627" s="105">
        <v>41150</v>
      </c>
      <c r="H627">
        <v>1.2529999999999999</v>
      </c>
    </row>
    <row r="628" spans="1:8">
      <c r="A628" s="105">
        <v>40913</v>
      </c>
      <c r="B628">
        <v>1.94</v>
      </c>
      <c r="D628" s="105">
        <v>41151</v>
      </c>
      <c r="E628">
        <v>1.6015999999999999</v>
      </c>
      <c r="G628" s="105">
        <v>41151</v>
      </c>
      <c r="H628">
        <v>1.2505999999999999</v>
      </c>
    </row>
    <row r="629" spans="1:8">
      <c r="A629" s="105">
        <v>40914</v>
      </c>
      <c r="B629">
        <v>1.9380999999999999</v>
      </c>
      <c r="D629" s="105">
        <v>41152</v>
      </c>
      <c r="E629">
        <v>1.5998000000000001</v>
      </c>
      <c r="G629" s="105">
        <v>41152</v>
      </c>
      <c r="H629">
        <v>1.2579</v>
      </c>
    </row>
    <row r="630" spans="1:8">
      <c r="A630" s="105">
        <v>40915</v>
      </c>
      <c r="B630">
        <v>1.9377</v>
      </c>
      <c r="D630" s="105">
        <v>41155</v>
      </c>
      <c r="E630">
        <v>1.5935999999999999</v>
      </c>
      <c r="G630" s="105">
        <v>41155</v>
      </c>
      <c r="H630">
        <v>1.2593000000000001</v>
      </c>
    </row>
    <row r="631" spans="1:8">
      <c r="A631" s="105">
        <v>40916</v>
      </c>
      <c r="B631">
        <v>1.9285000000000001</v>
      </c>
      <c r="D631" s="105">
        <v>41156</v>
      </c>
      <c r="E631">
        <v>1.5992999999999999</v>
      </c>
      <c r="G631" s="105">
        <v>41156</v>
      </c>
      <c r="H631">
        <v>1.2565999999999999</v>
      </c>
    </row>
    <row r="632" spans="1:8">
      <c r="A632" s="105">
        <v>40917</v>
      </c>
      <c r="B632">
        <v>1.9352</v>
      </c>
      <c r="D632" s="105">
        <v>41157</v>
      </c>
      <c r="E632">
        <v>1.5964</v>
      </c>
      <c r="G632" s="105">
        <v>41157</v>
      </c>
      <c r="H632">
        <v>1.2601</v>
      </c>
    </row>
    <row r="633" spans="1:8">
      <c r="A633" s="105">
        <v>40918</v>
      </c>
      <c r="B633">
        <v>1.9375</v>
      </c>
      <c r="D633" s="105">
        <v>41158</v>
      </c>
      <c r="E633">
        <v>1.5938000000000001</v>
      </c>
      <c r="G633" s="105">
        <v>41158</v>
      </c>
      <c r="H633">
        <v>1.2630999999999999</v>
      </c>
    </row>
    <row r="634" spans="1:8">
      <c r="A634" s="105">
        <v>40919</v>
      </c>
      <c r="B634">
        <v>1.9397</v>
      </c>
      <c r="D634" s="105">
        <v>41159</v>
      </c>
      <c r="E634">
        <v>1.5815999999999999</v>
      </c>
      <c r="G634" s="105">
        <v>41159</v>
      </c>
      <c r="H634">
        <v>1.2816000000000001</v>
      </c>
    </row>
    <row r="635" spans="1:8">
      <c r="A635" s="105">
        <v>40920</v>
      </c>
      <c r="B635">
        <v>1.9421999999999999</v>
      </c>
      <c r="D635" s="105">
        <v>41162</v>
      </c>
      <c r="E635">
        <v>1.5858000000000001</v>
      </c>
      <c r="G635" s="105">
        <v>41162</v>
      </c>
      <c r="H635">
        <v>1.2758</v>
      </c>
    </row>
    <row r="636" spans="1:8">
      <c r="A636" s="105">
        <v>40921</v>
      </c>
      <c r="B636">
        <v>1.9404999999999999</v>
      </c>
      <c r="D636" s="105">
        <v>41163</v>
      </c>
      <c r="E636">
        <v>1.5743</v>
      </c>
      <c r="G636" s="105">
        <v>41163</v>
      </c>
      <c r="H636">
        <v>1.2855000000000001</v>
      </c>
    </row>
    <row r="637" spans="1:8">
      <c r="A637" s="105">
        <v>40922</v>
      </c>
      <c r="B637">
        <v>1.9389000000000001</v>
      </c>
      <c r="D637" s="105">
        <v>41164</v>
      </c>
      <c r="E637">
        <v>1.575</v>
      </c>
      <c r="G637" s="105">
        <v>41164</v>
      </c>
      <c r="H637">
        <v>1.29</v>
      </c>
    </row>
    <row r="638" spans="1:8">
      <c r="A638" s="105">
        <v>40923</v>
      </c>
      <c r="B638">
        <v>1.9397</v>
      </c>
      <c r="D638" s="105">
        <v>41165</v>
      </c>
      <c r="E638">
        <v>1.5640000000000001</v>
      </c>
      <c r="G638" s="105">
        <v>41165</v>
      </c>
      <c r="H638">
        <v>1.2990999999999999</v>
      </c>
    </row>
    <row r="639" spans="1:8">
      <c r="A639" s="105">
        <v>40924</v>
      </c>
      <c r="B639">
        <v>1.9412</v>
      </c>
      <c r="D639" s="105">
        <v>41166</v>
      </c>
      <c r="E639">
        <v>1.5525</v>
      </c>
      <c r="G639" s="105">
        <v>41166</v>
      </c>
      <c r="H639">
        <v>1.3129999999999999</v>
      </c>
    </row>
    <row r="640" spans="1:8">
      <c r="A640" s="105">
        <v>40925</v>
      </c>
      <c r="B640">
        <v>1.9496</v>
      </c>
      <c r="D640" s="105">
        <v>41169</v>
      </c>
      <c r="E640">
        <v>1.5553999999999999</v>
      </c>
      <c r="G640" s="105">
        <v>41169</v>
      </c>
      <c r="H640">
        <v>1.3117000000000001</v>
      </c>
    </row>
    <row r="641" spans="1:8">
      <c r="A641" s="105">
        <v>40926</v>
      </c>
      <c r="B641">
        <v>1.9544999999999999</v>
      </c>
      <c r="D641" s="105">
        <v>41170</v>
      </c>
      <c r="E641">
        <v>1.5593999999999999</v>
      </c>
      <c r="G641" s="105">
        <v>41170</v>
      </c>
      <c r="H641">
        <v>1.3048</v>
      </c>
    </row>
    <row r="642" spans="1:8">
      <c r="A642" s="105">
        <v>40927</v>
      </c>
      <c r="B642">
        <v>1.9593</v>
      </c>
      <c r="D642" s="105">
        <v>41171</v>
      </c>
      <c r="E642">
        <v>1.5598000000000001</v>
      </c>
      <c r="G642" s="105">
        <v>41171</v>
      </c>
      <c r="H642">
        <v>1.3048999999999999</v>
      </c>
    </row>
    <row r="643" spans="1:8">
      <c r="A643" s="105">
        <v>40928</v>
      </c>
      <c r="B643">
        <v>1.9573</v>
      </c>
      <c r="D643" s="105">
        <v>41172</v>
      </c>
      <c r="E643">
        <v>1.5677000000000001</v>
      </c>
      <c r="G643" s="105">
        <v>41172</v>
      </c>
      <c r="H643">
        <v>1.2968</v>
      </c>
    </row>
    <row r="644" spans="1:8">
      <c r="A644" s="105">
        <v>40929</v>
      </c>
      <c r="B644">
        <v>1.9572000000000001</v>
      </c>
      <c r="D644" s="105">
        <v>41173</v>
      </c>
      <c r="E644">
        <v>1.5687</v>
      </c>
      <c r="G644" s="105">
        <v>41173</v>
      </c>
      <c r="H644">
        <v>1.298</v>
      </c>
    </row>
    <row r="645" spans="1:8">
      <c r="A645" s="105">
        <v>40930</v>
      </c>
      <c r="B645">
        <v>1.9641999999999999</v>
      </c>
      <c r="D645" s="105">
        <v>41176</v>
      </c>
      <c r="E645">
        <v>1.5728</v>
      </c>
      <c r="G645" s="105">
        <v>41176</v>
      </c>
      <c r="H645">
        <v>1.2930999999999999</v>
      </c>
    </row>
    <row r="646" spans="1:8">
      <c r="A646" s="105">
        <v>40931</v>
      </c>
      <c r="B646">
        <v>1.9628000000000001</v>
      </c>
      <c r="D646" s="105">
        <v>41177</v>
      </c>
      <c r="E646">
        <v>1.5705</v>
      </c>
      <c r="G646" s="105">
        <v>41177</v>
      </c>
      <c r="H646">
        <v>1.2899</v>
      </c>
    </row>
    <row r="647" spans="1:8">
      <c r="A647" s="105">
        <v>40932</v>
      </c>
      <c r="B647">
        <v>1.9636</v>
      </c>
      <c r="D647" s="105">
        <v>41178</v>
      </c>
      <c r="E647">
        <v>1.5760000000000001</v>
      </c>
      <c r="G647" s="105">
        <v>41178</v>
      </c>
      <c r="H647">
        <v>1.2873000000000001</v>
      </c>
    </row>
    <row r="648" spans="1:8">
      <c r="A648" s="105">
        <v>40933</v>
      </c>
      <c r="B648">
        <v>1.9670000000000001</v>
      </c>
      <c r="D648" s="105">
        <v>41179</v>
      </c>
      <c r="E648">
        <v>1.5747</v>
      </c>
      <c r="G648" s="105">
        <v>41179</v>
      </c>
      <c r="H648">
        <v>1.2912999999999999</v>
      </c>
    </row>
    <row r="649" spans="1:8">
      <c r="A649" s="105">
        <v>40934</v>
      </c>
      <c r="B649">
        <v>1.9708000000000001</v>
      </c>
      <c r="D649" s="105">
        <v>41180</v>
      </c>
      <c r="E649">
        <v>1.5780000000000001</v>
      </c>
      <c r="G649" s="105">
        <v>41180</v>
      </c>
      <c r="H649">
        <v>1.286</v>
      </c>
    </row>
    <row r="650" spans="1:8">
      <c r="A650" s="105">
        <v>40935</v>
      </c>
      <c r="B650">
        <v>1.9806999999999999</v>
      </c>
      <c r="D650" s="105">
        <v>41183</v>
      </c>
      <c r="E650">
        <v>1.5742</v>
      </c>
      <c r="G650" s="105">
        <v>41183</v>
      </c>
      <c r="H650">
        <v>1.2887999999999999</v>
      </c>
    </row>
    <row r="651" spans="1:8">
      <c r="A651" s="105">
        <v>40936</v>
      </c>
      <c r="B651">
        <v>1.9762999999999999</v>
      </c>
      <c r="D651" s="105">
        <v>41184</v>
      </c>
      <c r="E651">
        <v>1.5698000000000001</v>
      </c>
      <c r="G651" s="105">
        <v>41184</v>
      </c>
      <c r="H651">
        <v>1.292</v>
      </c>
    </row>
    <row r="652" spans="1:8">
      <c r="A652" s="105">
        <v>40937</v>
      </c>
      <c r="B652">
        <v>1.9804999999999999</v>
      </c>
      <c r="D652" s="105">
        <v>41185</v>
      </c>
      <c r="E652">
        <v>1.5725</v>
      </c>
      <c r="G652" s="105">
        <v>41185</v>
      </c>
      <c r="H652">
        <v>1.2905</v>
      </c>
    </row>
    <row r="653" spans="1:8">
      <c r="A653" s="105">
        <v>40938</v>
      </c>
      <c r="B653">
        <v>1.9737</v>
      </c>
      <c r="D653" s="105">
        <v>41186</v>
      </c>
      <c r="E653">
        <v>1.5650999999999999</v>
      </c>
      <c r="G653" s="105">
        <v>41186</v>
      </c>
      <c r="H653">
        <v>1.3018000000000001</v>
      </c>
    </row>
    <row r="654" spans="1:8">
      <c r="A654" s="105">
        <v>40939</v>
      </c>
      <c r="B654">
        <v>1.9781</v>
      </c>
      <c r="D654" s="105">
        <v>41187</v>
      </c>
      <c r="E654">
        <v>1.5629999999999999</v>
      </c>
      <c r="G654" s="105">
        <v>41187</v>
      </c>
      <c r="H654">
        <v>1.3045</v>
      </c>
    </row>
    <row r="655" spans="1:8">
      <c r="A655" s="105">
        <v>40940</v>
      </c>
      <c r="B655">
        <v>1.9812000000000001</v>
      </c>
      <c r="D655" s="105">
        <v>41190</v>
      </c>
      <c r="E655">
        <v>1.571</v>
      </c>
      <c r="G655" s="105">
        <v>41190</v>
      </c>
      <c r="H655">
        <v>1.2968</v>
      </c>
    </row>
    <row r="656" spans="1:8">
      <c r="A656" s="105">
        <v>40941</v>
      </c>
      <c r="B656">
        <v>1.9815</v>
      </c>
      <c r="D656" s="105">
        <v>41191</v>
      </c>
      <c r="E656">
        <v>1.5742</v>
      </c>
      <c r="G656" s="105">
        <v>41191</v>
      </c>
      <c r="H656">
        <v>1.2885</v>
      </c>
    </row>
    <row r="657" spans="1:8">
      <c r="A657" s="105">
        <v>40942</v>
      </c>
      <c r="B657">
        <v>1.9843</v>
      </c>
      <c r="D657" s="105">
        <v>41192</v>
      </c>
      <c r="E657">
        <v>1.575</v>
      </c>
      <c r="G657" s="105">
        <v>41192</v>
      </c>
      <c r="H657">
        <v>1.2875000000000001</v>
      </c>
    </row>
    <row r="658" spans="1:8">
      <c r="A658" s="105">
        <v>40943</v>
      </c>
      <c r="B658">
        <v>1.9833000000000001</v>
      </c>
      <c r="D658" s="105">
        <v>41193</v>
      </c>
      <c r="E658">
        <v>1.569</v>
      </c>
      <c r="G658" s="105">
        <v>41193</v>
      </c>
      <c r="H658">
        <v>1.2927999999999999</v>
      </c>
    </row>
    <row r="659" spans="1:8">
      <c r="A659" s="105">
        <v>40944</v>
      </c>
      <c r="B659">
        <v>1.984</v>
      </c>
      <c r="D659" s="105">
        <v>41194</v>
      </c>
      <c r="E659">
        <v>1.5676000000000001</v>
      </c>
      <c r="G659" s="105">
        <v>41194</v>
      </c>
      <c r="H659">
        <v>1.2950999999999999</v>
      </c>
    </row>
    <row r="660" spans="1:8">
      <c r="A660" s="105">
        <v>40945</v>
      </c>
      <c r="B660">
        <v>1.9769000000000001</v>
      </c>
      <c r="D660" s="105">
        <v>41197</v>
      </c>
      <c r="E660">
        <v>1.5680000000000001</v>
      </c>
      <c r="G660" s="105">
        <v>41197</v>
      </c>
      <c r="H660">
        <v>1.2948999999999999</v>
      </c>
    </row>
    <row r="661" spans="1:8">
      <c r="A661" s="105">
        <v>40946</v>
      </c>
      <c r="B661">
        <v>1.9876</v>
      </c>
      <c r="D661" s="105">
        <v>41198</v>
      </c>
      <c r="E661">
        <v>1.5593999999999999</v>
      </c>
      <c r="G661" s="105">
        <v>41198</v>
      </c>
      <c r="H661">
        <v>1.3053999999999999</v>
      </c>
    </row>
    <row r="662" spans="1:8">
      <c r="A662" s="105">
        <v>40947</v>
      </c>
      <c r="B662">
        <v>1.9849000000000001</v>
      </c>
      <c r="D662" s="105">
        <v>41199</v>
      </c>
      <c r="E662">
        <v>1.5556000000000001</v>
      </c>
      <c r="G662" s="105">
        <v>41199</v>
      </c>
      <c r="H662">
        <v>1.3119000000000001</v>
      </c>
    </row>
    <row r="663" spans="1:8">
      <c r="A663" s="105">
        <v>40948</v>
      </c>
      <c r="B663">
        <v>1.988</v>
      </c>
      <c r="D663" s="105">
        <v>41200</v>
      </c>
      <c r="E663">
        <v>1.5608</v>
      </c>
      <c r="G663" s="105">
        <v>41200</v>
      </c>
      <c r="H663">
        <v>1.3067</v>
      </c>
    </row>
    <row r="664" spans="1:8">
      <c r="A664" s="105">
        <v>40949</v>
      </c>
      <c r="B664">
        <v>1.9821</v>
      </c>
      <c r="D664" s="105">
        <v>41201</v>
      </c>
      <c r="E664">
        <v>1.5632999999999999</v>
      </c>
      <c r="G664" s="105">
        <v>41201</v>
      </c>
      <c r="H664">
        <v>1.3024</v>
      </c>
    </row>
    <row r="665" spans="1:8">
      <c r="A665" s="105">
        <v>40950</v>
      </c>
      <c r="B665">
        <v>1.9818</v>
      </c>
      <c r="D665" s="105">
        <v>41204</v>
      </c>
      <c r="E665">
        <v>1.5603</v>
      </c>
      <c r="G665" s="105">
        <v>41204</v>
      </c>
      <c r="H665">
        <v>1.306</v>
      </c>
    </row>
    <row r="666" spans="1:8">
      <c r="A666" s="105">
        <v>40951</v>
      </c>
      <c r="B666">
        <v>1.9818</v>
      </c>
      <c r="D666" s="105">
        <v>41205</v>
      </c>
      <c r="E666">
        <v>1.5684</v>
      </c>
      <c r="G666" s="105">
        <v>41205</v>
      </c>
      <c r="H666">
        <v>1.2987</v>
      </c>
    </row>
    <row r="667" spans="1:8">
      <c r="A667" s="105">
        <v>40952</v>
      </c>
      <c r="B667">
        <v>1.9815</v>
      </c>
      <c r="D667" s="105">
        <v>41206</v>
      </c>
      <c r="E667">
        <v>1.5684</v>
      </c>
      <c r="G667" s="105">
        <v>41206</v>
      </c>
      <c r="H667">
        <v>1.2974000000000001</v>
      </c>
    </row>
    <row r="668" spans="1:8">
      <c r="A668" s="105">
        <v>40953</v>
      </c>
      <c r="B668">
        <v>1.9798</v>
      </c>
      <c r="D668" s="105">
        <v>41207</v>
      </c>
      <c r="E668">
        <v>1.5701000000000001</v>
      </c>
      <c r="G668" s="105">
        <v>41207</v>
      </c>
      <c r="H668">
        <v>1.2934000000000001</v>
      </c>
    </row>
    <row r="669" spans="1:8">
      <c r="A669" s="105">
        <v>40954</v>
      </c>
      <c r="B669">
        <v>1.978</v>
      </c>
      <c r="D669" s="105">
        <v>41208</v>
      </c>
      <c r="E669">
        <v>1.5690999999999999</v>
      </c>
      <c r="G669" s="105">
        <v>41208</v>
      </c>
      <c r="H669">
        <v>1.2938000000000001</v>
      </c>
    </row>
    <row r="670" spans="1:8">
      <c r="A670" s="105">
        <v>40955</v>
      </c>
      <c r="B670">
        <v>1.9856</v>
      </c>
      <c r="D670" s="105">
        <v>41211</v>
      </c>
      <c r="E670">
        <v>1.5708</v>
      </c>
      <c r="G670" s="105">
        <v>41211</v>
      </c>
      <c r="H670">
        <v>1.2904</v>
      </c>
    </row>
    <row r="671" spans="1:8">
      <c r="A671" s="105">
        <v>40956</v>
      </c>
      <c r="B671">
        <v>1.9843</v>
      </c>
      <c r="D671" s="105">
        <v>41212</v>
      </c>
      <c r="E671">
        <v>1.5704</v>
      </c>
      <c r="G671" s="105">
        <v>41212</v>
      </c>
      <c r="H671">
        <v>1.2959000000000001</v>
      </c>
    </row>
    <row r="672" spans="1:8">
      <c r="A672" s="105">
        <v>40957</v>
      </c>
      <c r="B672">
        <v>1.9812000000000001</v>
      </c>
      <c r="D672" s="105">
        <v>41213</v>
      </c>
      <c r="E672">
        <v>1.5704</v>
      </c>
      <c r="G672" s="105">
        <v>41213</v>
      </c>
      <c r="H672">
        <v>1.296</v>
      </c>
    </row>
    <row r="673" spans="1:8">
      <c r="A673" s="105">
        <v>40958</v>
      </c>
      <c r="B673">
        <v>1.9838</v>
      </c>
      <c r="D673" s="105">
        <v>41214</v>
      </c>
      <c r="E673">
        <v>1.5720000000000001</v>
      </c>
      <c r="G673" s="105">
        <v>41214</v>
      </c>
      <c r="H673">
        <v>1.2943</v>
      </c>
    </row>
    <row r="674" spans="1:8">
      <c r="A674" s="105">
        <v>40959</v>
      </c>
      <c r="B674">
        <v>1.99</v>
      </c>
      <c r="D674" s="105">
        <v>41215</v>
      </c>
      <c r="E674">
        <v>1.5785</v>
      </c>
      <c r="G674" s="105">
        <v>41215</v>
      </c>
      <c r="H674">
        <v>1.2835000000000001</v>
      </c>
    </row>
    <row r="675" spans="1:8">
      <c r="A675" s="105">
        <v>40960</v>
      </c>
      <c r="B675">
        <v>1.9927999999999999</v>
      </c>
      <c r="D675" s="105">
        <v>41218</v>
      </c>
      <c r="E675">
        <v>1.5854999999999999</v>
      </c>
      <c r="G675" s="105">
        <v>41218</v>
      </c>
      <c r="H675">
        <v>1.2796000000000001</v>
      </c>
    </row>
    <row r="676" spans="1:8">
      <c r="A676" s="105">
        <v>40961</v>
      </c>
      <c r="B676">
        <v>1.9925999999999999</v>
      </c>
      <c r="D676" s="105">
        <v>41219</v>
      </c>
      <c r="E676">
        <v>1.5798000000000001</v>
      </c>
      <c r="G676" s="105">
        <v>41219</v>
      </c>
      <c r="H676">
        <v>1.2814000000000001</v>
      </c>
    </row>
    <row r="677" spans="1:8">
      <c r="A677" s="105">
        <v>40962</v>
      </c>
      <c r="B677">
        <v>2.0021</v>
      </c>
      <c r="D677" s="105">
        <v>41220</v>
      </c>
      <c r="E677">
        <v>1.5882000000000001</v>
      </c>
      <c r="G677" s="105">
        <v>41220</v>
      </c>
      <c r="H677">
        <v>1.2770999999999999</v>
      </c>
    </row>
    <row r="678" spans="1:8">
      <c r="A678" s="105">
        <v>40963</v>
      </c>
      <c r="B678">
        <v>2.0028000000000001</v>
      </c>
      <c r="D678" s="105">
        <v>41221</v>
      </c>
      <c r="E678">
        <v>1.5869</v>
      </c>
      <c r="G678" s="105">
        <v>41221</v>
      </c>
      <c r="H678">
        <v>1.2746999999999999</v>
      </c>
    </row>
    <row r="679" spans="1:8">
      <c r="A679" s="105">
        <v>40964</v>
      </c>
      <c r="B679">
        <v>2.0028000000000001</v>
      </c>
      <c r="D679" s="105">
        <v>41222</v>
      </c>
      <c r="E679">
        <v>1.5944</v>
      </c>
      <c r="G679" s="105">
        <v>41222</v>
      </c>
      <c r="H679">
        <v>1.2714000000000001</v>
      </c>
    </row>
    <row r="680" spans="1:8">
      <c r="A680" s="105">
        <v>40965</v>
      </c>
      <c r="B680">
        <v>2.0028000000000001</v>
      </c>
      <c r="D680" s="105">
        <v>41225</v>
      </c>
      <c r="E680">
        <v>1.5922000000000001</v>
      </c>
      <c r="G680" s="105">
        <v>41225</v>
      </c>
      <c r="H680">
        <v>1.2709999999999999</v>
      </c>
    </row>
    <row r="681" spans="1:8">
      <c r="A681" s="105">
        <v>40966</v>
      </c>
      <c r="B681">
        <v>2.0024000000000002</v>
      </c>
      <c r="D681" s="105">
        <v>41226</v>
      </c>
      <c r="E681">
        <v>1.5880000000000001</v>
      </c>
      <c r="G681" s="105">
        <v>41226</v>
      </c>
      <c r="H681">
        <v>1.2704</v>
      </c>
    </row>
    <row r="682" spans="1:8">
      <c r="A682" s="105">
        <v>40967</v>
      </c>
      <c r="B682">
        <v>2.0049000000000001</v>
      </c>
      <c r="D682" s="105">
        <v>41227</v>
      </c>
      <c r="E682">
        <v>1.5904</v>
      </c>
      <c r="G682" s="105">
        <v>41227</v>
      </c>
      <c r="H682">
        <v>1.2736000000000001</v>
      </c>
    </row>
    <row r="683" spans="1:8">
      <c r="A683" s="105">
        <v>40968</v>
      </c>
      <c r="B683">
        <v>1.9942</v>
      </c>
      <c r="D683" s="105">
        <v>41228</v>
      </c>
      <c r="E683">
        <v>1.5918000000000001</v>
      </c>
      <c r="G683" s="105">
        <v>41228</v>
      </c>
      <c r="H683">
        <v>1.2781</v>
      </c>
    </row>
    <row r="684" spans="1:8">
      <c r="A684" s="105">
        <v>40969</v>
      </c>
      <c r="B684">
        <v>1.9948999999999999</v>
      </c>
      <c r="D684" s="105">
        <v>41229</v>
      </c>
      <c r="E684">
        <v>1.5951</v>
      </c>
      <c r="G684" s="105">
        <v>41229</v>
      </c>
      <c r="H684">
        <v>1.2743</v>
      </c>
    </row>
    <row r="685" spans="1:8">
      <c r="A685" s="105">
        <v>40970</v>
      </c>
      <c r="B685">
        <v>1.9865999999999999</v>
      </c>
      <c r="D685" s="105">
        <v>41232</v>
      </c>
      <c r="E685">
        <v>1.5887</v>
      </c>
      <c r="G685" s="105">
        <v>41232</v>
      </c>
      <c r="H685">
        <v>1.2814000000000001</v>
      </c>
    </row>
    <row r="686" spans="1:8">
      <c r="A686" s="105">
        <v>40971</v>
      </c>
      <c r="B686">
        <v>1.9866999999999999</v>
      </c>
      <c r="D686" s="105">
        <v>41233</v>
      </c>
      <c r="E686">
        <v>1.5845</v>
      </c>
      <c r="G686" s="105">
        <v>41233</v>
      </c>
      <c r="H686">
        <v>1.2817000000000001</v>
      </c>
    </row>
    <row r="687" spans="1:8">
      <c r="A687" s="105">
        <v>40972</v>
      </c>
      <c r="B687">
        <v>1.9865999999999999</v>
      </c>
      <c r="D687" s="105">
        <v>41234</v>
      </c>
      <c r="E687">
        <v>1.5859000000000001</v>
      </c>
      <c r="G687" s="105">
        <v>41234</v>
      </c>
      <c r="H687">
        <v>1.2828999999999999</v>
      </c>
    </row>
    <row r="688" spans="1:8">
      <c r="A688" s="105">
        <v>40973</v>
      </c>
      <c r="B688">
        <v>1.9908999999999999</v>
      </c>
      <c r="D688" s="105">
        <v>41235</v>
      </c>
      <c r="E688">
        <v>1.5792999999999999</v>
      </c>
      <c r="G688" s="105">
        <v>41235</v>
      </c>
      <c r="H688">
        <v>1.2884</v>
      </c>
    </row>
    <row r="689" spans="1:8">
      <c r="A689" s="105">
        <v>40974</v>
      </c>
      <c r="B689">
        <v>1.9839</v>
      </c>
      <c r="D689" s="105">
        <v>41236</v>
      </c>
      <c r="E689">
        <v>1.5746</v>
      </c>
      <c r="G689" s="105">
        <v>41236</v>
      </c>
      <c r="H689">
        <v>1.2976000000000001</v>
      </c>
    </row>
    <row r="690" spans="1:8">
      <c r="A690" s="105">
        <v>40975</v>
      </c>
      <c r="B690">
        <v>1.9873000000000001</v>
      </c>
      <c r="D690" s="105">
        <v>41239</v>
      </c>
      <c r="E690">
        <v>1.5746</v>
      </c>
      <c r="G690" s="105">
        <v>41239</v>
      </c>
      <c r="H690">
        <v>1.2971999999999999</v>
      </c>
    </row>
    <row r="691" spans="1:8">
      <c r="A691" s="105">
        <v>40976</v>
      </c>
      <c r="B691">
        <v>1.9966999999999999</v>
      </c>
      <c r="D691" s="105">
        <v>41240</v>
      </c>
      <c r="E691">
        <v>1.5764</v>
      </c>
      <c r="G691" s="105">
        <v>41240</v>
      </c>
      <c r="H691">
        <v>1.2943</v>
      </c>
    </row>
    <row r="692" spans="1:8">
      <c r="A692" s="105">
        <v>40977</v>
      </c>
      <c r="B692">
        <v>1.9864999999999999</v>
      </c>
      <c r="D692" s="105">
        <v>41241</v>
      </c>
      <c r="E692">
        <v>1.5766</v>
      </c>
      <c r="G692" s="105">
        <v>41241</v>
      </c>
      <c r="H692">
        <v>1.2952999999999999</v>
      </c>
    </row>
    <row r="693" spans="1:8">
      <c r="A693" s="105">
        <v>40978</v>
      </c>
      <c r="B693">
        <v>1.9863999999999999</v>
      </c>
      <c r="D693" s="105">
        <v>41242</v>
      </c>
      <c r="E693">
        <v>1.5757000000000001</v>
      </c>
      <c r="G693" s="105">
        <v>41242</v>
      </c>
      <c r="H693">
        <v>1.2979000000000001</v>
      </c>
    </row>
    <row r="694" spans="1:8">
      <c r="A694" s="105">
        <v>40979</v>
      </c>
      <c r="B694">
        <v>1.9863999999999999</v>
      </c>
      <c r="D694" s="105">
        <v>41243</v>
      </c>
      <c r="E694">
        <v>1.5743</v>
      </c>
      <c r="G694" s="105">
        <v>41243</v>
      </c>
      <c r="H694">
        <v>1.2986</v>
      </c>
    </row>
    <row r="695" spans="1:8">
      <c r="A695" s="105">
        <v>40980</v>
      </c>
      <c r="B695">
        <v>1.9923</v>
      </c>
      <c r="D695" s="105">
        <v>41246</v>
      </c>
      <c r="E695">
        <v>1.5682</v>
      </c>
      <c r="G695" s="105">
        <v>41246</v>
      </c>
      <c r="H695">
        <v>1.3053999999999999</v>
      </c>
    </row>
    <row r="696" spans="1:8">
      <c r="A696" s="105">
        <v>40981</v>
      </c>
      <c r="B696">
        <v>1.9883</v>
      </c>
      <c r="D696" s="105">
        <v>41247</v>
      </c>
      <c r="E696">
        <v>1.5662</v>
      </c>
      <c r="G696" s="105">
        <v>41247</v>
      </c>
      <c r="H696">
        <v>1.3093999999999999</v>
      </c>
    </row>
    <row r="697" spans="1:8">
      <c r="A697" s="105">
        <v>40982</v>
      </c>
      <c r="B697">
        <v>1.9872000000000001</v>
      </c>
      <c r="D697" s="105">
        <v>41248</v>
      </c>
      <c r="E697">
        <v>1.5676000000000001</v>
      </c>
      <c r="G697" s="105">
        <v>41248</v>
      </c>
      <c r="H697">
        <v>1.3068</v>
      </c>
    </row>
    <row r="698" spans="1:8">
      <c r="A698" s="105">
        <v>40983</v>
      </c>
      <c r="B698">
        <v>1.9884999999999999</v>
      </c>
      <c r="D698" s="105">
        <v>41249</v>
      </c>
      <c r="E698">
        <v>1.5742</v>
      </c>
      <c r="G698" s="105">
        <v>41249</v>
      </c>
      <c r="H698">
        <v>1.2969999999999999</v>
      </c>
    </row>
    <row r="699" spans="1:8">
      <c r="A699" s="105">
        <v>40984</v>
      </c>
      <c r="B699">
        <v>1.9916</v>
      </c>
      <c r="D699" s="105">
        <v>41250</v>
      </c>
      <c r="E699">
        <v>1.5785</v>
      </c>
      <c r="G699" s="105">
        <v>41250</v>
      </c>
      <c r="H699">
        <v>1.2927</v>
      </c>
    </row>
    <row r="700" spans="1:8">
      <c r="A700" s="105">
        <v>40985</v>
      </c>
      <c r="B700">
        <v>1.9917</v>
      </c>
      <c r="D700" s="105">
        <v>41253</v>
      </c>
      <c r="E700">
        <v>1.5728</v>
      </c>
      <c r="G700" s="105">
        <v>41253</v>
      </c>
      <c r="H700">
        <v>1.2941</v>
      </c>
    </row>
    <row r="701" spans="1:8">
      <c r="A701" s="105">
        <v>40986</v>
      </c>
      <c r="B701">
        <v>1.9917</v>
      </c>
      <c r="D701" s="105">
        <v>41254</v>
      </c>
      <c r="E701">
        <v>1.571</v>
      </c>
      <c r="G701" s="105">
        <v>41254</v>
      </c>
      <c r="H701">
        <v>1.3005</v>
      </c>
    </row>
    <row r="702" spans="1:8">
      <c r="A702" s="105">
        <v>40987</v>
      </c>
      <c r="B702">
        <v>1.9970000000000001</v>
      </c>
      <c r="D702" s="105">
        <v>41255</v>
      </c>
      <c r="E702">
        <v>1.5671999999999999</v>
      </c>
      <c r="G702" s="105">
        <v>41255</v>
      </c>
      <c r="H702">
        <v>1.3073999999999999</v>
      </c>
    </row>
    <row r="703" spans="1:8">
      <c r="A703" s="105">
        <v>40988</v>
      </c>
      <c r="B703">
        <v>1.9965999999999999</v>
      </c>
      <c r="D703" s="105">
        <v>41256</v>
      </c>
      <c r="E703">
        <v>1.5672999999999999</v>
      </c>
      <c r="G703" s="105">
        <v>41256</v>
      </c>
      <c r="H703">
        <v>1.3077000000000001</v>
      </c>
    </row>
    <row r="704" spans="1:8">
      <c r="A704" s="105">
        <v>40989</v>
      </c>
      <c r="B704">
        <v>1.9990000000000001</v>
      </c>
      <c r="D704" s="105">
        <v>41257</v>
      </c>
      <c r="E704">
        <v>1.5585</v>
      </c>
      <c r="G704" s="105">
        <v>41257</v>
      </c>
      <c r="H704">
        <v>1.3163</v>
      </c>
    </row>
    <row r="705" spans="1:8">
      <c r="A705" s="105">
        <v>40990</v>
      </c>
      <c r="B705">
        <v>1.9962</v>
      </c>
      <c r="D705" s="105">
        <v>41260</v>
      </c>
      <c r="E705">
        <v>1.5602</v>
      </c>
      <c r="G705" s="105">
        <v>41260</v>
      </c>
      <c r="H705">
        <v>1.3164</v>
      </c>
    </row>
    <row r="706" spans="1:8">
      <c r="A706" s="105">
        <v>40991</v>
      </c>
      <c r="B706">
        <v>1.9984999999999999</v>
      </c>
      <c r="D706" s="105">
        <v>41261</v>
      </c>
      <c r="E706">
        <v>1.5539000000000001</v>
      </c>
      <c r="G706" s="105">
        <v>41261</v>
      </c>
      <c r="H706">
        <v>1.3229</v>
      </c>
    </row>
    <row r="707" spans="1:8">
      <c r="A707" s="105">
        <v>40992</v>
      </c>
      <c r="B707">
        <v>2.0011999999999999</v>
      </c>
      <c r="D707" s="105">
        <v>41262</v>
      </c>
      <c r="E707">
        <v>1.5519000000000001</v>
      </c>
      <c r="G707" s="105">
        <v>41262</v>
      </c>
      <c r="H707">
        <v>1.3227</v>
      </c>
    </row>
    <row r="708" spans="1:8">
      <c r="A708" s="105">
        <v>40993</v>
      </c>
      <c r="B708">
        <v>2.0017</v>
      </c>
      <c r="D708" s="105">
        <v>41263</v>
      </c>
      <c r="E708">
        <v>1.5532999999999999</v>
      </c>
      <c r="G708" s="105">
        <v>41263</v>
      </c>
      <c r="H708">
        <v>1.3244</v>
      </c>
    </row>
    <row r="709" spans="1:8">
      <c r="A709" s="105">
        <v>40994</v>
      </c>
      <c r="B709">
        <v>2.0063</v>
      </c>
      <c r="D709" s="105">
        <v>41264</v>
      </c>
      <c r="E709">
        <v>1.5510999999999999</v>
      </c>
      <c r="G709" s="105">
        <v>41264</v>
      </c>
      <c r="H709">
        <v>1.3188</v>
      </c>
    </row>
    <row r="710" spans="1:8">
      <c r="A710" s="105">
        <v>40995</v>
      </c>
      <c r="B710">
        <v>2.0009000000000001</v>
      </c>
      <c r="D710" s="105">
        <v>41267</v>
      </c>
      <c r="E710">
        <v>1.5513999999999999</v>
      </c>
      <c r="G710" s="105">
        <v>41267</v>
      </c>
      <c r="H710">
        <v>1.3185</v>
      </c>
    </row>
    <row r="711" spans="1:8">
      <c r="A711" s="105">
        <v>40996</v>
      </c>
      <c r="B711">
        <v>2.0017</v>
      </c>
      <c r="D711" s="105">
        <v>41268</v>
      </c>
      <c r="E711">
        <v>1.5518000000000001</v>
      </c>
      <c r="G711" s="105">
        <v>41268</v>
      </c>
      <c r="H711">
        <v>1.3183</v>
      </c>
    </row>
    <row r="712" spans="1:8">
      <c r="A712" s="105">
        <v>40997</v>
      </c>
      <c r="B712">
        <v>2.0019</v>
      </c>
      <c r="D712" s="105">
        <v>41269</v>
      </c>
      <c r="E712">
        <v>1.5490999999999999</v>
      </c>
      <c r="G712" s="105">
        <v>41269</v>
      </c>
      <c r="H712">
        <v>1.3224</v>
      </c>
    </row>
    <row r="713" spans="1:8">
      <c r="A713" s="105">
        <v>40998</v>
      </c>
      <c r="B713">
        <v>2.0023</v>
      </c>
      <c r="D713" s="105">
        <v>41270</v>
      </c>
      <c r="E713">
        <v>1.5505</v>
      </c>
      <c r="G713" s="105">
        <v>41270</v>
      </c>
      <c r="H713">
        <v>1.3236000000000001</v>
      </c>
    </row>
    <row r="714" spans="1:8">
      <c r="A714" s="105">
        <v>40999</v>
      </c>
      <c r="B714">
        <v>2.0074000000000001</v>
      </c>
      <c r="D714" s="105">
        <v>41271</v>
      </c>
      <c r="E714">
        <v>1.5508</v>
      </c>
      <c r="G714" s="105">
        <v>41271</v>
      </c>
      <c r="H714">
        <v>1.3216000000000001</v>
      </c>
    </row>
    <row r="715" spans="1:8">
      <c r="A715" s="105">
        <v>41000</v>
      </c>
      <c r="B715">
        <v>2.0074000000000001</v>
      </c>
      <c r="D715" s="105">
        <v>41274</v>
      </c>
      <c r="E715">
        <v>1.5528</v>
      </c>
      <c r="G715" s="105">
        <v>41274</v>
      </c>
      <c r="H715">
        <v>1.3192999999999999</v>
      </c>
    </row>
    <row r="716" spans="1:8">
      <c r="A716" s="105">
        <v>41001</v>
      </c>
      <c r="B716">
        <v>2.0024000000000002</v>
      </c>
      <c r="D716" s="105">
        <v>41275</v>
      </c>
      <c r="E716">
        <v>1.5515000000000001</v>
      </c>
      <c r="G716" s="105">
        <v>41275</v>
      </c>
      <c r="H716">
        <v>1.3204</v>
      </c>
    </row>
    <row r="717" spans="1:8">
      <c r="A717" s="105">
        <v>41002</v>
      </c>
      <c r="B717">
        <v>2.0019999999999998</v>
      </c>
      <c r="D717" s="105">
        <v>41276</v>
      </c>
      <c r="E717">
        <v>1.5524</v>
      </c>
      <c r="G717" s="105">
        <v>41276</v>
      </c>
      <c r="H717">
        <v>1.3186</v>
      </c>
    </row>
    <row r="718" spans="1:8">
      <c r="A718" s="105">
        <v>41003</v>
      </c>
      <c r="B718">
        <v>1.9933000000000001</v>
      </c>
      <c r="D718" s="105">
        <v>41277</v>
      </c>
      <c r="E718">
        <v>1.5662</v>
      </c>
      <c r="G718" s="105">
        <v>41277</v>
      </c>
      <c r="H718">
        <v>1.3048999999999999</v>
      </c>
    </row>
    <row r="719" spans="1:8">
      <c r="A719" s="105">
        <v>41004</v>
      </c>
      <c r="B719">
        <v>1.9954000000000001</v>
      </c>
      <c r="D719" s="105">
        <v>41278</v>
      </c>
      <c r="E719">
        <v>1.5645</v>
      </c>
      <c r="G719" s="105">
        <v>41278</v>
      </c>
      <c r="H719">
        <v>1.3069</v>
      </c>
    </row>
    <row r="720" spans="1:8">
      <c r="A720" s="105">
        <v>41005</v>
      </c>
      <c r="B720">
        <v>1.9913000000000001</v>
      </c>
      <c r="D720" s="105">
        <v>41281</v>
      </c>
      <c r="E720">
        <v>1.5645</v>
      </c>
      <c r="G720" s="105">
        <v>41281</v>
      </c>
      <c r="H720">
        <v>1.3117000000000001</v>
      </c>
    </row>
    <row r="721" spans="1:8">
      <c r="A721" s="105">
        <v>41006</v>
      </c>
      <c r="B721">
        <v>1.9993000000000001</v>
      </c>
      <c r="D721" s="105">
        <v>41282</v>
      </c>
      <c r="E721">
        <v>1.5679000000000001</v>
      </c>
      <c r="G721" s="105">
        <v>41282</v>
      </c>
      <c r="H721">
        <v>1.3081</v>
      </c>
    </row>
    <row r="722" spans="1:8">
      <c r="A722" s="105">
        <v>41007</v>
      </c>
      <c r="B722">
        <v>1.9993000000000001</v>
      </c>
      <c r="D722" s="105">
        <v>41283</v>
      </c>
      <c r="E722">
        <v>1.5690999999999999</v>
      </c>
      <c r="G722" s="105">
        <v>41283</v>
      </c>
      <c r="H722">
        <v>1.3064</v>
      </c>
    </row>
    <row r="723" spans="1:8">
      <c r="A723" s="105">
        <v>41008</v>
      </c>
      <c r="B723">
        <v>1.9991000000000001</v>
      </c>
      <c r="D723" s="105">
        <v>41284</v>
      </c>
      <c r="E723">
        <v>1.5573999999999999</v>
      </c>
      <c r="G723" s="105">
        <v>41284</v>
      </c>
      <c r="H723">
        <v>1.3271999999999999</v>
      </c>
    </row>
    <row r="724" spans="1:8">
      <c r="A724" s="105">
        <v>41009</v>
      </c>
      <c r="B724">
        <v>1.9945999999999999</v>
      </c>
      <c r="D724" s="105">
        <v>41285</v>
      </c>
      <c r="E724">
        <v>1.5509999999999999</v>
      </c>
      <c r="G724" s="105">
        <v>41285</v>
      </c>
      <c r="H724">
        <v>1.3343</v>
      </c>
    </row>
    <row r="725" spans="1:8">
      <c r="A725" s="105">
        <v>41010</v>
      </c>
      <c r="B725">
        <v>2.0011999999999999</v>
      </c>
      <c r="D725" s="105">
        <v>41288</v>
      </c>
      <c r="E725">
        <v>1.5549999999999999</v>
      </c>
      <c r="G725" s="105">
        <v>41288</v>
      </c>
      <c r="H725">
        <v>1.3382000000000001</v>
      </c>
    </row>
    <row r="726" spans="1:8">
      <c r="A726" s="105">
        <v>41011</v>
      </c>
      <c r="B726">
        <v>2.0078999999999998</v>
      </c>
      <c r="D726" s="105">
        <v>41289</v>
      </c>
      <c r="E726">
        <v>1.5547</v>
      </c>
      <c r="G726" s="105">
        <v>41289</v>
      </c>
      <c r="H726">
        <v>1.3306</v>
      </c>
    </row>
    <row r="727" spans="1:8">
      <c r="A727" s="105">
        <v>41012</v>
      </c>
      <c r="B727">
        <v>2.0032000000000001</v>
      </c>
      <c r="D727" s="105">
        <v>41290</v>
      </c>
      <c r="E727">
        <v>1.5486</v>
      </c>
      <c r="G727" s="105">
        <v>41290</v>
      </c>
      <c r="H727">
        <v>1.3289</v>
      </c>
    </row>
    <row r="728" spans="1:8">
      <c r="A728" s="105">
        <v>41013</v>
      </c>
      <c r="B728">
        <v>2.0032999999999999</v>
      </c>
      <c r="D728" s="105">
        <v>41291</v>
      </c>
      <c r="E728">
        <v>1.5543</v>
      </c>
      <c r="G728" s="105">
        <v>41291</v>
      </c>
      <c r="H728">
        <v>1.3375999999999999</v>
      </c>
    </row>
    <row r="729" spans="1:8">
      <c r="A729" s="105">
        <v>41014</v>
      </c>
      <c r="B729">
        <v>2.0032999999999999</v>
      </c>
      <c r="D729" s="105">
        <v>41292</v>
      </c>
      <c r="E729">
        <v>1.5593999999999999</v>
      </c>
      <c r="G729" s="105">
        <v>41292</v>
      </c>
      <c r="H729">
        <v>1.3321000000000001</v>
      </c>
    </row>
    <row r="730" spans="1:8">
      <c r="A730" s="105">
        <v>41015</v>
      </c>
      <c r="B730">
        <v>2.0083000000000002</v>
      </c>
      <c r="D730" s="105">
        <v>41295</v>
      </c>
      <c r="E730">
        <v>1.56</v>
      </c>
      <c r="G730" s="105">
        <v>41295</v>
      </c>
      <c r="H730">
        <v>1.3312999999999999</v>
      </c>
    </row>
    <row r="731" spans="1:8">
      <c r="A731" s="105">
        <v>41016</v>
      </c>
      <c r="B731">
        <v>2.0051000000000001</v>
      </c>
      <c r="D731" s="105">
        <v>41296</v>
      </c>
      <c r="E731">
        <v>1.5603</v>
      </c>
      <c r="G731" s="105">
        <v>41296</v>
      </c>
      <c r="H731">
        <v>1.3322000000000001</v>
      </c>
    </row>
    <row r="732" spans="1:8">
      <c r="A732" s="105">
        <v>41017</v>
      </c>
      <c r="B732">
        <v>2.0068000000000001</v>
      </c>
      <c r="D732" s="105">
        <v>41297</v>
      </c>
      <c r="E732">
        <v>1.5609</v>
      </c>
      <c r="G732" s="105">
        <v>41297</v>
      </c>
      <c r="H732">
        <v>1.3318000000000001</v>
      </c>
    </row>
    <row r="733" spans="1:8">
      <c r="A733" s="105">
        <v>41018</v>
      </c>
      <c r="B733">
        <v>1.9994000000000001</v>
      </c>
      <c r="D733" s="105">
        <v>41298</v>
      </c>
      <c r="E733">
        <v>1.5536000000000001</v>
      </c>
      <c r="G733" s="105">
        <v>41298</v>
      </c>
      <c r="H733">
        <v>1.3376999999999999</v>
      </c>
    </row>
    <row r="734" spans="1:8">
      <c r="A734" s="105">
        <v>41019</v>
      </c>
      <c r="B734">
        <v>2.0095000000000001</v>
      </c>
      <c r="D734" s="105">
        <v>41299</v>
      </c>
      <c r="E734">
        <v>1.5489999999999999</v>
      </c>
      <c r="G734" s="105">
        <v>41299</v>
      </c>
      <c r="H734">
        <v>1.3464</v>
      </c>
    </row>
    <row r="735" spans="1:8">
      <c r="A735" s="105">
        <v>41020</v>
      </c>
      <c r="B735">
        <v>2.0129000000000001</v>
      </c>
      <c r="D735" s="105">
        <v>41302</v>
      </c>
      <c r="E735">
        <v>1.5505</v>
      </c>
      <c r="G735" s="105">
        <v>41302</v>
      </c>
      <c r="H735">
        <v>1.3455999999999999</v>
      </c>
    </row>
    <row r="736" spans="1:8">
      <c r="A736" s="105">
        <v>41021</v>
      </c>
      <c r="B736">
        <v>2.0061</v>
      </c>
      <c r="D736" s="105">
        <v>41303</v>
      </c>
      <c r="E736">
        <v>1.5468999999999999</v>
      </c>
      <c r="G736" s="105">
        <v>41303</v>
      </c>
      <c r="H736">
        <v>1.3492</v>
      </c>
    </row>
    <row r="737" spans="1:8">
      <c r="A737" s="105">
        <v>41022</v>
      </c>
      <c r="B737">
        <v>2.0085000000000002</v>
      </c>
      <c r="D737" s="105">
        <v>41304</v>
      </c>
      <c r="E737">
        <v>1.5366</v>
      </c>
      <c r="G737" s="105">
        <v>41304</v>
      </c>
      <c r="H737">
        <v>1.3567</v>
      </c>
    </row>
    <row r="738" spans="1:8">
      <c r="A738" s="105">
        <v>41023</v>
      </c>
      <c r="B738">
        <v>2.0196000000000001</v>
      </c>
      <c r="D738" s="105">
        <v>41305</v>
      </c>
      <c r="E738">
        <v>1.5367999999999999</v>
      </c>
      <c r="G738" s="105">
        <v>41305</v>
      </c>
      <c r="H738">
        <v>1.3579000000000001</v>
      </c>
    </row>
    <row r="739" spans="1:8">
      <c r="A739" s="105">
        <v>41024</v>
      </c>
      <c r="B739">
        <v>2.0226000000000002</v>
      </c>
      <c r="D739" s="105">
        <v>41306</v>
      </c>
      <c r="E739">
        <v>1.5409999999999999</v>
      </c>
      <c r="G739" s="105">
        <v>41306</v>
      </c>
      <c r="H739">
        <v>1.3640000000000001</v>
      </c>
    </row>
    <row r="740" spans="1:8">
      <c r="A740" s="105">
        <v>41025</v>
      </c>
      <c r="B740">
        <v>2.0366</v>
      </c>
      <c r="D740" s="105">
        <v>41309</v>
      </c>
      <c r="E740">
        <v>1.5427</v>
      </c>
      <c r="G740" s="105">
        <v>41309</v>
      </c>
      <c r="H740">
        <v>1.3513999999999999</v>
      </c>
    </row>
    <row r="741" spans="1:8">
      <c r="A741" s="105">
        <v>41026</v>
      </c>
      <c r="B741">
        <v>2.04</v>
      </c>
      <c r="D741" s="105">
        <v>41310</v>
      </c>
      <c r="E741">
        <v>1.5405</v>
      </c>
      <c r="G741" s="105">
        <v>41310</v>
      </c>
      <c r="H741">
        <v>1.3583000000000001</v>
      </c>
    </row>
    <row r="742" spans="1:8">
      <c r="A742" s="105">
        <v>41027</v>
      </c>
      <c r="B742">
        <v>2.0363000000000002</v>
      </c>
      <c r="D742" s="105">
        <v>41311</v>
      </c>
      <c r="E742">
        <v>1.5472999999999999</v>
      </c>
      <c r="G742" s="105">
        <v>41311</v>
      </c>
      <c r="H742">
        <v>1.3523000000000001</v>
      </c>
    </row>
    <row r="743" spans="1:8">
      <c r="A743" s="105">
        <v>41028</v>
      </c>
      <c r="B743">
        <v>2.0396999999999998</v>
      </c>
      <c r="D743" s="105">
        <v>41312</v>
      </c>
      <c r="E743">
        <v>1.5528</v>
      </c>
      <c r="G743" s="105">
        <v>41312</v>
      </c>
      <c r="H743">
        <v>1.3398000000000001</v>
      </c>
    </row>
    <row r="744" spans="1:8">
      <c r="A744" s="105">
        <v>41029</v>
      </c>
      <c r="B744">
        <v>2.0297000000000001</v>
      </c>
      <c r="D744" s="105">
        <v>41313</v>
      </c>
      <c r="E744">
        <v>1.5584</v>
      </c>
      <c r="G744" s="105">
        <v>41313</v>
      </c>
      <c r="H744">
        <v>1.3365</v>
      </c>
    </row>
    <row r="745" spans="1:8">
      <c r="A745" s="105">
        <v>41030</v>
      </c>
      <c r="B745">
        <v>2.0295999999999998</v>
      </c>
      <c r="D745" s="105">
        <v>41316</v>
      </c>
      <c r="E745">
        <v>1.5580000000000001</v>
      </c>
      <c r="G745" s="105">
        <v>41316</v>
      </c>
      <c r="H745">
        <v>1.3406</v>
      </c>
    </row>
    <row r="746" spans="1:8">
      <c r="A746" s="105">
        <v>41031</v>
      </c>
      <c r="B746">
        <v>2.0272999999999999</v>
      </c>
      <c r="D746" s="105">
        <v>41317</v>
      </c>
      <c r="E746">
        <v>1.5524</v>
      </c>
      <c r="G746" s="105">
        <v>41317</v>
      </c>
      <c r="H746">
        <v>1.3453999999999999</v>
      </c>
    </row>
    <row r="747" spans="1:8">
      <c r="A747" s="105">
        <v>41032</v>
      </c>
      <c r="B747">
        <v>2.0322</v>
      </c>
      <c r="D747" s="105">
        <v>41318</v>
      </c>
      <c r="E747">
        <v>1.5494000000000001</v>
      </c>
      <c r="G747" s="105">
        <v>41318</v>
      </c>
      <c r="H747">
        <v>1.3452</v>
      </c>
    </row>
    <row r="748" spans="1:8">
      <c r="A748" s="105">
        <v>41033</v>
      </c>
      <c r="B748">
        <v>2.0333999999999999</v>
      </c>
      <c r="D748" s="105">
        <v>41319</v>
      </c>
      <c r="E748">
        <v>1.5609</v>
      </c>
      <c r="G748" s="105">
        <v>41319</v>
      </c>
      <c r="H748">
        <v>1.3363</v>
      </c>
    </row>
    <row r="749" spans="1:8">
      <c r="A749" s="105">
        <v>41034</v>
      </c>
      <c r="B749">
        <v>2.0333999999999999</v>
      </c>
      <c r="D749" s="105">
        <v>41320</v>
      </c>
      <c r="E749">
        <v>1.5591999999999999</v>
      </c>
      <c r="G749" s="105">
        <v>41320</v>
      </c>
      <c r="H749">
        <v>1.3360000000000001</v>
      </c>
    </row>
    <row r="750" spans="1:8">
      <c r="A750" s="105">
        <v>41035</v>
      </c>
      <c r="B750">
        <v>2.0333999999999999</v>
      </c>
      <c r="D750" s="105">
        <v>41323</v>
      </c>
      <c r="E750">
        <v>1.5608</v>
      </c>
      <c r="G750" s="105">
        <v>41323</v>
      </c>
      <c r="H750">
        <v>1.3351</v>
      </c>
    </row>
    <row r="751" spans="1:8">
      <c r="A751" s="105">
        <v>41036</v>
      </c>
      <c r="B751">
        <v>2.0232000000000001</v>
      </c>
      <c r="D751" s="105">
        <v>41324</v>
      </c>
      <c r="E751">
        <v>1.5564</v>
      </c>
      <c r="G751" s="105">
        <v>41324</v>
      </c>
      <c r="H751">
        <v>1.3388</v>
      </c>
    </row>
    <row r="752" spans="1:8">
      <c r="A752" s="105">
        <v>41037</v>
      </c>
      <c r="B752">
        <v>2.0236999999999998</v>
      </c>
      <c r="D752" s="105">
        <v>41325</v>
      </c>
      <c r="E752">
        <v>1.5656000000000001</v>
      </c>
      <c r="G752" s="105">
        <v>41325</v>
      </c>
      <c r="H752">
        <v>1.3283</v>
      </c>
    </row>
    <row r="753" spans="1:8">
      <c r="A753" s="105">
        <v>41038</v>
      </c>
      <c r="B753">
        <v>2.0209000000000001</v>
      </c>
      <c r="D753" s="105">
        <v>41326</v>
      </c>
      <c r="E753">
        <v>1.5693999999999999</v>
      </c>
      <c r="G753" s="105">
        <v>41326</v>
      </c>
      <c r="H753">
        <v>1.319</v>
      </c>
    </row>
    <row r="754" spans="1:8">
      <c r="A754" s="105">
        <v>41039</v>
      </c>
      <c r="B754">
        <v>2.0211999999999999</v>
      </c>
      <c r="D754" s="105">
        <v>41327</v>
      </c>
      <c r="E754">
        <v>1.5729</v>
      </c>
      <c r="G754" s="105">
        <v>41327</v>
      </c>
      <c r="H754">
        <v>1.3193999999999999</v>
      </c>
    </row>
    <row r="755" spans="1:8">
      <c r="A755" s="105">
        <v>41040</v>
      </c>
      <c r="B755">
        <v>2.0240999999999998</v>
      </c>
      <c r="D755" s="105">
        <v>41330</v>
      </c>
      <c r="E755">
        <v>1.5853999999999999</v>
      </c>
      <c r="G755" s="105">
        <v>41330</v>
      </c>
      <c r="H755">
        <v>1.3063</v>
      </c>
    </row>
    <row r="756" spans="1:8">
      <c r="A756" s="105">
        <v>41041</v>
      </c>
      <c r="B756">
        <v>2.0232999999999999</v>
      </c>
      <c r="D756" s="105">
        <v>41331</v>
      </c>
      <c r="E756">
        <v>1.5792999999999999</v>
      </c>
      <c r="G756" s="105">
        <v>41331</v>
      </c>
      <c r="H756">
        <v>1.3061</v>
      </c>
    </row>
    <row r="757" spans="1:8">
      <c r="A757" s="105">
        <v>41042</v>
      </c>
      <c r="B757">
        <v>2.0183</v>
      </c>
      <c r="D757" s="105">
        <v>41332</v>
      </c>
      <c r="E757">
        <v>1.5778000000000001</v>
      </c>
      <c r="G757" s="105">
        <v>41332</v>
      </c>
      <c r="H757">
        <v>1.3139000000000001</v>
      </c>
    </row>
    <row r="758" spans="1:8">
      <c r="A758" s="105">
        <v>41043</v>
      </c>
      <c r="B758">
        <v>2.0205000000000002</v>
      </c>
      <c r="D758" s="105">
        <v>41333</v>
      </c>
      <c r="E758">
        <v>1.5831</v>
      </c>
      <c r="G758" s="105">
        <v>41333</v>
      </c>
      <c r="H758">
        <v>1.3057000000000001</v>
      </c>
    </row>
    <row r="759" spans="1:8">
      <c r="A759" s="105">
        <v>41044</v>
      </c>
      <c r="B759">
        <v>2.0186999999999999</v>
      </c>
      <c r="D759" s="105">
        <v>41334</v>
      </c>
      <c r="E759">
        <v>1.5886</v>
      </c>
      <c r="G759" s="105">
        <v>41334</v>
      </c>
      <c r="H759">
        <v>1.3022</v>
      </c>
    </row>
    <row r="760" spans="1:8">
      <c r="A760" s="105">
        <v>41045</v>
      </c>
      <c r="B760">
        <v>2.0225</v>
      </c>
      <c r="D760" s="105">
        <v>41337</v>
      </c>
      <c r="E760">
        <v>1.5859000000000001</v>
      </c>
      <c r="G760" s="105">
        <v>41337</v>
      </c>
      <c r="H760">
        <v>1.3026</v>
      </c>
    </row>
    <row r="761" spans="1:8">
      <c r="A761" s="105">
        <v>41046</v>
      </c>
      <c r="B761">
        <v>2.0186000000000002</v>
      </c>
      <c r="D761" s="105">
        <v>41338</v>
      </c>
      <c r="E761">
        <v>1.5815999999999999</v>
      </c>
      <c r="G761" s="105">
        <v>41338</v>
      </c>
      <c r="H761">
        <v>1.3051999999999999</v>
      </c>
    </row>
    <row r="762" spans="1:8">
      <c r="A762" s="105">
        <v>41047</v>
      </c>
      <c r="B762">
        <v>2.0146000000000002</v>
      </c>
      <c r="D762" s="105">
        <v>41339</v>
      </c>
      <c r="E762">
        <v>1.589</v>
      </c>
      <c r="G762" s="105">
        <v>41339</v>
      </c>
      <c r="H762">
        <v>1.2967</v>
      </c>
    </row>
    <row r="763" spans="1:8">
      <c r="A763" s="105">
        <v>41048</v>
      </c>
      <c r="B763">
        <v>2.0139999999999998</v>
      </c>
      <c r="D763" s="105">
        <v>41340</v>
      </c>
      <c r="E763">
        <v>1.5778000000000001</v>
      </c>
      <c r="G763" s="105">
        <v>41340</v>
      </c>
      <c r="H763">
        <v>1.3107</v>
      </c>
    </row>
    <row r="764" spans="1:8">
      <c r="A764" s="105">
        <v>41049</v>
      </c>
      <c r="B764">
        <v>2.0139999999999998</v>
      </c>
      <c r="D764" s="105">
        <v>41341</v>
      </c>
      <c r="E764">
        <v>1.5813999999999999</v>
      </c>
      <c r="G764" s="105">
        <v>41341</v>
      </c>
      <c r="H764">
        <v>1.3005</v>
      </c>
    </row>
    <row r="765" spans="1:8">
      <c r="A765" s="105">
        <v>41050</v>
      </c>
      <c r="B765">
        <v>2.0203000000000002</v>
      </c>
      <c r="D765" s="105">
        <v>41344</v>
      </c>
      <c r="E765">
        <v>1.5812999999999999</v>
      </c>
      <c r="G765" s="105">
        <v>41344</v>
      </c>
      <c r="H765">
        <v>1.3046</v>
      </c>
    </row>
    <row r="766" spans="1:8">
      <c r="A766" s="105">
        <v>41051</v>
      </c>
      <c r="B766">
        <v>2.0185</v>
      </c>
      <c r="D766" s="105">
        <v>41345</v>
      </c>
      <c r="E766">
        <v>1.5817000000000001</v>
      </c>
      <c r="G766" s="105">
        <v>41345</v>
      </c>
      <c r="H766">
        <v>1.3033999999999999</v>
      </c>
    </row>
    <row r="767" spans="1:8">
      <c r="A767" s="105">
        <v>41052</v>
      </c>
      <c r="B767">
        <v>2.0133000000000001</v>
      </c>
      <c r="D767" s="105">
        <v>41346</v>
      </c>
      <c r="E767">
        <v>1.5859000000000001</v>
      </c>
      <c r="G767" s="105">
        <v>41346</v>
      </c>
      <c r="H767">
        <v>1.2961</v>
      </c>
    </row>
    <row r="768" spans="1:8">
      <c r="A768" s="105">
        <v>41053</v>
      </c>
      <c r="B768">
        <v>2.0125999999999999</v>
      </c>
      <c r="D768" s="105">
        <v>41347</v>
      </c>
      <c r="E768">
        <v>1.5719000000000001</v>
      </c>
      <c r="G768" s="105">
        <v>41347</v>
      </c>
      <c r="H768">
        <v>1.3005</v>
      </c>
    </row>
    <row r="769" spans="1:8">
      <c r="A769" s="105">
        <v>41054</v>
      </c>
      <c r="B769">
        <v>2.0089000000000001</v>
      </c>
      <c r="D769" s="105">
        <v>41348</v>
      </c>
      <c r="E769">
        <v>1.5682</v>
      </c>
      <c r="G769" s="105">
        <v>41348</v>
      </c>
      <c r="H769">
        <v>1.3076000000000001</v>
      </c>
    </row>
    <row r="770" spans="1:8">
      <c r="A770" s="105">
        <v>41055</v>
      </c>
      <c r="B770">
        <v>2.0089999999999999</v>
      </c>
      <c r="D770" s="105">
        <v>41351</v>
      </c>
      <c r="E770">
        <v>1.5827</v>
      </c>
      <c r="G770" s="105">
        <v>41351</v>
      </c>
      <c r="H770">
        <v>1.2957000000000001</v>
      </c>
    </row>
    <row r="771" spans="1:8">
      <c r="A771" s="105">
        <v>41056</v>
      </c>
      <c r="B771">
        <v>2.0070999999999999</v>
      </c>
      <c r="D771" s="105">
        <v>41352</v>
      </c>
      <c r="E771">
        <v>1.5880000000000001</v>
      </c>
      <c r="G771" s="105">
        <v>41352</v>
      </c>
      <c r="H771">
        <v>1.2882</v>
      </c>
    </row>
    <row r="772" spans="1:8">
      <c r="A772" s="105">
        <v>41057</v>
      </c>
      <c r="B772">
        <v>2.0122</v>
      </c>
      <c r="D772" s="105">
        <v>41353</v>
      </c>
      <c r="E772">
        <v>1.5820000000000001</v>
      </c>
      <c r="G772" s="105">
        <v>41353</v>
      </c>
      <c r="H772">
        <v>1.2932999999999999</v>
      </c>
    </row>
    <row r="773" spans="1:8">
      <c r="A773" s="105">
        <v>41058</v>
      </c>
      <c r="B773">
        <v>2.0085000000000002</v>
      </c>
      <c r="D773" s="105">
        <v>41354</v>
      </c>
      <c r="E773">
        <v>1.5849</v>
      </c>
      <c r="G773" s="105">
        <v>41354</v>
      </c>
      <c r="H773">
        <v>1.2899</v>
      </c>
    </row>
    <row r="774" spans="1:8">
      <c r="A774" s="105">
        <v>41059</v>
      </c>
      <c r="B774">
        <v>2.0007999999999999</v>
      </c>
      <c r="D774" s="105">
        <v>41355</v>
      </c>
      <c r="E774">
        <v>1.5764</v>
      </c>
      <c r="G774" s="105">
        <v>41355</v>
      </c>
      <c r="H774">
        <v>1.2988999999999999</v>
      </c>
    </row>
    <row r="775" spans="1:8">
      <c r="A775" s="105">
        <v>41060</v>
      </c>
      <c r="B775">
        <v>2.0013999999999998</v>
      </c>
      <c r="D775" s="105">
        <v>41358</v>
      </c>
      <c r="E775">
        <v>1.5883</v>
      </c>
      <c r="G775" s="105">
        <v>41358</v>
      </c>
      <c r="H775">
        <v>1.2853000000000001</v>
      </c>
    </row>
    <row r="776" spans="1:8">
      <c r="A776" s="105">
        <v>41061</v>
      </c>
      <c r="B776">
        <v>2.0085999999999999</v>
      </c>
      <c r="D776" s="105">
        <v>41359</v>
      </c>
      <c r="E776">
        <v>1.5911</v>
      </c>
      <c r="G776" s="105">
        <v>41359</v>
      </c>
      <c r="H776">
        <v>1.2861</v>
      </c>
    </row>
    <row r="777" spans="1:8">
      <c r="A777" s="105">
        <v>41062</v>
      </c>
      <c r="B777">
        <v>2.0106999999999999</v>
      </c>
      <c r="D777" s="105">
        <v>41360</v>
      </c>
      <c r="E777">
        <v>1.5961000000000001</v>
      </c>
      <c r="G777" s="105">
        <v>41360</v>
      </c>
      <c r="H777">
        <v>1.278</v>
      </c>
    </row>
    <row r="778" spans="1:8">
      <c r="A778" s="105">
        <v>41063</v>
      </c>
      <c r="B778">
        <v>2.0074999999999998</v>
      </c>
      <c r="D778" s="105">
        <v>41361</v>
      </c>
      <c r="E778">
        <v>1.5958000000000001</v>
      </c>
      <c r="G778" s="105">
        <v>41361</v>
      </c>
      <c r="H778">
        <v>1.2816000000000001</v>
      </c>
    </row>
    <row r="779" spans="1:8">
      <c r="A779" s="105">
        <v>41064</v>
      </c>
      <c r="B779">
        <v>2.0143</v>
      </c>
      <c r="D779" s="105">
        <v>41362</v>
      </c>
      <c r="E779">
        <v>1.5974999999999999</v>
      </c>
      <c r="G779" s="105">
        <v>41362</v>
      </c>
      <c r="H779">
        <v>1.2819</v>
      </c>
    </row>
    <row r="780" spans="1:8">
      <c r="A780" s="105">
        <v>41065</v>
      </c>
      <c r="B780">
        <v>2.0129000000000001</v>
      </c>
      <c r="D780" s="105">
        <v>41365</v>
      </c>
      <c r="E780">
        <v>1.5923</v>
      </c>
      <c r="G780" s="105">
        <v>41365</v>
      </c>
      <c r="H780">
        <v>1.2848999999999999</v>
      </c>
    </row>
    <row r="781" spans="1:8">
      <c r="A781" s="105">
        <v>41066</v>
      </c>
      <c r="B781">
        <v>2.0224000000000002</v>
      </c>
      <c r="D781" s="105">
        <v>41366</v>
      </c>
      <c r="E781">
        <v>1.5986</v>
      </c>
      <c r="G781" s="105">
        <v>41366</v>
      </c>
      <c r="H781">
        <v>1.282</v>
      </c>
    </row>
    <row r="782" spans="1:8">
      <c r="A782" s="105">
        <v>41067</v>
      </c>
      <c r="B782">
        <v>2.0200999999999998</v>
      </c>
      <c r="D782" s="105">
        <v>41367</v>
      </c>
      <c r="E782">
        <v>1.6002000000000001</v>
      </c>
      <c r="G782" s="105">
        <v>41367</v>
      </c>
      <c r="H782">
        <v>1.2849999999999999</v>
      </c>
    </row>
    <row r="783" spans="1:8">
      <c r="A783" s="105">
        <v>41068</v>
      </c>
      <c r="B783">
        <v>2.016</v>
      </c>
      <c r="D783" s="105">
        <v>41368</v>
      </c>
      <c r="E783">
        <v>1.5931999999999999</v>
      </c>
      <c r="G783" s="105">
        <v>41368</v>
      </c>
      <c r="H783">
        <v>1.2936000000000001</v>
      </c>
    </row>
    <row r="784" spans="1:8">
      <c r="A784" s="105">
        <v>41069</v>
      </c>
      <c r="B784">
        <v>2.0165999999999999</v>
      </c>
      <c r="D784" s="105">
        <v>41369</v>
      </c>
      <c r="E784">
        <v>1.5891</v>
      </c>
      <c r="G784" s="105">
        <v>41369</v>
      </c>
      <c r="H784">
        <v>1.2990999999999999</v>
      </c>
    </row>
    <row r="785" spans="1:8">
      <c r="A785" s="105">
        <v>41070</v>
      </c>
      <c r="B785">
        <v>2.0182000000000002</v>
      </c>
      <c r="D785" s="105">
        <v>41372</v>
      </c>
      <c r="E785">
        <v>1.593</v>
      </c>
      <c r="G785" s="105">
        <v>41372</v>
      </c>
      <c r="H785">
        <v>1.3008999999999999</v>
      </c>
    </row>
    <row r="786" spans="1:8">
      <c r="A786" s="105">
        <v>41071</v>
      </c>
      <c r="B786">
        <v>2.0164</v>
      </c>
      <c r="D786" s="105">
        <v>41373</v>
      </c>
      <c r="E786">
        <v>1.5883</v>
      </c>
      <c r="G786" s="105">
        <v>41373</v>
      </c>
      <c r="H786">
        <v>1.3083</v>
      </c>
    </row>
    <row r="787" spans="1:8">
      <c r="A787" s="105">
        <v>41072</v>
      </c>
      <c r="B787">
        <v>2.0129999999999999</v>
      </c>
      <c r="D787" s="105">
        <v>41374</v>
      </c>
      <c r="E787">
        <v>1.5859000000000001</v>
      </c>
      <c r="G787" s="105">
        <v>41374</v>
      </c>
      <c r="H787">
        <v>1.3069999999999999</v>
      </c>
    </row>
    <row r="788" spans="1:8">
      <c r="A788" s="105">
        <v>41073</v>
      </c>
      <c r="B788">
        <v>2.0137999999999998</v>
      </c>
      <c r="D788" s="105">
        <v>41375</v>
      </c>
      <c r="E788">
        <v>1.5938000000000001</v>
      </c>
      <c r="G788" s="105">
        <v>41375</v>
      </c>
      <c r="H788">
        <v>1.3099000000000001</v>
      </c>
    </row>
    <row r="789" spans="1:8">
      <c r="A789" s="105">
        <v>41074</v>
      </c>
      <c r="B789">
        <v>2.0124</v>
      </c>
      <c r="D789" s="105">
        <v>41376</v>
      </c>
      <c r="E789">
        <v>1.5812999999999999</v>
      </c>
      <c r="G789" s="105">
        <v>41376</v>
      </c>
      <c r="H789">
        <v>1.3112999999999999</v>
      </c>
    </row>
    <row r="790" spans="1:8">
      <c r="A790" s="105">
        <v>41075</v>
      </c>
      <c r="B790">
        <v>2.0070000000000001</v>
      </c>
      <c r="D790" s="105">
        <v>41379</v>
      </c>
      <c r="E790">
        <v>1.6052</v>
      </c>
      <c r="G790" s="105">
        <v>41379</v>
      </c>
      <c r="H790">
        <v>1.3036000000000001</v>
      </c>
    </row>
    <row r="791" spans="1:8">
      <c r="A791" s="105">
        <v>41076</v>
      </c>
      <c r="B791">
        <v>2.0121000000000002</v>
      </c>
      <c r="D791" s="105">
        <v>41380</v>
      </c>
      <c r="E791">
        <v>1.5925</v>
      </c>
      <c r="G791" s="105">
        <v>41380</v>
      </c>
      <c r="H791">
        <v>1.3177000000000001</v>
      </c>
    </row>
    <row r="792" spans="1:8">
      <c r="A792" s="105">
        <v>41077</v>
      </c>
      <c r="B792">
        <v>2.0121000000000002</v>
      </c>
      <c r="D792" s="105">
        <v>41381</v>
      </c>
      <c r="E792">
        <v>1.6040000000000001</v>
      </c>
      <c r="G792" s="105">
        <v>41381</v>
      </c>
      <c r="H792">
        <v>1.3031999999999999</v>
      </c>
    </row>
    <row r="793" spans="1:8">
      <c r="A793" s="105">
        <v>41078</v>
      </c>
      <c r="B793">
        <v>2.0049999999999999</v>
      </c>
      <c r="D793" s="105">
        <v>41382</v>
      </c>
      <c r="E793">
        <v>1.603</v>
      </c>
      <c r="G793" s="105">
        <v>41382</v>
      </c>
      <c r="H793">
        <v>1.3050999999999999</v>
      </c>
    </row>
    <row r="794" spans="1:8">
      <c r="A794" s="105">
        <v>41079</v>
      </c>
      <c r="B794">
        <v>2.0087999999999999</v>
      </c>
      <c r="D794" s="105">
        <v>41383</v>
      </c>
      <c r="E794">
        <v>1.595</v>
      </c>
      <c r="G794" s="105">
        <v>41383</v>
      </c>
      <c r="H794">
        <v>1.3051999999999999</v>
      </c>
    </row>
    <row r="795" spans="1:8">
      <c r="A795" s="105">
        <v>41080</v>
      </c>
      <c r="B795">
        <v>2.0093000000000001</v>
      </c>
      <c r="D795" s="105">
        <v>41386</v>
      </c>
      <c r="E795">
        <v>1.6026</v>
      </c>
      <c r="G795" s="105">
        <v>41386</v>
      </c>
      <c r="H795">
        <v>1.3066</v>
      </c>
    </row>
    <row r="796" spans="1:8">
      <c r="A796" s="105">
        <v>41081</v>
      </c>
      <c r="B796">
        <v>2.0011999999999999</v>
      </c>
      <c r="D796" s="105">
        <v>41387</v>
      </c>
      <c r="E796">
        <v>1.6135999999999999</v>
      </c>
      <c r="G796" s="105">
        <v>41387</v>
      </c>
      <c r="H796">
        <v>1.2996000000000001</v>
      </c>
    </row>
    <row r="797" spans="1:8">
      <c r="A797" s="105">
        <v>41082</v>
      </c>
      <c r="B797">
        <v>2.0017</v>
      </c>
      <c r="D797" s="105">
        <v>41388</v>
      </c>
      <c r="E797">
        <v>1.6093999999999999</v>
      </c>
      <c r="G797" s="105">
        <v>41388</v>
      </c>
      <c r="H797">
        <v>1.3015000000000001</v>
      </c>
    </row>
    <row r="798" spans="1:8">
      <c r="A798" s="105">
        <v>41083</v>
      </c>
      <c r="B798">
        <v>2.0024000000000002</v>
      </c>
      <c r="D798" s="105">
        <v>41389</v>
      </c>
      <c r="E798">
        <v>1.6119000000000001</v>
      </c>
      <c r="G798" s="105">
        <v>41389</v>
      </c>
      <c r="H798">
        <v>1.3010999999999999</v>
      </c>
    </row>
    <row r="799" spans="1:8">
      <c r="A799" s="105">
        <v>41084</v>
      </c>
      <c r="B799">
        <v>2.0024000000000002</v>
      </c>
      <c r="D799" s="105">
        <v>41390</v>
      </c>
      <c r="E799">
        <v>1.6093999999999999</v>
      </c>
      <c r="G799" s="105">
        <v>41390</v>
      </c>
      <c r="H799">
        <v>1.3029999999999999</v>
      </c>
    </row>
    <row r="800" spans="1:8">
      <c r="A800" s="105">
        <v>41085</v>
      </c>
      <c r="B800">
        <v>1.9953000000000001</v>
      </c>
      <c r="D800" s="105">
        <v>41393</v>
      </c>
      <c r="E800">
        <v>1.6105</v>
      </c>
      <c r="G800" s="105">
        <v>41393</v>
      </c>
      <c r="H800">
        <v>1.3099000000000001</v>
      </c>
    </row>
    <row r="801" spans="1:8">
      <c r="A801" s="105">
        <v>41086</v>
      </c>
      <c r="B801">
        <v>1.9948999999999999</v>
      </c>
      <c r="D801" s="105">
        <v>41394</v>
      </c>
      <c r="E801">
        <v>1.6057999999999999</v>
      </c>
      <c r="G801" s="105">
        <v>41394</v>
      </c>
      <c r="H801">
        <v>1.3168</v>
      </c>
    </row>
    <row r="802" spans="1:8">
      <c r="A802" s="105">
        <v>41087</v>
      </c>
      <c r="B802">
        <v>1.9930000000000001</v>
      </c>
      <c r="D802" s="105">
        <v>41395</v>
      </c>
      <c r="E802">
        <v>1.6076999999999999</v>
      </c>
      <c r="G802" s="105">
        <v>41395</v>
      </c>
      <c r="H802">
        <v>1.3180000000000001</v>
      </c>
    </row>
    <row r="803" spans="1:8">
      <c r="A803" s="105">
        <v>41088</v>
      </c>
      <c r="B803">
        <v>1.9912000000000001</v>
      </c>
      <c r="D803" s="105">
        <v>41396</v>
      </c>
      <c r="E803">
        <v>1.6234999999999999</v>
      </c>
      <c r="G803" s="105">
        <v>41396</v>
      </c>
      <c r="H803">
        <v>1.3065</v>
      </c>
    </row>
    <row r="804" spans="1:8">
      <c r="A804" s="105">
        <v>41089</v>
      </c>
      <c r="B804">
        <v>2.0047000000000001</v>
      </c>
      <c r="D804" s="105">
        <v>41397</v>
      </c>
      <c r="E804">
        <v>1.6192</v>
      </c>
      <c r="G804" s="105">
        <v>41397</v>
      </c>
      <c r="H804">
        <v>1.3113999999999999</v>
      </c>
    </row>
    <row r="805" spans="1:8">
      <c r="A805" s="105">
        <v>41090</v>
      </c>
      <c r="B805">
        <v>2.0057</v>
      </c>
      <c r="D805" s="105">
        <v>41400</v>
      </c>
      <c r="E805">
        <v>1.6267</v>
      </c>
      <c r="G805" s="105">
        <v>41400</v>
      </c>
      <c r="H805">
        <v>1.3076000000000001</v>
      </c>
    </row>
    <row r="806" spans="1:8">
      <c r="A806" s="105">
        <v>41091</v>
      </c>
      <c r="B806">
        <v>2.0049999999999999</v>
      </c>
      <c r="D806" s="105">
        <v>41401</v>
      </c>
      <c r="E806">
        <v>1.6291</v>
      </c>
      <c r="G806" s="105">
        <v>41401</v>
      </c>
      <c r="H806">
        <v>1.3079000000000001</v>
      </c>
    </row>
    <row r="807" spans="1:8">
      <c r="A807" s="105">
        <v>41092</v>
      </c>
      <c r="B807">
        <v>2.0055999999999998</v>
      </c>
      <c r="D807" s="105">
        <v>41402</v>
      </c>
      <c r="E807">
        <v>1.6335999999999999</v>
      </c>
      <c r="G807" s="105">
        <v>41402</v>
      </c>
      <c r="H807">
        <v>1.3152999999999999</v>
      </c>
    </row>
    <row r="808" spans="1:8">
      <c r="A808" s="105">
        <v>41093</v>
      </c>
      <c r="B808">
        <v>2.0112000000000001</v>
      </c>
      <c r="D808" s="105">
        <v>41403</v>
      </c>
      <c r="E808">
        <v>1.673</v>
      </c>
      <c r="G808" s="105">
        <v>41403</v>
      </c>
      <c r="H808">
        <v>1.3043</v>
      </c>
    </row>
    <row r="809" spans="1:8">
      <c r="A809" s="105">
        <v>41094</v>
      </c>
      <c r="B809">
        <v>2.0036999999999998</v>
      </c>
      <c r="D809" s="105">
        <v>41404</v>
      </c>
      <c r="E809">
        <v>1.6463000000000001</v>
      </c>
      <c r="G809" s="105">
        <v>41404</v>
      </c>
      <c r="H809">
        <v>1.2988999999999999</v>
      </c>
    </row>
    <row r="810" spans="1:8">
      <c r="A810" s="105">
        <v>41095</v>
      </c>
      <c r="B810">
        <v>1.9996</v>
      </c>
      <c r="D810" s="105">
        <v>41407</v>
      </c>
      <c r="E810">
        <v>1.663</v>
      </c>
      <c r="G810" s="105">
        <v>41407</v>
      </c>
      <c r="H810">
        <v>1.2975000000000001</v>
      </c>
    </row>
    <row r="811" spans="1:8">
      <c r="A811" s="105">
        <v>41096</v>
      </c>
      <c r="B811">
        <v>1.9938</v>
      </c>
      <c r="D811" s="105">
        <v>41408</v>
      </c>
      <c r="E811">
        <v>1.6617999999999999</v>
      </c>
      <c r="G811" s="105">
        <v>41408</v>
      </c>
      <c r="H811">
        <v>1.292</v>
      </c>
    </row>
    <row r="812" spans="1:8">
      <c r="A812" s="105">
        <v>41097</v>
      </c>
      <c r="B812">
        <v>1.9939</v>
      </c>
      <c r="D812" s="105">
        <v>41409</v>
      </c>
      <c r="E812">
        <v>1.6569</v>
      </c>
      <c r="G812" s="105">
        <v>41409</v>
      </c>
      <c r="H812">
        <v>1.2887</v>
      </c>
    </row>
    <row r="813" spans="1:8">
      <c r="A813" s="105">
        <v>41098</v>
      </c>
      <c r="B813">
        <v>1.9902</v>
      </c>
      <c r="D813" s="105">
        <v>41410</v>
      </c>
      <c r="E813">
        <v>1.6559999999999999</v>
      </c>
      <c r="G813" s="105">
        <v>41410</v>
      </c>
      <c r="H813">
        <v>1.2882</v>
      </c>
    </row>
    <row r="814" spans="1:8">
      <c r="A814" s="105">
        <v>41099</v>
      </c>
      <c r="B814">
        <v>2.0002</v>
      </c>
      <c r="D814" s="105">
        <v>41411</v>
      </c>
      <c r="E814">
        <v>1.6592</v>
      </c>
      <c r="G814" s="105">
        <v>41411</v>
      </c>
      <c r="H814">
        <v>1.2839</v>
      </c>
    </row>
    <row r="815" spans="1:8">
      <c r="A815" s="105">
        <v>41100</v>
      </c>
      <c r="B815">
        <v>1.9971000000000001</v>
      </c>
      <c r="D815" s="105">
        <v>41414</v>
      </c>
      <c r="E815">
        <v>1.6568000000000001</v>
      </c>
      <c r="G815" s="105">
        <v>41414</v>
      </c>
      <c r="H815">
        <v>1.2882</v>
      </c>
    </row>
    <row r="816" spans="1:8">
      <c r="A816" s="105">
        <v>41101</v>
      </c>
      <c r="B816">
        <v>1.9979</v>
      </c>
      <c r="D816" s="105">
        <v>41415</v>
      </c>
      <c r="E816">
        <v>1.6564000000000001</v>
      </c>
      <c r="G816" s="105">
        <v>41415</v>
      </c>
      <c r="H816">
        <v>1.2906</v>
      </c>
    </row>
    <row r="817" spans="1:8">
      <c r="A817" s="105">
        <v>41102</v>
      </c>
      <c r="B817">
        <v>1.9934000000000001</v>
      </c>
      <c r="D817" s="105">
        <v>41416</v>
      </c>
      <c r="E817">
        <v>1.6596</v>
      </c>
      <c r="G817" s="105">
        <v>41416</v>
      </c>
      <c r="H817">
        <v>1.2858000000000001</v>
      </c>
    </row>
    <row r="818" spans="1:8">
      <c r="A818" s="105">
        <v>41103</v>
      </c>
      <c r="B818">
        <v>1.9910000000000001</v>
      </c>
      <c r="D818" s="105">
        <v>41417</v>
      </c>
      <c r="E818">
        <v>1.6541999999999999</v>
      </c>
      <c r="G818" s="105">
        <v>41417</v>
      </c>
      <c r="H818">
        <v>1.2934000000000001</v>
      </c>
    </row>
    <row r="819" spans="1:8">
      <c r="A819" s="105">
        <v>41104</v>
      </c>
      <c r="B819">
        <v>1.9938</v>
      </c>
      <c r="D819" s="105">
        <v>41418</v>
      </c>
      <c r="E819">
        <v>1.6534</v>
      </c>
      <c r="G819" s="105">
        <v>41418</v>
      </c>
      <c r="H819">
        <v>1.2931999999999999</v>
      </c>
    </row>
    <row r="820" spans="1:8">
      <c r="A820" s="105">
        <v>41106</v>
      </c>
      <c r="B820">
        <v>1.9932000000000001</v>
      </c>
      <c r="D820" s="105">
        <v>41421</v>
      </c>
      <c r="E820">
        <v>1.6491</v>
      </c>
      <c r="G820" s="105">
        <v>41421</v>
      </c>
      <c r="H820">
        <v>1.2930999999999999</v>
      </c>
    </row>
    <row r="821" spans="1:8">
      <c r="A821" s="105">
        <v>41107</v>
      </c>
      <c r="B821">
        <v>1.9936</v>
      </c>
      <c r="D821" s="105">
        <v>41422</v>
      </c>
      <c r="E821">
        <v>1.6559999999999999</v>
      </c>
      <c r="G821" s="105">
        <v>41422</v>
      </c>
      <c r="H821">
        <v>1.2856000000000001</v>
      </c>
    </row>
    <row r="822" spans="1:8">
      <c r="A822" s="105">
        <v>41108</v>
      </c>
      <c r="B822">
        <v>1.9925999999999999</v>
      </c>
      <c r="D822" s="105">
        <v>41423</v>
      </c>
      <c r="E822">
        <v>1.6431</v>
      </c>
      <c r="G822" s="105">
        <v>41423</v>
      </c>
      <c r="H822">
        <v>1.2941</v>
      </c>
    </row>
    <row r="823" spans="1:8">
      <c r="A823" s="105">
        <v>41109</v>
      </c>
      <c r="B823">
        <v>1.9922</v>
      </c>
      <c r="D823" s="105">
        <v>41424</v>
      </c>
      <c r="E823">
        <v>1.6372</v>
      </c>
      <c r="G823" s="105">
        <v>41424</v>
      </c>
      <c r="H823">
        <v>1.3049999999999999</v>
      </c>
    </row>
    <row r="824" spans="1:8">
      <c r="A824" s="105">
        <v>41110</v>
      </c>
      <c r="B824">
        <v>1.9793000000000001</v>
      </c>
      <c r="D824" s="105">
        <v>41425</v>
      </c>
      <c r="E824">
        <v>1.6431</v>
      </c>
      <c r="G824" s="105">
        <v>41425</v>
      </c>
      <c r="H824">
        <v>1.2999000000000001</v>
      </c>
    </row>
    <row r="825" spans="1:8">
      <c r="A825" s="105">
        <v>41111</v>
      </c>
      <c r="B825">
        <v>1.9793000000000001</v>
      </c>
      <c r="D825" s="105">
        <v>41428</v>
      </c>
      <c r="E825">
        <v>1.6346000000000001</v>
      </c>
      <c r="G825" s="105">
        <v>41428</v>
      </c>
      <c r="H825">
        <v>1.3076000000000001</v>
      </c>
    </row>
    <row r="826" spans="1:8">
      <c r="A826" s="105">
        <v>41112</v>
      </c>
      <c r="B826">
        <v>1.9799</v>
      </c>
      <c r="D826" s="105">
        <v>41429</v>
      </c>
      <c r="E826">
        <v>1.6389</v>
      </c>
      <c r="G826" s="105">
        <v>41429</v>
      </c>
      <c r="H826">
        <v>1.3081</v>
      </c>
    </row>
    <row r="827" spans="1:8">
      <c r="A827" s="105">
        <v>41113</v>
      </c>
      <c r="B827">
        <v>1.9810000000000001</v>
      </c>
      <c r="D827" s="105">
        <v>41430</v>
      </c>
      <c r="E827">
        <v>1.635</v>
      </c>
      <c r="G827" s="105">
        <v>41430</v>
      </c>
      <c r="H827">
        <v>1.3092999999999999</v>
      </c>
    </row>
    <row r="828" spans="1:8">
      <c r="A828" s="105">
        <v>41114</v>
      </c>
      <c r="B828">
        <v>1.9849000000000001</v>
      </c>
      <c r="D828" s="105">
        <v>41431</v>
      </c>
      <c r="E828">
        <v>1.6248</v>
      </c>
      <c r="G828" s="105">
        <v>41431</v>
      </c>
      <c r="H828">
        <v>1.3246</v>
      </c>
    </row>
    <row r="829" spans="1:8">
      <c r="A829" s="105">
        <v>41115</v>
      </c>
      <c r="B829">
        <v>1.9816</v>
      </c>
      <c r="D829" s="105">
        <v>41432</v>
      </c>
      <c r="E829">
        <v>1.6259999999999999</v>
      </c>
      <c r="G829" s="105">
        <v>41432</v>
      </c>
      <c r="H829">
        <v>1.3218000000000001</v>
      </c>
    </row>
    <row r="830" spans="1:8">
      <c r="A830" s="105">
        <v>41116</v>
      </c>
      <c r="B830">
        <v>1.9892000000000001</v>
      </c>
      <c r="D830" s="105">
        <v>41435</v>
      </c>
      <c r="E830">
        <v>1.6246</v>
      </c>
      <c r="G830" s="105">
        <v>41435</v>
      </c>
      <c r="H830">
        <v>1.3257000000000001</v>
      </c>
    </row>
    <row r="831" spans="1:8">
      <c r="A831" s="105">
        <v>41117</v>
      </c>
      <c r="B831">
        <v>1.9913000000000001</v>
      </c>
      <c r="D831" s="105">
        <v>41436</v>
      </c>
      <c r="E831">
        <v>1.6192</v>
      </c>
      <c r="G831" s="105">
        <v>41436</v>
      </c>
      <c r="H831">
        <v>1.3312999999999999</v>
      </c>
    </row>
    <row r="832" spans="1:8">
      <c r="A832" s="105">
        <v>41118</v>
      </c>
      <c r="B832">
        <v>1.9896</v>
      </c>
      <c r="D832" s="105">
        <v>41437</v>
      </c>
      <c r="E832">
        <v>1.6197999999999999</v>
      </c>
      <c r="G832" s="105">
        <v>41437</v>
      </c>
      <c r="H832">
        <v>1.3337000000000001</v>
      </c>
    </row>
    <row r="833" spans="1:8">
      <c r="A833" s="105">
        <v>41119</v>
      </c>
      <c r="B833">
        <v>1.9916</v>
      </c>
      <c r="D833" s="105">
        <v>41438</v>
      </c>
      <c r="E833">
        <v>1.6109</v>
      </c>
      <c r="G833" s="105">
        <v>41438</v>
      </c>
      <c r="H833">
        <v>1.3374999999999999</v>
      </c>
    </row>
    <row r="834" spans="1:8">
      <c r="A834" s="105">
        <v>41120</v>
      </c>
      <c r="B834">
        <v>1.9878</v>
      </c>
      <c r="D834" s="105">
        <v>41439</v>
      </c>
      <c r="E834">
        <v>1.6249</v>
      </c>
      <c r="G834" s="105">
        <v>41439</v>
      </c>
      <c r="H834">
        <v>1.3347</v>
      </c>
    </row>
    <row r="835" spans="1:8">
      <c r="A835" s="105">
        <v>41121</v>
      </c>
      <c r="B835">
        <v>1.9923</v>
      </c>
      <c r="D835" s="105">
        <v>41442</v>
      </c>
      <c r="E835">
        <v>1.6192</v>
      </c>
      <c r="G835" s="105">
        <v>41442</v>
      </c>
      <c r="H835">
        <v>1.3367</v>
      </c>
    </row>
    <row r="836" spans="1:8">
      <c r="A836" s="105">
        <v>41122</v>
      </c>
      <c r="B836">
        <v>1.9853000000000001</v>
      </c>
      <c r="D836" s="105">
        <v>41443</v>
      </c>
      <c r="E836">
        <v>1.6142000000000001</v>
      </c>
      <c r="G836" s="105">
        <v>41443</v>
      </c>
      <c r="H836">
        <v>1.3391999999999999</v>
      </c>
    </row>
    <row r="837" spans="1:8">
      <c r="A837" s="105">
        <v>41123</v>
      </c>
      <c r="B837">
        <v>1.9824999999999999</v>
      </c>
      <c r="D837" s="105">
        <v>41444</v>
      </c>
      <c r="E837">
        <v>1.6184000000000001</v>
      </c>
      <c r="G837" s="105">
        <v>41444</v>
      </c>
      <c r="H837">
        <v>1.3294999999999999</v>
      </c>
    </row>
    <row r="838" spans="1:8">
      <c r="A838" s="105">
        <v>41124</v>
      </c>
      <c r="B838">
        <v>1.9964</v>
      </c>
      <c r="D838" s="105">
        <v>41445</v>
      </c>
      <c r="E838">
        <v>1.6347</v>
      </c>
      <c r="G838" s="105">
        <v>41445</v>
      </c>
      <c r="H838">
        <v>1.3220000000000001</v>
      </c>
    </row>
    <row r="839" spans="1:8">
      <c r="A839" s="105">
        <v>41125</v>
      </c>
      <c r="B839">
        <v>1.9916</v>
      </c>
      <c r="D839" s="105">
        <v>41446</v>
      </c>
      <c r="E839">
        <v>1.6431</v>
      </c>
      <c r="G839" s="105">
        <v>41446</v>
      </c>
      <c r="H839">
        <v>1.3122</v>
      </c>
    </row>
    <row r="840" spans="1:8">
      <c r="A840" s="105">
        <v>41126</v>
      </c>
      <c r="B840">
        <v>1.9945999999999999</v>
      </c>
      <c r="D840" s="105">
        <v>41449</v>
      </c>
      <c r="E840">
        <v>1.6449</v>
      </c>
      <c r="G840" s="105">
        <v>41449</v>
      </c>
      <c r="H840">
        <v>1.3120000000000001</v>
      </c>
    </row>
    <row r="841" spans="1:8">
      <c r="A841" s="105">
        <v>41127</v>
      </c>
      <c r="B841">
        <v>1.9950000000000001</v>
      </c>
      <c r="D841" s="105">
        <v>41450</v>
      </c>
      <c r="E841">
        <v>1.6476999999999999</v>
      </c>
      <c r="G841" s="105">
        <v>41450</v>
      </c>
      <c r="H841">
        <v>1.3077000000000001</v>
      </c>
    </row>
    <row r="842" spans="1:8">
      <c r="A842" s="105">
        <v>41128</v>
      </c>
      <c r="B842">
        <v>1.9961</v>
      </c>
      <c r="D842" s="105">
        <v>41451</v>
      </c>
      <c r="E842">
        <v>1.6487000000000001</v>
      </c>
      <c r="G842" s="105">
        <v>41451</v>
      </c>
      <c r="H842">
        <v>1.3011999999999999</v>
      </c>
    </row>
    <row r="843" spans="1:8">
      <c r="A843" s="105">
        <v>41129</v>
      </c>
      <c r="B843">
        <v>1.9962</v>
      </c>
      <c r="D843" s="105">
        <v>41452</v>
      </c>
      <c r="E843">
        <v>1.6543000000000001</v>
      </c>
      <c r="G843" s="105">
        <v>41452</v>
      </c>
      <c r="H843">
        <v>1.3038000000000001</v>
      </c>
    </row>
    <row r="844" spans="1:8">
      <c r="A844" s="105">
        <v>41130</v>
      </c>
      <c r="B844">
        <v>1.9912000000000001</v>
      </c>
      <c r="D844" s="105">
        <v>41453</v>
      </c>
      <c r="E844">
        <v>1.6505000000000001</v>
      </c>
      <c r="G844" s="105">
        <v>41453</v>
      </c>
      <c r="H844">
        <v>1.3009999999999999</v>
      </c>
    </row>
    <row r="845" spans="1:8">
      <c r="A845" s="105">
        <v>41131</v>
      </c>
      <c r="B845">
        <v>1.9948999999999999</v>
      </c>
      <c r="D845" s="105">
        <v>41456</v>
      </c>
      <c r="E845">
        <v>1.6561999999999999</v>
      </c>
      <c r="G845" s="105">
        <v>41456</v>
      </c>
      <c r="H845">
        <v>1.3064</v>
      </c>
    </row>
    <row r="846" spans="1:8">
      <c r="A846" s="105">
        <v>41132</v>
      </c>
      <c r="B846">
        <v>1.9919</v>
      </c>
      <c r="D846" s="105">
        <v>41457</v>
      </c>
      <c r="E846">
        <v>1.6638999999999999</v>
      </c>
      <c r="G846" s="105">
        <v>41457</v>
      </c>
      <c r="H846">
        <v>1.2979000000000001</v>
      </c>
    </row>
    <row r="847" spans="1:8">
      <c r="A847" s="105">
        <v>41133</v>
      </c>
      <c r="B847">
        <v>1.9951000000000001</v>
      </c>
      <c r="D847" s="105">
        <v>41458</v>
      </c>
      <c r="E847">
        <v>1.6641999999999999</v>
      </c>
      <c r="G847" s="105">
        <v>41458</v>
      </c>
      <c r="H847">
        <v>1.3008999999999999</v>
      </c>
    </row>
    <row r="848" spans="1:8">
      <c r="A848" s="105">
        <v>41134</v>
      </c>
      <c r="B848">
        <v>1.9979</v>
      </c>
      <c r="D848" s="105">
        <v>41459</v>
      </c>
      <c r="E848">
        <v>1.6751</v>
      </c>
      <c r="G848" s="105">
        <v>41459</v>
      </c>
      <c r="H848">
        <v>1.2914000000000001</v>
      </c>
    </row>
    <row r="849" spans="1:8">
      <c r="A849" s="105">
        <v>41135</v>
      </c>
      <c r="B849">
        <v>1.9924999999999999</v>
      </c>
      <c r="D849" s="105">
        <v>41460</v>
      </c>
      <c r="E849">
        <v>1.6841999999999999</v>
      </c>
      <c r="G849" s="105">
        <v>41460</v>
      </c>
      <c r="H849">
        <v>1.2828999999999999</v>
      </c>
    </row>
    <row r="850" spans="1:8">
      <c r="A850" s="105">
        <v>41136</v>
      </c>
      <c r="B850">
        <v>1.9905999999999999</v>
      </c>
      <c r="D850" s="105">
        <v>41463</v>
      </c>
      <c r="E850">
        <v>1.6751</v>
      </c>
      <c r="G850" s="105">
        <v>41463</v>
      </c>
      <c r="H850">
        <v>1.2869999999999999</v>
      </c>
    </row>
    <row r="851" spans="1:8">
      <c r="A851" s="105">
        <v>41137</v>
      </c>
      <c r="B851">
        <v>1.9970000000000001</v>
      </c>
      <c r="D851" s="105">
        <v>41464</v>
      </c>
      <c r="E851">
        <v>1.6884999999999999</v>
      </c>
      <c r="G851" s="105">
        <v>41464</v>
      </c>
      <c r="H851">
        <v>1.2781</v>
      </c>
    </row>
    <row r="852" spans="1:8">
      <c r="A852" s="105">
        <v>41138</v>
      </c>
      <c r="B852">
        <v>1.9961</v>
      </c>
      <c r="D852" s="105">
        <v>41465</v>
      </c>
      <c r="E852">
        <v>1.6667000000000001</v>
      </c>
      <c r="G852" s="105">
        <v>41465</v>
      </c>
      <c r="H852">
        <v>1.2978000000000001</v>
      </c>
    </row>
    <row r="853" spans="1:8">
      <c r="A853" s="105">
        <v>41139</v>
      </c>
      <c r="B853">
        <v>1.9998</v>
      </c>
      <c r="D853" s="105">
        <v>41466</v>
      </c>
      <c r="E853">
        <v>1.6576</v>
      </c>
      <c r="G853" s="105">
        <v>41466</v>
      </c>
      <c r="H853">
        <v>1.3097000000000001</v>
      </c>
    </row>
    <row r="854" spans="1:8">
      <c r="A854" s="105">
        <v>41140</v>
      </c>
      <c r="B854">
        <v>1.9970000000000001</v>
      </c>
      <c r="D854" s="105">
        <v>41467</v>
      </c>
      <c r="E854">
        <v>1.6662999999999999</v>
      </c>
      <c r="G854" s="105">
        <v>41467</v>
      </c>
      <c r="H854">
        <v>1.3067</v>
      </c>
    </row>
    <row r="855" spans="1:8">
      <c r="A855" s="105">
        <v>41141</v>
      </c>
      <c r="B855">
        <v>1.9962</v>
      </c>
      <c r="D855" s="105">
        <v>41470</v>
      </c>
      <c r="E855">
        <v>1.6617999999999999</v>
      </c>
      <c r="G855" s="105">
        <v>41470</v>
      </c>
      <c r="H855">
        <v>1.3062</v>
      </c>
    </row>
    <row r="856" spans="1:8">
      <c r="A856" s="105">
        <v>41142</v>
      </c>
      <c r="B856">
        <v>2.0032999999999999</v>
      </c>
      <c r="D856" s="105">
        <v>41471</v>
      </c>
      <c r="E856">
        <v>1.6536999999999999</v>
      </c>
      <c r="G856" s="105">
        <v>41471</v>
      </c>
      <c r="H856">
        <v>1.3162</v>
      </c>
    </row>
    <row r="857" spans="1:8">
      <c r="A857" s="105">
        <v>41143</v>
      </c>
      <c r="B857">
        <v>2.0055000000000001</v>
      </c>
      <c r="D857" s="105">
        <v>41472</v>
      </c>
      <c r="E857">
        <v>1.6568000000000001</v>
      </c>
      <c r="G857" s="105">
        <v>41472</v>
      </c>
      <c r="H857">
        <v>1.3125</v>
      </c>
    </row>
    <row r="858" spans="1:8">
      <c r="A858" s="105">
        <v>41144</v>
      </c>
      <c r="B858">
        <v>2.0068000000000001</v>
      </c>
      <c r="D858" s="105">
        <v>41473</v>
      </c>
      <c r="E858">
        <v>1.6617999999999999</v>
      </c>
      <c r="G858" s="105">
        <v>41473</v>
      </c>
      <c r="H858">
        <v>1.3109</v>
      </c>
    </row>
    <row r="859" spans="1:8">
      <c r="A859" s="105">
        <v>41145</v>
      </c>
      <c r="B859">
        <v>2.0045000000000002</v>
      </c>
      <c r="D859" s="105">
        <v>41474</v>
      </c>
      <c r="E859">
        <v>1.6571</v>
      </c>
      <c r="G859" s="105">
        <v>41474</v>
      </c>
      <c r="H859">
        <v>1.3143</v>
      </c>
    </row>
    <row r="860" spans="1:8">
      <c r="A860" s="105">
        <v>41146</v>
      </c>
      <c r="B860">
        <v>2.0049000000000001</v>
      </c>
      <c r="D860" s="105">
        <v>41477</v>
      </c>
      <c r="E860">
        <v>1.6551</v>
      </c>
      <c r="G860" s="105">
        <v>41477</v>
      </c>
      <c r="H860">
        <v>1.3186</v>
      </c>
    </row>
    <row r="861" spans="1:8">
      <c r="A861" s="105">
        <v>41147</v>
      </c>
      <c r="B861">
        <v>2.0044</v>
      </c>
      <c r="D861" s="105">
        <v>41478</v>
      </c>
      <c r="E861">
        <v>1.6532</v>
      </c>
      <c r="G861" s="105">
        <v>41478</v>
      </c>
      <c r="H861">
        <v>1.3223</v>
      </c>
    </row>
    <row r="862" spans="1:8">
      <c r="A862" s="105">
        <v>41148</v>
      </c>
      <c r="B862">
        <v>2.0059</v>
      </c>
      <c r="D862" s="105">
        <v>41479</v>
      </c>
      <c r="E862">
        <v>1.6592</v>
      </c>
      <c r="G862" s="105">
        <v>41479</v>
      </c>
      <c r="H862">
        <v>1.3201000000000001</v>
      </c>
    </row>
    <row r="863" spans="1:8">
      <c r="A863" s="105">
        <v>41149</v>
      </c>
      <c r="B863">
        <v>2.0085999999999999</v>
      </c>
      <c r="D863" s="105">
        <v>41480</v>
      </c>
      <c r="E863">
        <v>1.6456</v>
      </c>
      <c r="G863" s="105">
        <v>41480</v>
      </c>
      <c r="H863">
        <v>1.3277000000000001</v>
      </c>
    </row>
    <row r="864" spans="1:8">
      <c r="A864" s="105">
        <v>41150</v>
      </c>
      <c r="B864">
        <v>2.0091999999999999</v>
      </c>
      <c r="D864" s="105">
        <v>41481</v>
      </c>
      <c r="E864">
        <v>1.6517999999999999</v>
      </c>
      <c r="G864" s="105">
        <v>41481</v>
      </c>
      <c r="H864">
        <v>1.3279000000000001</v>
      </c>
    </row>
    <row r="865" spans="1:8">
      <c r="A865" s="105">
        <v>41151</v>
      </c>
      <c r="B865">
        <v>2.0019999999999998</v>
      </c>
      <c r="D865" s="105">
        <v>41484</v>
      </c>
      <c r="E865">
        <v>1.6556</v>
      </c>
      <c r="G865" s="105">
        <v>41484</v>
      </c>
      <c r="H865">
        <v>1.3262</v>
      </c>
    </row>
    <row r="866" spans="1:8">
      <c r="A866" s="105">
        <v>41152</v>
      </c>
      <c r="B866">
        <v>2.0121000000000002</v>
      </c>
      <c r="D866" s="105">
        <v>41485</v>
      </c>
      <c r="E866">
        <v>1.6472</v>
      </c>
      <c r="G866" s="105">
        <v>41485</v>
      </c>
      <c r="H866">
        <v>1.3263</v>
      </c>
    </row>
    <row r="867" spans="1:8">
      <c r="A867" s="105">
        <v>41153</v>
      </c>
      <c r="B867">
        <v>2.0123000000000002</v>
      </c>
      <c r="D867" s="105">
        <v>41486</v>
      </c>
      <c r="E867">
        <v>1.6431</v>
      </c>
      <c r="G867" s="105">
        <v>41486</v>
      </c>
      <c r="H867">
        <v>1.3302</v>
      </c>
    </row>
    <row r="868" spans="1:8">
      <c r="A868" s="105">
        <v>41154</v>
      </c>
      <c r="B868">
        <v>2.0112000000000001</v>
      </c>
      <c r="D868" s="105">
        <v>41487</v>
      </c>
      <c r="E868">
        <v>1.6597</v>
      </c>
      <c r="G868" s="105">
        <v>41487</v>
      </c>
      <c r="H868">
        <v>1.3207</v>
      </c>
    </row>
    <row r="869" spans="1:8">
      <c r="A869" s="105">
        <v>41155</v>
      </c>
      <c r="B869">
        <v>2.0121000000000002</v>
      </c>
      <c r="D869" s="105">
        <v>41488</v>
      </c>
      <c r="E869">
        <v>1.6449</v>
      </c>
      <c r="G869" s="105">
        <v>41488</v>
      </c>
      <c r="H869">
        <v>1.3275999999999999</v>
      </c>
    </row>
    <row r="870" spans="1:8">
      <c r="A870" s="105">
        <v>41156</v>
      </c>
      <c r="B870">
        <v>2.0093000000000001</v>
      </c>
      <c r="D870" s="105">
        <v>41491</v>
      </c>
      <c r="E870">
        <v>1.6556999999999999</v>
      </c>
      <c r="G870" s="105">
        <v>41491</v>
      </c>
      <c r="H870">
        <v>1.3258000000000001</v>
      </c>
    </row>
    <row r="871" spans="1:8">
      <c r="A871" s="105">
        <v>41157</v>
      </c>
      <c r="B871">
        <v>2.0112999999999999</v>
      </c>
      <c r="D871" s="105">
        <v>41492</v>
      </c>
      <c r="E871">
        <v>1.6523000000000001</v>
      </c>
      <c r="G871" s="105">
        <v>41492</v>
      </c>
      <c r="H871">
        <v>1.3305</v>
      </c>
    </row>
    <row r="872" spans="1:8">
      <c r="A872" s="105">
        <v>41158</v>
      </c>
      <c r="B872">
        <v>2.0133000000000001</v>
      </c>
      <c r="D872" s="105">
        <v>41493</v>
      </c>
      <c r="E872">
        <v>1.649</v>
      </c>
      <c r="G872" s="105">
        <v>41493</v>
      </c>
      <c r="H872">
        <v>1.3335999999999999</v>
      </c>
    </row>
    <row r="873" spans="1:8">
      <c r="A873" s="105">
        <v>41159</v>
      </c>
      <c r="B873">
        <v>2.0272999999999999</v>
      </c>
      <c r="D873" s="105">
        <v>41494</v>
      </c>
      <c r="E873">
        <v>1.6452</v>
      </c>
      <c r="G873" s="105">
        <v>41494</v>
      </c>
      <c r="H873">
        <v>1.3381000000000001</v>
      </c>
    </row>
    <row r="874" spans="1:8">
      <c r="A874" s="105">
        <v>41160</v>
      </c>
      <c r="B874">
        <v>2.0270999999999999</v>
      </c>
      <c r="D874" s="105">
        <v>41495</v>
      </c>
      <c r="E874">
        <v>1.6462000000000001</v>
      </c>
      <c r="G874" s="105">
        <v>41495</v>
      </c>
      <c r="H874">
        <v>1.3342000000000001</v>
      </c>
    </row>
    <row r="875" spans="1:8">
      <c r="A875" s="105">
        <v>41161</v>
      </c>
      <c r="B875">
        <v>2.0259999999999998</v>
      </c>
      <c r="D875" s="105">
        <v>41498</v>
      </c>
      <c r="E875">
        <v>1.6548</v>
      </c>
      <c r="G875" s="105">
        <v>41498</v>
      </c>
      <c r="H875">
        <v>1.33</v>
      </c>
    </row>
    <row r="876" spans="1:8">
      <c r="A876" s="105">
        <v>41162</v>
      </c>
      <c r="B876">
        <v>2.0226999999999999</v>
      </c>
      <c r="D876" s="105">
        <v>41499</v>
      </c>
      <c r="E876">
        <v>1.6539999999999999</v>
      </c>
      <c r="G876" s="105">
        <v>41499</v>
      </c>
      <c r="H876">
        <v>1.3263</v>
      </c>
    </row>
    <row r="877" spans="1:8">
      <c r="A877" s="105">
        <v>41163</v>
      </c>
      <c r="B877">
        <v>2.0287999999999999</v>
      </c>
      <c r="D877" s="105">
        <v>41500</v>
      </c>
      <c r="E877">
        <v>1.6598999999999999</v>
      </c>
      <c r="G877" s="105">
        <v>41500</v>
      </c>
      <c r="H877">
        <v>1.3254999999999999</v>
      </c>
    </row>
    <row r="878" spans="1:8">
      <c r="A878" s="105">
        <v>41164</v>
      </c>
      <c r="B878">
        <v>2.0314000000000001</v>
      </c>
      <c r="D878" s="105">
        <v>41501</v>
      </c>
      <c r="E878">
        <v>1.6486000000000001</v>
      </c>
      <c r="G878" s="105">
        <v>41501</v>
      </c>
      <c r="H878">
        <v>1.3347</v>
      </c>
    </row>
    <row r="879" spans="1:8">
      <c r="A879" s="105">
        <v>41165</v>
      </c>
      <c r="B879">
        <v>2.0367000000000002</v>
      </c>
      <c r="D879" s="105">
        <v>41502</v>
      </c>
      <c r="E879">
        <v>1.6521999999999999</v>
      </c>
      <c r="G879" s="105">
        <v>41502</v>
      </c>
      <c r="H879">
        <v>1.3329</v>
      </c>
    </row>
    <row r="880" spans="1:8">
      <c r="A880" s="105">
        <v>41166</v>
      </c>
      <c r="B880">
        <v>2.0375999999999999</v>
      </c>
      <c r="D880" s="105">
        <v>41505</v>
      </c>
      <c r="E880">
        <v>1.6364000000000001</v>
      </c>
      <c r="G880" s="105">
        <v>41505</v>
      </c>
      <c r="H880">
        <v>1.3334999999999999</v>
      </c>
    </row>
    <row r="881" spans="1:8">
      <c r="A881" s="105">
        <v>41167</v>
      </c>
      <c r="B881">
        <v>2.0383</v>
      </c>
      <c r="D881" s="105">
        <v>41506</v>
      </c>
      <c r="E881">
        <v>1.6279999999999999</v>
      </c>
      <c r="G881" s="105">
        <v>41506</v>
      </c>
      <c r="H881">
        <v>1.3416999999999999</v>
      </c>
    </row>
    <row r="882" spans="1:8">
      <c r="A882" s="105">
        <v>41168</v>
      </c>
      <c r="B882">
        <v>2.0413000000000001</v>
      </c>
      <c r="D882" s="105">
        <v>41507</v>
      </c>
      <c r="E882">
        <v>1.6346000000000001</v>
      </c>
      <c r="G882" s="105">
        <v>41507</v>
      </c>
      <c r="H882">
        <v>1.3354999999999999</v>
      </c>
    </row>
    <row r="883" spans="1:8">
      <c r="A883" s="105">
        <v>41169</v>
      </c>
      <c r="B883">
        <v>2.0398000000000001</v>
      </c>
      <c r="D883" s="105">
        <v>41508</v>
      </c>
      <c r="E883">
        <v>1.64</v>
      </c>
      <c r="G883" s="105">
        <v>41508</v>
      </c>
      <c r="H883">
        <v>1.3355999999999999</v>
      </c>
    </row>
    <row r="884" spans="1:8">
      <c r="A884" s="105">
        <v>41170</v>
      </c>
      <c r="B884">
        <v>2.0354000000000001</v>
      </c>
      <c r="D884" s="105">
        <v>41509</v>
      </c>
      <c r="E884">
        <v>1.6392</v>
      </c>
      <c r="G884" s="105">
        <v>41509</v>
      </c>
      <c r="H884">
        <v>1.3383</v>
      </c>
    </row>
    <row r="885" spans="1:8">
      <c r="A885" s="105">
        <v>41171</v>
      </c>
      <c r="B885">
        <v>2.0354999999999999</v>
      </c>
      <c r="D885" s="105">
        <v>41512</v>
      </c>
      <c r="E885">
        <v>1.6479999999999999</v>
      </c>
      <c r="G885" s="105">
        <v>41512</v>
      </c>
      <c r="H885">
        <v>1.3368</v>
      </c>
    </row>
    <row r="886" spans="1:8">
      <c r="A886" s="105">
        <v>41172</v>
      </c>
      <c r="B886">
        <v>2.0308999999999999</v>
      </c>
      <c r="D886" s="105">
        <v>41513</v>
      </c>
      <c r="E886">
        <v>1.6392</v>
      </c>
      <c r="G886" s="105">
        <v>41513</v>
      </c>
      <c r="H886">
        <v>1.3392999999999999</v>
      </c>
    </row>
    <row r="887" spans="1:8">
      <c r="A887" s="105">
        <v>41173</v>
      </c>
      <c r="B887">
        <v>2.0362</v>
      </c>
      <c r="D887" s="105">
        <v>41514</v>
      </c>
      <c r="E887">
        <v>1.6434</v>
      </c>
      <c r="G887" s="105">
        <v>41514</v>
      </c>
      <c r="H887">
        <v>1.3340000000000001</v>
      </c>
    </row>
    <row r="888" spans="1:8">
      <c r="A888" s="105">
        <v>41174</v>
      </c>
      <c r="B888">
        <v>2.0363000000000002</v>
      </c>
      <c r="D888" s="105">
        <v>41515</v>
      </c>
      <c r="E888">
        <v>1.6456</v>
      </c>
      <c r="G888" s="105">
        <v>41515</v>
      </c>
      <c r="H888">
        <v>1.3241000000000001</v>
      </c>
    </row>
    <row r="889" spans="1:8">
      <c r="A889" s="105">
        <v>41175</v>
      </c>
      <c r="B889">
        <v>2.0367000000000002</v>
      </c>
      <c r="D889" s="105">
        <v>41516</v>
      </c>
      <c r="E889">
        <v>1.6505000000000001</v>
      </c>
      <c r="G889" s="105">
        <v>41516</v>
      </c>
      <c r="H889">
        <v>1.3222</v>
      </c>
    </row>
    <row r="890" spans="1:8">
      <c r="A890" s="105">
        <v>41176</v>
      </c>
      <c r="B890">
        <v>2.0327000000000002</v>
      </c>
      <c r="D890" s="105">
        <v>41519</v>
      </c>
      <c r="E890">
        <v>1.6556999999999999</v>
      </c>
      <c r="G890" s="105">
        <v>41519</v>
      </c>
      <c r="H890">
        <v>1.3191999999999999</v>
      </c>
    </row>
    <row r="891" spans="1:8">
      <c r="A891" s="105">
        <v>41177</v>
      </c>
      <c r="B891">
        <v>2.0310999999999999</v>
      </c>
      <c r="D891" s="105">
        <v>41520</v>
      </c>
      <c r="E891">
        <v>1.6606000000000001</v>
      </c>
      <c r="G891" s="105">
        <v>41520</v>
      </c>
      <c r="H891">
        <v>1.3169999999999999</v>
      </c>
    </row>
    <row r="892" spans="1:8">
      <c r="A892" s="105">
        <v>41178</v>
      </c>
      <c r="B892">
        <v>2.0297000000000001</v>
      </c>
      <c r="D892" s="105">
        <v>41521</v>
      </c>
      <c r="E892">
        <v>1.6617999999999999</v>
      </c>
      <c r="G892" s="105">
        <v>41521</v>
      </c>
      <c r="H892">
        <v>1.3207</v>
      </c>
    </row>
    <row r="893" spans="1:8">
      <c r="A893" s="105">
        <v>41179</v>
      </c>
      <c r="B893">
        <v>2.0306999999999999</v>
      </c>
      <c r="D893" s="105">
        <v>41522</v>
      </c>
      <c r="E893">
        <v>1.6667000000000001</v>
      </c>
      <c r="G893" s="105">
        <v>41522</v>
      </c>
      <c r="H893">
        <v>1.3120000000000001</v>
      </c>
    </row>
    <row r="894" spans="1:8">
      <c r="A894" s="105">
        <v>41180</v>
      </c>
      <c r="B894">
        <v>2.0278</v>
      </c>
      <c r="D894" s="105">
        <v>41523</v>
      </c>
      <c r="E894">
        <v>1.6561999999999999</v>
      </c>
      <c r="G894" s="105">
        <v>41523</v>
      </c>
      <c r="H894">
        <v>1.3178000000000001</v>
      </c>
    </row>
    <row r="895" spans="1:8">
      <c r="A895" s="105">
        <v>41181</v>
      </c>
      <c r="B895">
        <v>2.0280999999999998</v>
      </c>
      <c r="D895" s="105">
        <v>41526</v>
      </c>
      <c r="E895">
        <v>1.6486000000000001</v>
      </c>
      <c r="G895" s="105">
        <v>41526</v>
      </c>
      <c r="H895">
        <v>1.3254999999999999</v>
      </c>
    </row>
    <row r="896" spans="1:8">
      <c r="A896" s="105">
        <v>41182</v>
      </c>
      <c r="B896">
        <v>2.0276999999999998</v>
      </c>
      <c r="D896" s="105">
        <v>41527</v>
      </c>
      <c r="E896">
        <v>1.6541999999999999</v>
      </c>
      <c r="G896" s="105">
        <v>41527</v>
      </c>
      <c r="H896">
        <v>1.3268</v>
      </c>
    </row>
    <row r="897" spans="1:8">
      <c r="A897" s="105">
        <v>41183</v>
      </c>
      <c r="B897">
        <v>2.0293999999999999</v>
      </c>
      <c r="D897" s="105">
        <v>41528</v>
      </c>
      <c r="E897">
        <v>1.6456</v>
      </c>
      <c r="G897" s="105">
        <v>41528</v>
      </c>
      <c r="H897">
        <v>1.3310999999999999</v>
      </c>
    </row>
    <row r="898" spans="1:8">
      <c r="A898" s="105">
        <v>41184</v>
      </c>
      <c r="B898">
        <v>2.0324</v>
      </c>
      <c r="D898" s="105">
        <v>41529</v>
      </c>
      <c r="E898">
        <v>1.6434</v>
      </c>
      <c r="G898" s="105">
        <v>41529</v>
      </c>
      <c r="H898">
        <v>1.3299000000000001</v>
      </c>
    </row>
    <row r="899" spans="1:8">
      <c r="A899" s="105">
        <v>41185</v>
      </c>
      <c r="B899">
        <v>2.0295999999999998</v>
      </c>
      <c r="D899" s="105">
        <v>41530</v>
      </c>
      <c r="E899">
        <v>1.6528</v>
      </c>
      <c r="G899" s="105">
        <v>41530</v>
      </c>
      <c r="H899">
        <v>1.3293999999999999</v>
      </c>
    </row>
    <row r="900" spans="1:8">
      <c r="A900" s="105">
        <v>41186</v>
      </c>
      <c r="B900">
        <v>2.0373999999999999</v>
      </c>
      <c r="D900" s="105">
        <v>41533</v>
      </c>
      <c r="E900">
        <v>1.6395999999999999</v>
      </c>
      <c r="G900" s="105">
        <v>41533</v>
      </c>
      <c r="H900">
        <v>1.3333999999999999</v>
      </c>
    </row>
    <row r="901" spans="1:8">
      <c r="A901" s="105">
        <v>41187</v>
      </c>
      <c r="B901">
        <v>2.0394999999999999</v>
      </c>
      <c r="D901" s="105">
        <v>41534</v>
      </c>
      <c r="E901">
        <v>1.6497999999999999</v>
      </c>
      <c r="G901" s="105">
        <v>41534</v>
      </c>
      <c r="H901">
        <v>1.3359000000000001</v>
      </c>
    </row>
    <row r="902" spans="1:8">
      <c r="A902" s="105">
        <v>41188</v>
      </c>
      <c r="B902">
        <v>2.0392999999999999</v>
      </c>
      <c r="D902" s="105">
        <v>41535</v>
      </c>
      <c r="E902">
        <v>1.6335999999999999</v>
      </c>
      <c r="G902" s="105">
        <v>41535</v>
      </c>
      <c r="H902">
        <v>1.3521000000000001</v>
      </c>
    </row>
    <row r="903" spans="1:8">
      <c r="A903" s="105">
        <v>41189</v>
      </c>
      <c r="B903">
        <v>2.0394000000000001</v>
      </c>
      <c r="D903" s="105">
        <v>41536</v>
      </c>
      <c r="E903">
        <v>1.6343000000000001</v>
      </c>
      <c r="G903" s="105">
        <v>41536</v>
      </c>
      <c r="H903">
        <v>1.353</v>
      </c>
    </row>
    <row r="904" spans="1:8">
      <c r="A904" s="105">
        <v>41190</v>
      </c>
      <c r="B904">
        <v>2.0347</v>
      </c>
      <c r="D904" s="105">
        <v>41537</v>
      </c>
      <c r="E904">
        <v>1.6378999999999999</v>
      </c>
      <c r="G904" s="105">
        <v>41537</v>
      </c>
      <c r="H904">
        <v>1.3524</v>
      </c>
    </row>
    <row r="905" spans="1:8">
      <c r="A905" s="105">
        <v>41191</v>
      </c>
      <c r="B905">
        <v>2.0305</v>
      </c>
      <c r="D905" s="105">
        <v>41540</v>
      </c>
      <c r="E905">
        <v>1.6418999999999999</v>
      </c>
      <c r="G905" s="105">
        <v>41540</v>
      </c>
      <c r="H905">
        <v>1.3492999999999999</v>
      </c>
    </row>
    <row r="906" spans="1:8">
      <c r="A906" s="105">
        <v>41192</v>
      </c>
      <c r="B906">
        <v>2.0289000000000001</v>
      </c>
      <c r="D906" s="105">
        <v>41541</v>
      </c>
      <c r="E906">
        <v>1.6525000000000001</v>
      </c>
      <c r="G906" s="105">
        <v>41541</v>
      </c>
      <c r="H906">
        <v>1.3473999999999999</v>
      </c>
    </row>
    <row r="907" spans="1:8">
      <c r="A907" s="105">
        <v>41193</v>
      </c>
      <c r="B907">
        <v>2.0316000000000001</v>
      </c>
      <c r="D907" s="105">
        <v>41542</v>
      </c>
      <c r="E907">
        <v>1.6420999999999999</v>
      </c>
      <c r="G907" s="105">
        <v>41542</v>
      </c>
      <c r="H907">
        <v>1.3526</v>
      </c>
    </row>
    <row r="908" spans="1:8">
      <c r="A908" s="105">
        <v>41194</v>
      </c>
      <c r="B908">
        <v>2.0316999999999998</v>
      </c>
      <c r="D908" s="105">
        <v>41543</v>
      </c>
      <c r="E908">
        <v>1.6543000000000001</v>
      </c>
      <c r="G908" s="105">
        <v>41543</v>
      </c>
      <c r="H908">
        <v>1.3489</v>
      </c>
    </row>
    <row r="909" spans="1:8">
      <c r="A909" s="105">
        <v>41195</v>
      </c>
      <c r="B909">
        <v>2.0310000000000001</v>
      </c>
      <c r="D909" s="105">
        <v>41544</v>
      </c>
      <c r="E909">
        <v>1.6504000000000001</v>
      </c>
      <c r="G909" s="105">
        <v>41544</v>
      </c>
      <c r="H909">
        <v>1.3522000000000001</v>
      </c>
    </row>
    <row r="910" spans="1:8">
      <c r="A910" s="105">
        <v>41196</v>
      </c>
      <c r="B910">
        <v>2.0314999999999999</v>
      </c>
      <c r="D910" s="105">
        <v>41547</v>
      </c>
      <c r="E910">
        <v>1.6489</v>
      </c>
      <c r="G910" s="105">
        <v>41547</v>
      </c>
      <c r="H910">
        <v>1.3527</v>
      </c>
    </row>
    <row r="911" spans="1:8">
      <c r="A911" s="105">
        <v>41197</v>
      </c>
      <c r="B911">
        <v>2.0316000000000001</v>
      </c>
      <c r="D911" s="105">
        <v>41548</v>
      </c>
      <c r="E911">
        <v>1.6482000000000001</v>
      </c>
      <c r="G911" s="105">
        <v>41548</v>
      </c>
      <c r="H911">
        <v>1.3526</v>
      </c>
    </row>
    <row r="912" spans="1:8">
      <c r="A912" s="105">
        <v>41198</v>
      </c>
      <c r="B912">
        <v>2.0366</v>
      </c>
      <c r="D912" s="105">
        <v>41549</v>
      </c>
      <c r="E912">
        <v>1.6434</v>
      </c>
      <c r="G912" s="105">
        <v>41549</v>
      </c>
      <c r="H912">
        <v>1.3579000000000001</v>
      </c>
    </row>
    <row r="913" spans="1:8">
      <c r="A913" s="105">
        <v>41199</v>
      </c>
      <c r="B913">
        <v>2.0430000000000001</v>
      </c>
      <c r="D913" s="105">
        <v>41550</v>
      </c>
      <c r="E913">
        <v>1.6416999999999999</v>
      </c>
      <c r="G913" s="105">
        <v>41550</v>
      </c>
      <c r="H913">
        <v>1.3619000000000001</v>
      </c>
    </row>
    <row r="914" spans="1:8">
      <c r="A914" s="105">
        <v>41200</v>
      </c>
      <c r="B914">
        <v>2.0387</v>
      </c>
      <c r="D914" s="105">
        <v>41551</v>
      </c>
      <c r="E914">
        <v>1.6419999999999999</v>
      </c>
      <c r="G914" s="105">
        <v>41551</v>
      </c>
      <c r="H914">
        <v>1.3557999999999999</v>
      </c>
    </row>
    <row r="915" spans="1:8">
      <c r="A915" s="105">
        <v>41201</v>
      </c>
      <c r="B915">
        <v>2.0352000000000001</v>
      </c>
      <c r="D915" s="105">
        <v>41554</v>
      </c>
      <c r="E915">
        <v>1.6436999999999999</v>
      </c>
      <c r="G915" s="105">
        <v>41554</v>
      </c>
      <c r="H915">
        <v>1.3581000000000001</v>
      </c>
    </row>
    <row r="916" spans="1:8">
      <c r="A916" s="105">
        <v>41202</v>
      </c>
      <c r="B916">
        <v>2.0352000000000001</v>
      </c>
      <c r="D916" s="105">
        <v>41555</v>
      </c>
      <c r="E916">
        <v>1.6478999999999999</v>
      </c>
      <c r="G916" s="105">
        <v>41555</v>
      </c>
      <c r="H916">
        <v>1.3573</v>
      </c>
    </row>
    <row r="917" spans="1:8">
      <c r="A917" s="105">
        <v>41203</v>
      </c>
      <c r="B917">
        <v>2.0405000000000002</v>
      </c>
      <c r="D917" s="105">
        <v>41556</v>
      </c>
      <c r="E917">
        <v>1.6452</v>
      </c>
      <c r="G917" s="105">
        <v>41556</v>
      </c>
      <c r="H917">
        <v>1.3524</v>
      </c>
    </row>
    <row r="918" spans="1:8">
      <c r="A918" s="105">
        <v>41204</v>
      </c>
      <c r="B918">
        <v>2.0377000000000001</v>
      </c>
      <c r="D918" s="105">
        <v>41557</v>
      </c>
      <c r="E918">
        <v>1.647</v>
      </c>
      <c r="G918" s="105">
        <v>41557</v>
      </c>
      <c r="H918">
        <v>1.3520000000000001</v>
      </c>
    </row>
    <row r="919" spans="1:8">
      <c r="A919" s="105">
        <v>41205</v>
      </c>
      <c r="B919">
        <v>2.0365000000000002</v>
      </c>
      <c r="D919" s="105">
        <v>41558</v>
      </c>
      <c r="E919">
        <v>1.6508</v>
      </c>
      <c r="G919" s="105">
        <v>41558</v>
      </c>
      <c r="H919">
        <v>1.3544</v>
      </c>
    </row>
    <row r="920" spans="1:8">
      <c r="A920" s="105">
        <v>41206</v>
      </c>
      <c r="B920">
        <v>2.0329999999999999</v>
      </c>
      <c r="D920" s="105">
        <v>41561</v>
      </c>
      <c r="E920">
        <v>1.6458999999999999</v>
      </c>
      <c r="G920" s="105">
        <v>41561</v>
      </c>
      <c r="H920">
        <v>1.3561000000000001</v>
      </c>
    </row>
    <row r="921" spans="1:8">
      <c r="A921" s="105">
        <v>41207</v>
      </c>
      <c r="B921">
        <v>2.0306999999999999</v>
      </c>
      <c r="D921" s="105">
        <v>41562</v>
      </c>
      <c r="E921">
        <v>1.6526000000000001</v>
      </c>
      <c r="G921" s="105">
        <v>41562</v>
      </c>
      <c r="H921">
        <v>1.3524</v>
      </c>
    </row>
    <row r="922" spans="1:8">
      <c r="A922" s="105">
        <v>41208</v>
      </c>
      <c r="B922">
        <v>2.0308999999999999</v>
      </c>
      <c r="D922" s="105">
        <v>41563</v>
      </c>
      <c r="E922">
        <v>1.6479999999999999</v>
      </c>
      <c r="G922" s="105">
        <v>41563</v>
      </c>
      <c r="H922">
        <v>1.3533999999999999</v>
      </c>
    </row>
    <row r="923" spans="1:8">
      <c r="A923" s="105">
        <v>41209</v>
      </c>
      <c r="B923">
        <v>2.0303</v>
      </c>
      <c r="D923" s="105">
        <v>41564</v>
      </c>
      <c r="E923">
        <v>1.6334</v>
      </c>
      <c r="G923" s="105">
        <v>41564</v>
      </c>
      <c r="H923">
        <v>1.3674999999999999</v>
      </c>
    </row>
    <row r="924" spans="1:8">
      <c r="A924" s="105">
        <v>41210</v>
      </c>
      <c r="B924">
        <v>2.0327999999999999</v>
      </c>
      <c r="D924" s="105">
        <v>41565</v>
      </c>
      <c r="E924">
        <v>1.6439999999999999</v>
      </c>
      <c r="G924" s="105">
        <v>41565</v>
      </c>
      <c r="H924">
        <v>1.3687</v>
      </c>
    </row>
    <row r="925" spans="1:8">
      <c r="A925" s="105">
        <v>41211</v>
      </c>
      <c r="B925">
        <v>2.0268999999999999</v>
      </c>
      <c r="D925" s="105">
        <v>41568</v>
      </c>
      <c r="E925">
        <v>1.6402000000000001</v>
      </c>
      <c r="G925" s="105">
        <v>41568</v>
      </c>
      <c r="H925">
        <v>1.3681000000000001</v>
      </c>
    </row>
    <row r="926" spans="1:8">
      <c r="A926" s="105">
        <v>41212</v>
      </c>
      <c r="B926">
        <v>2.0310000000000001</v>
      </c>
      <c r="D926" s="105">
        <v>41569</v>
      </c>
      <c r="E926">
        <v>1.6316999999999999</v>
      </c>
      <c r="G926" s="105">
        <v>41569</v>
      </c>
      <c r="H926">
        <v>1.3781000000000001</v>
      </c>
    </row>
    <row r="927" spans="1:8">
      <c r="A927" s="105">
        <v>41213</v>
      </c>
      <c r="B927">
        <v>2.0310000000000001</v>
      </c>
      <c r="D927" s="105">
        <v>41570</v>
      </c>
      <c r="E927">
        <v>1.6307</v>
      </c>
      <c r="G927" s="105">
        <v>41570</v>
      </c>
      <c r="H927">
        <v>1.3775999999999999</v>
      </c>
    </row>
    <row r="928" spans="1:8">
      <c r="A928" s="105">
        <v>41214</v>
      </c>
      <c r="B928">
        <v>2.0301</v>
      </c>
      <c r="D928" s="105">
        <v>41571</v>
      </c>
      <c r="E928">
        <v>1.6304000000000001</v>
      </c>
      <c r="G928" s="105">
        <v>41571</v>
      </c>
      <c r="H928">
        <v>1.3801000000000001</v>
      </c>
    </row>
    <row r="929" spans="1:8">
      <c r="A929" s="105">
        <v>41215</v>
      </c>
      <c r="B929">
        <v>2.0259</v>
      </c>
      <c r="D929" s="105">
        <v>41572</v>
      </c>
      <c r="E929">
        <v>1.6248</v>
      </c>
      <c r="G929" s="105">
        <v>41572</v>
      </c>
      <c r="H929">
        <v>1.3802000000000001</v>
      </c>
    </row>
    <row r="930" spans="1:8">
      <c r="A930" s="105">
        <v>41216</v>
      </c>
      <c r="B930">
        <v>2.0253999999999999</v>
      </c>
      <c r="D930" s="105">
        <v>41575</v>
      </c>
      <c r="E930">
        <v>1.6302000000000001</v>
      </c>
      <c r="G930" s="105">
        <v>41575</v>
      </c>
      <c r="H930">
        <v>1.3785000000000001</v>
      </c>
    </row>
    <row r="931" spans="1:8">
      <c r="A931" s="105">
        <v>41217</v>
      </c>
      <c r="B931">
        <v>2.0253000000000001</v>
      </c>
      <c r="D931" s="105">
        <v>41576</v>
      </c>
      <c r="E931">
        <v>1.6351</v>
      </c>
      <c r="G931" s="105">
        <v>41576</v>
      </c>
      <c r="H931">
        <v>1.3745000000000001</v>
      </c>
    </row>
    <row r="932" spans="1:8">
      <c r="A932" s="105">
        <v>41218</v>
      </c>
      <c r="B932">
        <v>2.0282</v>
      </c>
      <c r="D932" s="105">
        <v>41577</v>
      </c>
      <c r="E932">
        <v>1.6462000000000001</v>
      </c>
      <c r="G932" s="105">
        <v>41577</v>
      </c>
      <c r="H932">
        <v>1.3735999999999999</v>
      </c>
    </row>
    <row r="933" spans="1:8">
      <c r="A933" s="105">
        <v>41219</v>
      </c>
      <c r="B933">
        <v>2.0301999999999998</v>
      </c>
      <c r="D933" s="105">
        <v>41578</v>
      </c>
      <c r="E933">
        <v>1.6474</v>
      </c>
      <c r="G933" s="105">
        <v>41578</v>
      </c>
      <c r="H933">
        <v>1.3584000000000001</v>
      </c>
    </row>
    <row r="934" spans="1:8">
      <c r="A934" s="105">
        <v>41220</v>
      </c>
      <c r="B934">
        <v>2.0282</v>
      </c>
      <c r="D934" s="105">
        <v>41579</v>
      </c>
      <c r="E934">
        <v>1.6556999999999999</v>
      </c>
      <c r="G934" s="105">
        <v>41579</v>
      </c>
      <c r="H934">
        <v>1.3487</v>
      </c>
    </row>
    <row r="935" spans="1:8">
      <c r="A935" s="105">
        <v>41221</v>
      </c>
      <c r="B935">
        <v>2.0274999999999999</v>
      </c>
      <c r="D935" s="105">
        <v>41582</v>
      </c>
      <c r="E935">
        <v>1.6540999999999999</v>
      </c>
      <c r="G935" s="105">
        <v>41582</v>
      </c>
      <c r="H935">
        <v>1.3513999999999999</v>
      </c>
    </row>
    <row r="936" spans="1:8">
      <c r="A936" s="105">
        <v>41222</v>
      </c>
      <c r="B936">
        <v>2.0259999999999998</v>
      </c>
      <c r="D936" s="105">
        <v>41583</v>
      </c>
      <c r="E936">
        <v>1.6617999999999999</v>
      </c>
      <c r="G936" s="105">
        <v>41583</v>
      </c>
      <c r="H936">
        <v>1.3473999999999999</v>
      </c>
    </row>
    <row r="937" spans="1:8">
      <c r="A937" s="105">
        <v>41223</v>
      </c>
      <c r="B937">
        <v>2.0259999999999998</v>
      </c>
      <c r="D937" s="105">
        <v>41584</v>
      </c>
      <c r="E937">
        <v>1.6543000000000001</v>
      </c>
      <c r="G937" s="105">
        <v>41584</v>
      </c>
      <c r="H937">
        <v>1.3512999999999999</v>
      </c>
    </row>
    <row r="938" spans="1:8">
      <c r="A938" s="105">
        <v>41224</v>
      </c>
      <c r="B938">
        <v>2.0236999999999998</v>
      </c>
      <c r="D938" s="105">
        <v>41585</v>
      </c>
      <c r="E938">
        <v>1.6673</v>
      </c>
      <c r="G938" s="105">
        <v>41585</v>
      </c>
      <c r="H938">
        <v>1.3419000000000001</v>
      </c>
    </row>
    <row r="939" spans="1:8">
      <c r="A939" s="105">
        <v>41225</v>
      </c>
      <c r="B939">
        <v>2.0268999999999999</v>
      </c>
      <c r="D939" s="105">
        <v>41586</v>
      </c>
      <c r="E939">
        <v>1.6741999999999999</v>
      </c>
      <c r="G939" s="105">
        <v>41586</v>
      </c>
      <c r="H939">
        <v>1.3367</v>
      </c>
    </row>
    <row r="940" spans="1:8">
      <c r="A940" s="105">
        <v>41226</v>
      </c>
      <c r="B940">
        <v>2.0209999999999999</v>
      </c>
      <c r="D940" s="105">
        <v>41589</v>
      </c>
      <c r="E940">
        <v>1.6655</v>
      </c>
      <c r="G940" s="105">
        <v>41589</v>
      </c>
      <c r="H940">
        <v>1.3407</v>
      </c>
    </row>
    <row r="941" spans="1:8">
      <c r="A941" s="105">
        <v>41227</v>
      </c>
      <c r="B941">
        <v>2.0255999999999998</v>
      </c>
      <c r="D941" s="105">
        <v>41590</v>
      </c>
      <c r="E941">
        <v>1.6624000000000001</v>
      </c>
      <c r="G941" s="105">
        <v>41590</v>
      </c>
      <c r="H941">
        <v>1.3435999999999999</v>
      </c>
    </row>
    <row r="942" spans="1:8">
      <c r="A942" s="105">
        <v>41228</v>
      </c>
      <c r="B942">
        <v>2.0278</v>
      </c>
      <c r="D942" s="105">
        <v>41591</v>
      </c>
      <c r="E942">
        <v>1.6572</v>
      </c>
      <c r="G942" s="105">
        <v>41591</v>
      </c>
      <c r="H942">
        <v>1.3487</v>
      </c>
    </row>
    <row r="943" spans="1:8">
      <c r="A943" s="105">
        <v>41229</v>
      </c>
      <c r="B943">
        <v>2.0327999999999999</v>
      </c>
      <c r="D943" s="105">
        <v>41592</v>
      </c>
      <c r="E943">
        <v>1.66</v>
      </c>
      <c r="G943" s="105">
        <v>41592</v>
      </c>
      <c r="H943">
        <v>1.3461000000000001</v>
      </c>
    </row>
    <row r="944" spans="1:8">
      <c r="A944" s="105">
        <v>41230</v>
      </c>
      <c r="B944">
        <v>2.0326</v>
      </c>
      <c r="D944" s="105">
        <v>41593</v>
      </c>
      <c r="E944">
        <v>1.6657</v>
      </c>
      <c r="G944" s="105">
        <v>41593</v>
      </c>
      <c r="H944">
        <v>1.3495999999999999</v>
      </c>
    </row>
    <row r="945" spans="1:8">
      <c r="A945" s="105">
        <v>41231</v>
      </c>
      <c r="B945">
        <v>2.0245000000000002</v>
      </c>
      <c r="D945" s="105">
        <v>41596</v>
      </c>
      <c r="E945">
        <v>1.661</v>
      </c>
      <c r="G945" s="105">
        <v>41596</v>
      </c>
      <c r="H945">
        <v>1.3506</v>
      </c>
    </row>
    <row r="946" spans="1:8">
      <c r="A946" s="105">
        <v>41232</v>
      </c>
      <c r="B946">
        <v>2.0325000000000002</v>
      </c>
      <c r="D946" s="105">
        <v>41597</v>
      </c>
      <c r="E946">
        <v>1.6652</v>
      </c>
      <c r="G946" s="105">
        <v>41597</v>
      </c>
      <c r="H946">
        <v>1.3537999999999999</v>
      </c>
    </row>
    <row r="947" spans="1:8">
      <c r="A947" s="105">
        <v>41233</v>
      </c>
      <c r="B947">
        <v>2.0312000000000001</v>
      </c>
      <c r="D947" s="105">
        <v>41598</v>
      </c>
      <c r="E947">
        <v>1.6832</v>
      </c>
      <c r="G947" s="105">
        <v>41598</v>
      </c>
      <c r="H947">
        <v>1.3439000000000001</v>
      </c>
    </row>
    <row r="948" spans="1:8">
      <c r="A948" s="105">
        <v>41234</v>
      </c>
      <c r="B948">
        <v>2.0322</v>
      </c>
      <c r="D948" s="105">
        <v>41599</v>
      </c>
      <c r="E948">
        <v>1.6780999999999999</v>
      </c>
      <c r="G948" s="105">
        <v>41599</v>
      </c>
      <c r="H948">
        <v>1.3482000000000001</v>
      </c>
    </row>
    <row r="949" spans="1:8">
      <c r="A949" s="105">
        <v>41235</v>
      </c>
      <c r="B949">
        <v>2.0348999999999999</v>
      </c>
      <c r="D949" s="105">
        <v>41600</v>
      </c>
      <c r="E949">
        <v>1.669</v>
      </c>
      <c r="G949" s="105">
        <v>41600</v>
      </c>
      <c r="H949">
        <v>1.3557999999999999</v>
      </c>
    </row>
    <row r="950" spans="1:8">
      <c r="A950" s="105">
        <v>41236</v>
      </c>
      <c r="B950">
        <v>2.0388000000000002</v>
      </c>
      <c r="D950" s="105">
        <v>41603</v>
      </c>
      <c r="E950">
        <v>1.6761999999999999</v>
      </c>
      <c r="G950" s="105">
        <v>41603</v>
      </c>
      <c r="H950">
        <v>1.3516999999999999</v>
      </c>
    </row>
    <row r="951" spans="1:8">
      <c r="A951" s="105">
        <v>41237</v>
      </c>
      <c r="B951">
        <v>2.0383</v>
      </c>
      <c r="D951" s="105">
        <v>41604</v>
      </c>
      <c r="E951">
        <v>1.6712</v>
      </c>
      <c r="G951" s="105">
        <v>41604</v>
      </c>
      <c r="H951">
        <v>1.3572</v>
      </c>
    </row>
    <row r="952" spans="1:8">
      <c r="A952" s="105">
        <v>41238</v>
      </c>
      <c r="B952">
        <v>2.0436999999999999</v>
      </c>
      <c r="D952" s="105">
        <v>41605</v>
      </c>
      <c r="E952">
        <v>1.6708000000000001</v>
      </c>
      <c r="G952" s="105">
        <v>41605</v>
      </c>
      <c r="H952">
        <v>1.3579000000000001</v>
      </c>
    </row>
    <row r="953" spans="1:8">
      <c r="A953" s="105">
        <v>41239</v>
      </c>
      <c r="B953">
        <v>2.0394999999999999</v>
      </c>
      <c r="D953" s="105">
        <v>41606</v>
      </c>
      <c r="E953">
        <v>1.6700999999999999</v>
      </c>
      <c r="G953" s="105">
        <v>41606</v>
      </c>
      <c r="H953">
        <v>1.3606</v>
      </c>
    </row>
    <row r="954" spans="1:8">
      <c r="A954" s="105">
        <v>41240</v>
      </c>
      <c r="B954">
        <v>2.0402</v>
      </c>
      <c r="D954" s="105">
        <v>41607</v>
      </c>
      <c r="E954">
        <v>1.6654</v>
      </c>
      <c r="G954" s="105">
        <v>41607</v>
      </c>
      <c r="H954">
        <v>1.3591</v>
      </c>
    </row>
    <row r="955" spans="1:8">
      <c r="A955" s="105">
        <v>41241</v>
      </c>
      <c r="B955">
        <v>2.0413999999999999</v>
      </c>
      <c r="D955" s="105">
        <v>41610</v>
      </c>
      <c r="E955">
        <v>1.6765000000000001</v>
      </c>
      <c r="G955" s="105">
        <v>41610</v>
      </c>
      <c r="H955">
        <v>1.3542000000000001</v>
      </c>
    </row>
    <row r="956" spans="1:8">
      <c r="A956" s="105">
        <v>41242</v>
      </c>
      <c r="B956">
        <v>2.0447000000000002</v>
      </c>
      <c r="D956" s="105">
        <v>41611</v>
      </c>
      <c r="E956">
        <v>1.665</v>
      </c>
      <c r="G956" s="105">
        <v>41611</v>
      </c>
      <c r="H956">
        <v>1.3588</v>
      </c>
    </row>
    <row r="957" spans="1:8">
      <c r="A957" s="105">
        <v>41243</v>
      </c>
      <c r="B957">
        <v>2.0436999999999999</v>
      </c>
      <c r="D957" s="105">
        <v>41612</v>
      </c>
      <c r="E957">
        <v>1.6716</v>
      </c>
      <c r="G957" s="105">
        <v>41612</v>
      </c>
      <c r="H957">
        <v>1.3593</v>
      </c>
    </row>
    <row r="958" spans="1:8">
      <c r="A958" s="105">
        <v>41244</v>
      </c>
      <c r="B958">
        <v>2.0444</v>
      </c>
      <c r="D958" s="105">
        <v>41613</v>
      </c>
      <c r="E958">
        <v>1.6668000000000001</v>
      </c>
      <c r="G958" s="105">
        <v>41613</v>
      </c>
      <c r="H958">
        <v>1.3667</v>
      </c>
    </row>
    <row r="959" spans="1:8">
      <c r="A959" s="105">
        <v>41245</v>
      </c>
      <c r="B959">
        <v>2.0470999999999999</v>
      </c>
      <c r="D959" s="105">
        <v>41614</v>
      </c>
      <c r="E959">
        <v>1.6651</v>
      </c>
      <c r="G959" s="105">
        <v>41614</v>
      </c>
      <c r="H959">
        <v>1.3706</v>
      </c>
    </row>
    <row r="960" spans="1:8">
      <c r="A960" s="105">
        <v>41246</v>
      </c>
      <c r="B960">
        <v>2.0470999999999999</v>
      </c>
      <c r="D960" s="105">
        <v>41617</v>
      </c>
      <c r="E960">
        <v>1.6676</v>
      </c>
      <c r="G960" s="105">
        <v>41617</v>
      </c>
      <c r="H960">
        <v>1.3738999999999999</v>
      </c>
    </row>
    <row r="961" spans="1:8">
      <c r="A961" s="105">
        <v>41247</v>
      </c>
      <c r="B961">
        <v>2.0489000000000002</v>
      </c>
      <c r="D961" s="105">
        <v>41618</v>
      </c>
      <c r="E961">
        <v>1.6667000000000001</v>
      </c>
      <c r="G961" s="105">
        <v>41618</v>
      </c>
      <c r="H961">
        <v>1.3761000000000001</v>
      </c>
    </row>
    <row r="962" spans="1:8">
      <c r="A962" s="105">
        <v>41248</v>
      </c>
      <c r="B962">
        <v>2.044</v>
      </c>
      <c r="D962" s="105">
        <v>41619</v>
      </c>
      <c r="E962">
        <v>1.6676</v>
      </c>
      <c r="G962" s="105">
        <v>41619</v>
      </c>
      <c r="H962">
        <v>1.3786</v>
      </c>
    </row>
    <row r="963" spans="1:8">
      <c r="A963" s="105">
        <v>41249</v>
      </c>
      <c r="B963">
        <v>2.0381</v>
      </c>
      <c r="D963" s="105">
        <v>41620</v>
      </c>
      <c r="E963">
        <v>1.6698999999999999</v>
      </c>
      <c r="G963" s="105">
        <v>41620</v>
      </c>
      <c r="H963">
        <v>1.3753</v>
      </c>
    </row>
    <row r="964" spans="1:8">
      <c r="A964" s="105">
        <v>41250</v>
      </c>
      <c r="B964">
        <v>2.0411999999999999</v>
      </c>
      <c r="D964" s="105">
        <v>41621</v>
      </c>
      <c r="E964">
        <v>1.6746000000000001</v>
      </c>
      <c r="G964" s="105">
        <v>41621</v>
      </c>
      <c r="H964">
        <v>1.3742000000000001</v>
      </c>
    </row>
    <row r="965" spans="1:8">
      <c r="A965" s="105">
        <v>41251</v>
      </c>
      <c r="B965">
        <v>2.0406</v>
      </c>
      <c r="D965" s="105">
        <v>41624</v>
      </c>
      <c r="E965">
        <v>1.6652</v>
      </c>
      <c r="G965" s="105">
        <v>41624</v>
      </c>
      <c r="H965">
        <v>1.3761000000000001</v>
      </c>
    </row>
    <row r="966" spans="1:8">
      <c r="A966" s="105">
        <v>41252</v>
      </c>
      <c r="B966">
        <v>2.0493999999999999</v>
      </c>
      <c r="D966" s="105">
        <v>41625</v>
      </c>
      <c r="E966">
        <v>1.6606000000000001</v>
      </c>
      <c r="G966" s="105">
        <v>41625</v>
      </c>
      <c r="H966">
        <v>1.3768</v>
      </c>
    </row>
    <row r="967" spans="1:8">
      <c r="A967" s="105">
        <v>41253</v>
      </c>
      <c r="B967">
        <v>2.0409000000000002</v>
      </c>
      <c r="D967" s="105">
        <v>41626</v>
      </c>
      <c r="E967">
        <v>1.6571</v>
      </c>
      <c r="G967" s="105">
        <v>41626</v>
      </c>
      <c r="H967">
        <v>1.3685</v>
      </c>
    </row>
    <row r="968" spans="1:8">
      <c r="A968" s="105">
        <v>41254</v>
      </c>
      <c r="B968">
        <v>2.0457999999999998</v>
      </c>
      <c r="D968" s="105">
        <v>41627</v>
      </c>
      <c r="E968">
        <v>1.6518999999999999</v>
      </c>
      <c r="G968" s="105">
        <v>41627</v>
      </c>
      <c r="H968">
        <v>1.3661000000000001</v>
      </c>
    </row>
    <row r="969" spans="1:8">
      <c r="A969" s="105">
        <v>41255</v>
      </c>
      <c r="B969">
        <v>2.0489999999999999</v>
      </c>
      <c r="D969" s="105">
        <v>41628</v>
      </c>
      <c r="E969">
        <v>1.651</v>
      </c>
      <c r="G969" s="105">
        <v>41628</v>
      </c>
      <c r="H969">
        <v>1.3673</v>
      </c>
    </row>
    <row r="970" spans="1:8">
      <c r="A970" s="105">
        <v>41256</v>
      </c>
      <c r="B970">
        <v>2.0491000000000001</v>
      </c>
      <c r="D970" s="105">
        <v>41631</v>
      </c>
      <c r="E970">
        <v>1.6515</v>
      </c>
      <c r="G970" s="105">
        <v>41631</v>
      </c>
      <c r="H970">
        <v>1.3695999999999999</v>
      </c>
    </row>
    <row r="971" spans="1:8">
      <c r="A971" s="105">
        <v>41257</v>
      </c>
      <c r="B971">
        <v>2.0546000000000002</v>
      </c>
      <c r="D971" s="105">
        <v>41632</v>
      </c>
      <c r="E971">
        <v>1.6543000000000001</v>
      </c>
      <c r="G971" s="105">
        <v>41632</v>
      </c>
      <c r="H971">
        <v>1.3680000000000001</v>
      </c>
    </row>
    <row r="972" spans="1:8">
      <c r="A972" s="105">
        <v>41258</v>
      </c>
      <c r="B972">
        <v>2.0514999999999999</v>
      </c>
      <c r="D972" s="105">
        <v>41633</v>
      </c>
      <c r="E972">
        <v>1.6541999999999999</v>
      </c>
      <c r="G972" s="105">
        <v>41633</v>
      </c>
      <c r="H972">
        <v>1.3681000000000001</v>
      </c>
    </row>
    <row r="973" spans="1:8">
      <c r="A973" s="105">
        <v>41259</v>
      </c>
      <c r="B973">
        <v>2.0510999999999999</v>
      </c>
      <c r="D973" s="105">
        <v>41634</v>
      </c>
      <c r="E973">
        <v>1.6525000000000001</v>
      </c>
      <c r="G973" s="105">
        <v>41634</v>
      </c>
      <c r="H973">
        <v>1.3691</v>
      </c>
    </row>
    <row r="974" spans="1:8">
      <c r="A974" s="105">
        <v>41260</v>
      </c>
      <c r="B974">
        <v>2.0529999999999999</v>
      </c>
      <c r="D974" s="105">
        <v>41635</v>
      </c>
      <c r="E974">
        <v>1.6476</v>
      </c>
      <c r="G974" s="105">
        <v>41635</v>
      </c>
      <c r="H974">
        <v>1.3749</v>
      </c>
    </row>
    <row r="975" spans="1:8">
      <c r="A975" s="105">
        <v>41261</v>
      </c>
      <c r="B975">
        <v>2.0556000000000001</v>
      </c>
      <c r="D975" s="105">
        <v>41638</v>
      </c>
      <c r="E975">
        <v>1.6437999999999999</v>
      </c>
      <c r="G975" s="105">
        <v>41638</v>
      </c>
      <c r="H975">
        <v>1.3801000000000001</v>
      </c>
    </row>
    <row r="976" spans="1:8">
      <c r="A976" s="105">
        <v>41262</v>
      </c>
      <c r="B976">
        <v>2.0518000000000001</v>
      </c>
      <c r="D976" s="105">
        <v>41639</v>
      </c>
      <c r="E976">
        <v>1.6454</v>
      </c>
      <c r="G976" s="105">
        <v>41639</v>
      </c>
      <c r="H976">
        <v>1.3743000000000001</v>
      </c>
    </row>
    <row r="977" spans="1:8">
      <c r="A977" s="105">
        <v>41263</v>
      </c>
      <c r="B977">
        <v>2.0518000000000001</v>
      </c>
      <c r="D977" s="105">
        <v>41640</v>
      </c>
      <c r="E977">
        <v>1.6474</v>
      </c>
      <c r="G977" s="105">
        <v>41640</v>
      </c>
      <c r="H977">
        <v>1.3763000000000001</v>
      </c>
    </row>
    <row r="978" spans="1:8">
      <c r="A978" s="105">
        <v>41264</v>
      </c>
      <c r="B978">
        <v>2.0468000000000002</v>
      </c>
      <c r="D978" s="105">
        <v>41641</v>
      </c>
      <c r="E978">
        <v>1.6496999999999999</v>
      </c>
      <c r="G978" s="105">
        <v>41641</v>
      </c>
      <c r="H978">
        <v>1.3672</v>
      </c>
    </row>
    <row r="979" spans="1:8">
      <c r="A979" s="105">
        <v>41265</v>
      </c>
      <c r="B979">
        <v>2.0457000000000001</v>
      </c>
      <c r="D979" s="105">
        <v>41642</v>
      </c>
      <c r="E979">
        <v>1.655</v>
      </c>
      <c r="G979" s="105">
        <v>41642</v>
      </c>
      <c r="H979">
        <v>1.3589</v>
      </c>
    </row>
    <row r="980" spans="1:8">
      <c r="A980" s="105">
        <v>41266</v>
      </c>
      <c r="B980">
        <v>2.0449999999999999</v>
      </c>
      <c r="D980" s="105">
        <v>41645</v>
      </c>
      <c r="E980">
        <v>1.6575</v>
      </c>
      <c r="G980" s="105">
        <v>41645</v>
      </c>
      <c r="H980">
        <v>1.3629</v>
      </c>
    </row>
    <row r="981" spans="1:8">
      <c r="A981" s="105">
        <v>41267</v>
      </c>
      <c r="B981">
        <v>2.0474000000000001</v>
      </c>
      <c r="D981" s="105">
        <v>41646</v>
      </c>
      <c r="E981">
        <v>1.6564000000000001</v>
      </c>
      <c r="G981" s="105">
        <v>41646</v>
      </c>
      <c r="H981">
        <v>1.3615999999999999</v>
      </c>
    </row>
    <row r="982" spans="1:8">
      <c r="A982" s="105">
        <v>41268</v>
      </c>
      <c r="B982">
        <v>2.0415000000000001</v>
      </c>
      <c r="D982" s="105">
        <v>41647</v>
      </c>
      <c r="E982">
        <v>1.6587000000000001</v>
      </c>
      <c r="G982" s="105">
        <v>41647</v>
      </c>
      <c r="H982">
        <v>1.3575999999999999</v>
      </c>
    </row>
    <row r="983" spans="1:8">
      <c r="A983" s="105">
        <v>41269</v>
      </c>
      <c r="B983">
        <v>2.0495999999999999</v>
      </c>
      <c r="D983" s="105">
        <v>41648</v>
      </c>
      <c r="E983">
        <v>1.6572</v>
      </c>
      <c r="G983" s="105">
        <v>41648</v>
      </c>
      <c r="H983">
        <v>1.3608</v>
      </c>
    </row>
    <row r="984" spans="1:8">
      <c r="A984" s="105">
        <v>41270</v>
      </c>
      <c r="B984">
        <v>2.0478999999999998</v>
      </c>
      <c r="D984" s="105">
        <v>41649</v>
      </c>
      <c r="E984">
        <v>1.6575</v>
      </c>
      <c r="G984" s="105">
        <v>41649</v>
      </c>
      <c r="H984">
        <v>1.367</v>
      </c>
    </row>
    <row r="985" spans="1:8">
      <c r="A985" s="105">
        <v>41271</v>
      </c>
      <c r="B985">
        <v>2.0497000000000001</v>
      </c>
      <c r="D985" s="105">
        <v>41652</v>
      </c>
      <c r="E985">
        <v>1.6528</v>
      </c>
      <c r="G985" s="105">
        <v>41652</v>
      </c>
      <c r="H985">
        <v>1.3671</v>
      </c>
    </row>
    <row r="986" spans="1:8">
      <c r="A986" s="105">
        <v>41272</v>
      </c>
      <c r="B986">
        <v>2.0501999999999998</v>
      </c>
      <c r="D986" s="105">
        <v>41653</v>
      </c>
      <c r="E986">
        <v>1.6523000000000001</v>
      </c>
      <c r="G986" s="105">
        <v>41653</v>
      </c>
      <c r="H986">
        <v>1.3678999999999999</v>
      </c>
    </row>
    <row r="987" spans="1:8">
      <c r="A987" s="105">
        <v>41273</v>
      </c>
      <c r="B987">
        <v>2.0501999999999998</v>
      </c>
      <c r="D987" s="105">
        <v>41654</v>
      </c>
      <c r="E987">
        <v>1.655</v>
      </c>
      <c r="G987" s="105">
        <v>41654</v>
      </c>
      <c r="H987">
        <v>1.3605</v>
      </c>
    </row>
    <row r="988" spans="1:8">
      <c r="A988" s="105">
        <v>41274</v>
      </c>
      <c r="B988">
        <v>2.0472999999999999</v>
      </c>
      <c r="D988" s="105">
        <v>41655</v>
      </c>
      <c r="E988">
        <v>1.6513</v>
      </c>
      <c r="G988" s="105">
        <v>41655</v>
      </c>
      <c r="H988">
        <v>1.3620000000000001</v>
      </c>
    </row>
    <row r="989" spans="1:8">
      <c r="A989" s="105">
        <v>41275</v>
      </c>
      <c r="B989">
        <v>2.0482999999999998</v>
      </c>
      <c r="D989" s="105">
        <v>41656</v>
      </c>
      <c r="E989">
        <v>1.6636</v>
      </c>
      <c r="G989" s="105">
        <v>41656</v>
      </c>
      <c r="H989">
        <v>1.3541000000000001</v>
      </c>
    </row>
    <row r="990" spans="1:8">
      <c r="A990" s="105">
        <v>41276</v>
      </c>
      <c r="B990">
        <v>2.0476999999999999</v>
      </c>
      <c r="D990" s="105">
        <v>41659</v>
      </c>
      <c r="E990">
        <v>1.6513</v>
      </c>
      <c r="G990" s="105">
        <v>41659</v>
      </c>
      <c r="H990">
        <v>1.3552</v>
      </c>
    </row>
    <row r="991" spans="1:8">
      <c r="A991" s="105">
        <v>41277</v>
      </c>
      <c r="B991">
        <v>2.0394999999999999</v>
      </c>
      <c r="D991" s="105">
        <v>41660</v>
      </c>
      <c r="E991">
        <v>1.6432</v>
      </c>
      <c r="G991" s="105">
        <v>41660</v>
      </c>
      <c r="H991">
        <v>1.3561000000000001</v>
      </c>
    </row>
    <row r="992" spans="1:8">
      <c r="A992" s="105">
        <v>41278</v>
      </c>
      <c r="B992">
        <v>2.0447000000000002</v>
      </c>
      <c r="D992" s="105">
        <v>41661</v>
      </c>
      <c r="E992">
        <v>1.6374</v>
      </c>
      <c r="G992" s="105">
        <v>41661</v>
      </c>
      <c r="H992">
        <v>1.3547</v>
      </c>
    </row>
    <row r="993" spans="1:8">
      <c r="A993" s="105">
        <v>41279</v>
      </c>
      <c r="B993">
        <v>2.0468000000000002</v>
      </c>
      <c r="D993" s="105">
        <v>41662</v>
      </c>
      <c r="E993">
        <v>1.6225000000000001</v>
      </c>
      <c r="G993" s="105">
        <v>41662</v>
      </c>
      <c r="H993">
        <v>1.3695999999999999</v>
      </c>
    </row>
    <row r="994" spans="1:8">
      <c r="A994" s="105">
        <v>41280</v>
      </c>
      <c r="B994">
        <v>2.0478000000000001</v>
      </c>
      <c r="D994" s="105">
        <v>41663</v>
      </c>
      <c r="E994">
        <v>1.6242000000000001</v>
      </c>
      <c r="G994" s="105">
        <v>41663</v>
      </c>
      <c r="H994">
        <v>1.3677999999999999</v>
      </c>
    </row>
    <row r="995" spans="1:8">
      <c r="A995" s="105">
        <v>41281</v>
      </c>
      <c r="B995">
        <v>2.0501</v>
      </c>
      <c r="D995" s="105">
        <v>41666</v>
      </c>
      <c r="E995">
        <v>1.6237999999999999</v>
      </c>
      <c r="G995" s="105">
        <v>41666</v>
      </c>
      <c r="H995">
        <v>1.3673</v>
      </c>
    </row>
    <row r="996" spans="1:8">
      <c r="A996" s="105">
        <v>41282</v>
      </c>
      <c r="B996">
        <v>2.0514999999999999</v>
      </c>
      <c r="D996" s="105">
        <v>41667</v>
      </c>
      <c r="E996">
        <v>1.6153</v>
      </c>
      <c r="G996" s="105">
        <v>41667</v>
      </c>
      <c r="H996">
        <v>1.3671</v>
      </c>
    </row>
    <row r="997" spans="1:8">
      <c r="A997" s="105">
        <v>41283</v>
      </c>
      <c r="B997">
        <v>2.0512000000000001</v>
      </c>
      <c r="D997" s="105">
        <v>41668</v>
      </c>
      <c r="E997">
        <v>1.6076999999999999</v>
      </c>
      <c r="G997" s="105">
        <v>41668</v>
      </c>
      <c r="H997">
        <v>1.3663000000000001</v>
      </c>
    </row>
    <row r="998" spans="1:8">
      <c r="A998" s="105">
        <v>41284</v>
      </c>
      <c r="B998">
        <v>2.0577000000000001</v>
      </c>
      <c r="D998" s="105">
        <v>41669</v>
      </c>
      <c r="E998">
        <v>1.607</v>
      </c>
      <c r="G998" s="105">
        <v>41669</v>
      </c>
      <c r="H998">
        <v>1.3554999999999999</v>
      </c>
    </row>
    <row r="999" spans="1:8">
      <c r="A999" s="105">
        <v>41285</v>
      </c>
      <c r="B999">
        <v>2.069</v>
      </c>
      <c r="D999" s="105">
        <v>41670</v>
      </c>
      <c r="E999">
        <v>1.6054999999999999</v>
      </c>
      <c r="G999" s="105">
        <v>41670</v>
      </c>
      <c r="H999">
        <v>1.3486</v>
      </c>
    </row>
    <row r="1000" spans="1:8">
      <c r="A1000" s="105">
        <v>41286</v>
      </c>
      <c r="B1000">
        <v>2.0693999999999999</v>
      </c>
      <c r="D1000" s="105">
        <v>41673</v>
      </c>
      <c r="E1000">
        <v>1.6037999999999999</v>
      </c>
      <c r="G1000" s="105">
        <v>41673</v>
      </c>
      <c r="H1000">
        <v>1.3525</v>
      </c>
    </row>
    <row r="1001" spans="1:8">
      <c r="A1001" s="105">
        <v>41287</v>
      </c>
      <c r="B1001">
        <v>2.0655999999999999</v>
      </c>
      <c r="D1001" s="105">
        <v>41674</v>
      </c>
      <c r="E1001">
        <v>1.6066</v>
      </c>
      <c r="G1001" s="105">
        <v>41674</v>
      </c>
      <c r="H1001">
        <v>1.3519000000000001</v>
      </c>
    </row>
    <row r="1002" spans="1:8">
      <c r="A1002" s="105">
        <v>41288</v>
      </c>
      <c r="B1002">
        <v>2.0688</v>
      </c>
      <c r="D1002" s="105">
        <v>41675</v>
      </c>
      <c r="E1002">
        <v>1.6047</v>
      </c>
      <c r="G1002" s="105">
        <v>41675</v>
      </c>
      <c r="H1002">
        <v>1.3532999999999999</v>
      </c>
    </row>
    <row r="1003" spans="1:8">
      <c r="A1003" s="105">
        <v>41289</v>
      </c>
      <c r="B1003">
        <v>2.0720999999999998</v>
      </c>
      <c r="D1003" s="105">
        <v>41676</v>
      </c>
      <c r="E1003">
        <v>1.5991</v>
      </c>
      <c r="G1003" s="105">
        <v>41676</v>
      </c>
      <c r="H1003">
        <v>1.359</v>
      </c>
    </row>
    <row r="1004" spans="1:8">
      <c r="A1004" s="105">
        <v>41290</v>
      </c>
      <c r="B1004">
        <v>2.0756000000000001</v>
      </c>
      <c r="D1004" s="105">
        <v>41677</v>
      </c>
      <c r="E1004">
        <v>1.595</v>
      </c>
      <c r="G1004" s="105">
        <v>41677</v>
      </c>
      <c r="H1004">
        <v>1.3634999999999999</v>
      </c>
    </row>
    <row r="1005" spans="1:8">
      <c r="A1005" s="105">
        <v>41291</v>
      </c>
      <c r="B1005">
        <v>2.0836000000000001</v>
      </c>
      <c r="D1005" s="105">
        <v>41680</v>
      </c>
      <c r="E1005">
        <v>1.5941000000000001</v>
      </c>
      <c r="G1005" s="105">
        <v>41680</v>
      </c>
      <c r="H1005">
        <v>1.3646</v>
      </c>
    </row>
    <row r="1006" spans="1:8">
      <c r="A1006" s="105">
        <v>41292</v>
      </c>
      <c r="B1006">
        <v>2.0804</v>
      </c>
      <c r="D1006" s="105">
        <v>41681</v>
      </c>
      <c r="E1006">
        <v>1.5955999999999999</v>
      </c>
      <c r="G1006" s="105">
        <v>41681</v>
      </c>
      <c r="H1006">
        <v>1.3637999999999999</v>
      </c>
    </row>
    <row r="1007" spans="1:8">
      <c r="A1007" s="105">
        <v>41293</v>
      </c>
      <c r="B1007">
        <v>2.0767000000000002</v>
      </c>
      <c r="D1007" s="105">
        <v>41682</v>
      </c>
      <c r="E1007">
        <v>1.5982000000000001</v>
      </c>
      <c r="G1007" s="105">
        <v>41682</v>
      </c>
      <c r="H1007">
        <v>1.3593</v>
      </c>
    </row>
    <row r="1008" spans="1:8">
      <c r="A1008" s="105">
        <v>41294</v>
      </c>
      <c r="B1008">
        <v>2.0741999999999998</v>
      </c>
      <c r="D1008" s="105">
        <v>41683</v>
      </c>
      <c r="E1008">
        <v>1.587</v>
      </c>
      <c r="G1008" s="105">
        <v>41683</v>
      </c>
      <c r="H1008">
        <v>1.3681000000000001</v>
      </c>
    </row>
    <row r="1009" spans="1:8">
      <c r="A1009" s="105">
        <v>41295</v>
      </c>
      <c r="B1009">
        <v>2.0798999999999999</v>
      </c>
      <c r="D1009" s="105">
        <v>41684</v>
      </c>
      <c r="E1009">
        <v>1.5852999999999999</v>
      </c>
      <c r="G1009" s="105">
        <v>41684</v>
      </c>
      <c r="H1009">
        <v>1.3693</v>
      </c>
    </row>
    <row r="1010" spans="1:8">
      <c r="A1010" s="105">
        <v>41296</v>
      </c>
      <c r="B1010">
        <v>2.0789</v>
      </c>
      <c r="D1010" s="105">
        <v>41687</v>
      </c>
      <c r="E1010">
        <v>1.5813999999999999</v>
      </c>
      <c r="G1010" s="105">
        <v>41687</v>
      </c>
      <c r="H1010">
        <v>1.3707</v>
      </c>
    </row>
    <row r="1011" spans="1:8">
      <c r="A1011" s="105">
        <v>41297</v>
      </c>
      <c r="B1011">
        <v>2.0771000000000002</v>
      </c>
      <c r="D1011" s="105">
        <v>41688</v>
      </c>
      <c r="E1011">
        <v>1.5785</v>
      </c>
      <c r="G1011" s="105">
        <v>41688</v>
      </c>
      <c r="H1011">
        <v>1.3758999999999999</v>
      </c>
    </row>
    <row r="1012" spans="1:8">
      <c r="A1012" s="105">
        <v>41298</v>
      </c>
      <c r="B1012">
        <v>2.0821999999999998</v>
      </c>
      <c r="D1012" s="105">
        <v>41689</v>
      </c>
      <c r="E1012">
        <v>1.5829</v>
      </c>
      <c r="G1012" s="105">
        <v>41689</v>
      </c>
      <c r="H1012">
        <v>1.3733</v>
      </c>
    </row>
    <row r="1013" spans="1:8">
      <c r="A1013" s="105">
        <v>41299</v>
      </c>
      <c r="B1013">
        <v>2.0871</v>
      </c>
      <c r="D1013" s="105">
        <v>41690</v>
      </c>
      <c r="E1013">
        <v>1.5832999999999999</v>
      </c>
      <c r="G1013" s="105">
        <v>41690</v>
      </c>
      <c r="H1013">
        <v>1.3718999999999999</v>
      </c>
    </row>
    <row r="1014" spans="1:8">
      <c r="A1014" s="105">
        <v>41300</v>
      </c>
      <c r="B1014">
        <v>2.0855999999999999</v>
      </c>
      <c r="D1014" s="105">
        <v>41691</v>
      </c>
      <c r="E1014">
        <v>1.5818000000000001</v>
      </c>
      <c r="G1014" s="105">
        <v>41691</v>
      </c>
      <c r="H1014">
        <v>1.3746</v>
      </c>
    </row>
    <row r="1015" spans="1:8">
      <c r="A1015" s="105">
        <v>41301</v>
      </c>
      <c r="B1015">
        <v>2.0880000000000001</v>
      </c>
      <c r="D1015" s="105">
        <v>41694</v>
      </c>
      <c r="E1015">
        <v>1.5819000000000001</v>
      </c>
      <c r="G1015" s="105">
        <v>41694</v>
      </c>
      <c r="H1015">
        <v>1.3734999999999999</v>
      </c>
    </row>
    <row r="1016" spans="1:8">
      <c r="A1016" s="105">
        <v>41302</v>
      </c>
      <c r="B1016">
        <v>2.0863999999999998</v>
      </c>
      <c r="D1016" s="105">
        <v>41695</v>
      </c>
      <c r="E1016">
        <v>1.5807</v>
      </c>
      <c r="G1016" s="105">
        <v>41695</v>
      </c>
      <c r="H1016">
        <v>1.3745000000000001</v>
      </c>
    </row>
    <row r="1017" spans="1:8">
      <c r="A1017" s="105">
        <v>41303</v>
      </c>
      <c r="B1017">
        <v>2.0867</v>
      </c>
      <c r="D1017" s="105">
        <v>41696</v>
      </c>
      <c r="E1017">
        <v>1.5872999999999999</v>
      </c>
      <c r="G1017" s="105">
        <v>41696</v>
      </c>
      <c r="H1017">
        <v>1.3687</v>
      </c>
    </row>
    <row r="1018" spans="1:8">
      <c r="A1018" s="105">
        <v>41304</v>
      </c>
      <c r="B1018">
        <v>2.0886999999999998</v>
      </c>
      <c r="D1018" s="105">
        <v>41697</v>
      </c>
      <c r="E1018">
        <v>1.5844</v>
      </c>
      <c r="G1018" s="105">
        <v>41697</v>
      </c>
      <c r="H1018">
        <v>1.371</v>
      </c>
    </row>
    <row r="1019" spans="1:8">
      <c r="A1019" s="105">
        <v>41305</v>
      </c>
      <c r="B1019">
        <v>2.0905999999999998</v>
      </c>
      <c r="D1019" s="105">
        <v>41698</v>
      </c>
      <c r="E1019">
        <v>1.5750999999999999</v>
      </c>
      <c r="G1019" s="105">
        <v>41698</v>
      </c>
      <c r="H1019">
        <v>1.3802000000000001</v>
      </c>
    </row>
    <row r="1020" spans="1:8">
      <c r="A1020" s="105">
        <v>41306</v>
      </c>
      <c r="B1020">
        <v>2.0933000000000002</v>
      </c>
      <c r="D1020" s="105">
        <v>41701</v>
      </c>
      <c r="E1020">
        <v>1.5818000000000001</v>
      </c>
      <c r="G1020" s="105">
        <v>41701</v>
      </c>
      <c r="H1020">
        <v>1.3734999999999999</v>
      </c>
    </row>
    <row r="1021" spans="1:8">
      <c r="A1021" s="105">
        <v>41307</v>
      </c>
      <c r="B1021">
        <v>2.1019999999999999</v>
      </c>
      <c r="D1021" s="105">
        <v>41702</v>
      </c>
      <c r="E1021">
        <v>1.5820000000000001</v>
      </c>
      <c r="G1021" s="105">
        <v>41702</v>
      </c>
      <c r="H1021">
        <v>1.3743000000000001</v>
      </c>
    </row>
    <row r="1022" spans="1:8">
      <c r="A1022" s="105">
        <v>41308</v>
      </c>
      <c r="B1022">
        <v>2.0956999999999999</v>
      </c>
      <c r="D1022" s="105">
        <v>41703</v>
      </c>
      <c r="E1022">
        <v>1.5828</v>
      </c>
      <c r="G1022" s="105">
        <v>41703</v>
      </c>
      <c r="H1022">
        <v>1.3733</v>
      </c>
    </row>
    <row r="1023" spans="1:8">
      <c r="A1023" s="105">
        <v>41309</v>
      </c>
      <c r="B1023">
        <v>2.0863</v>
      </c>
      <c r="D1023" s="105">
        <v>41704</v>
      </c>
      <c r="E1023">
        <v>1.5714999999999999</v>
      </c>
      <c r="G1023" s="105">
        <v>41704</v>
      </c>
      <c r="H1023">
        <v>1.3861000000000001</v>
      </c>
    </row>
    <row r="1024" spans="1:8">
      <c r="A1024" s="105">
        <v>41310</v>
      </c>
      <c r="B1024">
        <v>2.0937000000000001</v>
      </c>
      <c r="D1024" s="105">
        <v>41705</v>
      </c>
      <c r="E1024">
        <v>1.5714999999999999</v>
      </c>
      <c r="G1024" s="105">
        <v>41705</v>
      </c>
      <c r="H1024">
        <v>1.3875</v>
      </c>
    </row>
    <row r="1025" spans="1:8">
      <c r="A1025" s="105">
        <v>41311</v>
      </c>
      <c r="B1025">
        <v>2.0928</v>
      </c>
      <c r="D1025" s="105">
        <v>41708</v>
      </c>
      <c r="E1025">
        <v>1.5680000000000001</v>
      </c>
      <c r="G1025" s="105">
        <v>41708</v>
      </c>
      <c r="H1025">
        <v>1.3876999999999999</v>
      </c>
    </row>
    <row r="1026" spans="1:8">
      <c r="A1026" s="105">
        <v>41312</v>
      </c>
      <c r="B1026">
        <v>2.0865999999999998</v>
      </c>
      <c r="D1026" s="105">
        <v>41709</v>
      </c>
      <c r="E1026">
        <v>1.5697000000000001</v>
      </c>
      <c r="G1026" s="105">
        <v>41709</v>
      </c>
      <c r="H1026">
        <v>1.3859999999999999</v>
      </c>
    </row>
    <row r="1027" spans="1:8">
      <c r="A1027" s="105">
        <v>41313</v>
      </c>
      <c r="B1027">
        <v>2.0827</v>
      </c>
      <c r="D1027" s="105">
        <v>41710</v>
      </c>
      <c r="E1027">
        <v>1.5656000000000001</v>
      </c>
      <c r="G1027" s="105">
        <v>41710</v>
      </c>
      <c r="H1027">
        <v>1.3903000000000001</v>
      </c>
    </row>
    <row r="1028" spans="1:8">
      <c r="A1028" s="105">
        <v>41314</v>
      </c>
      <c r="B1028">
        <v>2.0825999999999998</v>
      </c>
      <c r="D1028" s="105">
        <v>41711</v>
      </c>
      <c r="E1028">
        <v>1.5752999999999999</v>
      </c>
      <c r="G1028" s="105">
        <v>41711</v>
      </c>
      <c r="H1028">
        <v>1.3868</v>
      </c>
    </row>
    <row r="1029" spans="1:8">
      <c r="A1029" s="105">
        <v>41315</v>
      </c>
      <c r="B1029">
        <v>2.0771000000000002</v>
      </c>
      <c r="D1029" s="105">
        <v>41712</v>
      </c>
      <c r="E1029">
        <v>1.5757000000000001</v>
      </c>
      <c r="G1029" s="105">
        <v>41712</v>
      </c>
      <c r="H1029">
        <v>1.3914</v>
      </c>
    </row>
    <row r="1030" spans="1:8">
      <c r="A1030" s="105">
        <v>41316</v>
      </c>
      <c r="B1030">
        <v>2.0863</v>
      </c>
      <c r="D1030" s="105">
        <v>41715</v>
      </c>
      <c r="E1030">
        <v>1.5719000000000001</v>
      </c>
      <c r="G1030" s="105">
        <v>41715</v>
      </c>
      <c r="H1030">
        <v>1.3922000000000001</v>
      </c>
    </row>
    <row r="1031" spans="1:8">
      <c r="A1031" s="105">
        <v>41317</v>
      </c>
      <c r="B1031">
        <v>2.0897000000000001</v>
      </c>
      <c r="D1031" s="105">
        <v>41716</v>
      </c>
      <c r="E1031">
        <v>1.5709</v>
      </c>
      <c r="G1031" s="105">
        <v>41716</v>
      </c>
      <c r="H1031">
        <v>1.3934</v>
      </c>
    </row>
    <row r="1032" spans="1:8">
      <c r="A1032" s="105">
        <v>41318</v>
      </c>
      <c r="B1032">
        <v>2.0888</v>
      </c>
      <c r="D1032" s="105">
        <v>41717</v>
      </c>
      <c r="E1032">
        <v>1.5765</v>
      </c>
      <c r="G1032" s="105">
        <v>41717</v>
      </c>
      <c r="H1032">
        <v>1.3833</v>
      </c>
    </row>
    <row r="1033" spans="1:8">
      <c r="A1033" s="105">
        <v>41319</v>
      </c>
      <c r="B1033">
        <v>2.0855999999999999</v>
      </c>
      <c r="D1033" s="105">
        <v>41718</v>
      </c>
      <c r="E1033">
        <v>1.5859000000000001</v>
      </c>
      <c r="G1033" s="105">
        <v>41718</v>
      </c>
      <c r="H1033">
        <v>1.3778999999999999</v>
      </c>
    </row>
    <row r="1034" spans="1:8">
      <c r="A1034" s="105">
        <v>41320</v>
      </c>
      <c r="B1034">
        <v>2.085</v>
      </c>
      <c r="D1034" s="105">
        <v>41719</v>
      </c>
      <c r="E1034">
        <v>1.5832999999999999</v>
      </c>
      <c r="G1034" s="105">
        <v>41719</v>
      </c>
      <c r="H1034">
        <v>1.3794</v>
      </c>
    </row>
    <row r="1035" spans="1:8">
      <c r="A1035" s="105">
        <v>41321</v>
      </c>
      <c r="B1035">
        <v>2.085</v>
      </c>
      <c r="D1035" s="105">
        <v>41722</v>
      </c>
      <c r="E1035">
        <v>1.5744</v>
      </c>
      <c r="G1035" s="105">
        <v>41722</v>
      </c>
      <c r="H1035">
        <v>1.3838999999999999</v>
      </c>
    </row>
    <row r="1036" spans="1:8">
      <c r="A1036" s="105">
        <v>41322</v>
      </c>
      <c r="B1036">
        <v>2.0804</v>
      </c>
      <c r="D1036" s="105">
        <v>41723</v>
      </c>
      <c r="E1036">
        <v>1.5791999999999999</v>
      </c>
      <c r="G1036" s="105">
        <v>41723</v>
      </c>
      <c r="H1036">
        <v>1.3826000000000001</v>
      </c>
    </row>
    <row r="1037" spans="1:8">
      <c r="A1037" s="105">
        <v>41323</v>
      </c>
      <c r="B1037">
        <v>2.0840999999999998</v>
      </c>
      <c r="D1037" s="105">
        <v>41724</v>
      </c>
      <c r="E1037">
        <v>1.5802</v>
      </c>
      <c r="G1037" s="105">
        <v>41724</v>
      </c>
      <c r="H1037">
        <v>1.3781000000000001</v>
      </c>
    </row>
    <row r="1038" spans="1:8">
      <c r="A1038" s="105">
        <v>41324</v>
      </c>
      <c r="B1038">
        <v>2.0859999999999999</v>
      </c>
      <c r="D1038" s="105">
        <v>41725</v>
      </c>
      <c r="E1038">
        <v>1.5859000000000001</v>
      </c>
      <c r="G1038" s="105">
        <v>41725</v>
      </c>
      <c r="H1038">
        <v>1.3740000000000001</v>
      </c>
    </row>
    <row r="1039" spans="1:8">
      <c r="A1039" s="105">
        <v>41325</v>
      </c>
      <c r="B1039">
        <v>2.0790999999999999</v>
      </c>
      <c r="D1039" s="105">
        <v>41726</v>
      </c>
      <c r="E1039">
        <v>1.5851</v>
      </c>
      <c r="G1039" s="105">
        <v>41726</v>
      </c>
      <c r="H1039">
        <v>1.3752</v>
      </c>
    </row>
    <row r="1040" spans="1:8">
      <c r="A1040" s="105">
        <v>41326</v>
      </c>
      <c r="B1040">
        <v>2.0764999999999998</v>
      </c>
      <c r="D1040" s="105">
        <v>41729</v>
      </c>
      <c r="E1040">
        <v>1.5818000000000001</v>
      </c>
      <c r="G1040" s="105">
        <v>41729</v>
      </c>
      <c r="H1040">
        <v>1.3769</v>
      </c>
    </row>
    <row r="1041" spans="1:8">
      <c r="A1041" s="105">
        <v>41327</v>
      </c>
      <c r="B1041">
        <v>2.0762999999999998</v>
      </c>
      <c r="D1041" s="105">
        <v>41730</v>
      </c>
      <c r="E1041">
        <v>1.581</v>
      </c>
      <c r="G1041" s="105">
        <v>41730</v>
      </c>
      <c r="H1041">
        <v>1.3793</v>
      </c>
    </row>
    <row r="1042" spans="1:8">
      <c r="A1042" s="105">
        <v>41328</v>
      </c>
      <c r="B1042">
        <v>2.0762999999999998</v>
      </c>
      <c r="D1042" s="105">
        <v>41731</v>
      </c>
      <c r="E1042">
        <v>1.5835999999999999</v>
      </c>
      <c r="G1042" s="105">
        <v>41731</v>
      </c>
      <c r="H1042">
        <v>1.3767</v>
      </c>
    </row>
    <row r="1043" spans="1:8">
      <c r="A1043" s="105">
        <v>41329</v>
      </c>
      <c r="B1043">
        <v>2.0762999999999998</v>
      </c>
      <c r="D1043" s="105">
        <v>41732</v>
      </c>
      <c r="E1043">
        <v>1.5883</v>
      </c>
      <c r="G1043" s="105">
        <v>41732</v>
      </c>
      <c r="H1043">
        <v>1.3720000000000001</v>
      </c>
    </row>
    <row r="1044" spans="1:8">
      <c r="A1044" s="105">
        <v>41330</v>
      </c>
      <c r="B1044">
        <v>2.0709</v>
      </c>
      <c r="D1044" s="105">
        <v>41733</v>
      </c>
      <c r="E1044">
        <v>1.591</v>
      </c>
      <c r="G1044" s="105">
        <v>41733</v>
      </c>
      <c r="H1044">
        <v>1.3705000000000001</v>
      </c>
    </row>
    <row r="1045" spans="1:8">
      <c r="A1045" s="105">
        <v>41331</v>
      </c>
      <c r="B1045">
        <v>2.0688</v>
      </c>
      <c r="D1045" s="105">
        <v>41736</v>
      </c>
      <c r="E1045">
        <v>1.5880000000000001</v>
      </c>
      <c r="G1045" s="105">
        <v>41736</v>
      </c>
      <c r="H1045">
        <v>1.3742000000000001</v>
      </c>
    </row>
    <row r="1046" spans="1:8">
      <c r="A1046" s="105">
        <v>41332</v>
      </c>
      <c r="B1046">
        <v>2.0724999999999998</v>
      </c>
      <c r="D1046" s="105">
        <v>41737</v>
      </c>
      <c r="E1046">
        <v>1.5871</v>
      </c>
      <c r="G1046" s="105">
        <v>41737</v>
      </c>
      <c r="H1046">
        <v>1.3796999999999999</v>
      </c>
    </row>
    <row r="1047" spans="1:8">
      <c r="A1047" s="105">
        <v>41333</v>
      </c>
      <c r="B1047">
        <v>2.0688</v>
      </c>
      <c r="D1047" s="105">
        <v>41738</v>
      </c>
      <c r="E1047">
        <v>1.5854999999999999</v>
      </c>
      <c r="G1047" s="105">
        <v>41738</v>
      </c>
      <c r="H1047">
        <v>1.3855</v>
      </c>
    </row>
    <row r="1048" spans="1:8">
      <c r="A1048" s="105">
        <v>41334</v>
      </c>
      <c r="B1048">
        <v>2.0665</v>
      </c>
      <c r="D1048" s="105">
        <v>41739</v>
      </c>
      <c r="E1048">
        <v>1.5791999999999999</v>
      </c>
      <c r="G1048" s="105">
        <v>41739</v>
      </c>
      <c r="H1048">
        <v>1.3886000000000001</v>
      </c>
    </row>
    <row r="1049" spans="1:8">
      <c r="A1049" s="105">
        <v>41335</v>
      </c>
      <c r="B1049">
        <v>2.0691000000000002</v>
      </c>
      <c r="D1049" s="105">
        <v>41740</v>
      </c>
      <c r="E1049">
        <v>1.5795999999999999</v>
      </c>
      <c r="G1049" s="105">
        <v>41740</v>
      </c>
      <c r="H1049">
        <v>1.3885000000000001</v>
      </c>
    </row>
    <row r="1050" spans="1:8">
      <c r="A1050" s="105">
        <v>41336</v>
      </c>
      <c r="B1050">
        <v>2.0636000000000001</v>
      </c>
      <c r="D1050" s="105">
        <v>41743</v>
      </c>
      <c r="E1050">
        <v>1.585</v>
      </c>
      <c r="G1050" s="105">
        <v>41743</v>
      </c>
      <c r="H1050">
        <v>1.3821000000000001</v>
      </c>
    </row>
    <row r="1051" spans="1:8">
      <c r="A1051" s="105">
        <v>41337</v>
      </c>
      <c r="B1051">
        <v>2.0661</v>
      </c>
      <c r="D1051" s="105">
        <v>41744</v>
      </c>
      <c r="E1051">
        <v>1.5874999999999999</v>
      </c>
      <c r="G1051" s="105">
        <v>41744</v>
      </c>
      <c r="H1051">
        <v>1.3815</v>
      </c>
    </row>
    <row r="1052" spans="1:8">
      <c r="A1052" s="105">
        <v>41338</v>
      </c>
      <c r="B1052">
        <v>2.0663999999999998</v>
      </c>
      <c r="D1052" s="105">
        <v>41745</v>
      </c>
      <c r="E1052">
        <v>1.5865</v>
      </c>
      <c r="G1052" s="105">
        <v>41745</v>
      </c>
      <c r="H1052">
        <v>1.3815999999999999</v>
      </c>
    </row>
    <row r="1053" spans="1:8">
      <c r="A1053" s="105">
        <v>41339</v>
      </c>
      <c r="B1053">
        <v>2.0613999999999999</v>
      </c>
      <c r="D1053" s="105">
        <v>41746</v>
      </c>
      <c r="E1053">
        <v>1.5866</v>
      </c>
      <c r="G1053" s="105">
        <v>41746</v>
      </c>
      <c r="H1053">
        <v>1.3814</v>
      </c>
    </row>
    <row r="1054" spans="1:8">
      <c r="A1054" s="105">
        <v>41340</v>
      </c>
      <c r="B1054">
        <v>2.0680000000000001</v>
      </c>
      <c r="D1054" s="105">
        <v>41747</v>
      </c>
      <c r="E1054">
        <v>1.5903</v>
      </c>
      <c r="G1054" s="105">
        <v>41747</v>
      </c>
      <c r="H1054">
        <v>1.3813</v>
      </c>
    </row>
    <row r="1055" spans="1:8">
      <c r="A1055" s="105">
        <v>41341</v>
      </c>
      <c r="B1055">
        <v>2.0577000000000001</v>
      </c>
      <c r="D1055" s="105">
        <v>41750</v>
      </c>
      <c r="E1055">
        <v>1.5923</v>
      </c>
      <c r="G1055" s="105">
        <v>41750</v>
      </c>
      <c r="H1055">
        <v>1.3793</v>
      </c>
    </row>
    <row r="1056" spans="1:8">
      <c r="A1056" s="105">
        <v>41342</v>
      </c>
      <c r="B1056">
        <v>2.0514000000000001</v>
      </c>
      <c r="D1056" s="105">
        <v>41751</v>
      </c>
      <c r="E1056">
        <v>1.5920000000000001</v>
      </c>
      <c r="G1056" s="105">
        <v>41751</v>
      </c>
      <c r="H1056">
        <v>1.3805000000000001</v>
      </c>
    </row>
    <row r="1057" spans="1:8">
      <c r="A1057" s="105">
        <v>41344</v>
      </c>
      <c r="B1057">
        <v>2.0638000000000001</v>
      </c>
      <c r="D1057" s="105">
        <v>41752</v>
      </c>
      <c r="E1057">
        <v>1.5958000000000001</v>
      </c>
      <c r="G1057" s="105">
        <v>41752</v>
      </c>
      <c r="H1057">
        <v>1.3816999999999999</v>
      </c>
    </row>
    <row r="1058" spans="1:8">
      <c r="A1058" s="105">
        <v>41345</v>
      </c>
      <c r="B1058">
        <v>2.0621</v>
      </c>
      <c r="D1058" s="105">
        <v>41753</v>
      </c>
      <c r="E1058">
        <v>1.5931999999999999</v>
      </c>
      <c r="G1058" s="105">
        <v>41753</v>
      </c>
      <c r="H1058">
        <v>1.3831</v>
      </c>
    </row>
    <row r="1059" spans="1:8">
      <c r="A1059" s="105">
        <v>41346</v>
      </c>
      <c r="B1059">
        <v>2.0554999999999999</v>
      </c>
      <c r="D1059" s="105">
        <v>41754</v>
      </c>
      <c r="E1059">
        <v>1.5948</v>
      </c>
      <c r="G1059" s="105">
        <v>41754</v>
      </c>
      <c r="H1059">
        <v>1.3834</v>
      </c>
    </row>
    <row r="1060" spans="1:8">
      <c r="A1060" s="105">
        <v>41347</v>
      </c>
      <c r="B1060">
        <v>2.0575999999999999</v>
      </c>
      <c r="D1060" s="105">
        <v>41757</v>
      </c>
      <c r="E1060">
        <v>1.5978000000000001</v>
      </c>
      <c r="G1060" s="105">
        <v>41757</v>
      </c>
      <c r="H1060">
        <v>1.3851</v>
      </c>
    </row>
    <row r="1061" spans="1:8">
      <c r="A1061" s="105">
        <v>41348</v>
      </c>
      <c r="B1061">
        <v>2.0503</v>
      </c>
      <c r="D1061" s="105">
        <v>41758</v>
      </c>
      <c r="E1061">
        <v>1.6056999999999999</v>
      </c>
      <c r="G1061" s="105">
        <v>41758</v>
      </c>
      <c r="H1061">
        <v>1.3812</v>
      </c>
    </row>
    <row r="1062" spans="1:8">
      <c r="A1062" s="105">
        <v>41349</v>
      </c>
      <c r="B1062">
        <v>2.0501</v>
      </c>
      <c r="D1062" s="105">
        <v>41759</v>
      </c>
      <c r="E1062">
        <v>1.5993999999999999</v>
      </c>
      <c r="G1062" s="105">
        <v>41759</v>
      </c>
      <c r="H1062">
        <v>1.3867</v>
      </c>
    </row>
    <row r="1063" spans="1:8">
      <c r="A1063" s="105">
        <v>41350</v>
      </c>
      <c r="B1063">
        <v>2.0501</v>
      </c>
      <c r="D1063" s="105">
        <v>41760</v>
      </c>
      <c r="E1063">
        <v>1.5992</v>
      </c>
      <c r="G1063" s="105">
        <v>41760</v>
      </c>
      <c r="H1063">
        <v>1.387</v>
      </c>
    </row>
    <row r="1064" spans="1:8">
      <c r="A1064" s="105">
        <v>41351</v>
      </c>
      <c r="B1064">
        <v>2.0508999999999999</v>
      </c>
      <c r="D1064" s="105">
        <v>41761</v>
      </c>
      <c r="E1064">
        <v>1.6031</v>
      </c>
      <c r="G1064" s="105">
        <v>41761</v>
      </c>
      <c r="H1064">
        <v>1.3869</v>
      </c>
    </row>
    <row r="1065" spans="1:8">
      <c r="A1065" s="105">
        <v>41352</v>
      </c>
      <c r="B1065">
        <v>2.0411999999999999</v>
      </c>
      <c r="D1065" s="105">
        <v>41764</v>
      </c>
      <c r="E1065">
        <v>1.6014999999999999</v>
      </c>
      <c r="G1065" s="105">
        <v>41764</v>
      </c>
      <c r="H1065">
        <v>1.3875</v>
      </c>
    </row>
    <row r="1066" spans="1:8">
      <c r="A1066" s="105">
        <v>41353</v>
      </c>
      <c r="B1066">
        <v>2.0459999999999998</v>
      </c>
      <c r="D1066" s="105">
        <v>41765</v>
      </c>
      <c r="E1066">
        <v>1.6015999999999999</v>
      </c>
      <c r="G1066" s="105">
        <v>41765</v>
      </c>
      <c r="H1066">
        <v>1.3928</v>
      </c>
    </row>
    <row r="1067" spans="1:8">
      <c r="A1067" s="105">
        <v>41354</v>
      </c>
      <c r="B1067">
        <v>2.0444</v>
      </c>
      <c r="D1067" s="105">
        <v>41766</v>
      </c>
      <c r="E1067">
        <v>1.6040000000000001</v>
      </c>
      <c r="G1067" s="105">
        <v>41766</v>
      </c>
      <c r="H1067">
        <v>1.391</v>
      </c>
    </row>
    <row r="1068" spans="1:8">
      <c r="A1068" s="105">
        <v>41355</v>
      </c>
      <c r="B1068">
        <v>2.0478000000000001</v>
      </c>
      <c r="D1068" s="105">
        <v>41767</v>
      </c>
      <c r="E1068">
        <v>1.61</v>
      </c>
      <c r="G1068" s="105">
        <v>41767</v>
      </c>
      <c r="H1068">
        <v>1.3839999999999999</v>
      </c>
    </row>
    <row r="1069" spans="1:8">
      <c r="A1069" s="105">
        <v>41356</v>
      </c>
      <c r="B1069">
        <v>2.0478000000000001</v>
      </c>
      <c r="D1069" s="105">
        <v>41768</v>
      </c>
      <c r="E1069">
        <v>1.6197999999999999</v>
      </c>
      <c r="G1069" s="105">
        <v>41768</v>
      </c>
      <c r="H1069">
        <v>1.3757999999999999</v>
      </c>
    </row>
    <row r="1070" spans="1:8">
      <c r="A1070" s="105">
        <v>41357</v>
      </c>
      <c r="B1070">
        <v>2.0529000000000002</v>
      </c>
      <c r="D1070" s="105">
        <v>41771</v>
      </c>
      <c r="E1070">
        <v>1.6172</v>
      </c>
      <c r="G1070" s="105">
        <v>41771</v>
      </c>
      <c r="H1070">
        <v>1.3756999999999999</v>
      </c>
    </row>
    <row r="1071" spans="1:8">
      <c r="A1071" s="105">
        <v>41358</v>
      </c>
      <c r="B1071">
        <v>2.0434000000000001</v>
      </c>
      <c r="D1071" s="105">
        <v>41772</v>
      </c>
      <c r="E1071">
        <v>1.6207</v>
      </c>
      <c r="G1071" s="105">
        <v>41772</v>
      </c>
      <c r="H1071">
        <v>1.3704000000000001</v>
      </c>
    </row>
    <row r="1072" spans="1:8">
      <c r="A1072" s="105">
        <v>41359</v>
      </c>
      <c r="B1072">
        <v>2.0449000000000002</v>
      </c>
      <c r="D1072" s="105">
        <v>41773</v>
      </c>
      <c r="E1072">
        <v>1.6205000000000001</v>
      </c>
      <c r="G1072" s="105">
        <v>41773</v>
      </c>
      <c r="H1072">
        <v>1.3714999999999999</v>
      </c>
    </row>
    <row r="1073" spans="1:8">
      <c r="A1073" s="105">
        <v>41360</v>
      </c>
      <c r="B1073">
        <v>2.0428999999999999</v>
      </c>
      <c r="D1073" s="105">
        <v>41774</v>
      </c>
      <c r="E1073">
        <v>1.6220000000000001</v>
      </c>
      <c r="G1073" s="105">
        <v>41774</v>
      </c>
      <c r="H1073">
        <v>1.371</v>
      </c>
    </row>
    <row r="1074" spans="1:8">
      <c r="A1074" s="105">
        <v>41361</v>
      </c>
      <c r="B1074">
        <v>2.0448</v>
      </c>
      <c r="D1074" s="105">
        <v>41775</v>
      </c>
      <c r="E1074">
        <v>1.6237999999999999</v>
      </c>
      <c r="G1074" s="105">
        <v>41775</v>
      </c>
      <c r="H1074">
        <v>1.3694</v>
      </c>
    </row>
    <row r="1075" spans="1:8">
      <c r="A1075" s="105">
        <v>41362</v>
      </c>
      <c r="B1075">
        <v>2.0463</v>
      </c>
      <c r="D1075" s="105">
        <v>41778</v>
      </c>
      <c r="E1075">
        <v>1.6221000000000001</v>
      </c>
      <c r="G1075" s="105">
        <v>41778</v>
      </c>
      <c r="H1075">
        <v>1.3709</v>
      </c>
    </row>
    <row r="1076" spans="1:8">
      <c r="A1076" s="105">
        <v>41363</v>
      </c>
      <c r="B1076">
        <v>2.048</v>
      </c>
      <c r="D1076" s="105">
        <v>41779</v>
      </c>
      <c r="E1076">
        <v>1.6235999999999999</v>
      </c>
      <c r="G1076" s="105">
        <v>41779</v>
      </c>
      <c r="H1076">
        <v>1.3702000000000001</v>
      </c>
    </row>
    <row r="1077" spans="1:8">
      <c r="A1077" s="105">
        <v>41364</v>
      </c>
      <c r="B1077">
        <v>2.048</v>
      </c>
      <c r="D1077" s="105">
        <v>41780</v>
      </c>
      <c r="E1077">
        <v>1.6258999999999999</v>
      </c>
      <c r="G1077" s="105">
        <v>41780</v>
      </c>
      <c r="H1077">
        <v>1.3687</v>
      </c>
    </row>
    <row r="1078" spans="1:8">
      <c r="A1078" s="105">
        <v>41365</v>
      </c>
      <c r="B1078">
        <v>2.0487000000000002</v>
      </c>
      <c r="D1078" s="105">
        <v>41781</v>
      </c>
      <c r="E1078">
        <v>1.6279999999999999</v>
      </c>
      <c r="G1078" s="105">
        <v>41781</v>
      </c>
      <c r="H1078">
        <v>1.3655999999999999</v>
      </c>
    </row>
    <row r="1079" spans="1:8">
      <c r="A1079" s="105">
        <v>41366</v>
      </c>
      <c r="B1079">
        <v>2.0491000000000001</v>
      </c>
      <c r="D1079" s="105">
        <v>41782</v>
      </c>
      <c r="E1079">
        <v>1.6318999999999999</v>
      </c>
      <c r="G1079" s="105">
        <v>41782</v>
      </c>
      <c r="H1079">
        <v>1.3629</v>
      </c>
    </row>
    <row r="1080" spans="1:8">
      <c r="A1080" s="105">
        <v>41367</v>
      </c>
      <c r="B1080">
        <v>2.0558999999999998</v>
      </c>
      <c r="D1080" s="105">
        <v>41785</v>
      </c>
      <c r="E1080">
        <v>1.6306</v>
      </c>
      <c r="G1080" s="105">
        <v>41785</v>
      </c>
      <c r="H1080">
        <v>1.3646</v>
      </c>
    </row>
    <row r="1081" spans="1:8">
      <c r="A1081" s="105">
        <v>41368</v>
      </c>
      <c r="B1081">
        <v>2.0626000000000002</v>
      </c>
      <c r="D1081" s="105">
        <v>41786</v>
      </c>
      <c r="E1081">
        <v>1.6318999999999999</v>
      </c>
      <c r="G1081" s="105">
        <v>41786</v>
      </c>
      <c r="H1081">
        <v>1.3634999999999999</v>
      </c>
    </row>
    <row r="1082" spans="1:8">
      <c r="A1082" s="105">
        <v>41369</v>
      </c>
      <c r="B1082">
        <v>2.0695999999999999</v>
      </c>
      <c r="D1082" s="105">
        <v>41787</v>
      </c>
      <c r="E1082">
        <v>1.6323000000000001</v>
      </c>
      <c r="G1082" s="105">
        <v>41787</v>
      </c>
      <c r="H1082">
        <v>1.3591</v>
      </c>
    </row>
    <row r="1083" spans="1:8">
      <c r="A1083" s="105">
        <v>41370</v>
      </c>
      <c r="B1083">
        <v>2.0693999999999999</v>
      </c>
      <c r="D1083" s="105">
        <v>41788</v>
      </c>
      <c r="E1083">
        <v>1.6342000000000001</v>
      </c>
      <c r="G1083" s="105">
        <v>41788</v>
      </c>
      <c r="H1083">
        <v>1.3602000000000001</v>
      </c>
    </row>
    <row r="1084" spans="1:8">
      <c r="A1084" s="105">
        <v>41371</v>
      </c>
      <c r="B1084">
        <v>2.0693999999999999</v>
      </c>
      <c r="D1084" s="105">
        <v>41789</v>
      </c>
      <c r="E1084">
        <v>1.63</v>
      </c>
      <c r="G1084" s="105">
        <v>41789</v>
      </c>
      <c r="H1084">
        <v>1.3634999999999999</v>
      </c>
    </row>
    <row r="1085" spans="1:8">
      <c r="A1085" s="105">
        <v>41372</v>
      </c>
      <c r="B1085">
        <v>2.0754999999999999</v>
      </c>
      <c r="D1085" s="105">
        <v>41792</v>
      </c>
      <c r="E1085">
        <v>1.6315</v>
      </c>
      <c r="G1085" s="105">
        <v>41792</v>
      </c>
      <c r="H1085">
        <v>1.3596999999999999</v>
      </c>
    </row>
    <row r="1086" spans="1:8">
      <c r="A1086" s="105">
        <v>41373</v>
      </c>
      <c r="B1086">
        <v>2.0825</v>
      </c>
      <c r="D1086" s="105">
        <v>41793</v>
      </c>
      <c r="E1086">
        <v>1.6391</v>
      </c>
      <c r="G1086" s="105">
        <v>41793</v>
      </c>
      <c r="H1086">
        <v>1.3628</v>
      </c>
    </row>
    <row r="1087" spans="1:8">
      <c r="A1087" s="105">
        <v>41374</v>
      </c>
      <c r="B1087">
        <v>2.0796000000000001</v>
      </c>
      <c r="D1087" s="105">
        <v>41794</v>
      </c>
      <c r="E1087">
        <v>1.6342000000000001</v>
      </c>
      <c r="G1087" s="105">
        <v>41794</v>
      </c>
      <c r="H1087">
        <v>1.3599000000000001</v>
      </c>
    </row>
    <row r="1088" spans="1:8">
      <c r="A1088" s="105">
        <v>41375</v>
      </c>
      <c r="B1088">
        <v>2.0872999999999999</v>
      </c>
      <c r="D1088" s="105">
        <v>41795</v>
      </c>
      <c r="E1088">
        <v>1.6316999999999999</v>
      </c>
      <c r="G1088" s="105">
        <v>41795</v>
      </c>
      <c r="H1088">
        <v>1.3660000000000001</v>
      </c>
    </row>
    <row r="1089" spans="1:8">
      <c r="A1089" s="105">
        <v>41376</v>
      </c>
      <c r="B1089">
        <v>2.0943999999999998</v>
      </c>
      <c r="D1089" s="105">
        <v>41796</v>
      </c>
      <c r="E1089">
        <v>1.64</v>
      </c>
      <c r="G1089" s="105">
        <v>41796</v>
      </c>
      <c r="H1089">
        <v>1.3643000000000001</v>
      </c>
    </row>
    <row r="1090" spans="1:8">
      <c r="A1090" s="105">
        <v>41377</v>
      </c>
      <c r="B1090">
        <v>2.0735999999999999</v>
      </c>
      <c r="D1090" s="105">
        <v>41799</v>
      </c>
      <c r="E1090">
        <v>1.6419999999999999</v>
      </c>
      <c r="G1090" s="105">
        <v>41799</v>
      </c>
      <c r="H1090">
        <v>1.3593999999999999</v>
      </c>
    </row>
    <row r="1091" spans="1:8">
      <c r="A1091" s="105">
        <v>41379</v>
      </c>
      <c r="B1091">
        <v>2.0847000000000002</v>
      </c>
      <c r="D1091" s="105">
        <v>41800</v>
      </c>
      <c r="E1091">
        <v>1.6518999999999999</v>
      </c>
      <c r="G1091" s="105">
        <v>41800</v>
      </c>
      <c r="H1091">
        <v>1.3547</v>
      </c>
    </row>
    <row r="1092" spans="1:8">
      <c r="A1092" s="105">
        <v>41380</v>
      </c>
      <c r="B1092">
        <v>2.1078000000000001</v>
      </c>
      <c r="D1092" s="105">
        <v>41801</v>
      </c>
      <c r="E1092">
        <v>1.6535</v>
      </c>
      <c r="G1092" s="105">
        <v>41801</v>
      </c>
      <c r="H1092">
        <v>1.3532</v>
      </c>
    </row>
    <row r="1093" spans="1:8">
      <c r="A1093" s="105">
        <v>41381</v>
      </c>
      <c r="B1093">
        <v>2.0893000000000002</v>
      </c>
      <c r="D1093" s="105">
        <v>41802</v>
      </c>
      <c r="E1093">
        <v>1.6492</v>
      </c>
      <c r="G1093" s="105">
        <v>41802</v>
      </c>
      <c r="H1093">
        <v>1.3552</v>
      </c>
    </row>
    <row r="1094" spans="1:8">
      <c r="A1094" s="105">
        <v>41382</v>
      </c>
      <c r="B1094">
        <v>2.0920999999999998</v>
      </c>
      <c r="D1094" s="105">
        <v>41803</v>
      </c>
      <c r="E1094">
        <v>1.6642999999999999</v>
      </c>
      <c r="G1094" s="105">
        <v>41803</v>
      </c>
      <c r="H1094">
        <v>1.3540000000000001</v>
      </c>
    </row>
    <row r="1095" spans="1:8">
      <c r="A1095" s="105">
        <v>41383</v>
      </c>
      <c r="B1095">
        <v>2.0912999999999999</v>
      </c>
      <c r="D1095" s="105">
        <v>41806</v>
      </c>
      <c r="E1095">
        <v>1.6573</v>
      </c>
      <c r="G1095" s="105">
        <v>41806</v>
      </c>
      <c r="H1095">
        <v>1.3573999999999999</v>
      </c>
    </row>
    <row r="1096" spans="1:8">
      <c r="A1096" s="105">
        <v>41384</v>
      </c>
      <c r="B1096">
        <v>2.0914999999999999</v>
      </c>
      <c r="D1096" s="105">
        <v>41807</v>
      </c>
      <c r="E1096">
        <v>1.6619999999999999</v>
      </c>
      <c r="G1096" s="105">
        <v>41807</v>
      </c>
      <c r="H1096">
        <v>1.3547</v>
      </c>
    </row>
    <row r="1097" spans="1:8">
      <c r="A1097" s="105">
        <v>41385</v>
      </c>
      <c r="B1097">
        <v>2.0914999999999999</v>
      </c>
      <c r="D1097" s="105">
        <v>41808</v>
      </c>
      <c r="E1097">
        <v>1.6640999999999999</v>
      </c>
      <c r="G1097" s="105">
        <v>41808</v>
      </c>
      <c r="H1097">
        <v>1.3594999999999999</v>
      </c>
    </row>
    <row r="1098" spans="1:8">
      <c r="A1098" s="105">
        <v>41386</v>
      </c>
      <c r="B1098">
        <v>2.0949</v>
      </c>
      <c r="D1098" s="105">
        <v>41809</v>
      </c>
      <c r="E1098">
        <v>1.6559999999999999</v>
      </c>
      <c r="G1098" s="105">
        <v>41809</v>
      </c>
      <c r="H1098">
        <v>1.3608</v>
      </c>
    </row>
    <row r="1099" spans="1:8">
      <c r="A1099" s="105">
        <v>41387</v>
      </c>
      <c r="B1099">
        <v>2.0910000000000002</v>
      </c>
      <c r="D1099" s="105">
        <v>41810</v>
      </c>
      <c r="E1099">
        <v>1.6707000000000001</v>
      </c>
      <c r="G1099" s="105">
        <v>41810</v>
      </c>
      <c r="H1099">
        <v>1.36</v>
      </c>
    </row>
    <row r="1100" spans="1:8">
      <c r="A1100" s="105">
        <v>41388</v>
      </c>
      <c r="B1100">
        <v>2.093</v>
      </c>
      <c r="D1100" s="105">
        <v>41813</v>
      </c>
      <c r="E1100">
        <v>1.6717</v>
      </c>
      <c r="G1100" s="105">
        <v>41813</v>
      </c>
      <c r="H1100">
        <v>1.3605</v>
      </c>
    </row>
    <row r="1101" spans="1:8">
      <c r="A1101" s="105">
        <v>41389</v>
      </c>
      <c r="B1101">
        <v>2.0977999999999999</v>
      </c>
      <c r="D1101" s="105">
        <v>41814</v>
      </c>
      <c r="E1101">
        <v>1.6884999999999999</v>
      </c>
      <c r="G1101" s="105">
        <v>41814</v>
      </c>
      <c r="H1101">
        <v>1.3606</v>
      </c>
    </row>
    <row r="1102" spans="1:8">
      <c r="A1102" s="105">
        <v>41390</v>
      </c>
      <c r="B1102">
        <v>2.1013000000000002</v>
      </c>
      <c r="D1102" s="105">
        <v>41815</v>
      </c>
      <c r="E1102">
        <v>1.6869000000000001</v>
      </c>
      <c r="G1102" s="105">
        <v>41815</v>
      </c>
      <c r="H1102">
        <v>1.3629</v>
      </c>
    </row>
    <row r="1103" spans="1:8">
      <c r="A1103" s="105">
        <v>41391</v>
      </c>
      <c r="B1103">
        <v>2.0968</v>
      </c>
      <c r="D1103" s="105">
        <v>41816</v>
      </c>
      <c r="E1103">
        <v>1.6850000000000001</v>
      </c>
      <c r="G1103" s="105">
        <v>41816</v>
      </c>
      <c r="H1103">
        <v>1.3612</v>
      </c>
    </row>
    <row r="1104" spans="1:8">
      <c r="A1104" s="105">
        <v>41392</v>
      </c>
      <c r="B1104">
        <v>2.1008</v>
      </c>
      <c r="D1104" s="105">
        <v>41817</v>
      </c>
      <c r="E1104">
        <v>1.6800999999999999</v>
      </c>
      <c r="G1104" s="105">
        <v>41817</v>
      </c>
      <c r="H1104">
        <v>1.3649</v>
      </c>
    </row>
    <row r="1105" spans="1:8">
      <c r="A1105" s="105">
        <v>41393</v>
      </c>
      <c r="B1105">
        <v>2.1095999999999999</v>
      </c>
      <c r="D1105" s="105">
        <v>41820</v>
      </c>
      <c r="E1105">
        <v>1.6808000000000001</v>
      </c>
      <c r="G1105" s="105">
        <v>41820</v>
      </c>
      <c r="H1105">
        <v>1.3692</v>
      </c>
    </row>
    <row r="1106" spans="1:8">
      <c r="A1106" s="105">
        <v>41394</v>
      </c>
      <c r="B1106">
        <v>2.1192000000000002</v>
      </c>
      <c r="D1106" s="105">
        <v>41821</v>
      </c>
      <c r="E1106">
        <v>1.6808000000000001</v>
      </c>
      <c r="G1106" s="105">
        <v>41821</v>
      </c>
      <c r="H1106">
        <v>1.3678999999999999</v>
      </c>
    </row>
    <row r="1107" spans="1:8">
      <c r="A1107" s="105">
        <v>41395</v>
      </c>
      <c r="B1107">
        <v>2.1193</v>
      </c>
      <c r="D1107" s="105">
        <v>41822</v>
      </c>
      <c r="E1107">
        <v>1.6856</v>
      </c>
      <c r="G1107" s="105">
        <v>41822</v>
      </c>
      <c r="H1107">
        <v>1.3660000000000001</v>
      </c>
    </row>
    <row r="1108" spans="1:8">
      <c r="A1108" s="105">
        <v>41396</v>
      </c>
      <c r="B1108">
        <v>2.1069</v>
      </c>
      <c r="D1108" s="105">
        <v>41823</v>
      </c>
      <c r="E1108">
        <v>1.6915</v>
      </c>
      <c r="G1108" s="105">
        <v>41823</v>
      </c>
      <c r="H1108">
        <v>1.361</v>
      </c>
    </row>
    <row r="1109" spans="1:8">
      <c r="A1109" s="105">
        <v>41397</v>
      </c>
      <c r="B1109">
        <v>2.1267</v>
      </c>
      <c r="D1109" s="105">
        <v>41824</v>
      </c>
      <c r="E1109">
        <v>1.694</v>
      </c>
      <c r="G1109" s="105">
        <v>41824</v>
      </c>
      <c r="H1109">
        <v>1.3594999999999999</v>
      </c>
    </row>
    <row r="1110" spans="1:8">
      <c r="A1110" s="105">
        <v>41398</v>
      </c>
      <c r="B1110">
        <v>2.1267999999999998</v>
      </c>
      <c r="D1110" s="105">
        <v>41827</v>
      </c>
      <c r="E1110">
        <v>1.6936</v>
      </c>
      <c r="G1110" s="105">
        <v>41827</v>
      </c>
      <c r="H1110">
        <v>1.3605</v>
      </c>
    </row>
    <row r="1111" spans="1:8">
      <c r="A1111" s="105">
        <v>41399</v>
      </c>
      <c r="B1111">
        <v>2.1261000000000001</v>
      </c>
      <c r="D1111" s="105">
        <v>41828</v>
      </c>
      <c r="E1111">
        <v>1.6951000000000001</v>
      </c>
      <c r="G1111" s="105">
        <v>41828</v>
      </c>
      <c r="H1111">
        <v>1.3612</v>
      </c>
    </row>
    <row r="1112" spans="1:8">
      <c r="A1112" s="105">
        <v>41400</v>
      </c>
      <c r="B1112">
        <v>2.1187</v>
      </c>
      <c r="D1112" s="105">
        <v>41829</v>
      </c>
      <c r="E1112">
        <v>1.6929000000000001</v>
      </c>
      <c r="G1112" s="105">
        <v>41829</v>
      </c>
      <c r="H1112">
        <v>1.3642000000000001</v>
      </c>
    </row>
    <row r="1113" spans="1:8">
      <c r="A1113" s="105">
        <v>41401</v>
      </c>
      <c r="B1113">
        <v>2.1282999999999999</v>
      </c>
      <c r="D1113" s="105">
        <v>41830</v>
      </c>
      <c r="E1113">
        <v>1.7043999999999999</v>
      </c>
      <c r="G1113" s="105">
        <v>41830</v>
      </c>
      <c r="H1113">
        <v>1.3609</v>
      </c>
    </row>
    <row r="1114" spans="1:8">
      <c r="A1114" s="105">
        <v>41402</v>
      </c>
      <c r="B1114">
        <v>2.1453000000000002</v>
      </c>
      <c r="D1114" s="105">
        <v>41831</v>
      </c>
      <c r="E1114">
        <v>1.7059</v>
      </c>
      <c r="G1114" s="105">
        <v>41831</v>
      </c>
      <c r="H1114">
        <v>1.3608</v>
      </c>
    </row>
    <row r="1115" spans="1:8">
      <c r="A1115" s="105">
        <v>41403</v>
      </c>
      <c r="B1115">
        <v>2.1819999999999999</v>
      </c>
      <c r="D1115" s="105">
        <v>41834</v>
      </c>
      <c r="E1115">
        <v>1.7087000000000001</v>
      </c>
      <c r="G1115" s="105">
        <v>41834</v>
      </c>
      <c r="H1115">
        <v>1.3619000000000001</v>
      </c>
    </row>
    <row r="1116" spans="1:8">
      <c r="A1116" s="105">
        <v>41404</v>
      </c>
      <c r="B1116">
        <v>2.1463999999999999</v>
      </c>
      <c r="D1116" s="105">
        <v>41835</v>
      </c>
      <c r="E1116">
        <v>1.714</v>
      </c>
      <c r="G1116" s="105">
        <v>41835</v>
      </c>
      <c r="H1116">
        <v>1.3568</v>
      </c>
    </row>
    <row r="1117" spans="1:8">
      <c r="A1117" s="105">
        <v>41405</v>
      </c>
      <c r="B1117">
        <v>2.1383999999999999</v>
      </c>
      <c r="D1117" s="105">
        <v>41836</v>
      </c>
      <c r="E1117">
        <v>1.7222999999999999</v>
      </c>
      <c r="G1117" s="105">
        <v>41836</v>
      </c>
      <c r="H1117">
        <v>1.3525</v>
      </c>
    </row>
    <row r="1118" spans="1:8">
      <c r="A1118" s="105">
        <v>41406</v>
      </c>
      <c r="B1118">
        <v>2.1412</v>
      </c>
      <c r="D1118" s="105">
        <v>41837</v>
      </c>
      <c r="E1118">
        <v>1.7251000000000001</v>
      </c>
      <c r="G1118" s="105">
        <v>41837</v>
      </c>
      <c r="H1118">
        <v>1.3526</v>
      </c>
    </row>
    <row r="1119" spans="1:8">
      <c r="A1119" s="105">
        <v>41407</v>
      </c>
      <c r="B1119">
        <v>2.1526000000000001</v>
      </c>
      <c r="D1119" s="105">
        <v>41838</v>
      </c>
      <c r="E1119">
        <v>1.7246999999999999</v>
      </c>
      <c r="G1119" s="105">
        <v>41838</v>
      </c>
      <c r="H1119">
        <v>1.3524</v>
      </c>
    </row>
    <row r="1120" spans="1:8">
      <c r="A1120" s="105">
        <v>41408</v>
      </c>
      <c r="B1120">
        <v>2.1551999999999998</v>
      </c>
      <c r="D1120" s="105">
        <v>41841</v>
      </c>
      <c r="E1120">
        <v>1.7255</v>
      </c>
      <c r="G1120" s="105">
        <v>41841</v>
      </c>
      <c r="H1120">
        <v>1.3524</v>
      </c>
    </row>
    <row r="1121" spans="1:8">
      <c r="A1121" s="105">
        <v>41409</v>
      </c>
      <c r="B1121">
        <v>2.1404000000000001</v>
      </c>
      <c r="D1121" s="105">
        <v>41842</v>
      </c>
      <c r="E1121">
        <v>1.7279</v>
      </c>
      <c r="G1121" s="105">
        <v>41842</v>
      </c>
      <c r="H1121">
        <v>1.3466</v>
      </c>
    </row>
    <row r="1122" spans="1:8">
      <c r="A1122" s="105">
        <v>41410</v>
      </c>
      <c r="B1122">
        <v>2.1341999999999999</v>
      </c>
      <c r="D1122" s="105">
        <v>41843</v>
      </c>
      <c r="E1122">
        <v>1.7237</v>
      </c>
      <c r="G1122" s="105">
        <v>41843</v>
      </c>
      <c r="H1122">
        <v>1.3464</v>
      </c>
    </row>
    <row r="1123" spans="1:8">
      <c r="A1123" s="105">
        <v>41411</v>
      </c>
      <c r="B1123">
        <v>2.1297999999999999</v>
      </c>
      <c r="D1123" s="105">
        <v>41844</v>
      </c>
      <c r="E1123">
        <v>1.7234</v>
      </c>
      <c r="G1123" s="105">
        <v>41844</v>
      </c>
      <c r="H1123">
        <v>1.3464</v>
      </c>
    </row>
    <row r="1124" spans="1:8">
      <c r="A1124" s="105">
        <v>41412</v>
      </c>
      <c r="B1124">
        <v>2.1301999999999999</v>
      </c>
      <c r="D1124" s="105">
        <v>41845</v>
      </c>
      <c r="E1124">
        <v>1.7261</v>
      </c>
      <c r="G1124" s="105">
        <v>41845</v>
      </c>
      <c r="H1124">
        <v>1.343</v>
      </c>
    </row>
    <row r="1125" spans="1:8">
      <c r="A1125" s="105">
        <v>41413</v>
      </c>
      <c r="B1125">
        <v>2.1334</v>
      </c>
      <c r="D1125" s="105">
        <v>41848</v>
      </c>
      <c r="E1125">
        <v>1.7238</v>
      </c>
      <c r="G1125" s="105">
        <v>41848</v>
      </c>
      <c r="H1125">
        <v>1.3440000000000001</v>
      </c>
    </row>
    <row r="1126" spans="1:8">
      <c r="A1126" s="105">
        <v>41414</v>
      </c>
      <c r="B1126">
        <v>2.1291000000000002</v>
      </c>
      <c r="D1126" s="105">
        <v>41849</v>
      </c>
      <c r="E1126">
        <v>1.7241</v>
      </c>
      <c r="G1126" s="105">
        <v>41849</v>
      </c>
      <c r="H1126">
        <v>1.3409</v>
      </c>
    </row>
    <row r="1127" spans="1:8">
      <c r="A1127" s="105">
        <v>41415</v>
      </c>
      <c r="B1127">
        <v>2.1284999999999998</v>
      </c>
      <c r="D1127" s="105">
        <v>41850</v>
      </c>
      <c r="E1127">
        <v>1.7222</v>
      </c>
      <c r="G1127" s="105">
        <v>41850</v>
      </c>
      <c r="H1127">
        <v>1.3396999999999999</v>
      </c>
    </row>
    <row r="1128" spans="1:8">
      <c r="A1128" s="105">
        <v>41416</v>
      </c>
      <c r="B1128">
        <v>2.1377999999999999</v>
      </c>
      <c r="D1128" s="105">
        <v>41851</v>
      </c>
      <c r="E1128">
        <v>1.7231000000000001</v>
      </c>
      <c r="G1128" s="105">
        <v>41851</v>
      </c>
      <c r="H1128">
        <v>1.339</v>
      </c>
    </row>
    <row r="1129" spans="1:8">
      <c r="A1129" s="105">
        <v>41417</v>
      </c>
      <c r="B1129">
        <v>2.1425000000000001</v>
      </c>
      <c r="D1129" s="105">
        <v>41852</v>
      </c>
      <c r="E1129">
        <v>1.7121</v>
      </c>
      <c r="G1129" s="105">
        <v>41852</v>
      </c>
      <c r="H1129">
        <v>1.3427</v>
      </c>
    </row>
    <row r="1130" spans="1:8">
      <c r="A1130" s="105">
        <v>41418</v>
      </c>
      <c r="B1130">
        <v>2.1438000000000001</v>
      </c>
      <c r="D1130" s="105">
        <v>41855</v>
      </c>
      <c r="E1130">
        <v>1.7083999999999999</v>
      </c>
      <c r="G1130" s="105">
        <v>41855</v>
      </c>
      <c r="H1130">
        <v>1.3422000000000001</v>
      </c>
    </row>
    <row r="1131" spans="1:8">
      <c r="A1131" s="105">
        <v>41419</v>
      </c>
      <c r="B1131">
        <v>2.1433</v>
      </c>
      <c r="D1131" s="105">
        <v>41856</v>
      </c>
      <c r="E1131">
        <v>1.7162999999999999</v>
      </c>
      <c r="G1131" s="105">
        <v>41856</v>
      </c>
      <c r="H1131">
        <v>1.3375999999999999</v>
      </c>
    </row>
    <row r="1132" spans="1:8">
      <c r="A1132" s="105">
        <v>41420</v>
      </c>
      <c r="B1132">
        <v>2.1398000000000001</v>
      </c>
      <c r="D1132" s="105">
        <v>41857</v>
      </c>
      <c r="E1132">
        <v>1.7146999999999999</v>
      </c>
      <c r="G1132" s="105">
        <v>41857</v>
      </c>
      <c r="H1132">
        <v>1.3383</v>
      </c>
    </row>
    <row r="1133" spans="1:8">
      <c r="A1133" s="105">
        <v>41421</v>
      </c>
      <c r="B1133">
        <v>2.1351</v>
      </c>
      <c r="D1133" s="105">
        <v>41858</v>
      </c>
      <c r="E1133">
        <v>1.7166999999999999</v>
      </c>
      <c r="G1133" s="105">
        <v>41858</v>
      </c>
      <c r="H1133">
        <v>1.3364</v>
      </c>
    </row>
    <row r="1134" spans="1:8">
      <c r="A1134" s="105">
        <v>41422</v>
      </c>
      <c r="B1134">
        <v>2.1339999999999999</v>
      </c>
      <c r="D1134" s="105">
        <v>41859</v>
      </c>
      <c r="E1134">
        <v>1.7156</v>
      </c>
      <c r="G1134" s="105">
        <v>41859</v>
      </c>
      <c r="H1134">
        <v>1.341</v>
      </c>
    </row>
    <row r="1135" spans="1:8">
      <c r="A1135" s="105">
        <v>41423</v>
      </c>
      <c r="B1135">
        <v>2.1326000000000001</v>
      </c>
      <c r="D1135" s="105">
        <v>41862</v>
      </c>
      <c r="E1135">
        <v>1.7153</v>
      </c>
      <c r="G1135" s="105">
        <v>41862</v>
      </c>
      <c r="H1135">
        <v>1.3385</v>
      </c>
    </row>
    <row r="1136" spans="1:8">
      <c r="A1136" s="105">
        <v>41424</v>
      </c>
      <c r="B1136">
        <v>2.1379999999999999</v>
      </c>
      <c r="D1136" s="105">
        <v>41863</v>
      </c>
      <c r="E1136">
        <v>1.7215</v>
      </c>
      <c r="G1136" s="105">
        <v>41863</v>
      </c>
      <c r="H1136">
        <v>1.3369</v>
      </c>
    </row>
    <row r="1137" spans="1:8">
      <c r="A1137" s="105">
        <v>41425</v>
      </c>
      <c r="B1137">
        <v>2.1358000000000001</v>
      </c>
      <c r="D1137" s="105">
        <v>41864</v>
      </c>
      <c r="E1137">
        <v>1.7218</v>
      </c>
      <c r="G1137" s="105">
        <v>41864</v>
      </c>
      <c r="H1137">
        <v>1.3364</v>
      </c>
    </row>
    <row r="1138" spans="1:8">
      <c r="A1138" s="105">
        <v>41426</v>
      </c>
      <c r="B1138">
        <v>2.1358000000000001</v>
      </c>
      <c r="D1138" s="105">
        <v>41865</v>
      </c>
      <c r="E1138">
        <v>1.7212000000000001</v>
      </c>
      <c r="G1138" s="105">
        <v>41865</v>
      </c>
      <c r="H1138">
        <v>1.3365</v>
      </c>
    </row>
    <row r="1139" spans="1:8">
      <c r="A1139" s="105">
        <v>41427</v>
      </c>
      <c r="B1139">
        <v>2.1339000000000001</v>
      </c>
      <c r="D1139" s="105">
        <v>41866</v>
      </c>
      <c r="E1139">
        <v>1.7189000000000001</v>
      </c>
      <c r="G1139" s="105">
        <v>41866</v>
      </c>
      <c r="H1139">
        <v>1.3401000000000001</v>
      </c>
    </row>
    <row r="1140" spans="1:8">
      <c r="A1140" s="105">
        <v>41428</v>
      </c>
      <c r="B1140">
        <v>2.1395</v>
      </c>
      <c r="D1140" s="105">
        <v>41869</v>
      </c>
      <c r="E1140">
        <v>1.7223999999999999</v>
      </c>
      <c r="G1140" s="105">
        <v>41869</v>
      </c>
      <c r="H1140">
        <v>1.3364</v>
      </c>
    </row>
    <row r="1141" spans="1:8">
      <c r="A1141" s="105">
        <v>41429</v>
      </c>
      <c r="B1141">
        <v>2.1374</v>
      </c>
      <c r="D1141" s="105">
        <v>41870</v>
      </c>
      <c r="E1141">
        <v>1.7255</v>
      </c>
      <c r="G1141" s="105">
        <v>41870</v>
      </c>
      <c r="H1141">
        <v>1.3320000000000001</v>
      </c>
    </row>
    <row r="1142" spans="1:8">
      <c r="A1142" s="105">
        <v>41430</v>
      </c>
      <c r="B1142">
        <v>2.1381000000000001</v>
      </c>
      <c r="D1142" s="105">
        <v>41871</v>
      </c>
      <c r="E1142">
        <v>1.7327999999999999</v>
      </c>
      <c r="G1142" s="105">
        <v>41871</v>
      </c>
      <c r="H1142">
        <v>1.3259000000000001</v>
      </c>
    </row>
    <row r="1143" spans="1:8">
      <c r="A1143" s="105">
        <v>41431</v>
      </c>
      <c r="B1143">
        <v>2.1482000000000001</v>
      </c>
      <c r="D1143" s="105">
        <v>41872</v>
      </c>
      <c r="E1143">
        <v>1.7250000000000001</v>
      </c>
      <c r="G1143" s="105">
        <v>41872</v>
      </c>
      <c r="H1143">
        <v>1.3281000000000001</v>
      </c>
    </row>
    <row r="1144" spans="1:8">
      <c r="A1144" s="105">
        <v>41432</v>
      </c>
      <c r="B1144">
        <v>2.1465999999999998</v>
      </c>
      <c r="D1144" s="105">
        <v>41873</v>
      </c>
      <c r="E1144">
        <v>1.7327999999999999</v>
      </c>
      <c r="G1144" s="105">
        <v>41873</v>
      </c>
      <c r="H1144">
        <v>1.3242</v>
      </c>
    </row>
    <row r="1145" spans="1:8">
      <c r="A1145" s="105">
        <v>41433</v>
      </c>
      <c r="B1145">
        <v>2.1492</v>
      </c>
      <c r="D1145" s="105">
        <v>41876</v>
      </c>
      <c r="E1145">
        <v>1.7359</v>
      </c>
      <c r="G1145" s="105">
        <v>41876</v>
      </c>
      <c r="H1145">
        <v>1.3191999999999999</v>
      </c>
    </row>
    <row r="1146" spans="1:8">
      <c r="A1146" s="105">
        <v>41434</v>
      </c>
      <c r="B1146">
        <v>2.1459999999999999</v>
      </c>
      <c r="D1146" s="105">
        <v>41877</v>
      </c>
      <c r="E1146">
        <v>1.7376</v>
      </c>
      <c r="G1146" s="105">
        <v>41877</v>
      </c>
      <c r="H1146">
        <v>1.3167</v>
      </c>
    </row>
    <row r="1147" spans="1:8">
      <c r="A1147" s="105">
        <v>41435</v>
      </c>
      <c r="B1147">
        <v>2.1539000000000001</v>
      </c>
      <c r="D1147" s="105">
        <v>41878</v>
      </c>
      <c r="E1147">
        <v>1.7364999999999999</v>
      </c>
      <c r="G1147" s="105">
        <v>41878</v>
      </c>
      <c r="H1147">
        <v>1.3192999999999999</v>
      </c>
    </row>
    <row r="1148" spans="1:8">
      <c r="A1148" s="105">
        <v>41436</v>
      </c>
      <c r="B1148">
        <v>2.1610999999999998</v>
      </c>
      <c r="D1148" s="105">
        <v>41879</v>
      </c>
      <c r="E1148">
        <v>1.7383999999999999</v>
      </c>
      <c r="G1148" s="105">
        <v>41879</v>
      </c>
      <c r="H1148">
        <v>1.3182</v>
      </c>
    </row>
    <row r="1149" spans="1:8">
      <c r="A1149" s="105">
        <v>41437</v>
      </c>
      <c r="B1149">
        <v>2.1627999999999998</v>
      </c>
      <c r="D1149" s="105">
        <v>41880</v>
      </c>
      <c r="E1149">
        <v>1.7432000000000001</v>
      </c>
      <c r="G1149" s="105">
        <v>41880</v>
      </c>
      <c r="H1149">
        <v>1.3131999999999999</v>
      </c>
    </row>
    <row r="1150" spans="1:8">
      <c r="A1150" s="105">
        <v>41438</v>
      </c>
      <c r="B1150">
        <v>2.1644000000000001</v>
      </c>
      <c r="D1150" s="105">
        <v>41883</v>
      </c>
      <c r="E1150">
        <v>1.7433000000000001</v>
      </c>
      <c r="G1150" s="105">
        <v>41883</v>
      </c>
      <c r="H1150">
        <v>1.3128</v>
      </c>
    </row>
    <row r="1151" spans="1:8">
      <c r="A1151" s="105">
        <v>41439</v>
      </c>
      <c r="B1151">
        <v>2.1631999999999998</v>
      </c>
      <c r="D1151" s="105">
        <v>41884</v>
      </c>
      <c r="E1151">
        <v>1.7426999999999999</v>
      </c>
      <c r="G1151" s="105">
        <v>41884</v>
      </c>
      <c r="H1151">
        <v>1.3132999999999999</v>
      </c>
    </row>
    <row r="1152" spans="1:8">
      <c r="A1152" s="105">
        <v>41440</v>
      </c>
      <c r="B1152">
        <v>2.1646000000000001</v>
      </c>
      <c r="D1152" s="105">
        <v>41885</v>
      </c>
      <c r="E1152">
        <v>1.7413000000000001</v>
      </c>
      <c r="G1152" s="105">
        <v>41885</v>
      </c>
      <c r="H1152">
        <v>1.3149999999999999</v>
      </c>
    </row>
    <row r="1153" spans="1:8">
      <c r="A1153" s="105">
        <v>41441</v>
      </c>
      <c r="B1153">
        <v>2.1625999999999999</v>
      </c>
      <c r="D1153" s="105">
        <v>41886</v>
      </c>
      <c r="E1153">
        <v>1.7596000000000001</v>
      </c>
      <c r="G1153" s="105">
        <v>41886</v>
      </c>
      <c r="H1153">
        <v>1.2944</v>
      </c>
    </row>
    <row r="1154" spans="1:8">
      <c r="A1154" s="105">
        <v>41442</v>
      </c>
      <c r="B1154">
        <v>2.1640000000000001</v>
      </c>
      <c r="D1154" s="105">
        <v>41887</v>
      </c>
      <c r="E1154">
        <v>1.7592000000000001</v>
      </c>
      <c r="G1154" s="105">
        <v>41887</v>
      </c>
      <c r="H1154">
        <v>1.2950999999999999</v>
      </c>
    </row>
    <row r="1155" spans="1:8">
      <c r="A1155" s="105">
        <v>41443</v>
      </c>
      <c r="B1155">
        <v>2.1678999999999999</v>
      </c>
      <c r="D1155" s="105">
        <v>41890</v>
      </c>
      <c r="E1155">
        <v>1.7649999999999999</v>
      </c>
      <c r="G1155" s="105">
        <v>41890</v>
      </c>
      <c r="H1155">
        <v>1.2895000000000001</v>
      </c>
    </row>
    <row r="1156" spans="1:8">
      <c r="A1156" s="105">
        <v>41444</v>
      </c>
      <c r="B1156">
        <v>2.1602999999999999</v>
      </c>
      <c r="D1156" s="105">
        <v>41891</v>
      </c>
      <c r="E1156">
        <v>1.7626999999999999</v>
      </c>
      <c r="G1156" s="105">
        <v>41891</v>
      </c>
      <c r="H1156">
        <v>1.2937000000000001</v>
      </c>
    </row>
    <row r="1157" spans="1:8">
      <c r="A1157" s="105">
        <v>41445</v>
      </c>
      <c r="B1157">
        <v>2.1614</v>
      </c>
      <c r="D1157" s="105">
        <v>41892</v>
      </c>
      <c r="E1157">
        <v>1.7641</v>
      </c>
      <c r="G1157" s="105">
        <v>41892</v>
      </c>
      <c r="H1157">
        <v>1.2917000000000001</v>
      </c>
    </row>
    <row r="1158" spans="1:8">
      <c r="A1158" s="105">
        <v>41446</v>
      </c>
      <c r="B1158">
        <v>2.1573000000000002</v>
      </c>
      <c r="D1158" s="105">
        <v>41893</v>
      </c>
      <c r="E1158">
        <v>1.7642</v>
      </c>
      <c r="G1158" s="105">
        <v>41893</v>
      </c>
      <c r="H1158">
        <v>1.2925</v>
      </c>
    </row>
    <row r="1159" spans="1:8">
      <c r="A1159" s="105">
        <v>41447</v>
      </c>
      <c r="B1159">
        <v>2.1566999999999998</v>
      </c>
      <c r="D1159" s="105">
        <v>41894</v>
      </c>
      <c r="E1159">
        <v>1.7593000000000001</v>
      </c>
      <c r="G1159" s="105">
        <v>41894</v>
      </c>
      <c r="H1159">
        <v>1.2963</v>
      </c>
    </row>
    <row r="1160" spans="1:8">
      <c r="A1160" s="105">
        <v>41448</v>
      </c>
      <c r="B1160">
        <v>2.1509999999999998</v>
      </c>
      <c r="D1160" s="105">
        <v>41897</v>
      </c>
      <c r="E1160">
        <v>1.7659</v>
      </c>
      <c r="G1160" s="105">
        <v>41897</v>
      </c>
      <c r="H1160">
        <v>1.294</v>
      </c>
    </row>
    <row r="1161" spans="1:8">
      <c r="A1161" s="105">
        <v>41449</v>
      </c>
      <c r="B1161">
        <v>2.1564999999999999</v>
      </c>
      <c r="D1161" s="105">
        <v>41898</v>
      </c>
      <c r="E1161">
        <v>1.7685999999999999</v>
      </c>
      <c r="G1161" s="105">
        <v>41898</v>
      </c>
      <c r="H1161">
        <v>1.296</v>
      </c>
    </row>
    <row r="1162" spans="1:8">
      <c r="A1162" s="105">
        <v>41450</v>
      </c>
      <c r="B1162">
        <v>2.1555</v>
      </c>
      <c r="D1162" s="105">
        <v>41899</v>
      </c>
      <c r="E1162">
        <v>1.7755000000000001</v>
      </c>
      <c r="G1162" s="105">
        <v>41899</v>
      </c>
      <c r="H1162">
        <v>1.2865</v>
      </c>
    </row>
    <row r="1163" spans="1:8">
      <c r="A1163" s="105">
        <v>41451</v>
      </c>
      <c r="B1163">
        <v>2.1541000000000001</v>
      </c>
      <c r="D1163" s="105">
        <v>41900</v>
      </c>
      <c r="E1163">
        <v>1.7703</v>
      </c>
      <c r="G1163" s="105">
        <v>41900</v>
      </c>
      <c r="H1163">
        <v>1.2923</v>
      </c>
    </row>
    <row r="1164" spans="1:8">
      <c r="A1164" s="105">
        <v>41452</v>
      </c>
      <c r="B1164">
        <v>2.1579999999999999</v>
      </c>
      <c r="D1164" s="105">
        <v>41901</v>
      </c>
      <c r="E1164">
        <v>1.7837000000000001</v>
      </c>
      <c r="G1164" s="105">
        <v>41901</v>
      </c>
      <c r="H1164">
        <v>1.2828999999999999</v>
      </c>
    </row>
    <row r="1165" spans="1:8">
      <c r="A1165" s="105">
        <v>41453</v>
      </c>
      <c r="B1165">
        <v>2.1535000000000002</v>
      </c>
      <c r="D1165" s="105">
        <v>41904</v>
      </c>
      <c r="E1165">
        <v>1.7815000000000001</v>
      </c>
      <c r="G1165" s="105">
        <v>41904</v>
      </c>
      <c r="H1165">
        <v>1.2848999999999999</v>
      </c>
    </row>
    <row r="1166" spans="1:8">
      <c r="A1166" s="105">
        <v>41454</v>
      </c>
      <c r="B1166">
        <v>2.157</v>
      </c>
      <c r="D1166" s="105">
        <v>41905</v>
      </c>
      <c r="E1166">
        <v>1.7802</v>
      </c>
      <c r="G1166" s="105">
        <v>41905</v>
      </c>
      <c r="H1166">
        <v>1.2847</v>
      </c>
    </row>
    <row r="1167" spans="1:8">
      <c r="A1167" s="105">
        <v>41455</v>
      </c>
      <c r="B1167">
        <v>2.1602999999999999</v>
      </c>
      <c r="D1167" s="105">
        <v>41906</v>
      </c>
      <c r="E1167">
        <v>1.7879</v>
      </c>
      <c r="G1167" s="105">
        <v>41906</v>
      </c>
      <c r="H1167">
        <v>1.278</v>
      </c>
    </row>
    <row r="1168" spans="1:8">
      <c r="A1168" s="105">
        <v>41456</v>
      </c>
      <c r="B1168">
        <v>2.1587999999999998</v>
      </c>
      <c r="D1168" s="105">
        <v>41907</v>
      </c>
      <c r="E1168">
        <v>1.7907999999999999</v>
      </c>
      <c r="G1168" s="105">
        <v>41907</v>
      </c>
      <c r="H1168">
        <v>1.2750999999999999</v>
      </c>
    </row>
    <row r="1169" spans="1:8">
      <c r="A1169" s="105">
        <v>41457</v>
      </c>
      <c r="B1169">
        <v>2.1596000000000002</v>
      </c>
      <c r="D1169" s="105">
        <v>41908</v>
      </c>
      <c r="E1169">
        <v>1.7975000000000001</v>
      </c>
      <c r="G1169" s="105">
        <v>41908</v>
      </c>
      <c r="H1169">
        <v>1.2684</v>
      </c>
    </row>
    <row r="1170" spans="1:8">
      <c r="A1170" s="105">
        <v>41458</v>
      </c>
      <c r="B1170">
        <v>2.1650999999999998</v>
      </c>
      <c r="D1170" s="105">
        <v>41911</v>
      </c>
      <c r="E1170">
        <v>1.7955000000000001</v>
      </c>
      <c r="G1170" s="105">
        <v>41911</v>
      </c>
      <c r="H1170">
        <v>1.2685</v>
      </c>
    </row>
    <row r="1171" spans="1:8">
      <c r="A1171" s="105">
        <v>41459</v>
      </c>
      <c r="B1171">
        <v>2.1631999999999998</v>
      </c>
      <c r="D1171" s="105">
        <v>41912</v>
      </c>
      <c r="E1171">
        <v>1.8017000000000001</v>
      </c>
      <c r="G1171" s="105">
        <v>41912</v>
      </c>
      <c r="H1171">
        <v>1.2630999999999999</v>
      </c>
    </row>
    <row r="1172" spans="1:8">
      <c r="A1172" s="105">
        <v>41460</v>
      </c>
      <c r="B1172">
        <v>2.161</v>
      </c>
      <c r="D1172" s="105">
        <v>41913</v>
      </c>
      <c r="E1172">
        <v>1.8032999999999999</v>
      </c>
      <c r="G1172" s="105">
        <v>41913</v>
      </c>
      <c r="H1172">
        <v>1.2623</v>
      </c>
    </row>
    <row r="1173" spans="1:8">
      <c r="A1173" s="105">
        <v>41461</v>
      </c>
      <c r="B1173">
        <v>2.1547999999999998</v>
      </c>
      <c r="D1173" s="105">
        <v>41914</v>
      </c>
      <c r="E1173">
        <v>1.7971999999999999</v>
      </c>
      <c r="G1173" s="105">
        <v>41914</v>
      </c>
      <c r="H1173">
        <v>1.2668999999999999</v>
      </c>
    </row>
    <row r="1174" spans="1:8">
      <c r="A1174" s="105">
        <v>41462</v>
      </c>
      <c r="B1174">
        <v>2.1541999999999999</v>
      </c>
      <c r="D1174" s="105">
        <v>41915</v>
      </c>
      <c r="E1174">
        <v>1.8165</v>
      </c>
      <c r="G1174" s="105">
        <v>41915</v>
      </c>
      <c r="H1174">
        <v>1.2516</v>
      </c>
    </row>
    <row r="1175" spans="1:8">
      <c r="A1175" s="105">
        <v>41463</v>
      </c>
      <c r="B1175">
        <v>2.1558999999999999</v>
      </c>
      <c r="D1175" s="105">
        <v>41918</v>
      </c>
      <c r="E1175">
        <v>1.7964</v>
      </c>
      <c r="G1175" s="105">
        <v>41918</v>
      </c>
      <c r="H1175">
        <v>1.2655000000000001</v>
      </c>
    </row>
    <row r="1176" spans="1:8">
      <c r="A1176" s="105">
        <v>41464</v>
      </c>
      <c r="B1176">
        <v>2.1585000000000001</v>
      </c>
      <c r="D1176" s="105">
        <v>41919</v>
      </c>
      <c r="E1176">
        <v>1.7956000000000001</v>
      </c>
      <c r="G1176" s="105">
        <v>41919</v>
      </c>
      <c r="H1176">
        <v>1.2668999999999999</v>
      </c>
    </row>
    <row r="1177" spans="1:8">
      <c r="A1177" s="105">
        <v>41465</v>
      </c>
      <c r="B1177">
        <v>2.1642000000000001</v>
      </c>
      <c r="D1177" s="105">
        <v>41920</v>
      </c>
      <c r="E1177">
        <v>1.7875000000000001</v>
      </c>
      <c r="G1177" s="105">
        <v>41920</v>
      </c>
      <c r="H1177">
        <v>1.2734000000000001</v>
      </c>
    </row>
    <row r="1178" spans="1:8">
      <c r="A1178" s="105">
        <v>41466</v>
      </c>
      <c r="B1178">
        <v>2.1675</v>
      </c>
      <c r="D1178" s="105">
        <v>41921</v>
      </c>
      <c r="E1178">
        <v>1.7944</v>
      </c>
      <c r="G1178" s="105">
        <v>41921</v>
      </c>
      <c r="H1178">
        <v>1.2690999999999999</v>
      </c>
    </row>
    <row r="1179" spans="1:8">
      <c r="A1179" s="105">
        <v>41467</v>
      </c>
      <c r="B1179">
        <v>2.1709000000000001</v>
      </c>
      <c r="D1179" s="105">
        <v>41922</v>
      </c>
      <c r="E1179">
        <v>1.8013999999999999</v>
      </c>
      <c r="G1179" s="105">
        <v>41922</v>
      </c>
      <c r="H1179">
        <v>1.2627999999999999</v>
      </c>
    </row>
    <row r="1180" spans="1:8">
      <c r="A1180" s="105">
        <v>41468</v>
      </c>
      <c r="B1180">
        <v>2.1772999999999998</v>
      </c>
      <c r="D1180" s="105">
        <v>41925</v>
      </c>
      <c r="E1180">
        <v>1.7891999999999999</v>
      </c>
      <c r="G1180" s="105">
        <v>41925</v>
      </c>
      <c r="H1180">
        <v>1.2751999999999999</v>
      </c>
    </row>
    <row r="1181" spans="1:8">
      <c r="A1181" s="105">
        <v>41469</v>
      </c>
      <c r="B1181">
        <v>2.1762999999999999</v>
      </c>
      <c r="D1181" s="105">
        <v>41926</v>
      </c>
      <c r="E1181">
        <v>1.8031999999999999</v>
      </c>
      <c r="G1181" s="105">
        <v>41926</v>
      </c>
      <c r="H1181">
        <v>1.2658</v>
      </c>
    </row>
    <row r="1182" spans="1:8">
      <c r="A1182" s="105">
        <v>41470</v>
      </c>
      <c r="B1182">
        <v>2.1722000000000001</v>
      </c>
      <c r="D1182" s="105">
        <v>41927</v>
      </c>
      <c r="E1182">
        <v>1.7814000000000001</v>
      </c>
      <c r="G1182" s="105">
        <v>41927</v>
      </c>
      <c r="H1182">
        <v>1.2838000000000001</v>
      </c>
    </row>
    <row r="1183" spans="1:8">
      <c r="A1183" s="105">
        <v>41471</v>
      </c>
      <c r="B1183">
        <v>2.1814</v>
      </c>
      <c r="D1183" s="105">
        <v>41928</v>
      </c>
      <c r="E1183">
        <v>1.7907</v>
      </c>
      <c r="G1183" s="105">
        <v>41928</v>
      </c>
      <c r="H1183">
        <v>1.2808999999999999</v>
      </c>
    </row>
    <row r="1184" spans="1:8">
      <c r="A1184" s="105">
        <v>41472</v>
      </c>
      <c r="B1184">
        <v>2.1749000000000001</v>
      </c>
      <c r="D1184" s="105">
        <v>41929</v>
      </c>
      <c r="E1184">
        <v>1.7961</v>
      </c>
      <c r="G1184" s="105">
        <v>41929</v>
      </c>
      <c r="H1184">
        <v>1.2761</v>
      </c>
    </row>
    <row r="1185" spans="1:8">
      <c r="A1185" s="105">
        <v>41473</v>
      </c>
      <c r="B1185">
        <v>2.1768999999999998</v>
      </c>
      <c r="D1185" s="105">
        <v>41932</v>
      </c>
      <c r="E1185">
        <v>1.7907999999999999</v>
      </c>
      <c r="G1185" s="105">
        <v>41932</v>
      </c>
      <c r="H1185">
        <v>1.28</v>
      </c>
    </row>
    <row r="1186" spans="1:8">
      <c r="A1186" s="105">
        <v>41474</v>
      </c>
      <c r="B1186">
        <v>2.1812999999999998</v>
      </c>
      <c r="D1186" s="105">
        <v>41933</v>
      </c>
      <c r="E1186">
        <v>1.8</v>
      </c>
      <c r="G1186" s="105">
        <v>41933</v>
      </c>
      <c r="H1186">
        <v>1.2716000000000001</v>
      </c>
    </row>
    <row r="1187" spans="1:8">
      <c r="A1187" s="105">
        <v>41475</v>
      </c>
      <c r="B1187">
        <v>2.1812999999999998</v>
      </c>
      <c r="D1187" s="105">
        <v>41934</v>
      </c>
      <c r="E1187">
        <v>1.8057000000000001</v>
      </c>
      <c r="G1187" s="105">
        <v>41934</v>
      </c>
      <c r="H1187">
        <v>1.2648999999999999</v>
      </c>
    </row>
    <row r="1188" spans="1:8">
      <c r="A1188" s="105">
        <v>41476</v>
      </c>
      <c r="B1188">
        <v>2.1787999999999998</v>
      </c>
      <c r="D1188" s="105">
        <v>41935</v>
      </c>
      <c r="E1188">
        <v>1.8073999999999999</v>
      </c>
      <c r="G1188" s="105">
        <v>41935</v>
      </c>
      <c r="H1188">
        <v>1.2645999999999999</v>
      </c>
    </row>
    <row r="1189" spans="1:8">
      <c r="A1189" s="105">
        <v>41477</v>
      </c>
      <c r="B1189">
        <v>2.1854</v>
      </c>
      <c r="D1189" s="105">
        <v>41936</v>
      </c>
      <c r="E1189">
        <v>1.8043</v>
      </c>
      <c r="G1189" s="105">
        <v>41936</v>
      </c>
      <c r="H1189">
        <v>1.2670999999999999</v>
      </c>
    </row>
    <row r="1190" spans="1:8">
      <c r="A1190" s="105">
        <v>41478</v>
      </c>
      <c r="B1190">
        <v>2.1880999999999999</v>
      </c>
      <c r="D1190" s="105">
        <v>41939</v>
      </c>
      <c r="E1190">
        <v>1.8022</v>
      </c>
      <c r="G1190" s="105">
        <v>41939</v>
      </c>
      <c r="H1190">
        <v>1.2698</v>
      </c>
    </row>
    <row r="1191" spans="1:8">
      <c r="A1191" s="105">
        <v>41479</v>
      </c>
      <c r="B1191">
        <v>2.1863999999999999</v>
      </c>
      <c r="D1191" s="105">
        <v>41940</v>
      </c>
      <c r="E1191">
        <v>1.7994000000000001</v>
      </c>
      <c r="G1191" s="105">
        <v>41940</v>
      </c>
      <c r="H1191">
        <v>1.2734000000000001</v>
      </c>
    </row>
    <row r="1192" spans="1:8">
      <c r="A1192" s="105">
        <v>41480</v>
      </c>
      <c r="B1192">
        <v>2.1924000000000001</v>
      </c>
      <c r="D1192" s="105">
        <v>41941</v>
      </c>
      <c r="E1192">
        <v>1.8078000000000001</v>
      </c>
      <c r="G1192" s="105">
        <v>41941</v>
      </c>
      <c r="H1192">
        <v>1.2632000000000001</v>
      </c>
    </row>
    <row r="1193" spans="1:8">
      <c r="A1193" s="105">
        <v>41481</v>
      </c>
      <c r="B1193">
        <v>2.1932</v>
      </c>
      <c r="D1193" s="105">
        <v>41942</v>
      </c>
      <c r="E1193">
        <v>1.81</v>
      </c>
      <c r="G1193" s="105">
        <v>41942</v>
      </c>
      <c r="H1193">
        <v>1.2613000000000001</v>
      </c>
    </row>
    <row r="1194" spans="1:8">
      <c r="A1194" s="105">
        <v>41482</v>
      </c>
      <c r="B1194">
        <v>2.1932999999999998</v>
      </c>
      <c r="D1194" s="105">
        <v>41943</v>
      </c>
      <c r="E1194">
        <v>1.8188</v>
      </c>
      <c r="G1194" s="105">
        <v>41943</v>
      </c>
      <c r="H1194">
        <v>1.2524999999999999</v>
      </c>
    </row>
    <row r="1195" spans="1:8">
      <c r="A1195" s="105">
        <v>41483</v>
      </c>
      <c r="B1195">
        <v>2.1920000000000002</v>
      </c>
      <c r="D1195" s="105">
        <v>41946</v>
      </c>
      <c r="E1195">
        <v>1.8259000000000001</v>
      </c>
      <c r="G1195" s="105">
        <v>41946</v>
      </c>
      <c r="H1195">
        <v>1.2482</v>
      </c>
    </row>
    <row r="1196" spans="1:8">
      <c r="A1196" s="105">
        <v>41484</v>
      </c>
      <c r="B1196">
        <v>2.1913999999999998</v>
      </c>
      <c r="D1196" s="105">
        <v>41947</v>
      </c>
      <c r="E1196">
        <v>1.8168</v>
      </c>
      <c r="G1196" s="105">
        <v>41947</v>
      </c>
      <c r="H1196">
        <v>1.2545999999999999</v>
      </c>
    </row>
    <row r="1197" spans="1:8">
      <c r="A1197" s="105">
        <v>41485</v>
      </c>
      <c r="B1197">
        <v>2.1909000000000001</v>
      </c>
      <c r="D1197" s="105">
        <v>41948</v>
      </c>
      <c r="E1197">
        <v>1.8239000000000001</v>
      </c>
      <c r="G1197" s="105">
        <v>41948</v>
      </c>
      <c r="H1197">
        <v>1.2485999999999999</v>
      </c>
    </row>
    <row r="1198" spans="1:8">
      <c r="A1198" s="105">
        <v>41486</v>
      </c>
      <c r="B1198">
        <v>2.1917</v>
      </c>
      <c r="D1198" s="105">
        <v>41949</v>
      </c>
      <c r="E1198">
        <v>1.8394999999999999</v>
      </c>
      <c r="G1198" s="105">
        <v>41949</v>
      </c>
      <c r="H1198">
        <v>1.2375</v>
      </c>
    </row>
    <row r="1199" spans="1:8">
      <c r="A1199" s="105">
        <v>41487</v>
      </c>
      <c r="B1199">
        <v>2.1896</v>
      </c>
      <c r="D1199" s="105">
        <v>41950</v>
      </c>
      <c r="E1199">
        <v>1.8299000000000001</v>
      </c>
      <c r="G1199" s="105">
        <v>41950</v>
      </c>
      <c r="H1199">
        <v>1.2455000000000001</v>
      </c>
    </row>
    <row r="1200" spans="1:8">
      <c r="A1200" s="105">
        <v>41488</v>
      </c>
      <c r="B1200">
        <v>2.1922000000000001</v>
      </c>
      <c r="D1200" s="105">
        <v>41953</v>
      </c>
      <c r="E1200">
        <v>1.8364</v>
      </c>
      <c r="G1200" s="105">
        <v>41953</v>
      </c>
      <c r="H1200">
        <v>1.2421</v>
      </c>
    </row>
    <row r="1201" spans="1:8">
      <c r="A1201" s="105">
        <v>41489</v>
      </c>
      <c r="B1201">
        <v>2.1890000000000001</v>
      </c>
      <c r="D1201" s="105">
        <v>41954</v>
      </c>
      <c r="E1201">
        <v>1.827</v>
      </c>
      <c r="G1201" s="105">
        <v>41954</v>
      </c>
      <c r="H1201">
        <v>1.2475000000000001</v>
      </c>
    </row>
    <row r="1202" spans="1:8">
      <c r="A1202" s="105">
        <v>41490</v>
      </c>
      <c r="B1202">
        <v>2.1922999999999999</v>
      </c>
      <c r="D1202" s="105">
        <v>41955</v>
      </c>
      <c r="E1202">
        <v>1.8335999999999999</v>
      </c>
      <c r="G1202" s="105">
        <v>41955</v>
      </c>
      <c r="H1202">
        <v>1.2438</v>
      </c>
    </row>
    <row r="1203" spans="1:8">
      <c r="A1203" s="105">
        <v>41491</v>
      </c>
      <c r="B1203">
        <v>2.1953</v>
      </c>
      <c r="D1203" s="105">
        <v>41956</v>
      </c>
      <c r="E1203">
        <v>1.8318000000000001</v>
      </c>
      <c r="G1203" s="105">
        <v>41956</v>
      </c>
      <c r="H1203">
        <v>1.2477</v>
      </c>
    </row>
    <row r="1204" spans="1:8">
      <c r="A1204" s="105">
        <v>41492</v>
      </c>
      <c r="B1204">
        <v>2.1978</v>
      </c>
      <c r="D1204" s="105">
        <v>41957</v>
      </c>
      <c r="E1204">
        <v>1.8285</v>
      </c>
      <c r="G1204" s="105">
        <v>41957</v>
      </c>
      <c r="H1204">
        <v>1.2524999999999999</v>
      </c>
    </row>
    <row r="1205" spans="1:8">
      <c r="A1205" s="105">
        <v>41493</v>
      </c>
      <c r="B1205">
        <v>2.1989999999999998</v>
      </c>
      <c r="D1205" s="105">
        <v>41960</v>
      </c>
      <c r="E1205">
        <v>1.8352999999999999</v>
      </c>
      <c r="G1205" s="105">
        <v>41960</v>
      </c>
      <c r="H1205">
        <v>1.2450000000000001</v>
      </c>
    </row>
    <row r="1206" spans="1:8">
      <c r="A1206" s="105">
        <v>41494</v>
      </c>
      <c r="B1206">
        <v>2.2010999999999998</v>
      </c>
      <c r="D1206" s="105">
        <v>41961</v>
      </c>
      <c r="E1206">
        <v>1.8292999999999999</v>
      </c>
      <c r="G1206" s="105">
        <v>41961</v>
      </c>
      <c r="H1206">
        <v>1.2536</v>
      </c>
    </row>
    <row r="1207" spans="1:8">
      <c r="A1207" s="105">
        <v>41495</v>
      </c>
      <c r="B1207">
        <v>2.1995</v>
      </c>
      <c r="D1207" s="105">
        <v>41962</v>
      </c>
      <c r="E1207">
        <v>1.8257000000000001</v>
      </c>
      <c r="G1207" s="105">
        <v>41962</v>
      </c>
      <c r="H1207">
        <v>1.2554000000000001</v>
      </c>
    </row>
    <row r="1208" spans="1:8">
      <c r="A1208" s="105">
        <v>41496</v>
      </c>
      <c r="B1208">
        <v>2.1993</v>
      </c>
      <c r="D1208" s="105">
        <v>41963</v>
      </c>
      <c r="E1208">
        <v>1.8286</v>
      </c>
      <c r="G1208" s="105">
        <v>41963</v>
      </c>
      <c r="H1208">
        <v>1.2539</v>
      </c>
    </row>
    <row r="1209" spans="1:8">
      <c r="A1209" s="105">
        <v>41497</v>
      </c>
      <c r="B1209">
        <v>2.1993</v>
      </c>
      <c r="D1209" s="105">
        <v>41964</v>
      </c>
      <c r="E1209">
        <v>1.8374999999999999</v>
      </c>
      <c r="G1209" s="105">
        <v>41964</v>
      </c>
      <c r="H1209">
        <v>1.2391000000000001</v>
      </c>
    </row>
    <row r="1210" spans="1:8">
      <c r="A1210" s="105">
        <v>41498</v>
      </c>
      <c r="B1210">
        <v>2.1959</v>
      </c>
      <c r="D1210" s="105">
        <v>41967</v>
      </c>
      <c r="E1210">
        <v>1.8406</v>
      </c>
      <c r="G1210" s="105">
        <v>41967</v>
      </c>
      <c r="H1210">
        <v>1.2442</v>
      </c>
    </row>
    <row r="1211" spans="1:8">
      <c r="A1211" s="105">
        <v>41499</v>
      </c>
      <c r="B1211">
        <v>2.1928000000000001</v>
      </c>
      <c r="D1211" s="105">
        <v>41968</v>
      </c>
      <c r="E1211">
        <v>1.8353999999999999</v>
      </c>
      <c r="G1211" s="105">
        <v>41968</v>
      </c>
      <c r="H1211">
        <v>1.2474000000000001</v>
      </c>
    </row>
    <row r="1212" spans="1:8">
      <c r="A1212" s="105">
        <v>41500</v>
      </c>
      <c r="B1212">
        <v>2.1930000000000001</v>
      </c>
      <c r="D1212" s="105">
        <v>41969</v>
      </c>
      <c r="E1212">
        <v>1.835</v>
      </c>
      <c r="G1212" s="105">
        <v>41969</v>
      </c>
      <c r="H1212">
        <v>1.2505999999999999</v>
      </c>
    </row>
    <row r="1213" spans="1:8">
      <c r="A1213" s="105">
        <v>41501</v>
      </c>
      <c r="B1213">
        <v>2.2048000000000001</v>
      </c>
      <c r="D1213" s="105">
        <v>41970</v>
      </c>
      <c r="E1213">
        <v>1.8412999999999999</v>
      </c>
      <c r="G1213" s="105">
        <v>41970</v>
      </c>
      <c r="H1213">
        <v>1.2466999999999999</v>
      </c>
    </row>
    <row r="1214" spans="1:8">
      <c r="A1214" s="105">
        <v>41502</v>
      </c>
      <c r="B1214">
        <v>2.2021999999999999</v>
      </c>
      <c r="D1214" s="105">
        <v>41971</v>
      </c>
      <c r="E1214">
        <v>1.8431999999999999</v>
      </c>
      <c r="G1214" s="105">
        <v>41971</v>
      </c>
      <c r="H1214">
        <v>1.2452000000000001</v>
      </c>
    </row>
    <row r="1215" spans="1:8">
      <c r="A1215" s="105">
        <v>41503</v>
      </c>
      <c r="B1215">
        <v>2.2021000000000002</v>
      </c>
      <c r="D1215" s="105">
        <v>41974</v>
      </c>
      <c r="E1215">
        <v>1.841</v>
      </c>
      <c r="G1215" s="105">
        <v>41974</v>
      </c>
      <c r="H1215">
        <v>1.2470000000000001</v>
      </c>
    </row>
    <row r="1216" spans="1:8">
      <c r="A1216" s="105">
        <v>41505</v>
      </c>
      <c r="B1216">
        <v>2.1888000000000001</v>
      </c>
      <c r="D1216" s="105">
        <v>41975</v>
      </c>
      <c r="E1216">
        <v>1.8468</v>
      </c>
      <c r="G1216" s="105">
        <v>41975</v>
      </c>
      <c r="H1216">
        <v>1.2383</v>
      </c>
    </row>
    <row r="1217" spans="1:8">
      <c r="A1217" s="105">
        <v>41506</v>
      </c>
      <c r="B1217">
        <v>2.1913</v>
      </c>
      <c r="D1217" s="105">
        <v>41976</v>
      </c>
      <c r="E1217">
        <v>1.8567</v>
      </c>
      <c r="G1217" s="105">
        <v>41976</v>
      </c>
      <c r="H1217">
        <v>1.2311000000000001</v>
      </c>
    </row>
    <row r="1218" spans="1:8">
      <c r="A1218" s="105">
        <v>41507</v>
      </c>
      <c r="B1218">
        <v>2.1892999999999998</v>
      </c>
      <c r="D1218" s="105">
        <v>41977</v>
      </c>
      <c r="E1218">
        <v>1.8542000000000001</v>
      </c>
      <c r="G1218" s="105">
        <v>41977</v>
      </c>
      <c r="H1218">
        <v>1.2379</v>
      </c>
    </row>
    <row r="1219" spans="1:8">
      <c r="A1219" s="105">
        <v>41508</v>
      </c>
      <c r="B1219">
        <v>2.1913</v>
      </c>
      <c r="D1219" s="105">
        <v>41978</v>
      </c>
      <c r="E1219">
        <v>1.8552</v>
      </c>
      <c r="G1219" s="105">
        <v>41978</v>
      </c>
      <c r="H1219">
        <v>1.2282999999999999</v>
      </c>
    </row>
    <row r="1220" spans="1:8">
      <c r="A1220" s="105">
        <v>41509</v>
      </c>
      <c r="B1220">
        <v>2.1937000000000002</v>
      </c>
      <c r="D1220" s="105">
        <v>41981</v>
      </c>
      <c r="E1220">
        <v>1.8589</v>
      </c>
      <c r="G1220" s="105">
        <v>41981</v>
      </c>
      <c r="H1220">
        <v>1.2317</v>
      </c>
    </row>
    <row r="1221" spans="1:8">
      <c r="A1221" s="105">
        <v>41510</v>
      </c>
      <c r="B1221">
        <v>2.1941000000000002</v>
      </c>
      <c r="D1221" s="105">
        <v>41982</v>
      </c>
      <c r="E1221">
        <v>1.8537999999999999</v>
      </c>
      <c r="G1221" s="105">
        <v>41982</v>
      </c>
      <c r="H1221">
        <v>1.2374000000000001</v>
      </c>
    </row>
    <row r="1222" spans="1:8">
      <c r="A1222" s="105">
        <v>41511</v>
      </c>
      <c r="B1222">
        <v>2.194</v>
      </c>
      <c r="D1222" s="105">
        <v>41983</v>
      </c>
      <c r="E1222">
        <v>1.8512999999999999</v>
      </c>
      <c r="G1222" s="105">
        <v>41983</v>
      </c>
      <c r="H1222">
        <v>1.2447999999999999</v>
      </c>
    </row>
    <row r="1223" spans="1:8">
      <c r="A1223" s="105">
        <v>41512</v>
      </c>
      <c r="B1223">
        <v>2.1985000000000001</v>
      </c>
      <c r="D1223" s="105">
        <v>41984</v>
      </c>
      <c r="E1223">
        <v>1.8540000000000001</v>
      </c>
      <c r="G1223" s="105">
        <v>41984</v>
      </c>
      <c r="H1223">
        <v>1.2411000000000001</v>
      </c>
    </row>
    <row r="1224" spans="1:8">
      <c r="A1224" s="105">
        <v>41513</v>
      </c>
      <c r="B1224">
        <v>2.1951000000000001</v>
      </c>
      <c r="D1224" s="105">
        <v>41985</v>
      </c>
      <c r="E1224">
        <v>1.8465</v>
      </c>
      <c r="G1224" s="105">
        <v>41985</v>
      </c>
      <c r="H1224">
        <v>1.2462</v>
      </c>
    </row>
    <row r="1225" spans="1:8">
      <c r="A1225" s="105">
        <v>41514</v>
      </c>
      <c r="B1225">
        <v>2.1924000000000001</v>
      </c>
      <c r="D1225" s="105">
        <v>41988</v>
      </c>
      <c r="E1225">
        <v>1.8514999999999999</v>
      </c>
      <c r="G1225" s="105">
        <v>41988</v>
      </c>
      <c r="H1225">
        <v>1.2437</v>
      </c>
    </row>
    <row r="1226" spans="1:8">
      <c r="A1226" s="105">
        <v>41515</v>
      </c>
      <c r="B1226">
        <v>2.1865999999999999</v>
      </c>
      <c r="D1226" s="105">
        <v>41989</v>
      </c>
      <c r="E1226">
        <v>1.8402000000000001</v>
      </c>
      <c r="G1226" s="105">
        <v>41989</v>
      </c>
      <c r="H1226">
        <v>1.2511000000000001</v>
      </c>
    </row>
    <row r="1227" spans="1:8">
      <c r="A1227" s="105">
        <v>41516</v>
      </c>
      <c r="B1227">
        <v>2.1880000000000002</v>
      </c>
      <c r="D1227" s="105">
        <v>41990</v>
      </c>
      <c r="E1227">
        <v>1.8605</v>
      </c>
      <c r="G1227" s="105">
        <v>41990</v>
      </c>
      <c r="H1227">
        <v>1.2342</v>
      </c>
    </row>
    <row r="1228" spans="1:8">
      <c r="A1228" s="105">
        <v>41517</v>
      </c>
      <c r="B1228">
        <v>2.1871999999999998</v>
      </c>
      <c r="D1228" s="105">
        <v>41991</v>
      </c>
      <c r="E1228">
        <v>1.8673</v>
      </c>
      <c r="G1228" s="105">
        <v>41991</v>
      </c>
      <c r="H1228">
        <v>1.2285999999999999</v>
      </c>
    </row>
    <row r="1229" spans="1:8">
      <c r="A1229" s="105">
        <v>41518</v>
      </c>
      <c r="B1229">
        <v>2.1871999999999998</v>
      </c>
      <c r="D1229" s="105">
        <v>41992</v>
      </c>
      <c r="E1229">
        <v>1.8594999999999999</v>
      </c>
      <c r="G1229" s="105">
        <v>41992</v>
      </c>
      <c r="H1229">
        <v>1.2229000000000001</v>
      </c>
    </row>
    <row r="1230" spans="1:8">
      <c r="A1230" s="105">
        <v>41519</v>
      </c>
      <c r="B1230">
        <v>2.1819999999999999</v>
      </c>
      <c r="D1230" s="105">
        <v>41995</v>
      </c>
      <c r="E1230">
        <v>1.8701000000000001</v>
      </c>
      <c r="G1230" s="105">
        <v>41995</v>
      </c>
      <c r="H1230">
        <v>1.2230000000000001</v>
      </c>
    </row>
    <row r="1231" spans="1:8">
      <c r="A1231" s="105">
        <v>41520</v>
      </c>
      <c r="B1231">
        <v>2.1812999999999998</v>
      </c>
      <c r="D1231" s="105">
        <v>41996</v>
      </c>
      <c r="E1231">
        <v>1.8729</v>
      </c>
      <c r="G1231" s="105">
        <v>41996</v>
      </c>
      <c r="H1231">
        <v>1.2172000000000001</v>
      </c>
    </row>
    <row r="1232" spans="1:8">
      <c r="A1232" s="105">
        <v>41521</v>
      </c>
      <c r="B1232">
        <v>2.1947999999999999</v>
      </c>
      <c r="D1232" s="105">
        <v>41997</v>
      </c>
      <c r="E1232">
        <v>1.8643000000000001</v>
      </c>
      <c r="G1232" s="105">
        <v>41997</v>
      </c>
      <c r="H1232">
        <v>1.2196</v>
      </c>
    </row>
    <row r="1233" spans="1:8">
      <c r="A1233" s="105">
        <v>41522</v>
      </c>
      <c r="B1233">
        <v>2.1821999999999999</v>
      </c>
      <c r="D1233" s="105">
        <v>41998</v>
      </c>
      <c r="E1233">
        <v>1.859</v>
      </c>
      <c r="G1233" s="105">
        <v>41998</v>
      </c>
      <c r="H1233">
        <v>1.2224999999999999</v>
      </c>
    </row>
    <row r="1234" spans="1:8">
      <c r="A1234" s="105">
        <v>41523</v>
      </c>
      <c r="B1234">
        <v>2.1829000000000001</v>
      </c>
      <c r="D1234" s="105">
        <v>41999</v>
      </c>
      <c r="E1234">
        <v>1.8615999999999999</v>
      </c>
      <c r="G1234" s="105">
        <v>41999</v>
      </c>
      <c r="H1234">
        <v>1.2182999999999999</v>
      </c>
    </row>
    <row r="1235" spans="1:8">
      <c r="A1235" s="105">
        <v>41524</v>
      </c>
      <c r="B1235">
        <v>2.1873999999999998</v>
      </c>
      <c r="D1235" s="105">
        <v>42002</v>
      </c>
      <c r="E1235">
        <v>1.8652</v>
      </c>
      <c r="G1235" s="105">
        <v>42002</v>
      </c>
      <c r="H1235">
        <v>1.2152000000000001</v>
      </c>
    </row>
    <row r="1236" spans="1:8">
      <c r="A1236" s="105">
        <v>41525</v>
      </c>
      <c r="B1236">
        <v>2.1873999999999998</v>
      </c>
      <c r="D1236" s="105">
        <v>42003</v>
      </c>
      <c r="E1236">
        <v>1.8627</v>
      </c>
      <c r="G1236" s="105">
        <v>42003</v>
      </c>
      <c r="H1236">
        <v>1.2156</v>
      </c>
    </row>
    <row r="1237" spans="1:8">
      <c r="A1237" s="105">
        <v>41526</v>
      </c>
      <c r="B1237">
        <v>2.1890000000000001</v>
      </c>
      <c r="D1237" s="105">
        <v>42004</v>
      </c>
      <c r="E1237">
        <v>1.8637999999999999</v>
      </c>
      <c r="G1237" s="105">
        <v>42004</v>
      </c>
      <c r="H1237">
        <v>1.2098</v>
      </c>
    </row>
    <row r="1238" spans="1:8">
      <c r="A1238" s="105">
        <v>41527</v>
      </c>
      <c r="B1238">
        <v>2.1913999999999998</v>
      </c>
      <c r="D1238" s="105">
        <v>42005</v>
      </c>
      <c r="E1238">
        <v>1.8667</v>
      </c>
      <c r="G1238" s="105">
        <v>42005</v>
      </c>
      <c r="H1238">
        <v>1.2103999999999999</v>
      </c>
    </row>
    <row r="1239" spans="1:8">
      <c r="A1239" s="105">
        <v>41528</v>
      </c>
      <c r="B1239">
        <v>2.1949999999999998</v>
      </c>
      <c r="D1239" s="105">
        <v>42006</v>
      </c>
      <c r="E1239">
        <v>1.8758999999999999</v>
      </c>
      <c r="G1239" s="105">
        <v>42006</v>
      </c>
      <c r="H1239">
        <v>1.2001999999999999</v>
      </c>
    </row>
    <row r="1240" spans="1:8">
      <c r="A1240" s="105">
        <v>41529</v>
      </c>
      <c r="B1240">
        <v>2.1924000000000001</v>
      </c>
      <c r="D1240" s="105">
        <v>42009</v>
      </c>
      <c r="E1240">
        <v>1.8828</v>
      </c>
      <c r="G1240" s="105">
        <v>42009</v>
      </c>
      <c r="H1240">
        <v>1.1933</v>
      </c>
    </row>
    <row r="1241" spans="1:8">
      <c r="A1241" s="105">
        <v>41530</v>
      </c>
      <c r="B1241">
        <v>2.2004999999999999</v>
      </c>
      <c r="D1241" s="105">
        <v>42010</v>
      </c>
      <c r="E1241">
        <v>1.8836999999999999</v>
      </c>
      <c r="G1241" s="105">
        <v>42010</v>
      </c>
      <c r="H1241">
        <v>1.1890000000000001</v>
      </c>
    </row>
    <row r="1242" spans="1:8">
      <c r="A1242" s="105">
        <v>41531</v>
      </c>
      <c r="B1242">
        <v>2.1970000000000001</v>
      </c>
      <c r="D1242" s="105">
        <v>42011</v>
      </c>
      <c r="E1242">
        <v>1.8900999999999999</v>
      </c>
      <c r="G1242" s="105">
        <v>42011</v>
      </c>
      <c r="H1242">
        <v>1.1839</v>
      </c>
    </row>
    <row r="1243" spans="1:8">
      <c r="A1243" s="105">
        <v>41532</v>
      </c>
      <c r="B1243">
        <v>2.2002999999999999</v>
      </c>
      <c r="D1243" s="105">
        <v>42012</v>
      </c>
      <c r="E1243">
        <v>1.8951</v>
      </c>
      <c r="G1243" s="105">
        <v>42012</v>
      </c>
      <c r="H1243">
        <v>1.1793</v>
      </c>
    </row>
    <row r="1244" spans="1:8">
      <c r="A1244" s="105">
        <v>41533</v>
      </c>
      <c r="B1244">
        <v>2.2025999999999999</v>
      </c>
      <c r="D1244" s="105">
        <v>42013</v>
      </c>
      <c r="E1244">
        <v>1.8861000000000001</v>
      </c>
      <c r="G1244" s="105">
        <v>42013</v>
      </c>
      <c r="H1244">
        <v>1.1841999999999999</v>
      </c>
    </row>
    <row r="1245" spans="1:8">
      <c r="A1245" s="105">
        <v>41534</v>
      </c>
      <c r="B1245">
        <v>2.2040000000000002</v>
      </c>
      <c r="D1245" s="105">
        <v>42016</v>
      </c>
      <c r="E1245">
        <v>1.8867</v>
      </c>
      <c r="G1245" s="105">
        <v>42016</v>
      </c>
      <c r="H1245">
        <v>1.1834</v>
      </c>
    </row>
    <row r="1246" spans="1:8">
      <c r="A1246" s="105">
        <v>41535</v>
      </c>
      <c r="B1246">
        <v>2.2126000000000001</v>
      </c>
      <c r="D1246" s="105">
        <v>42017</v>
      </c>
      <c r="E1246">
        <v>1.8984000000000001</v>
      </c>
      <c r="G1246" s="105">
        <v>42017</v>
      </c>
      <c r="H1246">
        <v>1.1773</v>
      </c>
    </row>
    <row r="1247" spans="1:8">
      <c r="A1247" s="105">
        <v>41536</v>
      </c>
      <c r="B1247">
        <v>2.2149999999999999</v>
      </c>
      <c r="D1247" s="105">
        <v>42018</v>
      </c>
      <c r="E1247">
        <v>1.8915999999999999</v>
      </c>
      <c r="G1247" s="105">
        <v>42018</v>
      </c>
      <c r="H1247">
        <v>1.1789000000000001</v>
      </c>
    </row>
    <row r="1248" spans="1:8">
      <c r="A1248" s="105">
        <v>41537</v>
      </c>
      <c r="B1248">
        <v>2.2153</v>
      </c>
      <c r="D1248" s="105">
        <v>42019</v>
      </c>
      <c r="E1248">
        <v>1.9076</v>
      </c>
      <c r="G1248" s="105">
        <v>42019</v>
      </c>
      <c r="H1248">
        <v>1.1633</v>
      </c>
    </row>
    <row r="1249" spans="1:8">
      <c r="A1249" s="105">
        <v>41538</v>
      </c>
      <c r="B1249">
        <v>2.2145000000000001</v>
      </c>
      <c r="D1249" s="105">
        <v>42020</v>
      </c>
      <c r="E1249">
        <v>1.9126000000000001</v>
      </c>
      <c r="G1249" s="105">
        <v>42020</v>
      </c>
      <c r="H1249">
        <v>1.1567000000000001</v>
      </c>
    </row>
    <row r="1250" spans="1:8">
      <c r="A1250" s="105">
        <v>41539</v>
      </c>
      <c r="B1250">
        <v>2.2147000000000001</v>
      </c>
      <c r="D1250" s="105">
        <v>42023</v>
      </c>
      <c r="E1250">
        <v>1.9135</v>
      </c>
      <c r="G1250" s="105">
        <v>42023</v>
      </c>
      <c r="H1250">
        <v>1.1606000000000001</v>
      </c>
    </row>
    <row r="1251" spans="1:8">
      <c r="A1251" s="105">
        <v>41540</v>
      </c>
      <c r="B1251">
        <v>2.2120000000000002</v>
      </c>
      <c r="D1251" s="105">
        <v>42024</v>
      </c>
      <c r="E1251">
        <v>1.9151</v>
      </c>
      <c r="G1251" s="105">
        <v>42024</v>
      </c>
      <c r="H1251">
        <v>1.155</v>
      </c>
    </row>
    <row r="1252" spans="1:8">
      <c r="A1252" s="105">
        <v>41541</v>
      </c>
      <c r="B1252">
        <v>2.2193999999999998</v>
      </c>
      <c r="D1252" s="105">
        <v>42025</v>
      </c>
      <c r="E1252">
        <v>1.9118999999999999</v>
      </c>
      <c r="G1252" s="105">
        <v>42025</v>
      </c>
      <c r="H1252">
        <v>1.161</v>
      </c>
    </row>
    <row r="1253" spans="1:8">
      <c r="A1253" s="105">
        <v>41542</v>
      </c>
      <c r="B1253">
        <v>2.2267000000000001</v>
      </c>
      <c r="D1253" s="105">
        <v>42026</v>
      </c>
      <c r="E1253">
        <v>1.9464999999999999</v>
      </c>
      <c r="G1253" s="105">
        <v>42026</v>
      </c>
      <c r="H1253">
        <v>1.1366000000000001</v>
      </c>
    </row>
    <row r="1254" spans="1:8">
      <c r="A1254" s="105">
        <v>41543</v>
      </c>
      <c r="B1254">
        <v>2.2281</v>
      </c>
      <c r="D1254" s="105">
        <v>42027</v>
      </c>
      <c r="E1254">
        <v>1.9498</v>
      </c>
      <c r="G1254" s="105">
        <v>42027</v>
      </c>
      <c r="H1254">
        <v>1.1204000000000001</v>
      </c>
    </row>
    <row r="1255" spans="1:8">
      <c r="A1255" s="105">
        <v>41544</v>
      </c>
      <c r="B1255">
        <v>2.2317999999999998</v>
      </c>
      <c r="D1255" s="105">
        <v>42030</v>
      </c>
      <c r="E1255">
        <v>1.9428000000000001</v>
      </c>
      <c r="G1255" s="105">
        <v>42030</v>
      </c>
      <c r="H1255">
        <v>1.1237999999999999</v>
      </c>
    </row>
    <row r="1256" spans="1:8">
      <c r="A1256" s="105">
        <v>41545</v>
      </c>
      <c r="B1256">
        <v>2.2298</v>
      </c>
      <c r="D1256" s="105">
        <v>42031</v>
      </c>
      <c r="E1256">
        <v>1.929</v>
      </c>
      <c r="G1256" s="105">
        <v>42031</v>
      </c>
      <c r="H1256">
        <v>1.1380999999999999</v>
      </c>
    </row>
    <row r="1257" spans="1:8">
      <c r="A1257" s="105">
        <v>41546</v>
      </c>
      <c r="B1257">
        <v>2.2282999999999999</v>
      </c>
      <c r="D1257" s="105">
        <v>42032</v>
      </c>
      <c r="E1257">
        <v>1.9375</v>
      </c>
      <c r="G1257" s="105">
        <v>42032</v>
      </c>
      <c r="H1257">
        <v>1.1287</v>
      </c>
    </row>
    <row r="1258" spans="1:8">
      <c r="A1258" s="105">
        <v>41547</v>
      </c>
      <c r="B1258">
        <v>2.2296999999999998</v>
      </c>
      <c r="D1258" s="105">
        <v>42033</v>
      </c>
      <c r="E1258">
        <v>1.9332</v>
      </c>
      <c r="G1258" s="105">
        <v>42033</v>
      </c>
      <c r="H1258">
        <v>1.1319999999999999</v>
      </c>
    </row>
    <row r="1259" spans="1:8">
      <c r="A1259" s="105">
        <v>41548</v>
      </c>
      <c r="B1259">
        <v>2.2294</v>
      </c>
      <c r="D1259" s="105">
        <v>42034</v>
      </c>
      <c r="E1259">
        <v>1.9354</v>
      </c>
      <c r="G1259" s="105">
        <v>42034</v>
      </c>
      <c r="H1259">
        <v>1.1291</v>
      </c>
    </row>
    <row r="1260" spans="1:8">
      <c r="A1260" s="105">
        <v>41549</v>
      </c>
      <c r="B1260">
        <v>2.2317</v>
      </c>
      <c r="D1260" s="105">
        <v>42037</v>
      </c>
      <c r="E1260">
        <v>1.9311</v>
      </c>
      <c r="G1260" s="105">
        <v>42037</v>
      </c>
      <c r="H1260">
        <v>1.1341000000000001</v>
      </c>
    </row>
    <row r="1261" spans="1:8">
      <c r="A1261" s="105">
        <v>41550</v>
      </c>
      <c r="B1261">
        <v>2.2355999999999998</v>
      </c>
      <c r="D1261" s="105">
        <v>42038</v>
      </c>
      <c r="E1261">
        <v>1.9166000000000001</v>
      </c>
      <c r="G1261" s="105">
        <v>42038</v>
      </c>
      <c r="H1261">
        <v>1.1480999999999999</v>
      </c>
    </row>
    <row r="1262" spans="1:8">
      <c r="A1262" s="105">
        <v>41551</v>
      </c>
      <c r="B1262">
        <v>2.2317999999999998</v>
      </c>
      <c r="D1262" s="105">
        <v>42039</v>
      </c>
      <c r="E1262">
        <v>1.9300999999999999</v>
      </c>
      <c r="G1262" s="105">
        <v>42039</v>
      </c>
      <c r="H1262">
        <v>1.1345000000000001</v>
      </c>
    </row>
    <row r="1263" spans="1:8">
      <c r="A1263" s="105">
        <v>41552</v>
      </c>
      <c r="B1263">
        <v>2.2336999999999998</v>
      </c>
      <c r="D1263" s="105">
        <v>42040</v>
      </c>
      <c r="E1263">
        <v>1.9137999999999999</v>
      </c>
      <c r="G1263" s="105">
        <v>42040</v>
      </c>
      <c r="H1263">
        <v>1.1476999999999999</v>
      </c>
    </row>
    <row r="1264" spans="1:8">
      <c r="A1264" s="105">
        <v>41553</v>
      </c>
      <c r="B1264">
        <v>2.2313000000000001</v>
      </c>
      <c r="D1264" s="105">
        <v>42041</v>
      </c>
      <c r="E1264">
        <v>1.9336</v>
      </c>
      <c r="G1264" s="105">
        <v>42041</v>
      </c>
      <c r="H1264">
        <v>1.1315999999999999</v>
      </c>
    </row>
    <row r="1265" spans="1:8">
      <c r="A1265" s="105">
        <v>41554</v>
      </c>
      <c r="B1265">
        <v>2.2370999999999999</v>
      </c>
      <c r="D1265" s="105">
        <v>42044</v>
      </c>
      <c r="E1265">
        <v>1.9326000000000001</v>
      </c>
      <c r="G1265" s="105">
        <v>42044</v>
      </c>
      <c r="H1265">
        <v>1.1325000000000001</v>
      </c>
    </row>
    <row r="1266" spans="1:8">
      <c r="A1266" s="105">
        <v>41555</v>
      </c>
      <c r="B1266">
        <v>2.2357999999999998</v>
      </c>
      <c r="D1266" s="106">
        <v>42045</v>
      </c>
      <c r="E1266">
        <v>1.9335</v>
      </c>
      <c r="G1266" s="105">
        <v>42045</v>
      </c>
      <c r="H1266">
        <v>1.1321000000000001</v>
      </c>
    </row>
    <row r="1267" spans="1:8">
      <c r="A1267" s="105">
        <v>41556</v>
      </c>
      <c r="B1267">
        <v>2.226</v>
      </c>
      <c r="D1267" s="105">
        <v>42046</v>
      </c>
      <c r="E1267">
        <v>1.9319999999999999</v>
      </c>
      <c r="G1267" s="105">
        <v>42046</v>
      </c>
      <c r="H1267">
        <v>1.1335999999999999</v>
      </c>
    </row>
    <row r="1268" spans="1:8">
      <c r="A1268" s="105">
        <v>41557</v>
      </c>
      <c r="B1268">
        <v>2.2269000000000001</v>
      </c>
      <c r="D1268" s="105">
        <v>42047</v>
      </c>
      <c r="E1268">
        <v>1.9211</v>
      </c>
      <c r="G1268" s="105">
        <v>42047</v>
      </c>
      <c r="H1268">
        <v>1.1403000000000001</v>
      </c>
    </row>
    <row r="1269" spans="1:8">
      <c r="A1269" s="105">
        <v>41558</v>
      </c>
      <c r="B1269">
        <v>2.2277999999999998</v>
      </c>
      <c r="D1269" s="105">
        <v>42048</v>
      </c>
      <c r="E1269">
        <v>1.9229000000000001</v>
      </c>
      <c r="G1269" s="105">
        <v>42048</v>
      </c>
      <c r="H1269">
        <v>1.1394</v>
      </c>
    </row>
    <row r="1270" spans="1:8">
      <c r="A1270" s="105">
        <v>41559</v>
      </c>
      <c r="B1270">
        <v>2.2290000000000001</v>
      </c>
      <c r="D1270" s="105">
        <v>42051</v>
      </c>
      <c r="E1270">
        <v>1.9273</v>
      </c>
      <c r="G1270" s="105">
        <v>42051</v>
      </c>
      <c r="H1270">
        <v>1.1355</v>
      </c>
    </row>
    <row r="1271" spans="1:8">
      <c r="A1271" s="105">
        <v>41560</v>
      </c>
      <c r="B1271">
        <v>2.2267999999999999</v>
      </c>
      <c r="D1271" s="105">
        <v>42052</v>
      </c>
      <c r="E1271">
        <v>1.9278</v>
      </c>
      <c r="G1271" s="105">
        <v>42052</v>
      </c>
      <c r="H1271">
        <v>1.1411</v>
      </c>
    </row>
    <row r="1272" spans="1:8">
      <c r="A1272" s="105">
        <v>41561</v>
      </c>
      <c r="B1272">
        <v>2.2320000000000002</v>
      </c>
      <c r="D1272" s="105">
        <v>42053</v>
      </c>
      <c r="E1272">
        <v>1.9249000000000001</v>
      </c>
      <c r="G1272" s="105">
        <v>42053</v>
      </c>
      <c r="H1272">
        <v>1.1396999999999999</v>
      </c>
    </row>
    <row r="1273" spans="1:8">
      <c r="A1273" s="105">
        <v>41562</v>
      </c>
      <c r="B1273">
        <v>2.2305999999999999</v>
      </c>
      <c r="D1273" s="105">
        <v>42054</v>
      </c>
      <c r="E1273">
        <v>1.93</v>
      </c>
      <c r="G1273" s="105">
        <v>42054</v>
      </c>
      <c r="H1273">
        <v>1.1368</v>
      </c>
    </row>
    <row r="1274" spans="1:8">
      <c r="A1274" s="105">
        <v>41563</v>
      </c>
      <c r="B1274">
        <v>2.2286999999999999</v>
      </c>
      <c r="D1274" s="105">
        <v>42055</v>
      </c>
      <c r="E1274">
        <v>1.927</v>
      </c>
      <c r="G1274" s="105">
        <v>42055</v>
      </c>
      <c r="H1274">
        <v>1.1380999999999999</v>
      </c>
    </row>
    <row r="1275" spans="1:8">
      <c r="A1275" s="105">
        <v>41564</v>
      </c>
      <c r="B1275">
        <v>2.2431999999999999</v>
      </c>
      <c r="D1275" s="105">
        <v>42058</v>
      </c>
      <c r="E1275">
        <v>1.9373</v>
      </c>
      <c r="G1275" s="105">
        <v>42058</v>
      </c>
      <c r="H1275">
        <v>1.1335</v>
      </c>
    </row>
    <row r="1276" spans="1:8">
      <c r="A1276" s="105">
        <v>41565</v>
      </c>
      <c r="B1276">
        <v>2.2467000000000001</v>
      </c>
      <c r="D1276" s="105">
        <v>42059</v>
      </c>
      <c r="E1276">
        <v>1.9311</v>
      </c>
      <c r="G1276" s="105">
        <v>42059</v>
      </c>
      <c r="H1276">
        <v>1.1339999999999999</v>
      </c>
    </row>
    <row r="1277" spans="1:8">
      <c r="A1277" s="105">
        <v>41566</v>
      </c>
      <c r="B1277">
        <v>2.2452000000000001</v>
      </c>
      <c r="D1277" s="105">
        <v>42060</v>
      </c>
      <c r="E1277">
        <v>1.9319999999999999</v>
      </c>
      <c r="G1277" s="105">
        <v>42060</v>
      </c>
      <c r="H1277">
        <v>1.1361000000000001</v>
      </c>
    </row>
    <row r="1278" spans="1:8">
      <c r="A1278" s="105">
        <v>41567</v>
      </c>
      <c r="B1278">
        <v>2.2448999999999999</v>
      </c>
      <c r="D1278" s="105">
        <v>42061</v>
      </c>
      <c r="E1278">
        <v>1.9516</v>
      </c>
      <c r="G1278" s="105">
        <v>42061</v>
      </c>
      <c r="H1278">
        <v>1.1197999999999999</v>
      </c>
    </row>
    <row r="1279" spans="1:8">
      <c r="A1279" s="105">
        <v>41568</v>
      </c>
      <c r="B1279">
        <v>2.2440000000000002</v>
      </c>
      <c r="D1279" s="105">
        <v>42062</v>
      </c>
      <c r="E1279">
        <v>1.9458</v>
      </c>
      <c r="G1279" s="105">
        <v>42062</v>
      </c>
      <c r="H1279">
        <v>1.1195999999999999</v>
      </c>
    </row>
    <row r="1280" spans="1:8">
      <c r="A1280" s="105">
        <v>41569</v>
      </c>
      <c r="B1280">
        <v>2.2481</v>
      </c>
      <c r="D1280" s="105">
        <v>42065</v>
      </c>
      <c r="E1280">
        <v>1.9502999999999999</v>
      </c>
      <c r="G1280" s="105">
        <v>42065</v>
      </c>
      <c r="H1280">
        <v>1.1184000000000001</v>
      </c>
    </row>
    <row r="1281" spans="1:8">
      <c r="A1281" s="105">
        <v>41570</v>
      </c>
      <c r="B1281">
        <v>2.2484000000000002</v>
      </c>
      <c r="D1281" s="105">
        <v>42066</v>
      </c>
      <c r="E1281">
        <v>1.9489000000000001</v>
      </c>
      <c r="G1281" s="105">
        <v>42066</v>
      </c>
      <c r="H1281">
        <v>1.1175999999999999</v>
      </c>
    </row>
    <row r="1282" spans="1:8">
      <c r="A1282" s="105">
        <v>41571</v>
      </c>
      <c r="B1282">
        <v>2.2502</v>
      </c>
      <c r="D1282" s="105">
        <v>42067</v>
      </c>
      <c r="E1282">
        <v>1.9626999999999999</v>
      </c>
      <c r="G1282" s="105">
        <v>42067</v>
      </c>
      <c r="H1282">
        <v>1.1077999999999999</v>
      </c>
    </row>
    <row r="1283" spans="1:8">
      <c r="A1283" s="105">
        <v>41572</v>
      </c>
      <c r="B1283">
        <v>2.2456</v>
      </c>
      <c r="D1283" s="105">
        <v>42068</v>
      </c>
      <c r="E1283">
        <v>1.9642999999999999</v>
      </c>
      <c r="G1283" s="105">
        <v>42068</v>
      </c>
      <c r="H1283">
        <v>1.103</v>
      </c>
    </row>
    <row r="1284" spans="1:8">
      <c r="A1284" s="105">
        <v>41573</v>
      </c>
      <c r="B1284">
        <v>2.2507000000000001</v>
      </c>
      <c r="D1284" s="105">
        <v>42069</v>
      </c>
      <c r="E1284">
        <v>1.9816</v>
      </c>
      <c r="G1284" s="105">
        <v>42069</v>
      </c>
      <c r="H1284">
        <v>1.0844</v>
      </c>
    </row>
    <row r="1285" spans="1:8">
      <c r="A1285" s="105">
        <v>41574</v>
      </c>
      <c r="B1285">
        <v>2.2486999999999999</v>
      </c>
      <c r="D1285" s="105">
        <v>42072</v>
      </c>
      <c r="E1285">
        <v>1.9789000000000001</v>
      </c>
      <c r="G1285" s="105">
        <v>42072</v>
      </c>
      <c r="H1285">
        <v>1.0851999999999999</v>
      </c>
    </row>
    <row r="1286" spans="1:8">
      <c r="A1286" s="105">
        <v>41575</v>
      </c>
      <c r="B1286">
        <v>2.2471999999999999</v>
      </c>
      <c r="D1286" s="105">
        <v>42073</v>
      </c>
      <c r="E1286">
        <v>1.9922</v>
      </c>
      <c r="G1286" s="105">
        <v>42073</v>
      </c>
      <c r="H1286">
        <v>1.0698000000000001</v>
      </c>
    </row>
    <row r="1287" spans="1:8">
      <c r="A1287" s="105">
        <v>41576</v>
      </c>
      <c r="B1287">
        <v>2.2437999999999998</v>
      </c>
      <c r="D1287" s="105">
        <v>42074</v>
      </c>
      <c r="E1287">
        <v>2.0017999999999998</v>
      </c>
      <c r="G1287" s="105">
        <v>42074</v>
      </c>
      <c r="H1287">
        <v>1.0547</v>
      </c>
    </row>
    <row r="1288" spans="1:8">
      <c r="A1288" s="105">
        <v>41577</v>
      </c>
      <c r="B1288">
        <v>2.2429999999999999</v>
      </c>
      <c r="D1288" s="105">
        <v>42075</v>
      </c>
      <c r="E1288">
        <v>1.9906999999999999</v>
      </c>
      <c r="G1288" s="105">
        <v>42075</v>
      </c>
      <c r="H1288">
        <v>1.0634999999999999</v>
      </c>
    </row>
    <row r="1289" spans="1:8">
      <c r="A1289" s="105">
        <v>41578</v>
      </c>
      <c r="B1289">
        <v>2.2381000000000002</v>
      </c>
      <c r="D1289" s="105">
        <v>42076</v>
      </c>
      <c r="E1289">
        <v>1.9872000000000001</v>
      </c>
      <c r="G1289" s="105">
        <v>42076</v>
      </c>
      <c r="H1289">
        <v>1.0496000000000001</v>
      </c>
    </row>
    <row r="1290" spans="1:8">
      <c r="A1290" s="105">
        <v>41579</v>
      </c>
      <c r="B1290">
        <v>2.234</v>
      </c>
      <c r="D1290" s="105">
        <v>42079</v>
      </c>
      <c r="E1290">
        <v>1.9641</v>
      </c>
      <c r="G1290" s="105">
        <v>42079</v>
      </c>
      <c r="H1290">
        <v>1.0568</v>
      </c>
    </row>
    <row r="1291" spans="1:8">
      <c r="A1291" s="105">
        <v>41580</v>
      </c>
      <c r="B1291">
        <v>2.2328000000000001</v>
      </c>
      <c r="D1291" s="105">
        <v>42080</v>
      </c>
      <c r="E1291">
        <v>1.9571000000000001</v>
      </c>
      <c r="G1291" s="105">
        <v>42080</v>
      </c>
      <c r="H1291">
        <v>1.0597000000000001</v>
      </c>
    </row>
    <row r="1292" spans="1:8">
      <c r="A1292" s="105">
        <v>41581</v>
      </c>
      <c r="B1292">
        <v>2.2370000000000001</v>
      </c>
      <c r="D1292" s="105">
        <v>42081</v>
      </c>
      <c r="E1292">
        <v>1.9355</v>
      </c>
      <c r="G1292" s="105">
        <v>42081</v>
      </c>
      <c r="H1292">
        <v>1.0864</v>
      </c>
    </row>
    <row r="1293" spans="1:8">
      <c r="A1293" s="105">
        <v>41582</v>
      </c>
      <c r="B1293">
        <v>2.2368000000000001</v>
      </c>
      <c r="D1293" s="105">
        <v>42082</v>
      </c>
      <c r="E1293">
        <v>1.9616</v>
      </c>
      <c r="G1293" s="105">
        <v>42082</v>
      </c>
      <c r="H1293">
        <v>1.0660000000000001</v>
      </c>
    </row>
    <row r="1294" spans="1:8">
      <c r="A1294" s="105">
        <v>41583</v>
      </c>
      <c r="B1294">
        <v>2.2336</v>
      </c>
      <c r="D1294" s="105">
        <v>42083</v>
      </c>
      <c r="E1294">
        <v>1.9389000000000001</v>
      </c>
      <c r="G1294" s="105">
        <v>42083</v>
      </c>
      <c r="H1294">
        <v>1.0821000000000001</v>
      </c>
    </row>
    <row r="1295" spans="1:8">
      <c r="A1295" s="105">
        <v>41584</v>
      </c>
      <c r="B1295">
        <v>2.2376</v>
      </c>
      <c r="D1295" s="105">
        <v>42086</v>
      </c>
      <c r="E1295">
        <v>1.9429000000000001</v>
      </c>
      <c r="G1295" s="105">
        <v>42086</v>
      </c>
      <c r="H1295">
        <v>1.0946</v>
      </c>
    </row>
    <row r="1296" spans="1:8">
      <c r="A1296" s="105">
        <v>41585</v>
      </c>
      <c r="B1296">
        <v>2.2349000000000001</v>
      </c>
      <c r="D1296" s="105">
        <v>42087</v>
      </c>
      <c r="E1296">
        <v>1.9318</v>
      </c>
      <c r="G1296" s="105">
        <v>42087</v>
      </c>
      <c r="H1296">
        <v>1.0924</v>
      </c>
    </row>
    <row r="1297" spans="1:8">
      <c r="A1297" s="105">
        <v>41586</v>
      </c>
      <c r="B1297">
        <v>2.2368999999999999</v>
      </c>
      <c r="D1297" s="105">
        <v>42088</v>
      </c>
      <c r="E1297">
        <v>1.9289000000000001</v>
      </c>
      <c r="G1297" s="105">
        <v>42088</v>
      </c>
      <c r="H1297">
        <v>1.097</v>
      </c>
    </row>
    <row r="1298" spans="1:8">
      <c r="A1298" s="105">
        <v>41587</v>
      </c>
      <c r="B1298">
        <v>2.238</v>
      </c>
      <c r="D1298" s="105">
        <v>42089</v>
      </c>
      <c r="E1298">
        <v>1.9455</v>
      </c>
      <c r="G1298" s="105">
        <v>42089</v>
      </c>
      <c r="H1298">
        <v>1.0884</v>
      </c>
    </row>
    <row r="1299" spans="1:8">
      <c r="A1299" s="105">
        <v>41588</v>
      </c>
      <c r="B1299">
        <v>2.2397</v>
      </c>
      <c r="D1299" s="105">
        <v>42090</v>
      </c>
      <c r="E1299">
        <v>1.9390000000000001</v>
      </c>
      <c r="G1299" s="105">
        <v>42090</v>
      </c>
      <c r="H1299">
        <v>1.0889</v>
      </c>
    </row>
    <row r="1300" spans="1:8">
      <c r="A1300" s="105">
        <v>41589</v>
      </c>
      <c r="B1300">
        <v>2.2370999999999999</v>
      </c>
      <c r="D1300" s="105">
        <v>42093</v>
      </c>
      <c r="E1300">
        <v>1.9510000000000001</v>
      </c>
      <c r="G1300" s="105">
        <v>42093</v>
      </c>
      <c r="H1300">
        <v>1.0832999999999999</v>
      </c>
    </row>
    <row r="1301" spans="1:8">
      <c r="A1301" s="105">
        <v>41590</v>
      </c>
      <c r="B1301">
        <v>2.2364999999999999</v>
      </c>
      <c r="D1301" s="105">
        <v>42094</v>
      </c>
      <c r="E1301">
        <v>1.9625999999999999</v>
      </c>
      <c r="G1301" s="105">
        <v>42094</v>
      </c>
      <c r="H1301">
        <v>1.0730999999999999</v>
      </c>
    </row>
    <row r="1302" spans="1:8">
      <c r="A1302" s="105">
        <v>41591</v>
      </c>
      <c r="B1302">
        <v>2.2406000000000001</v>
      </c>
      <c r="D1302" s="105">
        <v>42095</v>
      </c>
      <c r="E1302">
        <v>1.9585999999999999</v>
      </c>
      <c r="G1302" s="105">
        <v>42095</v>
      </c>
      <c r="H1302">
        <v>1.0763</v>
      </c>
    </row>
    <row r="1303" spans="1:8">
      <c r="A1303" s="105">
        <v>41592</v>
      </c>
      <c r="B1303">
        <v>2.2408999999999999</v>
      </c>
      <c r="D1303" s="105">
        <v>42096</v>
      </c>
      <c r="E1303">
        <v>1.9441999999999999</v>
      </c>
      <c r="G1303" s="105">
        <v>42096</v>
      </c>
      <c r="H1303">
        <v>1.0880000000000001</v>
      </c>
    </row>
    <row r="1304" spans="1:8">
      <c r="A1304" s="105">
        <v>41593</v>
      </c>
      <c r="B1304">
        <v>2.2473000000000001</v>
      </c>
      <c r="D1304" s="105">
        <v>42097</v>
      </c>
      <c r="E1304">
        <v>1.9276</v>
      </c>
      <c r="G1304" s="105">
        <v>42097</v>
      </c>
      <c r="H1304">
        <v>1.0969</v>
      </c>
    </row>
    <row r="1305" spans="1:8">
      <c r="A1305" s="105">
        <v>41594</v>
      </c>
      <c r="B1305">
        <v>2.2480000000000002</v>
      </c>
      <c r="D1305" s="105">
        <v>42100</v>
      </c>
      <c r="E1305">
        <v>1.9415</v>
      </c>
      <c r="G1305" s="105">
        <v>42100</v>
      </c>
      <c r="H1305">
        <v>1.0922000000000001</v>
      </c>
    </row>
    <row r="1306" spans="1:8">
      <c r="A1306" s="105">
        <v>41595</v>
      </c>
      <c r="B1306">
        <v>2.2526999999999999</v>
      </c>
      <c r="D1306" s="105">
        <v>42101</v>
      </c>
      <c r="E1306">
        <v>1.9545999999999999</v>
      </c>
      <c r="G1306" s="105">
        <v>42101</v>
      </c>
      <c r="H1306">
        <v>1.0813999999999999</v>
      </c>
    </row>
    <row r="1307" spans="1:8">
      <c r="A1307" s="105">
        <v>41596</v>
      </c>
      <c r="B1307">
        <v>2.2492999999999999</v>
      </c>
      <c r="D1307" s="105">
        <v>42102</v>
      </c>
      <c r="E1307">
        <v>1.9459</v>
      </c>
      <c r="G1307" s="105">
        <v>42102</v>
      </c>
      <c r="H1307">
        <v>1.0874999999999999</v>
      </c>
    </row>
    <row r="1308" spans="1:8">
      <c r="A1308" s="105">
        <v>41597</v>
      </c>
      <c r="B1308">
        <v>2.2637</v>
      </c>
    </row>
    <row r="1309" spans="1:8">
      <c r="A1309" s="105">
        <v>41598</v>
      </c>
      <c r="B1309">
        <v>2.2623000000000002</v>
      </c>
    </row>
    <row r="1310" spans="1:8">
      <c r="A1310" s="105">
        <v>41599</v>
      </c>
      <c r="B1310">
        <v>2.2624</v>
      </c>
    </row>
    <row r="1311" spans="1:8">
      <c r="A1311" s="105">
        <v>41600</v>
      </c>
      <c r="B1311">
        <v>2.2625999999999999</v>
      </c>
    </row>
    <row r="1312" spans="1:8">
      <c r="A1312" s="105">
        <v>41601</v>
      </c>
      <c r="B1312">
        <v>2.2715999999999998</v>
      </c>
    </row>
    <row r="1313" spans="1:2">
      <c r="A1313" s="105">
        <v>41602</v>
      </c>
      <c r="B1313">
        <v>2.2692999999999999</v>
      </c>
    </row>
    <row r="1314" spans="1:2">
      <c r="A1314" s="105">
        <v>41603</v>
      </c>
      <c r="B1314">
        <v>2.2608999999999999</v>
      </c>
    </row>
    <row r="1315" spans="1:2">
      <c r="A1315" s="105">
        <v>41604</v>
      </c>
      <c r="B1315">
        <v>2.2667999999999999</v>
      </c>
    </row>
    <row r="1316" spans="1:2">
      <c r="A1316" s="105">
        <v>41605</v>
      </c>
      <c r="B1316">
        <v>2.2671000000000001</v>
      </c>
    </row>
    <row r="1317" spans="1:2">
      <c r="A1317" s="105">
        <v>41606</v>
      </c>
      <c r="B1317">
        <v>2.2700999999999998</v>
      </c>
    </row>
    <row r="1318" spans="1:2">
      <c r="A1318" s="105">
        <v>41607</v>
      </c>
      <c r="B1318">
        <v>2.2715000000000001</v>
      </c>
    </row>
    <row r="1319" spans="1:2">
      <c r="A1319" s="105">
        <v>41608</v>
      </c>
      <c r="B1319">
        <v>2.2681</v>
      </c>
    </row>
    <row r="1320" spans="1:2">
      <c r="A1320" s="105">
        <v>41609</v>
      </c>
      <c r="B1320">
        <v>2.2633999999999999</v>
      </c>
    </row>
    <row r="1321" spans="1:2">
      <c r="A1321" s="105">
        <v>41610</v>
      </c>
      <c r="B1321">
        <v>2.2715999999999998</v>
      </c>
    </row>
    <row r="1322" spans="1:2">
      <c r="A1322" s="105">
        <v>41611</v>
      </c>
      <c r="B1322">
        <v>2.2713999999999999</v>
      </c>
    </row>
    <row r="1323" spans="1:2">
      <c r="A1323" s="105">
        <v>41612</v>
      </c>
      <c r="B1323">
        <v>2.2723</v>
      </c>
    </row>
    <row r="1324" spans="1:2">
      <c r="A1324" s="105">
        <v>41613</v>
      </c>
      <c r="B1324">
        <v>2.2782</v>
      </c>
    </row>
    <row r="1325" spans="1:2">
      <c r="A1325" s="105">
        <v>41614</v>
      </c>
      <c r="B1325">
        <v>2.2791999999999999</v>
      </c>
    </row>
    <row r="1326" spans="1:2">
      <c r="A1326" s="105">
        <v>41615</v>
      </c>
      <c r="B1326">
        <v>2.2787999999999999</v>
      </c>
    </row>
    <row r="1327" spans="1:2">
      <c r="A1327" s="105">
        <v>41616</v>
      </c>
      <c r="B1327">
        <v>2.2753000000000001</v>
      </c>
    </row>
    <row r="1328" spans="1:2">
      <c r="A1328" s="105">
        <v>41617</v>
      </c>
      <c r="B1328">
        <v>2.2909999999999999</v>
      </c>
    </row>
    <row r="1329" spans="1:2">
      <c r="A1329" s="105">
        <v>41618</v>
      </c>
      <c r="B1329">
        <v>2.2936999999999999</v>
      </c>
    </row>
    <row r="1330" spans="1:2">
      <c r="A1330" s="105">
        <v>41619</v>
      </c>
      <c r="B1330">
        <v>2.294</v>
      </c>
    </row>
    <row r="1331" spans="1:2">
      <c r="A1331" s="105">
        <v>41620</v>
      </c>
      <c r="B1331">
        <v>2.2968000000000002</v>
      </c>
    </row>
    <row r="1332" spans="1:2">
      <c r="A1332" s="105">
        <v>41621</v>
      </c>
      <c r="B1332">
        <v>2.2963</v>
      </c>
    </row>
    <row r="1333" spans="1:2">
      <c r="A1333" s="105">
        <v>41622</v>
      </c>
      <c r="B1333">
        <v>2.3010000000000002</v>
      </c>
    </row>
    <row r="1334" spans="1:2">
      <c r="A1334" s="105">
        <v>41623</v>
      </c>
      <c r="B1334">
        <v>2.3003</v>
      </c>
    </row>
    <row r="1335" spans="1:2">
      <c r="A1335" s="105">
        <v>41624</v>
      </c>
      <c r="B1335">
        <v>2.2951999999999999</v>
      </c>
    </row>
    <row r="1336" spans="1:2">
      <c r="A1336" s="105">
        <v>41625</v>
      </c>
      <c r="B1336">
        <v>2.2858000000000001</v>
      </c>
    </row>
    <row r="1337" spans="1:2">
      <c r="A1337" s="105">
        <v>41626</v>
      </c>
      <c r="B1337">
        <v>2.2711000000000001</v>
      </c>
    </row>
    <row r="1338" spans="1:2">
      <c r="A1338" s="105">
        <v>41627</v>
      </c>
      <c r="B1338">
        <v>2.2549000000000001</v>
      </c>
    </row>
    <row r="1339" spans="1:2">
      <c r="A1339" s="105">
        <v>41628</v>
      </c>
      <c r="B1339">
        <v>2.2584</v>
      </c>
    </row>
    <row r="1340" spans="1:2">
      <c r="A1340" s="105">
        <v>41629</v>
      </c>
      <c r="B1340">
        <v>2.2570999999999999</v>
      </c>
    </row>
    <row r="1341" spans="1:2">
      <c r="A1341" s="105">
        <v>41630</v>
      </c>
      <c r="B1341">
        <v>2.2650999999999999</v>
      </c>
    </row>
    <row r="1342" spans="1:2">
      <c r="A1342" s="105">
        <v>41631</v>
      </c>
      <c r="B1342">
        <v>2.2605</v>
      </c>
    </row>
    <row r="1343" spans="1:2">
      <c r="A1343" s="105">
        <v>41632</v>
      </c>
      <c r="B1343">
        <v>2.2621000000000002</v>
      </c>
    </row>
    <row r="1344" spans="1:2">
      <c r="A1344" s="105">
        <v>41633</v>
      </c>
      <c r="B1344">
        <v>2.2629999999999999</v>
      </c>
    </row>
    <row r="1345" spans="1:2">
      <c r="A1345" s="105">
        <v>41634</v>
      </c>
      <c r="B1345">
        <v>2.2664</v>
      </c>
    </row>
    <row r="1346" spans="1:2">
      <c r="A1346" s="105">
        <v>41635</v>
      </c>
      <c r="B1346">
        <v>2.2646000000000002</v>
      </c>
    </row>
    <row r="1347" spans="1:2">
      <c r="A1347" s="105">
        <v>41636</v>
      </c>
      <c r="B1347">
        <v>2.2652999999999999</v>
      </c>
    </row>
    <row r="1348" spans="1:2">
      <c r="A1348" s="105">
        <v>41637</v>
      </c>
      <c r="B1348">
        <v>2.2614999999999998</v>
      </c>
    </row>
    <row r="1349" spans="1:2">
      <c r="A1349" s="105">
        <v>41638</v>
      </c>
      <c r="B1349">
        <v>2.2673999999999999</v>
      </c>
    </row>
    <row r="1350" spans="1:2">
      <c r="A1350" s="105">
        <v>41639</v>
      </c>
      <c r="B1350">
        <v>2.2650000000000001</v>
      </c>
    </row>
    <row r="1351" spans="1:2">
      <c r="A1351" s="105">
        <v>41640</v>
      </c>
      <c r="B1351">
        <v>2.2685</v>
      </c>
    </row>
    <row r="1352" spans="1:2">
      <c r="A1352" s="105">
        <v>41641</v>
      </c>
      <c r="B1352">
        <v>2.2625999999999999</v>
      </c>
    </row>
    <row r="1353" spans="1:2">
      <c r="A1353" s="105">
        <v>41642</v>
      </c>
      <c r="B1353">
        <v>2.2530000000000001</v>
      </c>
    </row>
    <row r="1354" spans="1:2">
      <c r="A1354" s="105">
        <v>41643</v>
      </c>
      <c r="B1354">
        <v>2.2488000000000001</v>
      </c>
    </row>
    <row r="1355" spans="1:2">
      <c r="A1355" s="105">
        <v>41644</v>
      </c>
      <c r="B1355">
        <v>2.2570000000000001</v>
      </c>
    </row>
    <row r="1356" spans="1:2">
      <c r="A1356" s="105">
        <v>41645</v>
      </c>
      <c r="B1356">
        <v>2.2545999999999999</v>
      </c>
    </row>
    <row r="1357" spans="1:2">
      <c r="A1357" s="105">
        <v>41646</v>
      </c>
      <c r="B1357">
        <v>2.2542</v>
      </c>
    </row>
    <row r="1358" spans="1:2">
      <c r="A1358" s="105">
        <v>41647</v>
      </c>
      <c r="B1358">
        <v>2.2536999999999998</v>
      </c>
    </row>
    <row r="1359" spans="1:2">
      <c r="A1359" s="105">
        <v>41648</v>
      </c>
      <c r="B1359">
        <v>2.2576000000000001</v>
      </c>
    </row>
    <row r="1360" spans="1:2">
      <c r="A1360" s="105">
        <v>41649</v>
      </c>
      <c r="B1360">
        <v>2.2618</v>
      </c>
    </row>
    <row r="1361" spans="1:2">
      <c r="A1361" s="105">
        <v>41650</v>
      </c>
      <c r="B1361">
        <v>2.2658</v>
      </c>
    </row>
    <row r="1362" spans="1:2">
      <c r="A1362" s="105">
        <v>41651</v>
      </c>
      <c r="B1362">
        <v>2.2589999999999999</v>
      </c>
    </row>
    <row r="1363" spans="1:2">
      <c r="A1363" s="105">
        <v>41652</v>
      </c>
      <c r="B1363">
        <v>2.2618</v>
      </c>
    </row>
    <row r="1364" spans="1:2">
      <c r="A1364" s="105">
        <v>41653</v>
      </c>
      <c r="B1364">
        <v>2.2625000000000002</v>
      </c>
    </row>
    <row r="1365" spans="1:2">
      <c r="A1365" s="105">
        <v>41654</v>
      </c>
      <c r="B1365">
        <v>2.2541000000000002</v>
      </c>
    </row>
    <row r="1366" spans="1:2">
      <c r="A1366" s="105">
        <v>41655</v>
      </c>
      <c r="B1366">
        <v>2.2490999999999999</v>
      </c>
    </row>
    <row r="1367" spans="1:2">
      <c r="A1367" s="105">
        <v>41656</v>
      </c>
      <c r="B1367">
        <v>2.2414000000000001</v>
      </c>
    </row>
    <row r="1368" spans="1:2">
      <c r="A1368" s="105">
        <v>41657</v>
      </c>
      <c r="B1368">
        <v>2.2528000000000001</v>
      </c>
    </row>
    <row r="1369" spans="1:2">
      <c r="A1369" s="105">
        <v>41658</v>
      </c>
      <c r="B1369">
        <v>2.2387000000000001</v>
      </c>
    </row>
    <row r="1370" spans="1:2">
      <c r="A1370" s="105">
        <v>41659</v>
      </c>
      <c r="B1370">
        <v>2.2435999999999998</v>
      </c>
    </row>
    <row r="1371" spans="1:2">
      <c r="A1371" s="105">
        <v>41660</v>
      </c>
      <c r="B1371">
        <v>2.2347000000000001</v>
      </c>
    </row>
    <row r="1372" spans="1:2">
      <c r="A1372" s="105">
        <v>41661</v>
      </c>
      <c r="B1372">
        <v>2.2229000000000001</v>
      </c>
    </row>
    <row r="1373" spans="1:2">
      <c r="A1373" s="105">
        <v>41662</v>
      </c>
      <c r="B1373">
        <v>2.2265999999999999</v>
      </c>
    </row>
    <row r="1374" spans="1:2">
      <c r="A1374" s="105">
        <v>41663</v>
      </c>
      <c r="B1374">
        <v>2.2212999999999998</v>
      </c>
    </row>
    <row r="1375" spans="1:2">
      <c r="A1375" s="105">
        <v>41664</v>
      </c>
      <c r="B1375">
        <v>2.2216</v>
      </c>
    </row>
    <row r="1376" spans="1:2">
      <c r="A1376" s="105">
        <v>41665</v>
      </c>
      <c r="B1376">
        <v>2.2294</v>
      </c>
    </row>
    <row r="1377" spans="1:2">
      <c r="A1377" s="105">
        <v>41666</v>
      </c>
      <c r="B1377">
        <v>2.2164000000000001</v>
      </c>
    </row>
    <row r="1378" spans="1:2">
      <c r="A1378" s="105">
        <v>41667</v>
      </c>
      <c r="B1378">
        <v>2.2107000000000001</v>
      </c>
    </row>
    <row r="1379" spans="1:2">
      <c r="A1379" s="105">
        <v>41668</v>
      </c>
      <c r="B1379">
        <v>2.1962999999999999</v>
      </c>
    </row>
    <row r="1380" spans="1:2">
      <c r="A1380" s="105">
        <v>41669</v>
      </c>
      <c r="B1380">
        <v>2.1800999999999999</v>
      </c>
    </row>
    <row r="1381" spans="1:2">
      <c r="A1381" s="105">
        <v>41670</v>
      </c>
      <c r="B1381">
        <v>2.1627999999999998</v>
      </c>
    </row>
    <row r="1382" spans="1:2">
      <c r="A1382" s="105">
        <v>41671</v>
      </c>
      <c r="B1382">
        <v>2.1655000000000002</v>
      </c>
    </row>
    <row r="1383" spans="1:2">
      <c r="A1383" s="105">
        <v>41672</v>
      </c>
      <c r="B1383">
        <v>2.1688000000000001</v>
      </c>
    </row>
    <row r="1384" spans="1:2">
      <c r="A1384" s="105">
        <v>41673</v>
      </c>
      <c r="B1384">
        <v>2.1726000000000001</v>
      </c>
    </row>
    <row r="1385" spans="1:2">
      <c r="A1385" s="105">
        <v>41674</v>
      </c>
      <c r="B1385">
        <v>2.1720000000000002</v>
      </c>
    </row>
    <row r="1386" spans="1:2">
      <c r="A1386" s="105">
        <v>41675</v>
      </c>
      <c r="B1386">
        <v>2.1728000000000001</v>
      </c>
    </row>
    <row r="1387" spans="1:2">
      <c r="A1387" s="105">
        <v>41676</v>
      </c>
      <c r="B1387">
        <v>2.1762000000000001</v>
      </c>
    </row>
    <row r="1388" spans="1:2">
      <c r="A1388" s="105">
        <v>41677</v>
      </c>
      <c r="B1388">
        <v>2.1749000000000001</v>
      </c>
    </row>
    <row r="1389" spans="1:2">
      <c r="A1389" s="105">
        <v>41678</v>
      </c>
      <c r="B1389">
        <v>2.1747000000000001</v>
      </c>
    </row>
    <row r="1390" spans="1:2">
      <c r="A1390" s="105">
        <v>41679</v>
      </c>
      <c r="B1390">
        <v>2.1825000000000001</v>
      </c>
    </row>
    <row r="1391" spans="1:2">
      <c r="A1391" s="105">
        <v>41680</v>
      </c>
      <c r="B1391">
        <v>2.1762000000000001</v>
      </c>
    </row>
    <row r="1392" spans="1:2">
      <c r="A1392" s="105">
        <v>41681</v>
      </c>
      <c r="B1392">
        <v>2.1730999999999998</v>
      </c>
    </row>
    <row r="1393" spans="1:2">
      <c r="A1393" s="105">
        <v>41682</v>
      </c>
      <c r="B1393">
        <v>2.1722999999999999</v>
      </c>
    </row>
    <row r="1394" spans="1:2">
      <c r="A1394" s="105">
        <v>41683</v>
      </c>
      <c r="B1394">
        <v>2.1698</v>
      </c>
    </row>
    <row r="1395" spans="1:2">
      <c r="A1395" s="105">
        <v>41684</v>
      </c>
      <c r="B1395">
        <v>2.1661999999999999</v>
      </c>
    </row>
    <row r="1396" spans="1:2">
      <c r="A1396" s="105">
        <v>41685</v>
      </c>
      <c r="B1396">
        <v>2.1659000000000002</v>
      </c>
    </row>
    <row r="1397" spans="1:2">
      <c r="A1397" s="105">
        <v>41686</v>
      </c>
      <c r="B1397">
        <v>2.1621000000000001</v>
      </c>
    </row>
    <row r="1398" spans="1:2">
      <c r="A1398" s="105">
        <v>41687</v>
      </c>
      <c r="B1398">
        <v>2.1675</v>
      </c>
    </row>
    <row r="1399" spans="1:2">
      <c r="A1399" s="105">
        <v>41688</v>
      </c>
      <c r="B1399">
        <v>2.1717</v>
      </c>
    </row>
    <row r="1400" spans="1:2">
      <c r="A1400" s="105">
        <v>41689</v>
      </c>
      <c r="B1400">
        <v>2.1715</v>
      </c>
    </row>
    <row r="1401" spans="1:2">
      <c r="A1401" s="105">
        <v>41690</v>
      </c>
      <c r="B1401">
        <v>2.1709000000000001</v>
      </c>
    </row>
    <row r="1402" spans="1:2">
      <c r="A1402" s="105">
        <v>41691</v>
      </c>
      <c r="B1402">
        <v>2.1732999999999998</v>
      </c>
    </row>
    <row r="1403" spans="1:2">
      <c r="A1403" s="105">
        <v>41692</v>
      </c>
      <c r="B1403">
        <v>2.1734</v>
      </c>
    </row>
    <row r="1404" spans="1:2">
      <c r="A1404" s="105">
        <v>41693</v>
      </c>
      <c r="B1404">
        <v>2.1737000000000002</v>
      </c>
    </row>
    <row r="1405" spans="1:2">
      <c r="A1405" s="105">
        <v>41694</v>
      </c>
      <c r="B1405">
        <v>2.1728000000000001</v>
      </c>
    </row>
    <row r="1406" spans="1:2">
      <c r="A1406" s="105">
        <v>41695</v>
      </c>
      <c r="B1406">
        <v>2.1735000000000002</v>
      </c>
    </row>
    <row r="1407" spans="1:2">
      <c r="A1407" s="105">
        <v>41696</v>
      </c>
      <c r="B1407">
        <v>2.1714000000000002</v>
      </c>
    </row>
    <row r="1408" spans="1:2">
      <c r="A1408" s="105">
        <v>41697</v>
      </c>
      <c r="B1408">
        <v>2.1720000000000002</v>
      </c>
    </row>
    <row r="1409" spans="1:2">
      <c r="A1409" s="105">
        <v>41698</v>
      </c>
      <c r="B1409">
        <v>2.1762000000000001</v>
      </c>
    </row>
    <row r="1410" spans="1:2">
      <c r="A1410" s="105">
        <v>41699</v>
      </c>
      <c r="B1410">
        <v>2.1739999999999999</v>
      </c>
    </row>
    <row r="1411" spans="1:2">
      <c r="A1411" s="105">
        <v>41700</v>
      </c>
      <c r="B1411">
        <v>2.1762000000000001</v>
      </c>
    </row>
    <row r="1412" spans="1:2">
      <c r="A1412" s="105">
        <v>41701</v>
      </c>
      <c r="B1412">
        <v>2.1737000000000002</v>
      </c>
    </row>
    <row r="1413" spans="1:2">
      <c r="A1413" s="105">
        <v>41702</v>
      </c>
      <c r="B1413">
        <v>2.1741000000000001</v>
      </c>
    </row>
    <row r="1414" spans="1:2">
      <c r="A1414" s="105">
        <v>41703</v>
      </c>
      <c r="B1414">
        <v>2.1737000000000002</v>
      </c>
    </row>
    <row r="1415" spans="1:2">
      <c r="A1415" s="105">
        <v>41704</v>
      </c>
      <c r="B1415">
        <v>2.1776</v>
      </c>
    </row>
    <row r="1416" spans="1:2">
      <c r="A1416" s="105">
        <v>41705</v>
      </c>
      <c r="B1416">
        <v>2.1797</v>
      </c>
    </row>
    <row r="1417" spans="1:2">
      <c r="A1417" s="105">
        <v>41706</v>
      </c>
      <c r="B1417">
        <v>2.1808999999999998</v>
      </c>
    </row>
    <row r="1418" spans="1:2">
      <c r="A1418" s="105">
        <v>41707</v>
      </c>
      <c r="B1418">
        <v>2.1798999999999999</v>
      </c>
    </row>
    <row r="1419" spans="1:2">
      <c r="A1419" s="105">
        <v>41708</v>
      </c>
      <c r="B1419">
        <v>2.1831999999999998</v>
      </c>
    </row>
    <row r="1420" spans="1:2">
      <c r="A1420" s="105">
        <v>41709</v>
      </c>
      <c r="B1420">
        <v>2.1802000000000001</v>
      </c>
    </row>
    <row r="1421" spans="1:2">
      <c r="A1421" s="105">
        <v>41710</v>
      </c>
      <c r="B1421">
        <v>2.1812999999999998</v>
      </c>
    </row>
    <row r="1422" spans="1:2">
      <c r="A1422" s="105">
        <v>41711</v>
      </c>
      <c r="B1422">
        <v>2.1839</v>
      </c>
    </row>
    <row r="1423" spans="1:2">
      <c r="A1423" s="105">
        <v>41712</v>
      </c>
      <c r="B1423">
        <v>2.1863000000000001</v>
      </c>
    </row>
    <row r="1424" spans="1:2">
      <c r="A1424" s="105">
        <v>41713</v>
      </c>
      <c r="B1424">
        <v>2.1924999999999999</v>
      </c>
    </row>
    <row r="1425" spans="1:2">
      <c r="A1425" s="105">
        <v>41714</v>
      </c>
      <c r="B1425">
        <v>2.1842999999999999</v>
      </c>
    </row>
    <row r="1426" spans="1:2">
      <c r="A1426" s="105">
        <v>41715</v>
      </c>
      <c r="B1426">
        <v>2.1858</v>
      </c>
    </row>
    <row r="1427" spans="1:2">
      <c r="A1427" s="105">
        <v>41716</v>
      </c>
      <c r="B1427">
        <v>2.1897000000000002</v>
      </c>
    </row>
    <row r="1428" spans="1:2">
      <c r="A1428" s="105">
        <v>41717</v>
      </c>
      <c r="B1428">
        <v>2.1865999999999999</v>
      </c>
    </row>
    <row r="1429" spans="1:2">
      <c r="A1429" s="105">
        <v>41718</v>
      </c>
      <c r="B1429">
        <v>2.1852</v>
      </c>
    </row>
    <row r="1430" spans="1:2">
      <c r="A1430" s="105">
        <v>41719</v>
      </c>
      <c r="B1430">
        <v>2.1812</v>
      </c>
    </row>
    <row r="1431" spans="1:2">
      <c r="A1431" s="105">
        <v>41720</v>
      </c>
      <c r="B1431">
        <v>2.1838000000000002</v>
      </c>
    </row>
    <row r="1432" spans="1:2">
      <c r="A1432" s="105">
        <v>41721</v>
      </c>
      <c r="B1432">
        <v>2.1812</v>
      </c>
    </row>
    <row r="1433" spans="1:2">
      <c r="A1433" s="105">
        <v>41722</v>
      </c>
      <c r="B1433">
        <v>2.1821000000000002</v>
      </c>
    </row>
    <row r="1434" spans="1:2">
      <c r="A1434" s="105">
        <v>41723</v>
      </c>
      <c r="B1434">
        <v>2.1819000000000002</v>
      </c>
    </row>
    <row r="1435" spans="1:2">
      <c r="A1435" s="105">
        <v>41724</v>
      </c>
      <c r="B1435">
        <v>2.1802000000000001</v>
      </c>
    </row>
    <row r="1436" spans="1:2">
      <c r="A1436" s="105">
        <v>41725</v>
      </c>
      <c r="B1436">
        <v>2.1785999999999999</v>
      </c>
    </row>
    <row r="1437" spans="1:2">
      <c r="A1437" s="105">
        <v>41726</v>
      </c>
      <c r="B1437">
        <v>2.1783999999999999</v>
      </c>
    </row>
    <row r="1438" spans="1:2">
      <c r="A1438" s="105">
        <v>41727</v>
      </c>
      <c r="B1438">
        <v>2.1795</v>
      </c>
    </row>
    <row r="1439" spans="1:2">
      <c r="A1439" s="105">
        <v>41728</v>
      </c>
      <c r="B1439">
        <v>2.1781999999999999</v>
      </c>
    </row>
    <row r="1440" spans="1:2">
      <c r="A1440" s="105">
        <v>41729</v>
      </c>
      <c r="B1440">
        <v>2.1791999999999998</v>
      </c>
    </row>
    <row r="1441" spans="1:2">
      <c r="A1441" s="105">
        <v>41730</v>
      </c>
      <c r="B1441">
        <v>2.1800000000000002</v>
      </c>
    </row>
    <row r="1442" spans="1:2">
      <c r="A1442" s="105">
        <v>41731</v>
      </c>
      <c r="B1442">
        <v>2.1789999999999998</v>
      </c>
    </row>
    <row r="1443" spans="1:2">
      <c r="A1443" s="105">
        <v>41732</v>
      </c>
      <c r="B1443">
        <v>2.1764999999999999</v>
      </c>
    </row>
    <row r="1444" spans="1:2">
      <c r="A1444" s="105">
        <v>41733</v>
      </c>
      <c r="B1444">
        <v>2.1787999999999998</v>
      </c>
    </row>
    <row r="1445" spans="1:2">
      <c r="A1445" s="105">
        <v>41734</v>
      </c>
      <c r="B1445">
        <v>2.1812</v>
      </c>
    </row>
    <row r="1446" spans="1:2">
      <c r="A1446" s="105">
        <v>41735</v>
      </c>
      <c r="B1446">
        <v>2.1812</v>
      </c>
    </row>
    <row r="1447" spans="1:2">
      <c r="A1447" s="105">
        <v>41736</v>
      </c>
      <c r="B1447">
        <v>2.1825999999999999</v>
      </c>
    </row>
    <row r="1448" spans="1:2">
      <c r="A1448" s="105">
        <v>41737</v>
      </c>
      <c r="B1448">
        <v>2.1871</v>
      </c>
    </row>
    <row r="1449" spans="1:2">
      <c r="A1449" s="105">
        <v>41738</v>
      </c>
      <c r="B1449">
        <v>2.1943000000000001</v>
      </c>
    </row>
    <row r="1450" spans="1:2">
      <c r="A1450" s="105">
        <v>41739</v>
      </c>
      <c r="B1450">
        <v>2.1976</v>
      </c>
    </row>
    <row r="1451" spans="1:2">
      <c r="A1451" s="105">
        <v>41740</v>
      </c>
      <c r="B1451">
        <v>2.1977000000000002</v>
      </c>
    </row>
    <row r="1452" spans="1:2">
      <c r="A1452" s="105">
        <v>41741</v>
      </c>
      <c r="B1452">
        <v>2.1932</v>
      </c>
    </row>
    <row r="1453" spans="1:2">
      <c r="A1453" s="105">
        <v>41742</v>
      </c>
      <c r="B1453">
        <v>2.1951999999999998</v>
      </c>
    </row>
    <row r="1454" spans="1:2">
      <c r="A1454" s="105">
        <v>41743</v>
      </c>
      <c r="B1454">
        <v>2.1947000000000001</v>
      </c>
    </row>
    <row r="1455" spans="1:2">
      <c r="A1455" s="105">
        <v>41744</v>
      </c>
      <c r="B1455">
        <v>2.1924000000000001</v>
      </c>
    </row>
    <row r="1456" spans="1:2">
      <c r="A1456" s="105">
        <v>41745</v>
      </c>
      <c r="B1456">
        <v>2.1941999999999999</v>
      </c>
    </row>
    <row r="1457" spans="1:2">
      <c r="A1457" s="105">
        <v>41746</v>
      </c>
      <c r="B1457">
        <v>2.1943000000000001</v>
      </c>
    </row>
    <row r="1458" spans="1:2">
      <c r="A1458" s="105">
        <v>41747</v>
      </c>
      <c r="B1458">
        <v>2.1957</v>
      </c>
    </row>
    <row r="1459" spans="1:2">
      <c r="A1459" s="105">
        <v>41748</v>
      </c>
      <c r="B1459">
        <v>2.1909999999999998</v>
      </c>
    </row>
    <row r="1460" spans="1:2">
      <c r="A1460" s="105">
        <v>41749</v>
      </c>
      <c r="B1460">
        <v>2.1924000000000001</v>
      </c>
    </row>
    <row r="1461" spans="1:2">
      <c r="A1461" s="105">
        <v>41750</v>
      </c>
      <c r="B1461">
        <v>2.1964000000000001</v>
      </c>
    </row>
    <row r="1462" spans="1:2">
      <c r="A1462" s="105">
        <v>41751</v>
      </c>
      <c r="B1462">
        <v>2.1955</v>
      </c>
    </row>
    <row r="1463" spans="1:2">
      <c r="A1463" s="105">
        <v>41752</v>
      </c>
      <c r="B1463">
        <v>2.2004999999999999</v>
      </c>
    </row>
    <row r="1464" spans="1:2">
      <c r="A1464" s="105">
        <v>41753</v>
      </c>
      <c r="B1464">
        <v>2.2012999999999998</v>
      </c>
    </row>
    <row r="1465" spans="1:2">
      <c r="A1465" s="105">
        <v>41754</v>
      </c>
      <c r="B1465">
        <v>2.2037</v>
      </c>
    </row>
    <row r="1466" spans="1:2">
      <c r="A1466" s="105">
        <v>41755</v>
      </c>
      <c r="B1466">
        <v>2.2094999999999998</v>
      </c>
    </row>
    <row r="1467" spans="1:2">
      <c r="A1467" s="105">
        <v>41756</v>
      </c>
      <c r="B1467">
        <v>2.2046000000000001</v>
      </c>
    </row>
    <row r="1468" spans="1:2">
      <c r="A1468" s="105">
        <v>41757</v>
      </c>
      <c r="B1468">
        <v>2.2088000000000001</v>
      </c>
    </row>
    <row r="1469" spans="1:2">
      <c r="A1469" s="105">
        <v>41758</v>
      </c>
      <c r="B1469">
        <v>2.2168000000000001</v>
      </c>
    </row>
    <row r="1470" spans="1:2">
      <c r="A1470" s="105">
        <v>41759</v>
      </c>
      <c r="B1470">
        <v>2.2221000000000002</v>
      </c>
    </row>
    <row r="1471" spans="1:2">
      <c r="A1471" s="105">
        <v>41760</v>
      </c>
      <c r="B1471">
        <v>2.2181000000000002</v>
      </c>
    </row>
    <row r="1472" spans="1:2">
      <c r="A1472" s="105">
        <v>41761</v>
      </c>
      <c r="B1472">
        <v>2.2248000000000001</v>
      </c>
    </row>
    <row r="1473" spans="1:2">
      <c r="A1473" s="105">
        <v>41762</v>
      </c>
      <c r="B1473">
        <v>2.2235</v>
      </c>
    </row>
    <row r="1474" spans="1:2">
      <c r="A1474" s="105">
        <v>41763</v>
      </c>
      <c r="B1474">
        <v>2.2233999999999998</v>
      </c>
    </row>
    <row r="1475" spans="1:2">
      <c r="A1475" s="105">
        <v>41764</v>
      </c>
      <c r="B1475">
        <v>2.2252999999999998</v>
      </c>
    </row>
    <row r="1476" spans="1:2">
      <c r="A1476" s="105">
        <v>41765</v>
      </c>
      <c r="B1476">
        <v>2.2309999999999999</v>
      </c>
    </row>
    <row r="1477" spans="1:2">
      <c r="A1477" s="105">
        <v>41766</v>
      </c>
      <c r="B1477">
        <v>2.2324999999999999</v>
      </c>
    </row>
    <row r="1478" spans="1:2">
      <c r="A1478" s="105">
        <v>41767</v>
      </c>
      <c r="B1478">
        <v>2.2294</v>
      </c>
    </row>
    <row r="1479" spans="1:2">
      <c r="A1479" s="105">
        <v>41768</v>
      </c>
      <c r="B1479">
        <v>2.2233999999999998</v>
      </c>
    </row>
    <row r="1480" spans="1:2">
      <c r="A1480" s="105">
        <v>41769</v>
      </c>
      <c r="B1480">
        <v>2.2263000000000002</v>
      </c>
    </row>
    <row r="1481" spans="1:2">
      <c r="A1481" s="105">
        <v>41770</v>
      </c>
      <c r="B1481">
        <v>2.2284000000000002</v>
      </c>
    </row>
    <row r="1482" spans="1:2">
      <c r="A1482" s="105">
        <v>41771</v>
      </c>
      <c r="B1482">
        <v>2.2231999999999998</v>
      </c>
    </row>
    <row r="1483" spans="1:2">
      <c r="A1483" s="105">
        <v>41772</v>
      </c>
      <c r="B1483">
        <v>2.2195999999999998</v>
      </c>
    </row>
    <row r="1484" spans="1:2">
      <c r="A1484" s="105">
        <v>41773</v>
      </c>
      <c r="B1484">
        <v>2.2250000000000001</v>
      </c>
    </row>
    <row r="1485" spans="1:2">
      <c r="A1485" s="105">
        <v>41774</v>
      </c>
      <c r="B1485">
        <v>2.2256</v>
      </c>
    </row>
    <row r="1486" spans="1:2">
      <c r="A1486" s="105">
        <v>41775</v>
      </c>
      <c r="B1486">
        <v>2.2273999999999998</v>
      </c>
    </row>
    <row r="1487" spans="1:2">
      <c r="A1487" s="105">
        <v>41776</v>
      </c>
      <c r="B1487">
        <v>2.2273000000000001</v>
      </c>
    </row>
    <row r="1488" spans="1:2">
      <c r="A1488" s="105">
        <v>41778</v>
      </c>
      <c r="B1488">
        <v>2.2256</v>
      </c>
    </row>
    <row r="1489" spans="1:2">
      <c r="A1489" s="105">
        <v>41779</v>
      </c>
      <c r="B1489">
        <v>2.2248000000000001</v>
      </c>
    </row>
    <row r="1490" spans="1:2">
      <c r="A1490" s="105">
        <v>41780</v>
      </c>
      <c r="B1490">
        <v>2.2238000000000002</v>
      </c>
    </row>
    <row r="1491" spans="1:2">
      <c r="A1491" s="105">
        <v>41781</v>
      </c>
      <c r="B1491">
        <v>2.2240000000000002</v>
      </c>
    </row>
    <row r="1492" spans="1:2">
      <c r="A1492" s="105">
        <v>41782</v>
      </c>
      <c r="B1492">
        <v>2.2214</v>
      </c>
    </row>
    <row r="1493" spans="1:2">
      <c r="A1493" s="105">
        <v>41783</v>
      </c>
      <c r="B1493">
        <v>2.2242999999999999</v>
      </c>
    </row>
    <row r="1494" spans="1:2">
      <c r="A1494" s="105">
        <v>41784</v>
      </c>
      <c r="B1494">
        <v>2.2221000000000002</v>
      </c>
    </row>
    <row r="1495" spans="1:2">
      <c r="A1495" s="105">
        <v>41785</v>
      </c>
      <c r="B1495">
        <v>2.2229999999999999</v>
      </c>
    </row>
    <row r="1496" spans="1:2">
      <c r="A1496" s="105">
        <v>41786</v>
      </c>
      <c r="B1496">
        <v>2.2256</v>
      </c>
    </row>
    <row r="1497" spans="1:2">
      <c r="A1497" s="105">
        <v>41787</v>
      </c>
      <c r="B1497">
        <v>2.2233000000000001</v>
      </c>
    </row>
    <row r="1498" spans="1:2">
      <c r="A1498" s="105">
        <v>41788</v>
      </c>
      <c r="B1498">
        <v>2.2239</v>
      </c>
    </row>
    <row r="1499" spans="1:2">
      <c r="A1499" s="105">
        <v>41789</v>
      </c>
      <c r="B1499">
        <v>2.2248999999999999</v>
      </c>
    </row>
    <row r="1500" spans="1:2">
      <c r="A1500" s="105">
        <v>41790</v>
      </c>
      <c r="B1500">
        <v>2.2256</v>
      </c>
    </row>
    <row r="1501" spans="1:2">
      <c r="A1501" s="105">
        <v>41791</v>
      </c>
      <c r="B1501">
        <v>2.2256</v>
      </c>
    </row>
    <row r="1502" spans="1:2">
      <c r="A1502" s="105">
        <v>41792</v>
      </c>
      <c r="B1502">
        <v>2.2254999999999998</v>
      </c>
    </row>
    <row r="1503" spans="1:2">
      <c r="A1503" s="105">
        <v>41793</v>
      </c>
      <c r="B1503">
        <v>2.2269999999999999</v>
      </c>
    </row>
    <row r="1504" spans="1:2">
      <c r="A1504" s="105">
        <v>41794</v>
      </c>
      <c r="B1504">
        <v>2.2299000000000002</v>
      </c>
    </row>
    <row r="1505" spans="1:2">
      <c r="A1505" s="105">
        <v>41795</v>
      </c>
      <c r="B1505">
        <v>2.2323</v>
      </c>
    </row>
    <row r="1506" spans="1:2">
      <c r="A1506" s="105">
        <v>41796</v>
      </c>
      <c r="B1506">
        <v>2.2359</v>
      </c>
    </row>
    <row r="1507" spans="1:2">
      <c r="A1507" s="105">
        <v>41797</v>
      </c>
      <c r="B1507">
        <v>2.2374999999999998</v>
      </c>
    </row>
    <row r="1508" spans="1:2">
      <c r="A1508" s="105">
        <v>41798</v>
      </c>
      <c r="B1508">
        <v>2.2359</v>
      </c>
    </row>
    <row r="1509" spans="1:2">
      <c r="A1509" s="105">
        <v>41799</v>
      </c>
      <c r="B1509">
        <v>2.2403</v>
      </c>
    </row>
    <row r="1510" spans="1:2">
      <c r="A1510" s="105">
        <v>41800</v>
      </c>
      <c r="B1510">
        <v>2.2399</v>
      </c>
    </row>
    <row r="1511" spans="1:2">
      <c r="A1511" s="105">
        <v>41801</v>
      </c>
      <c r="B1511">
        <v>2.2410999999999999</v>
      </c>
    </row>
    <row r="1512" spans="1:2">
      <c r="A1512" s="105">
        <v>41802</v>
      </c>
      <c r="B1512">
        <v>2.2378999999999998</v>
      </c>
    </row>
    <row r="1513" spans="1:2">
      <c r="A1513" s="105">
        <v>41803</v>
      </c>
      <c r="B1513">
        <v>2.2532000000000001</v>
      </c>
    </row>
    <row r="1514" spans="1:2">
      <c r="A1514" s="105">
        <v>41804</v>
      </c>
      <c r="B1514">
        <v>2.2547999999999999</v>
      </c>
    </row>
    <row r="1515" spans="1:2">
      <c r="A1515" s="105">
        <v>41805</v>
      </c>
      <c r="B1515">
        <v>2.2564000000000002</v>
      </c>
    </row>
    <row r="1516" spans="1:2">
      <c r="A1516" s="105">
        <v>41806</v>
      </c>
      <c r="B1516">
        <v>2.2555000000000001</v>
      </c>
    </row>
    <row r="1517" spans="1:2">
      <c r="A1517" s="105">
        <v>41807</v>
      </c>
      <c r="B1517">
        <v>2.2562000000000002</v>
      </c>
    </row>
    <row r="1518" spans="1:2">
      <c r="A1518" s="105">
        <v>41808</v>
      </c>
      <c r="B1518">
        <v>2.2633000000000001</v>
      </c>
    </row>
    <row r="1519" spans="1:2">
      <c r="A1519" s="105">
        <v>41809</v>
      </c>
      <c r="B1519">
        <v>2.2696000000000001</v>
      </c>
    </row>
    <row r="1520" spans="1:2">
      <c r="A1520" s="105">
        <v>41810</v>
      </c>
      <c r="B1520">
        <v>2.2753999999999999</v>
      </c>
    </row>
    <row r="1521" spans="1:2">
      <c r="A1521" s="105">
        <v>41811</v>
      </c>
      <c r="B1521">
        <v>2.2722000000000002</v>
      </c>
    </row>
    <row r="1522" spans="1:2">
      <c r="A1522" s="105">
        <v>41812</v>
      </c>
      <c r="B1522">
        <v>2.2717000000000001</v>
      </c>
    </row>
    <row r="1523" spans="1:2">
      <c r="A1523" s="105">
        <v>41813</v>
      </c>
      <c r="B1523">
        <v>2.274</v>
      </c>
    </row>
    <row r="1524" spans="1:2">
      <c r="A1524" s="105">
        <v>41814</v>
      </c>
      <c r="B1524">
        <v>2.2942</v>
      </c>
    </row>
    <row r="1525" spans="1:2">
      <c r="A1525" s="105">
        <v>41815</v>
      </c>
      <c r="B1525">
        <v>2.2980999999999998</v>
      </c>
    </row>
    <row r="1526" spans="1:2">
      <c r="A1526" s="105">
        <v>41816</v>
      </c>
      <c r="B1526">
        <v>2.2942999999999998</v>
      </c>
    </row>
    <row r="1527" spans="1:2">
      <c r="A1527" s="105">
        <v>41817</v>
      </c>
      <c r="B1527">
        <v>2.2987000000000002</v>
      </c>
    </row>
    <row r="1528" spans="1:2">
      <c r="A1528" s="105">
        <v>41818</v>
      </c>
      <c r="B1528">
        <v>2.2938999999999998</v>
      </c>
    </row>
    <row r="1529" spans="1:2">
      <c r="A1529" s="105">
        <v>41819</v>
      </c>
      <c r="B1529">
        <v>2.2988</v>
      </c>
    </row>
    <row r="1530" spans="1:2">
      <c r="A1530" s="105">
        <v>41820</v>
      </c>
      <c r="B1530">
        <v>2.3043999999999998</v>
      </c>
    </row>
    <row r="1531" spans="1:2">
      <c r="A1531" s="105">
        <v>41821</v>
      </c>
      <c r="B1531">
        <v>2.3022999999999998</v>
      </c>
    </row>
    <row r="1532" spans="1:2">
      <c r="A1532" s="105">
        <v>41822</v>
      </c>
      <c r="B1532">
        <v>2.302</v>
      </c>
    </row>
    <row r="1533" spans="1:2">
      <c r="A1533" s="105">
        <v>41823</v>
      </c>
      <c r="B1533">
        <v>2.3022999999999998</v>
      </c>
    </row>
    <row r="1534" spans="1:2">
      <c r="A1534" s="105">
        <v>41824</v>
      </c>
      <c r="B1534">
        <v>2.3029000000000002</v>
      </c>
    </row>
    <row r="1535" spans="1:2">
      <c r="A1535" s="105">
        <v>41825</v>
      </c>
      <c r="B1535">
        <v>2.3031000000000001</v>
      </c>
    </row>
    <row r="1536" spans="1:2">
      <c r="A1536" s="105">
        <v>41826</v>
      </c>
      <c r="B1536">
        <v>2.3028</v>
      </c>
    </row>
    <row r="1537" spans="1:2">
      <c r="A1537" s="105">
        <v>41827</v>
      </c>
      <c r="B1537">
        <v>2.3035999999999999</v>
      </c>
    </row>
    <row r="1538" spans="1:2">
      <c r="A1538" s="105">
        <v>41828</v>
      </c>
      <c r="B1538">
        <v>2.3096000000000001</v>
      </c>
    </row>
    <row r="1539" spans="1:2">
      <c r="A1539" s="105">
        <v>41829</v>
      </c>
      <c r="B1539">
        <v>2.3193999999999999</v>
      </c>
    </row>
    <row r="1540" spans="1:2">
      <c r="A1540" s="105">
        <v>41830</v>
      </c>
      <c r="B1540">
        <v>2.3212999999999999</v>
      </c>
    </row>
    <row r="1541" spans="1:2">
      <c r="A1541" s="105">
        <v>41831</v>
      </c>
      <c r="B1541">
        <v>2.3212999999999999</v>
      </c>
    </row>
    <row r="1542" spans="1:2">
      <c r="A1542" s="105">
        <v>41832</v>
      </c>
      <c r="B1542">
        <v>2.3199000000000001</v>
      </c>
    </row>
    <row r="1543" spans="1:2">
      <c r="A1543" s="105">
        <v>41833</v>
      </c>
      <c r="B1543">
        <v>2.3191000000000002</v>
      </c>
    </row>
    <row r="1544" spans="1:2">
      <c r="A1544" s="105">
        <v>41834</v>
      </c>
      <c r="B1544">
        <v>2.3273999999999999</v>
      </c>
    </row>
    <row r="1545" spans="1:2">
      <c r="A1545" s="105">
        <v>41835</v>
      </c>
      <c r="B1545">
        <v>2.3256000000000001</v>
      </c>
    </row>
    <row r="1546" spans="1:2">
      <c r="A1546" s="105">
        <v>41836</v>
      </c>
      <c r="B1546">
        <v>2.3283999999999998</v>
      </c>
    </row>
    <row r="1547" spans="1:2">
      <c r="A1547" s="105">
        <v>41837</v>
      </c>
      <c r="B1547">
        <v>2.3321999999999998</v>
      </c>
    </row>
    <row r="1548" spans="1:2">
      <c r="A1548" s="105">
        <v>41838</v>
      </c>
      <c r="B1548">
        <v>2.3336000000000001</v>
      </c>
    </row>
    <row r="1549" spans="1:2">
      <c r="A1549" s="105">
        <v>41839</v>
      </c>
      <c r="B1549">
        <v>2.3273999999999999</v>
      </c>
    </row>
    <row r="1550" spans="1:2">
      <c r="A1550" s="105">
        <v>41840</v>
      </c>
      <c r="B1550">
        <v>2.3256000000000001</v>
      </c>
    </row>
    <row r="1551" spans="1:2">
      <c r="A1551" s="105">
        <v>41841</v>
      </c>
      <c r="B1551">
        <v>2.3332999999999999</v>
      </c>
    </row>
    <row r="1552" spans="1:2">
      <c r="A1552" s="105">
        <v>41842</v>
      </c>
      <c r="B1552">
        <v>2.3249</v>
      </c>
    </row>
    <row r="1553" spans="1:2">
      <c r="A1553" s="105">
        <v>41843</v>
      </c>
      <c r="B1553">
        <v>2.3210000000000002</v>
      </c>
    </row>
    <row r="1554" spans="1:2">
      <c r="A1554" s="105">
        <v>41844</v>
      </c>
      <c r="B1554">
        <v>2.3186</v>
      </c>
    </row>
    <row r="1555" spans="1:2">
      <c r="A1555" s="105">
        <v>41845</v>
      </c>
      <c r="B1555">
        <v>2.3180999999999998</v>
      </c>
    </row>
    <row r="1556" spans="1:2">
      <c r="A1556" s="105">
        <v>41846</v>
      </c>
      <c r="B1556">
        <v>2.3147000000000002</v>
      </c>
    </row>
    <row r="1557" spans="1:2">
      <c r="A1557" s="105">
        <v>41847</v>
      </c>
      <c r="B1557">
        <v>2.3180999999999998</v>
      </c>
    </row>
    <row r="1558" spans="1:2">
      <c r="A1558" s="105">
        <v>41848</v>
      </c>
      <c r="B1558">
        <v>2.3176999999999999</v>
      </c>
    </row>
    <row r="1559" spans="1:2">
      <c r="A1559" s="105">
        <v>41849</v>
      </c>
      <c r="B1559">
        <v>2.306</v>
      </c>
    </row>
    <row r="1560" spans="1:2">
      <c r="A1560" s="105">
        <v>41850</v>
      </c>
      <c r="B1560">
        <v>2.3068</v>
      </c>
    </row>
    <row r="1561" spans="1:2">
      <c r="A1561" s="105">
        <v>41851</v>
      </c>
      <c r="B1561">
        <v>2.3035999999999999</v>
      </c>
    </row>
    <row r="1562" spans="1:2">
      <c r="A1562" s="105">
        <v>41852</v>
      </c>
      <c r="B1562">
        <v>2.2949999999999999</v>
      </c>
    </row>
    <row r="1563" spans="1:2">
      <c r="A1563" s="105">
        <v>41853</v>
      </c>
      <c r="B1563">
        <v>2.2978000000000001</v>
      </c>
    </row>
    <row r="1564" spans="1:2">
      <c r="A1564" s="105">
        <v>41854</v>
      </c>
      <c r="B1564">
        <v>2.3054999999999999</v>
      </c>
    </row>
    <row r="1565" spans="1:2">
      <c r="A1565" s="105">
        <v>41855</v>
      </c>
      <c r="B1565">
        <v>2.2999000000000001</v>
      </c>
    </row>
    <row r="1566" spans="1:2">
      <c r="A1566" s="105">
        <v>41856</v>
      </c>
      <c r="B1566">
        <v>2.2974000000000001</v>
      </c>
    </row>
    <row r="1567" spans="1:2">
      <c r="A1567" s="105">
        <v>41857</v>
      </c>
      <c r="B1567">
        <v>2.2951999999999999</v>
      </c>
    </row>
    <row r="1568" spans="1:2">
      <c r="A1568" s="105">
        <v>41858</v>
      </c>
      <c r="B1568">
        <v>2.2961999999999998</v>
      </c>
    </row>
    <row r="1569" spans="1:2">
      <c r="A1569" s="105">
        <v>41859</v>
      </c>
      <c r="B1569">
        <v>2.3008000000000002</v>
      </c>
    </row>
    <row r="1570" spans="1:2">
      <c r="A1570" s="105">
        <v>41860</v>
      </c>
      <c r="B1570">
        <v>2.3003999999999998</v>
      </c>
    </row>
    <row r="1571" spans="1:2">
      <c r="A1571" s="105">
        <v>41861</v>
      </c>
      <c r="B1571">
        <v>2.3026</v>
      </c>
    </row>
    <row r="1572" spans="1:2">
      <c r="A1572" s="105">
        <v>41862</v>
      </c>
      <c r="B1572">
        <v>2.3008999999999999</v>
      </c>
    </row>
    <row r="1573" spans="1:2">
      <c r="A1573" s="105">
        <v>41863</v>
      </c>
      <c r="B1573">
        <v>2.3022999999999998</v>
      </c>
    </row>
    <row r="1574" spans="1:2">
      <c r="A1574" s="105">
        <v>41864</v>
      </c>
      <c r="B1574">
        <v>2.3010999999999999</v>
      </c>
    </row>
    <row r="1575" spans="1:2">
      <c r="A1575" s="105">
        <v>41865</v>
      </c>
      <c r="B1575">
        <v>2.3010999999999999</v>
      </c>
    </row>
    <row r="1576" spans="1:2">
      <c r="A1576" s="105">
        <v>41866</v>
      </c>
      <c r="B1576">
        <v>2.3035000000000001</v>
      </c>
    </row>
    <row r="1577" spans="1:2">
      <c r="A1577" s="105">
        <v>41867</v>
      </c>
      <c r="B1577">
        <v>2.3031000000000001</v>
      </c>
    </row>
    <row r="1578" spans="1:2">
      <c r="A1578" s="105">
        <v>41868</v>
      </c>
      <c r="B1578">
        <v>2.3029000000000002</v>
      </c>
    </row>
    <row r="1579" spans="1:2">
      <c r="A1579" s="105">
        <v>41869</v>
      </c>
      <c r="B1579">
        <v>2.3022999999999998</v>
      </c>
    </row>
    <row r="1580" spans="1:2">
      <c r="A1580" s="105">
        <v>41870</v>
      </c>
      <c r="B1580">
        <v>2.2972999999999999</v>
      </c>
    </row>
    <row r="1581" spans="1:2">
      <c r="A1581" s="105">
        <v>41871</v>
      </c>
      <c r="B1581">
        <v>2.2976999999999999</v>
      </c>
    </row>
    <row r="1582" spans="1:2">
      <c r="A1582" s="105">
        <v>41872</v>
      </c>
      <c r="B1582">
        <v>2.2919999999999998</v>
      </c>
    </row>
    <row r="1583" spans="1:2">
      <c r="A1583" s="105">
        <v>41873</v>
      </c>
      <c r="B1583">
        <v>2.2938999999999998</v>
      </c>
    </row>
    <row r="1584" spans="1:2">
      <c r="A1584" s="105">
        <v>41874</v>
      </c>
      <c r="B1584">
        <v>2.294</v>
      </c>
    </row>
    <row r="1585" spans="1:2">
      <c r="A1585" s="105">
        <v>41875</v>
      </c>
      <c r="B1585">
        <v>2.294</v>
      </c>
    </row>
    <row r="1586" spans="1:2">
      <c r="A1586" s="105">
        <v>41876</v>
      </c>
      <c r="B1586">
        <v>2.29</v>
      </c>
    </row>
    <row r="1587" spans="1:2">
      <c r="A1587" s="105">
        <v>41877</v>
      </c>
      <c r="B1587">
        <v>2.2871000000000001</v>
      </c>
    </row>
    <row r="1588" spans="1:2">
      <c r="A1588" s="105">
        <v>41878</v>
      </c>
      <c r="B1588">
        <v>2.2909000000000002</v>
      </c>
    </row>
    <row r="1589" spans="1:2">
      <c r="A1589" s="105">
        <v>41879</v>
      </c>
      <c r="B1589">
        <v>2.2927</v>
      </c>
    </row>
    <row r="1590" spans="1:2">
      <c r="A1590" s="105">
        <v>41880</v>
      </c>
      <c r="B1590">
        <v>2.2892999999999999</v>
      </c>
    </row>
    <row r="1591" spans="1:2">
      <c r="A1591" s="105">
        <v>41881</v>
      </c>
      <c r="B1591">
        <v>2.2892000000000001</v>
      </c>
    </row>
    <row r="1592" spans="1:2">
      <c r="A1592" s="105">
        <v>41882</v>
      </c>
      <c r="B1592">
        <v>2.2892000000000001</v>
      </c>
    </row>
    <row r="1593" spans="1:2">
      <c r="A1593" s="105">
        <v>41883</v>
      </c>
      <c r="B1593">
        <v>2.2886000000000002</v>
      </c>
    </row>
    <row r="1594" spans="1:2">
      <c r="A1594" s="105">
        <v>41884</v>
      </c>
      <c r="B1594">
        <v>2.2890000000000001</v>
      </c>
    </row>
    <row r="1595" spans="1:2">
      <c r="A1595" s="105">
        <v>41885</v>
      </c>
      <c r="B1595">
        <v>2.2923</v>
      </c>
    </row>
    <row r="1596" spans="1:2">
      <c r="A1596" s="105">
        <v>41886</v>
      </c>
      <c r="B1596">
        <v>2.2755000000000001</v>
      </c>
    </row>
    <row r="1597" spans="1:2">
      <c r="A1597" s="105">
        <v>41887</v>
      </c>
      <c r="B1597">
        <v>2.2789999999999999</v>
      </c>
    </row>
    <row r="1598" spans="1:2">
      <c r="A1598" s="105">
        <v>41888</v>
      </c>
      <c r="B1598">
        <v>2.2789000000000001</v>
      </c>
    </row>
    <row r="1599" spans="1:2">
      <c r="A1599" s="105">
        <v>41889</v>
      </c>
      <c r="B1599">
        <v>2.2808999999999999</v>
      </c>
    </row>
    <row r="1600" spans="1:2">
      <c r="A1600" s="105">
        <v>41890</v>
      </c>
      <c r="B1600">
        <v>2.2805</v>
      </c>
    </row>
    <row r="1601" spans="1:2">
      <c r="A1601" s="105">
        <v>41891</v>
      </c>
      <c r="B1601">
        <v>2.2772000000000001</v>
      </c>
    </row>
    <row r="1602" spans="1:2">
      <c r="A1602" s="105">
        <v>41892</v>
      </c>
      <c r="B1602">
        <v>2.278</v>
      </c>
    </row>
    <row r="1603" spans="1:2">
      <c r="A1603" s="105">
        <v>41893</v>
      </c>
      <c r="B1603">
        <v>2.2787999999999999</v>
      </c>
    </row>
    <row r="1604" spans="1:2">
      <c r="A1604" s="105">
        <v>41894</v>
      </c>
      <c r="B1604">
        <v>2.2806999999999999</v>
      </c>
    </row>
    <row r="1605" spans="1:2">
      <c r="A1605" s="105">
        <v>41895</v>
      </c>
      <c r="B1605">
        <v>2.2808000000000002</v>
      </c>
    </row>
    <row r="1606" spans="1:2">
      <c r="A1606" s="105">
        <v>41896</v>
      </c>
      <c r="B1606">
        <v>2.2808000000000002</v>
      </c>
    </row>
    <row r="1607" spans="1:2">
      <c r="A1607" s="105">
        <v>41897</v>
      </c>
      <c r="B1607">
        <v>2.2848999999999999</v>
      </c>
    </row>
    <row r="1608" spans="1:2">
      <c r="A1608" s="105">
        <v>41898</v>
      </c>
      <c r="B1608">
        <v>2.2934000000000001</v>
      </c>
    </row>
    <row r="1609" spans="1:2">
      <c r="A1609" s="105">
        <v>41899</v>
      </c>
      <c r="B1609">
        <v>2.2881999999999998</v>
      </c>
    </row>
    <row r="1610" spans="1:2">
      <c r="A1610" s="105">
        <v>41900</v>
      </c>
      <c r="B1610">
        <v>2.2885</v>
      </c>
    </row>
    <row r="1611" spans="1:2">
      <c r="A1611" s="105">
        <v>41901</v>
      </c>
      <c r="B1611">
        <v>2.2884000000000002</v>
      </c>
    </row>
    <row r="1612" spans="1:2">
      <c r="A1612" s="105">
        <v>41902</v>
      </c>
      <c r="B1612">
        <v>2.2835000000000001</v>
      </c>
    </row>
    <row r="1613" spans="1:2">
      <c r="A1613" s="105">
        <v>41903</v>
      </c>
      <c r="B1613">
        <v>2.2863000000000002</v>
      </c>
    </row>
    <row r="1614" spans="1:2">
      <c r="A1614" s="105">
        <v>41904</v>
      </c>
      <c r="B1614">
        <v>2.2898000000000001</v>
      </c>
    </row>
    <row r="1615" spans="1:2">
      <c r="A1615" s="105">
        <v>41905</v>
      </c>
      <c r="B1615">
        <v>2.2888999999999999</v>
      </c>
    </row>
    <row r="1616" spans="1:2">
      <c r="A1616" s="105">
        <v>41906</v>
      </c>
      <c r="B1616">
        <v>2.2858000000000001</v>
      </c>
    </row>
    <row r="1617" spans="1:2">
      <c r="A1617" s="105">
        <v>41907</v>
      </c>
      <c r="B1617">
        <v>2.2843</v>
      </c>
    </row>
    <row r="1618" spans="1:2">
      <c r="A1618" s="105">
        <v>41908</v>
      </c>
      <c r="B1618">
        <v>2.2808000000000002</v>
      </c>
    </row>
    <row r="1619" spans="1:2">
      <c r="A1619" s="105">
        <v>41909</v>
      </c>
      <c r="B1619">
        <v>2.2810000000000001</v>
      </c>
    </row>
    <row r="1620" spans="1:2">
      <c r="A1620" s="105">
        <v>41910</v>
      </c>
      <c r="B1620">
        <v>2.2808000000000002</v>
      </c>
    </row>
    <row r="1621" spans="1:2">
      <c r="A1621" s="105">
        <v>41911</v>
      </c>
      <c r="B1621">
        <v>2.2776000000000001</v>
      </c>
    </row>
    <row r="1622" spans="1:2">
      <c r="A1622" s="105">
        <v>41912</v>
      </c>
      <c r="B1622">
        <v>2.2751999999999999</v>
      </c>
    </row>
    <row r="1623" spans="1:2">
      <c r="A1623" s="105">
        <v>41913</v>
      </c>
      <c r="B1623">
        <v>2.2749000000000001</v>
      </c>
    </row>
    <row r="1624" spans="1:2">
      <c r="A1624" s="105">
        <v>41914</v>
      </c>
      <c r="B1624">
        <v>2.2783000000000002</v>
      </c>
    </row>
    <row r="1625" spans="1:2">
      <c r="A1625" s="105">
        <v>41915</v>
      </c>
      <c r="B1625">
        <v>2.2732999999999999</v>
      </c>
    </row>
    <row r="1626" spans="1:2">
      <c r="A1626" s="105">
        <v>41916</v>
      </c>
      <c r="B1626">
        <v>2.2730999999999999</v>
      </c>
    </row>
    <row r="1627" spans="1:2">
      <c r="A1627" s="105">
        <v>41917</v>
      </c>
      <c r="B1627">
        <v>2.2730999999999999</v>
      </c>
    </row>
    <row r="1628" spans="1:2">
      <c r="A1628" s="105">
        <v>41918</v>
      </c>
      <c r="B1628">
        <v>2.2746</v>
      </c>
    </row>
    <row r="1629" spans="1:2">
      <c r="A1629" s="105">
        <v>41919</v>
      </c>
      <c r="B1629">
        <v>2.2766999999999999</v>
      </c>
    </row>
    <row r="1630" spans="1:2">
      <c r="A1630" s="105">
        <v>41920</v>
      </c>
      <c r="B1630">
        <v>2.2799999999999998</v>
      </c>
    </row>
    <row r="1631" spans="1:2">
      <c r="A1631" s="105">
        <v>41921</v>
      </c>
      <c r="B1631">
        <v>2.2806000000000002</v>
      </c>
    </row>
    <row r="1632" spans="1:2">
      <c r="A1632" s="105">
        <v>41922</v>
      </c>
      <c r="B1632">
        <v>2.2744</v>
      </c>
    </row>
    <row r="1633" spans="1:2">
      <c r="A1633" s="105">
        <v>41923</v>
      </c>
      <c r="B1633">
        <v>2.2749999999999999</v>
      </c>
    </row>
    <row r="1634" spans="1:2">
      <c r="A1634" s="105">
        <v>41924</v>
      </c>
      <c r="B1634">
        <v>2.2744</v>
      </c>
    </row>
    <row r="1635" spans="1:2">
      <c r="A1635" s="105">
        <v>41925</v>
      </c>
      <c r="B1635">
        <v>2.2848999999999999</v>
      </c>
    </row>
    <row r="1636" spans="1:2">
      <c r="A1636" s="105">
        <v>41926</v>
      </c>
      <c r="B1636">
        <v>2.2873999999999999</v>
      </c>
    </row>
    <row r="1637" spans="1:2">
      <c r="A1637" s="105">
        <v>41927</v>
      </c>
      <c r="B1637">
        <v>2.29</v>
      </c>
    </row>
    <row r="1638" spans="1:2">
      <c r="A1638" s="105">
        <v>41928</v>
      </c>
      <c r="B1638">
        <v>2.2932000000000001</v>
      </c>
    </row>
    <row r="1639" spans="1:2">
      <c r="A1639" s="105">
        <v>41929</v>
      </c>
      <c r="B1639">
        <v>2.2919999999999998</v>
      </c>
    </row>
    <row r="1640" spans="1:2">
      <c r="A1640" s="105">
        <v>41930</v>
      </c>
      <c r="B1640">
        <v>2.2919999999999998</v>
      </c>
    </row>
    <row r="1641" spans="1:2">
      <c r="A1641" s="105">
        <v>41931</v>
      </c>
      <c r="B1641">
        <v>2.2915000000000001</v>
      </c>
    </row>
    <row r="1642" spans="1:2">
      <c r="A1642" s="105">
        <v>41932</v>
      </c>
      <c r="B1642">
        <v>2.2947000000000002</v>
      </c>
    </row>
    <row r="1643" spans="1:2">
      <c r="A1643" s="105">
        <v>41933</v>
      </c>
      <c r="B1643">
        <v>2.2896999999999998</v>
      </c>
    </row>
    <row r="1644" spans="1:2">
      <c r="A1644" s="105">
        <v>41934</v>
      </c>
      <c r="B1644">
        <v>2.2825000000000002</v>
      </c>
    </row>
    <row r="1645" spans="1:2">
      <c r="A1645" s="105">
        <v>41935</v>
      </c>
      <c r="B1645">
        <v>2.2844000000000002</v>
      </c>
    </row>
    <row r="1646" spans="1:2">
      <c r="A1646" s="105">
        <v>41936</v>
      </c>
      <c r="B1646">
        <v>2.2856999999999998</v>
      </c>
    </row>
    <row r="1647" spans="1:2">
      <c r="A1647" s="105">
        <v>41937</v>
      </c>
      <c r="B1647">
        <v>2.2860999999999998</v>
      </c>
    </row>
    <row r="1648" spans="1:2">
      <c r="A1648" s="105">
        <v>41938</v>
      </c>
      <c r="B1648">
        <v>2.2860999999999998</v>
      </c>
    </row>
    <row r="1649" spans="1:2">
      <c r="A1649" s="105">
        <v>41939</v>
      </c>
      <c r="B1649">
        <v>2.2881</v>
      </c>
    </row>
    <row r="1650" spans="1:2">
      <c r="A1650" s="105">
        <v>41940</v>
      </c>
      <c r="B1650">
        <v>2.2926000000000002</v>
      </c>
    </row>
    <row r="1651" spans="1:2">
      <c r="A1651" s="105">
        <v>41941</v>
      </c>
      <c r="B1651">
        <v>2.2845</v>
      </c>
    </row>
    <row r="1652" spans="1:2">
      <c r="A1652" s="105">
        <v>41942</v>
      </c>
      <c r="B1652">
        <v>2.2847</v>
      </c>
    </row>
    <row r="1653" spans="1:2">
      <c r="A1653" s="105">
        <v>41943</v>
      </c>
      <c r="B1653">
        <v>2.2742</v>
      </c>
    </row>
    <row r="1654" spans="1:2">
      <c r="A1654" s="105">
        <v>41944</v>
      </c>
      <c r="B1654">
        <v>2.2745000000000002</v>
      </c>
    </row>
    <row r="1655" spans="1:2">
      <c r="A1655" s="105">
        <v>41946</v>
      </c>
      <c r="B1655">
        <v>2.2734999999999999</v>
      </c>
    </row>
    <row r="1656" spans="1:2">
      <c r="A1656" s="105">
        <v>41947</v>
      </c>
      <c r="B1656">
        <v>2.2814999999999999</v>
      </c>
    </row>
    <row r="1657" spans="1:2">
      <c r="A1657" s="105">
        <v>41948</v>
      </c>
      <c r="B1657">
        <v>2.2778</v>
      </c>
    </row>
    <row r="1658" spans="1:2">
      <c r="A1658" s="105">
        <v>41949</v>
      </c>
      <c r="B1658">
        <v>2.2770999999999999</v>
      </c>
    </row>
    <row r="1659" spans="1:2">
      <c r="A1659" s="105">
        <v>41950</v>
      </c>
      <c r="B1659">
        <v>2.2879</v>
      </c>
    </row>
    <row r="1660" spans="1:2">
      <c r="A1660" s="105">
        <v>41951</v>
      </c>
      <c r="B1660">
        <v>2.2850999999999999</v>
      </c>
    </row>
    <row r="1661" spans="1:2">
      <c r="A1661" s="105">
        <v>41952</v>
      </c>
      <c r="B1661">
        <v>2.2879</v>
      </c>
    </row>
    <row r="1662" spans="1:2">
      <c r="A1662" s="105">
        <v>41953</v>
      </c>
      <c r="B1662">
        <v>2.2810000000000001</v>
      </c>
    </row>
    <row r="1663" spans="1:2">
      <c r="A1663" s="105">
        <v>41954</v>
      </c>
      <c r="B1663">
        <v>2.2871999999999999</v>
      </c>
    </row>
    <row r="1664" spans="1:2">
      <c r="A1664" s="105">
        <v>41955</v>
      </c>
      <c r="B1664">
        <v>2.2865000000000002</v>
      </c>
    </row>
    <row r="1665" spans="1:2">
      <c r="A1665" s="105">
        <v>41956</v>
      </c>
      <c r="B1665">
        <v>2.2854999999999999</v>
      </c>
    </row>
    <row r="1666" spans="1:2">
      <c r="A1666" s="105">
        <v>41957</v>
      </c>
      <c r="B1666">
        <v>2.29</v>
      </c>
    </row>
    <row r="1667" spans="1:2">
      <c r="A1667" s="105">
        <v>41958</v>
      </c>
      <c r="B1667">
        <v>2.29</v>
      </c>
    </row>
    <row r="1668" spans="1:2">
      <c r="A1668" s="105">
        <v>41959</v>
      </c>
      <c r="B1668">
        <v>2.29</v>
      </c>
    </row>
    <row r="1669" spans="1:2">
      <c r="A1669" s="105">
        <v>41960</v>
      </c>
      <c r="B1669">
        <v>2.2888000000000002</v>
      </c>
    </row>
    <row r="1670" spans="1:2">
      <c r="A1670" s="105">
        <v>41961</v>
      </c>
      <c r="B1670">
        <v>2.2949999999999999</v>
      </c>
    </row>
    <row r="1671" spans="1:2">
      <c r="A1671" s="105">
        <v>41962</v>
      </c>
      <c r="B1671">
        <v>2.2915000000000001</v>
      </c>
    </row>
    <row r="1672" spans="1:2">
      <c r="A1672" s="105">
        <v>41963</v>
      </c>
      <c r="B1672">
        <v>2.2930999999999999</v>
      </c>
    </row>
    <row r="1673" spans="1:2">
      <c r="A1673" s="105">
        <v>41964</v>
      </c>
      <c r="B1673">
        <v>2.2823000000000002</v>
      </c>
    </row>
    <row r="1674" spans="1:2">
      <c r="A1674" s="105">
        <v>41965</v>
      </c>
      <c r="B1674">
        <v>2.2826</v>
      </c>
    </row>
    <row r="1675" spans="1:2">
      <c r="A1675" s="105">
        <v>41966</v>
      </c>
      <c r="B1675">
        <v>2.2829999999999999</v>
      </c>
    </row>
    <row r="1676" spans="1:2">
      <c r="A1676" s="105">
        <v>41967</v>
      </c>
      <c r="B1676">
        <v>2.2906</v>
      </c>
    </row>
    <row r="1677" spans="1:2">
      <c r="A1677" s="105">
        <v>41968</v>
      </c>
      <c r="B1677">
        <v>2.2909000000000002</v>
      </c>
    </row>
    <row r="1678" spans="1:2">
      <c r="A1678" s="105">
        <v>41969</v>
      </c>
      <c r="B1678">
        <v>2.2945000000000002</v>
      </c>
    </row>
    <row r="1679" spans="1:2">
      <c r="A1679" s="105">
        <v>41970</v>
      </c>
      <c r="B1679">
        <v>2.2951000000000001</v>
      </c>
    </row>
    <row r="1680" spans="1:2">
      <c r="A1680" s="105">
        <v>41971</v>
      </c>
      <c r="B1680">
        <v>2.2921</v>
      </c>
    </row>
    <row r="1681" spans="1:2">
      <c r="A1681" s="105">
        <v>41972</v>
      </c>
      <c r="B1681">
        <v>2.2923</v>
      </c>
    </row>
    <row r="1682" spans="1:2">
      <c r="A1682" s="105">
        <v>41973</v>
      </c>
      <c r="B1682">
        <v>2.2970999999999999</v>
      </c>
    </row>
    <row r="1683" spans="1:2">
      <c r="A1683" s="105">
        <v>41974</v>
      </c>
      <c r="B1683">
        <v>2.2964000000000002</v>
      </c>
    </row>
    <row r="1684" spans="1:2">
      <c r="A1684" s="105">
        <v>41975</v>
      </c>
      <c r="B1684">
        <v>2.2911000000000001</v>
      </c>
    </row>
    <row r="1685" spans="1:2">
      <c r="A1685" s="105">
        <v>41976</v>
      </c>
      <c r="B1685">
        <v>2.2862</v>
      </c>
    </row>
    <row r="1686" spans="1:2">
      <c r="A1686" s="105">
        <v>41977</v>
      </c>
      <c r="B1686">
        <v>2.2940999999999998</v>
      </c>
    </row>
    <row r="1687" spans="1:2">
      <c r="A1687" s="105">
        <v>41978</v>
      </c>
      <c r="B1687">
        <v>2.2831000000000001</v>
      </c>
    </row>
    <row r="1688" spans="1:2">
      <c r="A1688" s="105">
        <v>41979</v>
      </c>
      <c r="B1688">
        <v>2.2837000000000001</v>
      </c>
    </row>
    <row r="1689" spans="1:2">
      <c r="A1689" s="105">
        <v>41980</v>
      </c>
      <c r="B1689">
        <v>2.2866</v>
      </c>
    </row>
    <row r="1690" spans="1:2">
      <c r="A1690" s="105">
        <v>41981</v>
      </c>
      <c r="B1690">
        <v>2.2909000000000002</v>
      </c>
    </row>
    <row r="1691" spans="1:2">
      <c r="A1691" s="105">
        <v>41982</v>
      </c>
      <c r="B1691">
        <v>2.2946</v>
      </c>
    </row>
    <row r="1692" spans="1:2">
      <c r="A1692" s="105">
        <v>41983</v>
      </c>
      <c r="B1692">
        <v>2.3056999999999999</v>
      </c>
    </row>
    <row r="1693" spans="1:2">
      <c r="A1693" s="105">
        <v>41984</v>
      </c>
      <c r="B1693">
        <v>2.3043</v>
      </c>
    </row>
    <row r="1694" spans="1:2">
      <c r="A1694" s="105">
        <v>41985</v>
      </c>
      <c r="B1694">
        <v>2.3003</v>
      </c>
    </row>
    <row r="1695" spans="1:2">
      <c r="A1695" s="105">
        <v>41986</v>
      </c>
      <c r="B1695">
        <v>2.3010999999999999</v>
      </c>
    </row>
    <row r="1696" spans="1:2">
      <c r="A1696" s="105">
        <v>41987</v>
      </c>
      <c r="B1696">
        <v>2.3037999999999998</v>
      </c>
    </row>
    <row r="1697" spans="1:2">
      <c r="A1697" s="105">
        <v>41988</v>
      </c>
      <c r="B1697">
        <v>2.3006000000000002</v>
      </c>
    </row>
    <row r="1698" spans="1:2">
      <c r="A1698" s="105">
        <v>41989</v>
      </c>
      <c r="B1698">
        <v>2.3052000000000001</v>
      </c>
    </row>
    <row r="1699" spans="1:2">
      <c r="A1699" s="105">
        <v>41990</v>
      </c>
      <c r="B1699">
        <v>2.2965</v>
      </c>
    </row>
    <row r="1700" spans="1:2">
      <c r="A1700" s="105">
        <v>41991</v>
      </c>
      <c r="B1700">
        <v>2.2942</v>
      </c>
    </row>
    <row r="1701" spans="1:2">
      <c r="A1701" s="105">
        <v>41992</v>
      </c>
      <c r="B1701">
        <v>2.2833999999999999</v>
      </c>
    </row>
    <row r="1702" spans="1:2">
      <c r="A1702" s="105">
        <v>41993</v>
      </c>
      <c r="B1702">
        <v>2.2768999999999999</v>
      </c>
    </row>
    <row r="1703" spans="1:2">
      <c r="A1703" s="105">
        <v>41995</v>
      </c>
      <c r="B1703">
        <v>2.2871999999999999</v>
      </c>
    </row>
    <row r="1704" spans="1:2">
      <c r="A1704" s="105">
        <v>41996</v>
      </c>
      <c r="B1704">
        <v>2.2799</v>
      </c>
    </row>
    <row r="1705" spans="1:2">
      <c r="A1705" s="105">
        <v>41997</v>
      </c>
      <c r="B1705">
        <v>2.2780999999999998</v>
      </c>
    </row>
    <row r="1706" spans="1:2">
      <c r="A1706" s="105">
        <v>41998</v>
      </c>
      <c r="B1706">
        <v>2.2684000000000002</v>
      </c>
    </row>
    <row r="1707" spans="1:2">
      <c r="A1707" s="105">
        <v>41999</v>
      </c>
      <c r="B1707">
        <v>2.2700999999999998</v>
      </c>
    </row>
    <row r="1708" spans="1:2">
      <c r="A1708" s="105">
        <v>42000</v>
      </c>
      <c r="B1708">
        <v>2.2707000000000002</v>
      </c>
    </row>
    <row r="1709" spans="1:2">
      <c r="A1709" s="105">
        <v>42001</v>
      </c>
      <c r="B1709">
        <v>2.2656000000000001</v>
      </c>
    </row>
    <row r="1710" spans="1:2">
      <c r="A1710" s="105">
        <v>42002</v>
      </c>
      <c r="B1710">
        <v>2.2654000000000001</v>
      </c>
    </row>
    <row r="1711" spans="1:2">
      <c r="A1711" s="105">
        <v>42003</v>
      </c>
      <c r="B1711">
        <v>2.2633999999999999</v>
      </c>
    </row>
    <row r="1712" spans="1:2">
      <c r="A1712" s="105">
        <v>42004</v>
      </c>
      <c r="B1712">
        <v>2.2599999999999998</v>
      </c>
    </row>
    <row r="1713" spans="1:2">
      <c r="A1713" s="105">
        <v>42005</v>
      </c>
      <c r="B1713">
        <v>2.2591999999999999</v>
      </c>
    </row>
    <row r="1714" spans="1:2">
      <c r="A1714" s="105">
        <v>42006</v>
      </c>
      <c r="B1714">
        <v>2.2509000000000001</v>
      </c>
    </row>
    <row r="1715" spans="1:2">
      <c r="A1715" s="105">
        <v>42007</v>
      </c>
      <c r="B1715">
        <v>2.2528000000000001</v>
      </c>
    </row>
    <row r="1716" spans="1:2">
      <c r="A1716" s="105">
        <v>42008</v>
      </c>
      <c r="B1716">
        <v>2.2498</v>
      </c>
    </row>
    <row r="1717" spans="1:2">
      <c r="A1717" s="105">
        <v>42009</v>
      </c>
      <c r="B1717">
        <v>2.2477</v>
      </c>
    </row>
    <row r="1718" spans="1:2">
      <c r="A1718" s="105">
        <v>42010</v>
      </c>
      <c r="B1718">
        <v>2.2397</v>
      </c>
    </row>
    <row r="1719" spans="1:2">
      <c r="A1719" s="105">
        <v>42011</v>
      </c>
      <c r="B1719">
        <v>2.2347000000000001</v>
      </c>
    </row>
    <row r="1720" spans="1:2">
      <c r="A1720" s="105">
        <v>42012</v>
      </c>
      <c r="B1720">
        <v>2.2328000000000001</v>
      </c>
    </row>
    <row r="1721" spans="1:2">
      <c r="A1721" s="105">
        <v>42013</v>
      </c>
      <c r="B1721">
        <v>2.2393999999999998</v>
      </c>
    </row>
    <row r="1722" spans="1:2">
      <c r="A1722" s="105">
        <v>42014</v>
      </c>
      <c r="B1722">
        <v>2.2391999999999999</v>
      </c>
    </row>
    <row r="1723" spans="1:2">
      <c r="A1723" s="105">
        <v>42015</v>
      </c>
      <c r="B1723">
        <v>2.2362000000000002</v>
      </c>
    </row>
    <row r="1724" spans="1:2">
      <c r="A1724" s="105">
        <v>42016</v>
      </c>
      <c r="B1724">
        <v>2.2389000000000001</v>
      </c>
    </row>
    <row r="1725" spans="1:2">
      <c r="A1725" s="105">
        <v>42017</v>
      </c>
      <c r="B1725">
        <v>2.2328000000000001</v>
      </c>
    </row>
    <row r="1726" spans="1:2">
      <c r="A1726" s="105">
        <v>42018</v>
      </c>
      <c r="B1726">
        <v>2.2349999999999999</v>
      </c>
    </row>
    <row r="1727" spans="1:2">
      <c r="A1727" s="105">
        <v>42019</v>
      </c>
      <c r="B1727">
        <v>2.2181999999999999</v>
      </c>
    </row>
    <row r="1728" spans="1:2">
      <c r="A1728" s="105">
        <v>42020</v>
      </c>
      <c r="B1728">
        <v>2.2151000000000001</v>
      </c>
    </row>
    <row r="1729" spans="1:2">
      <c r="A1729" s="105">
        <v>42021</v>
      </c>
      <c r="B1729">
        <v>2.2181000000000002</v>
      </c>
    </row>
    <row r="1730" spans="1:2">
      <c r="A1730" s="105">
        <v>42022</v>
      </c>
      <c r="B1730">
        <v>2.2191000000000001</v>
      </c>
    </row>
    <row r="1731" spans="1:2">
      <c r="A1731" s="105">
        <v>42023</v>
      </c>
      <c r="B1731">
        <v>2.2200000000000002</v>
      </c>
    </row>
    <row r="1732" spans="1:2">
      <c r="A1732" s="105">
        <v>42024</v>
      </c>
      <c r="B1732">
        <v>2.2126000000000001</v>
      </c>
    </row>
    <row r="1733" spans="1:2">
      <c r="A1733" s="105">
        <v>42025</v>
      </c>
      <c r="B1733">
        <v>2.2201</v>
      </c>
    </row>
    <row r="1734" spans="1:2">
      <c r="A1734" s="105">
        <v>42026</v>
      </c>
      <c r="B1734">
        <v>2.2143000000000002</v>
      </c>
    </row>
    <row r="1735" spans="1:2">
      <c r="A1735" s="105">
        <v>42027</v>
      </c>
      <c r="B1735">
        <v>2.1901000000000002</v>
      </c>
    </row>
    <row r="1736" spans="1:2">
      <c r="A1736" s="105">
        <v>42028</v>
      </c>
      <c r="B1736">
        <v>2.1897000000000002</v>
      </c>
    </row>
    <row r="1737" spans="1:2">
      <c r="A1737" s="105">
        <v>42029</v>
      </c>
      <c r="B1737">
        <v>2.1896</v>
      </c>
    </row>
    <row r="1738" spans="1:2">
      <c r="A1738" s="105">
        <v>42030</v>
      </c>
      <c r="B1738">
        <v>2.1848999999999998</v>
      </c>
    </row>
    <row r="1739" spans="1:2">
      <c r="A1739" s="105">
        <v>42031</v>
      </c>
      <c r="B1739">
        <v>2.1957</v>
      </c>
    </row>
    <row r="1740" spans="1:2">
      <c r="A1740" s="105">
        <v>42032</v>
      </c>
      <c r="B1740">
        <v>2.1890999999999998</v>
      </c>
    </row>
    <row r="1741" spans="1:2">
      <c r="A1741" s="105">
        <v>42033</v>
      </c>
      <c r="B1741">
        <v>2.1926000000000001</v>
      </c>
    </row>
    <row r="1742" spans="1:2">
      <c r="A1742" s="105">
        <v>42034</v>
      </c>
      <c r="B1742">
        <v>2.1842999999999999</v>
      </c>
    </row>
    <row r="1743" spans="1:2">
      <c r="A1743" s="105">
        <v>42035</v>
      </c>
      <c r="B1743">
        <v>2.1848000000000001</v>
      </c>
    </row>
    <row r="1744" spans="1:2">
      <c r="A1744" s="105">
        <v>42036</v>
      </c>
      <c r="B1744">
        <v>2.1848000000000001</v>
      </c>
    </row>
    <row r="1745" spans="1:2">
      <c r="A1745" s="105">
        <v>42037</v>
      </c>
      <c r="B1745">
        <v>2.1897000000000002</v>
      </c>
    </row>
    <row r="1746" spans="1:2">
      <c r="A1746" s="105">
        <v>42038</v>
      </c>
      <c r="B1746">
        <v>2.2054999999999998</v>
      </c>
    </row>
    <row r="1747" spans="1:2">
      <c r="A1747" s="105">
        <v>42039</v>
      </c>
      <c r="B1747">
        <v>2.1913999999999998</v>
      </c>
    </row>
    <row r="1748" spans="1:2">
      <c r="A1748" s="105">
        <v>42040</v>
      </c>
      <c r="B1748">
        <v>2.1945000000000001</v>
      </c>
    </row>
    <row r="1749" spans="1:2">
      <c r="A1749" s="105">
        <v>42041</v>
      </c>
      <c r="B1749">
        <v>2.1875</v>
      </c>
    </row>
    <row r="1750" spans="1:2">
      <c r="A1750" s="105">
        <v>42042</v>
      </c>
      <c r="B1750">
        <v>2.1863000000000001</v>
      </c>
    </row>
    <row r="1751" spans="1:2">
      <c r="A1751" s="105">
        <v>42043</v>
      </c>
      <c r="B1751">
        <v>2.1867999999999999</v>
      </c>
    </row>
    <row r="1752" spans="1:2">
      <c r="A1752" s="105">
        <v>42044</v>
      </c>
      <c r="B1752">
        <v>2.1876000000000002</v>
      </c>
    </row>
    <row r="1753" spans="1:2">
      <c r="A1753" s="105">
        <v>42045</v>
      </c>
      <c r="B1753">
        <v>2.1888000000000001</v>
      </c>
    </row>
    <row r="1754" spans="1:2">
      <c r="A1754" s="105">
        <v>42046</v>
      </c>
      <c r="B1754">
        <v>2.1890000000000001</v>
      </c>
    </row>
    <row r="1755" spans="1:2">
      <c r="A1755" s="105">
        <v>42047</v>
      </c>
      <c r="B1755">
        <v>2.1919</v>
      </c>
    </row>
    <row r="1756" spans="1:2">
      <c r="A1756" s="105">
        <v>42048</v>
      </c>
      <c r="B1756">
        <v>2.1878000000000002</v>
      </c>
    </row>
    <row r="1757" spans="1:2">
      <c r="A1757" s="105">
        <v>42049</v>
      </c>
      <c r="B1757">
        <v>2.1907999999999999</v>
      </c>
    </row>
    <row r="1758" spans="1:2">
      <c r="A1758" s="105">
        <v>42050</v>
      </c>
      <c r="B1758">
        <v>2.1863999999999999</v>
      </c>
    </row>
    <row r="1759" spans="1:2">
      <c r="A1759" s="105">
        <v>42051</v>
      </c>
      <c r="B1759">
        <v>2.1894999999999998</v>
      </c>
    </row>
    <row r="1760" spans="1:2">
      <c r="A1760" s="105">
        <v>42052</v>
      </c>
      <c r="B1760">
        <v>2.1938</v>
      </c>
    </row>
    <row r="1761" spans="1:2">
      <c r="A1761" s="105">
        <v>42053</v>
      </c>
      <c r="B1761">
        <v>2.1966000000000001</v>
      </c>
    </row>
    <row r="1762" spans="1:2">
      <c r="A1762" s="105">
        <v>42054</v>
      </c>
      <c r="B1762">
        <v>2.1996000000000002</v>
      </c>
    </row>
    <row r="1763" spans="1:2">
      <c r="A1763" s="105">
        <v>42055</v>
      </c>
      <c r="B1763">
        <v>2.1985000000000001</v>
      </c>
    </row>
    <row r="1764" spans="1:2">
      <c r="A1764" s="105">
        <v>42056</v>
      </c>
      <c r="B1764">
        <v>2.1995</v>
      </c>
    </row>
    <row r="1765" spans="1:2">
      <c r="A1765" s="105">
        <v>42057</v>
      </c>
      <c r="B1765">
        <v>2.1995</v>
      </c>
    </row>
    <row r="1766" spans="1:2">
      <c r="A1766" s="105">
        <v>42058</v>
      </c>
      <c r="B1766">
        <v>2.1945000000000001</v>
      </c>
    </row>
    <row r="1767" spans="1:2">
      <c r="A1767" s="105">
        <v>42059</v>
      </c>
      <c r="B1767">
        <v>2.1959</v>
      </c>
    </row>
    <row r="1768" spans="1:2">
      <c r="A1768" s="105">
        <v>42060</v>
      </c>
      <c r="B1768">
        <v>2.1951000000000001</v>
      </c>
    </row>
    <row r="1769" spans="1:2">
      <c r="A1769" s="105">
        <v>42061</v>
      </c>
      <c r="B1769">
        <v>2.1861000000000002</v>
      </c>
    </row>
    <row r="1770" spans="1:2">
      <c r="A1770" s="105">
        <v>42062</v>
      </c>
      <c r="B1770">
        <v>2.1835</v>
      </c>
    </row>
    <row r="1771" spans="1:2">
      <c r="A1771" s="105">
        <v>42063</v>
      </c>
      <c r="B1771">
        <v>2.1829999999999998</v>
      </c>
    </row>
    <row r="1772" spans="1:2">
      <c r="A1772" s="105">
        <v>42064</v>
      </c>
      <c r="B1772">
        <v>2.1833</v>
      </c>
    </row>
    <row r="1773" spans="1:2">
      <c r="A1773" s="105">
        <v>42065</v>
      </c>
      <c r="B1773">
        <v>2.1835</v>
      </c>
    </row>
    <row r="1774" spans="1:2">
      <c r="A1774" s="105">
        <v>42066</v>
      </c>
      <c r="B1774">
        <v>2.1827000000000001</v>
      </c>
    </row>
    <row r="1775" spans="1:2">
      <c r="A1775" s="105">
        <v>42067</v>
      </c>
      <c r="B1775">
        <v>2.17</v>
      </c>
    </row>
    <row r="1776" spans="1:2">
      <c r="A1776" s="105">
        <v>42068</v>
      </c>
      <c r="B1776">
        <v>2.1669</v>
      </c>
    </row>
    <row r="1777" spans="1:2">
      <c r="A1777" s="105">
        <v>42069</v>
      </c>
      <c r="B1777">
        <v>2.1501999999999999</v>
      </c>
    </row>
    <row r="1778" spans="1:2">
      <c r="A1778" s="105">
        <v>42070</v>
      </c>
      <c r="B1778">
        <v>2.1501000000000001</v>
      </c>
    </row>
    <row r="1779" spans="1:2">
      <c r="A1779" s="105">
        <v>42071</v>
      </c>
      <c r="B1779">
        <v>2.1501000000000001</v>
      </c>
    </row>
    <row r="1780" spans="1:2">
      <c r="A1780" s="105">
        <v>42072</v>
      </c>
      <c r="B1780">
        <v>2.1446999999999998</v>
      </c>
    </row>
    <row r="1781" spans="1:2">
      <c r="A1781" s="105">
        <v>42073</v>
      </c>
      <c r="B1781">
        <v>2.1293000000000002</v>
      </c>
    </row>
    <row r="1782" spans="1:2">
      <c r="A1782" s="105">
        <v>42074</v>
      </c>
      <c r="B1782">
        <v>2.1114000000000002</v>
      </c>
    </row>
    <row r="1783" spans="1:2">
      <c r="A1783" s="105">
        <v>42075</v>
      </c>
      <c r="B1783">
        <v>2.1219999999999999</v>
      </c>
    </row>
    <row r="1784" spans="1:2">
      <c r="A1784" s="105">
        <v>42076</v>
      </c>
      <c r="B1784">
        <v>2.0788000000000002</v>
      </c>
    </row>
    <row r="1785" spans="1:2">
      <c r="A1785" s="105">
        <v>42077</v>
      </c>
      <c r="B1785">
        <v>2.0813000000000001</v>
      </c>
    </row>
    <row r="1786" spans="1:2">
      <c r="A1786" s="105">
        <v>42078</v>
      </c>
      <c r="B1786">
        <v>2.0813000000000001</v>
      </c>
    </row>
    <row r="1787" spans="1:2">
      <c r="A1787" s="105">
        <v>42079</v>
      </c>
      <c r="B1787">
        <v>2.0758000000000001</v>
      </c>
    </row>
    <row r="1788" spans="1:2">
      <c r="A1788" s="105">
        <v>42080</v>
      </c>
      <c r="B1788">
        <v>2.0718000000000001</v>
      </c>
    </row>
    <row r="1789" spans="1:2">
      <c r="A1789" s="105">
        <v>42081</v>
      </c>
      <c r="B1789">
        <v>2.1061999999999999</v>
      </c>
    </row>
    <row r="1790" spans="1:2">
      <c r="A1790" s="105">
        <v>42082</v>
      </c>
      <c r="B1790">
        <v>2.0996000000000001</v>
      </c>
    </row>
    <row r="1791" spans="1:2">
      <c r="A1791" s="105">
        <v>42083</v>
      </c>
      <c r="B1791">
        <v>2.1093999999999999</v>
      </c>
    </row>
    <row r="1792" spans="1:2">
      <c r="A1792" s="105">
        <v>42084</v>
      </c>
      <c r="B1792">
        <v>2.1053000000000002</v>
      </c>
    </row>
    <row r="1793" spans="1:2">
      <c r="A1793" s="105">
        <v>42086</v>
      </c>
      <c r="B1793">
        <v>2.1137000000000001</v>
      </c>
    </row>
    <row r="1794" spans="1:2">
      <c r="A1794" s="105">
        <v>42087</v>
      </c>
      <c r="B1794">
        <v>2.1175999999999999</v>
      </c>
    </row>
    <row r="1795" spans="1:2">
      <c r="A1795" s="105">
        <v>42088</v>
      </c>
      <c r="B1795">
        <v>2.1225999999999998</v>
      </c>
    </row>
    <row r="1796" spans="1:2">
      <c r="A1796" s="105">
        <v>42089</v>
      </c>
      <c r="B1796">
        <v>2.1215999999999999</v>
      </c>
    </row>
    <row r="1797" spans="1:2">
      <c r="A1797" s="105">
        <v>42090</v>
      </c>
      <c r="B1797">
        <v>2.1175000000000002</v>
      </c>
    </row>
    <row r="1798" spans="1:2">
      <c r="A1798" s="105">
        <v>42091</v>
      </c>
      <c r="B1798">
        <v>2.1153</v>
      </c>
    </row>
    <row r="1799" spans="1:2">
      <c r="A1799" s="105">
        <v>42092</v>
      </c>
      <c r="B1799">
        <v>2.1162999999999998</v>
      </c>
    </row>
    <row r="1800" spans="1:2">
      <c r="A1800" s="105">
        <v>42093</v>
      </c>
      <c r="B1800">
        <v>2.1133999999999999</v>
      </c>
    </row>
    <row r="1801" spans="1:2">
      <c r="A1801" s="105">
        <v>42094</v>
      </c>
      <c r="B1801">
        <v>2.1055999999999999</v>
      </c>
    </row>
    <row r="1802" spans="1:2">
      <c r="A1802" s="105">
        <v>42095</v>
      </c>
      <c r="B1802">
        <v>2.1097999999999999</v>
      </c>
    </row>
    <row r="1803" spans="1:2">
      <c r="A1803" s="105">
        <v>42096</v>
      </c>
      <c r="B1803">
        <v>2.1183000000000001</v>
      </c>
    </row>
    <row r="1804" spans="1:2">
      <c r="A1804" s="105">
        <v>42097</v>
      </c>
      <c r="B1804">
        <v>2.1234999999999999</v>
      </c>
    </row>
    <row r="1805" spans="1:2">
      <c r="A1805" s="105">
        <v>42098</v>
      </c>
      <c r="B1805">
        <v>2.1339000000000001</v>
      </c>
    </row>
    <row r="1806" spans="1:2">
      <c r="A1806" s="105">
        <v>42099</v>
      </c>
      <c r="B1806">
        <v>2.1339000000000001</v>
      </c>
    </row>
    <row r="1807" spans="1:2">
      <c r="A1807" s="105">
        <v>42100</v>
      </c>
      <c r="B1807">
        <v>2.1215000000000002</v>
      </c>
    </row>
    <row r="1808" spans="1:2">
      <c r="A1808" s="105">
        <v>42101</v>
      </c>
      <c r="B1808">
        <v>2.1150000000000002</v>
      </c>
    </row>
    <row r="1809" spans="1:2">
      <c r="A1809" s="105">
        <v>42102</v>
      </c>
      <c r="B1809">
        <v>2.1175000000000002</v>
      </c>
    </row>
  </sheetData>
  <sortState ref="G3:H1307">
    <sortCondition ref="G4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O1263"/>
  <sheetViews>
    <sheetView workbookViewId="0">
      <selection activeCell="A7" sqref="A7"/>
    </sheetView>
  </sheetViews>
  <sheetFormatPr baseColWidth="10" defaultRowHeight="15"/>
  <cols>
    <col min="2" max="2" width="12.28515625" customWidth="1"/>
    <col min="3" max="3" width="11.42578125" customWidth="1"/>
  </cols>
  <sheetData>
    <row r="1" spans="1:15">
      <c r="A1" s="107" t="s">
        <v>97</v>
      </c>
      <c r="B1" s="107"/>
      <c r="D1" s="107" t="s">
        <v>98</v>
      </c>
      <c r="E1" s="107"/>
      <c r="F1" s="107" t="s">
        <v>99</v>
      </c>
      <c r="G1" s="107"/>
      <c r="H1" s="107" t="s">
        <v>100</v>
      </c>
      <c r="I1" s="107"/>
      <c r="J1" s="107" t="s">
        <v>101</v>
      </c>
      <c r="K1" s="107"/>
    </row>
    <row r="2" spans="1:15">
      <c r="A2" s="107" t="s">
        <v>19</v>
      </c>
      <c r="B2" s="107" t="s">
        <v>102</v>
      </c>
      <c r="D2" s="107" t="s">
        <v>19</v>
      </c>
      <c r="E2" s="107" t="s">
        <v>102</v>
      </c>
      <c r="F2" s="107" t="s">
        <v>19</v>
      </c>
      <c r="G2" s="107" t="s">
        <v>102</v>
      </c>
      <c r="H2" s="107" t="s">
        <v>19</v>
      </c>
      <c r="I2" s="107" t="s">
        <v>102</v>
      </c>
      <c r="J2" s="107" t="s">
        <v>19</v>
      </c>
      <c r="K2" s="107" t="s">
        <v>102</v>
      </c>
    </row>
    <row r="3" spans="1:15">
      <c r="A3" s="105"/>
      <c r="D3" s="105"/>
      <c r="F3" s="105"/>
      <c r="H3" s="105"/>
      <c r="J3" s="105"/>
      <c r="N3" t="s">
        <v>136</v>
      </c>
    </row>
    <row r="4" spans="1:15">
      <c r="A4" s="105">
        <v>40277</v>
      </c>
      <c r="B4" s="156">
        <v>2.5287999999999999E-3</v>
      </c>
      <c r="D4" s="105">
        <v>42096</v>
      </c>
      <c r="E4">
        <v>0.27374999999999999</v>
      </c>
      <c r="F4" s="105">
        <v>42096</v>
      </c>
      <c r="G4">
        <v>0.40115000000000001</v>
      </c>
      <c r="H4" s="105">
        <v>41424</v>
      </c>
      <c r="I4">
        <v>0.55079999999999996</v>
      </c>
      <c r="J4" s="105">
        <v>42096</v>
      </c>
      <c r="K4">
        <v>0.69235000000000002</v>
      </c>
      <c r="N4" s="105">
        <v>42462</v>
      </c>
      <c r="O4" s="156">
        <f>cubspline(N4,$A$4:$A$1263,$B$4:$B$1263)</f>
        <v>0.98494999999999466</v>
      </c>
    </row>
    <row r="5" spans="1:15">
      <c r="A5" s="105">
        <v>40280</v>
      </c>
      <c r="B5" s="156">
        <v>2.5298E-3</v>
      </c>
      <c r="D5" s="105">
        <v>42095</v>
      </c>
      <c r="E5">
        <v>0.27074999999999999</v>
      </c>
      <c r="F5" s="105">
        <v>42095</v>
      </c>
      <c r="G5">
        <v>0.40339999999999998</v>
      </c>
      <c r="H5" s="105">
        <v>41423</v>
      </c>
      <c r="I5">
        <v>0.55130000000000001</v>
      </c>
      <c r="J5" s="105">
        <v>42095</v>
      </c>
      <c r="K5">
        <v>0.69810000000000005</v>
      </c>
    </row>
    <row r="6" spans="1:15">
      <c r="A6" s="105">
        <v>40281</v>
      </c>
      <c r="B6" s="156">
        <v>0.25438</v>
      </c>
      <c r="D6" s="105">
        <v>42094</v>
      </c>
      <c r="E6">
        <v>0.27074999999999999</v>
      </c>
      <c r="F6" s="105">
        <v>42094</v>
      </c>
      <c r="G6">
        <v>0.40065000000000001</v>
      </c>
      <c r="H6" s="105">
        <v>41422</v>
      </c>
      <c r="I6">
        <v>0.54679999999999995</v>
      </c>
      <c r="J6" s="105">
        <v>42094</v>
      </c>
      <c r="K6">
        <v>0.69420000000000004</v>
      </c>
    </row>
    <row r="7" spans="1:15">
      <c r="A7" s="105">
        <v>40282</v>
      </c>
      <c r="B7" s="156">
        <v>0.25594</v>
      </c>
      <c r="D7" s="105">
        <v>42093</v>
      </c>
      <c r="E7">
        <v>0.27415</v>
      </c>
      <c r="F7" s="105">
        <v>42093</v>
      </c>
      <c r="G7">
        <v>0.40265000000000001</v>
      </c>
      <c r="H7" s="105">
        <v>41418</v>
      </c>
      <c r="I7">
        <v>0.54903999999999997</v>
      </c>
      <c r="J7" s="105">
        <v>42093</v>
      </c>
      <c r="K7">
        <v>0.69889999999999997</v>
      </c>
    </row>
    <row r="8" spans="1:15">
      <c r="A8" s="105">
        <v>40283</v>
      </c>
      <c r="B8" s="156">
        <v>0.25624999999999998</v>
      </c>
      <c r="D8" s="105">
        <v>42090</v>
      </c>
      <c r="E8">
        <v>0.27539999999999998</v>
      </c>
      <c r="F8" s="105">
        <v>42090</v>
      </c>
      <c r="G8">
        <v>0.40489999999999998</v>
      </c>
      <c r="H8" s="105">
        <v>41417</v>
      </c>
      <c r="I8">
        <v>0.54903999999999997</v>
      </c>
      <c r="J8" s="105">
        <v>42090</v>
      </c>
      <c r="K8">
        <v>0.70215000000000005</v>
      </c>
    </row>
    <row r="9" spans="1:15">
      <c r="A9" s="105">
        <v>40284</v>
      </c>
      <c r="B9" s="156">
        <v>0.25563000000000002</v>
      </c>
      <c r="D9" s="105">
        <v>42089</v>
      </c>
      <c r="E9">
        <v>0.27305000000000001</v>
      </c>
      <c r="F9" s="105">
        <v>42089</v>
      </c>
      <c r="G9">
        <v>0.40189999999999998</v>
      </c>
      <c r="H9" s="105">
        <v>41416</v>
      </c>
      <c r="I9">
        <v>0.54954000000000003</v>
      </c>
      <c r="J9" s="105">
        <v>42089</v>
      </c>
      <c r="K9">
        <v>0.69989999999999997</v>
      </c>
    </row>
    <row r="10" spans="1:15">
      <c r="A10" s="105">
        <v>40287</v>
      </c>
      <c r="B10" s="156">
        <v>0.25750000000000001</v>
      </c>
      <c r="D10" s="105">
        <v>42088</v>
      </c>
      <c r="E10">
        <v>0.26855000000000001</v>
      </c>
      <c r="F10" s="105">
        <v>42088</v>
      </c>
      <c r="G10">
        <v>0.39789999999999998</v>
      </c>
      <c r="H10" s="105">
        <v>41415</v>
      </c>
      <c r="I10">
        <v>0.54954000000000003</v>
      </c>
      <c r="J10" s="105">
        <v>42088</v>
      </c>
      <c r="K10">
        <v>0.69715000000000005</v>
      </c>
    </row>
    <row r="11" spans="1:15">
      <c r="A11" s="105">
        <v>40288</v>
      </c>
      <c r="B11" s="156">
        <v>0.25874999999999998</v>
      </c>
      <c r="D11" s="105">
        <v>42087</v>
      </c>
      <c r="E11">
        <v>0.26934999999999998</v>
      </c>
      <c r="F11" s="105">
        <v>42087</v>
      </c>
      <c r="G11">
        <v>0.39865</v>
      </c>
      <c r="H11" s="105">
        <v>41414</v>
      </c>
      <c r="I11">
        <v>0.55003999999999997</v>
      </c>
      <c r="J11" s="105">
        <v>42087</v>
      </c>
      <c r="K11">
        <v>0.69240000000000002</v>
      </c>
    </row>
    <row r="12" spans="1:15">
      <c r="A12" s="105">
        <v>40289</v>
      </c>
      <c r="B12" s="156">
        <v>0.26062999999999997</v>
      </c>
      <c r="D12" s="105">
        <v>42086</v>
      </c>
      <c r="E12">
        <v>0.26679999999999998</v>
      </c>
      <c r="F12" s="105">
        <v>42086</v>
      </c>
      <c r="G12">
        <v>0.39484999999999998</v>
      </c>
      <c r="H12" s="105">
        <v>41411</v>
      </c>
      <c r="I12">
        <v>0.54954000000000003</v>
      </c>
      <c r="J12" s="105">
        <v>42086</v>
      </c>
      <c r="K12">
        <v>0.69110000000000005</v>
      </c>
    </row>
    <row r="13" spans="1:15">
      <c r="A13" s="105">
        <v>40290</v>
      </c>
      <c r="B13" s="156">
        <v>0.26250000000000001</v>
      </c>
      <c r="D13" s="105">
        <v>42083</v>
      </c>
      <c r="E13">
        <v>0.26679999999999998</v>
      </c>
      <c r="F13" s="105">
        <v>42083</v>
      </c>
      <c r="G13">
        <v>0.39734999999999998</v>
      </c>
      <c r="H13" s="105">
        <v>41410</v>
      </c>
      <c r="I13">
        <v>0.55103999999999997</v>
      </c>
      <c r="J13" s="105">
        <v>42083</v>
      </c>
      <c r="K13">
        <v>0.69735000000000003</v>
      </c>
    </row>
    <row r="14" spans="1:15">
      <c r="A14" s="105">
        <v>40291</v>
      </c>
      <c r="B14" s="156">
        <v>0.26438</v>
      </c>
      <c r="D14" s="105">
        <v>42082</v>
      </c>
      <c r="E14">
        <v>0.26455000000000001</v>
      </c>
      <c r="F14" s="105">
        <v>42082</v>
      </c>
      <c r="G14">
        <v>0.39384999999999998</v>
      </c>
      <c r="H14" s="105">
        <v>41409</v>
      </c>
      <c r="I14">
        <v>0.55203999999999998</v>
      </c>
      <c r="J14" s="105">
        <v>42082</v>
      </c>
      <c r="K14">
        <v>0.68684999999999996</v>
      </c>
    </row>
    <row r="15" spans="1:15">
      <c r="A15" s="105">
        <v>40294</v>
      </c>
      <c r="B15" s="156">
        <v>0.26468999999999998</v>
      </c>
      <c r="D15" s="105">
        <v>42081</v>
      </c>
      <c r="E15">
        <v>0.27029999999999998</v>
      </c>
      <c r="F15" s="105">
        <v>42081</v>
      </c>
      <c r="G15">
        <v>0.40910000000000002</v>
      </c>
      <c r="H15" s="105">
        <v>41408</v>
      </c>
      <c r="I15">
        <v>0.55520000000000003</v>
      </c>
      <c r="J15" s="105">
        <v>42081</v>
      </c>
      <c r="K15">
        <v>0.71535000000000004</v>
      </c>
    </row>
    <row r="16" spans="1:15">
      <c r="A16" s="105">
        <v>40295</v>
      </c>
      <c r="B16" s="156">
        <v>0.26672000000000001</v>
      </c>
      <c r="D16" s="105">
        <v>42080</v>
      </c>
      <c r="E16">
        <v>0.26934999999999998</v>
      </c>
      <c r="F16" s="105">
        <v>42080</v>
      </c>
      <c r="G16">
        <v>0.40610000000000002</v>
      </c>
      <c r="H16" s="105">
        <v>41407</v>
      </c>
      <c r="I16">
        <v>0.55820000000000003</v>
      </c>
      <c r="J16" s="105">
        <v>42080</v>
      </c>
      <c r="K16">
        <v>0.71335000000000004</v>
      </c>
    </row>
    <row r="17" spans="1:11">
      <c r="A17" s="105">
        <v>40296</v>
      </c>
      <c r="B17" s="156">
        <v>0.27312999999999998</v>
      </c>
      <c r="D17" s="105">
        <v>42079</v>
      </c>
      <c r="E17">
        <v>0.27015</v>
      </c>
      <c r="F17" s="105">
        <v>42079</v>
      </c>
      <c r="G17">
        <v>0.40189999999999998</v>
      </c>
      <c r="H17" s="105">
        <v>41404</v>
      </c>
      <c r="I17">
        <v>0.55820000000000003</v>
      </c>
      <c r="J17" s="105">
        <v>42079</v>
      </c>
      <c r="K17">
        <v>0.71335000000000004</v>
      </c>
    </row>
    <row r="18" spans="1:11">
      <c r="A18" s="105">
        <v>40297</v>
      </c>
      <c r="B18" s="156">
        <v>0.27766000000000002</v>
      </c>
      <c r="D18" s="105">
        <v>42076</v>
      </c>
      <c r="E18">
        <v>0.27065</v>
      </c>
      <c r="F18" s="105">
        <v>42076</v>
      </c>
      <c r="G18">
        <v>0.40289999999999998</v>
      </c>
      <c r="H18" s="105">
        <v>41403</v>
      </c>
      <c r="I18">
        <v>0.55869999999999997</v>
      </c>
      <c r="J18" s="105">
        <v>42076</v>
      </c>
      <c r="K18">
        <v>0.71335000000000004</v>
      </c>
    </row>
    <row r="19" spans="1:11">
      <c r="A19" s="105">
        <v>40298</v>
      </c>
      <c r="B19" s="156">
        <v>0.28000000000000003</v>
      </c>
      <c r="D19" s="105">
        <v>42075</v>
      </c>
      <c r="E19">
        <v>0.27060000000000001</v>
      </c>
      <c r="F19" s="105">
        <v>42075</v>
      </c>
      <c r="G19">
        <v>0.40310000000000001</v>
      </c>
      <c r="H19" s="105">
        <v>41402</v>
      </c>
      <c r="I19">
        <v>0.55954999999999999</v>
      </c>
      <c r="J19" s="105">
        <v>42075</v>
      </c>
      <c r="K19">
        <v>0.71360000000000001</v>
      </c>
    </row>
    <row r="20" spans="1:11">
      <c r="A20" s="105">
        <v>40302</v>
      </c>
      <c r="B20" s="156">
        <v>0.28469</v>
      </c>
      <c r="D20" s="105">
        <v>42074</v>
      </c>
      <c r="E20">
        <v>0.26989999999999997</v>
      </c>
      <c r="F20" s="105">
        <v>42074</v>
      </c>
      <c r="G20">
        <v>0.40139999999999998</v>
      </c>
      <c r="H20" s="105">
        <v>41401</v>
      </c>
      <c r="I20">
        <v>0.55954999999999999</v>
      </c>
      <c r="J20" s="105">
        <v>42074</v>
      </c>
      <c r="K20">
        <v>0.71509999999999996</v>
      </c>
    </row>
    <row r="21" spans="1:11">
      <c r="A21" s="105">
        <v>40303</v>
      </c>
      <c r="B21" s="156">
        <v>0.29093999999999998</v>
      </c>
      <c r="D21" s="105">
        <v>42073</v>
      </c>
      <c r="E21">
        <v>0.26769999999999999</v>
      </c>
      <c r="F21" s="105">
        <v>42073</v>
      </c>
      <c r="G21">
        <v>0.4042</v>
      </c>
      <c r="H21" s="105">
        <v>41397</v>
      </c>
      <c r="I21">
        <v>0.55905000000000005</v>
      </c>
      <c r="J21" s="105">
        <v>42073</v>
      </c>
      <c r="K21">
        <v>0.71084999999999998</v>
      </c>
    </row>
    <row r="22" spans="1:11">
      <c r="A22" s="105">
        <v>40304</v>
      </c>
      <c r="B22" s="156">
        <v>0.29705999999999999</v>
      </c>
      <c r="D22" s="105">
        <v>42072</v>
      </c>
      <c r="E22">
        <v>0.2666</v>
      </c>
      <c r="F22" s="105">
        <v>42072</v>
      </c>
      <c r="G22">
        <v>0.40410000000000001</v>
      </c>
      <c r="H22" s="105">
        <v>41396</v>
      </c>
      <c r="I22">
        <v>0.56120000000000003</v>
      </c>
      <c r="J22" s="105">
        <v>42072</v>
      </c>
      <c r="K22">
        <v>0.71109999999999995</v>
      </c>
    </row>
    <row r="23" spans="1:11">
      <c r="A23" s="105">
        <v>40305</v>
      </c>
      <c r="B23" s="156">
        <v>0.34875</v>
      </c>
      <c r="D23" s="105">
        <v>42069</v>
      </c>
      <c r="E23">
        <v>0.2646</v>
      </c>
      <c r="F23" s="105">
        <v>42069</v>
      </c>
      <c r="G23">
        <v>0.39760000000000001</v>
      </c>
      <c r="H23" s="105">
        <v>41395</v>
      </c>
      <c r="I23">
        <v>0.56120000000000003</v>
      </c>
      <c r="J23" s="105">
        <v>42069</v>
      </c>
      <c r="K23">
        <v>0.68810000000000004</v>
      </c>
    </row>
    <row r="24" spans="1:11">
      <c r="A24" s="105">
        <v>40308</v>
      </c>
      <c r="B24" s="156">
        <v>0.34</v>
      </c>
      <c r="D24" s="105">
        <v>42068</v>
      </c>
      <c r="E24">
        <v>0.2636</v>
      </c>
      <c r="F24" s="105">
        <v>42068</v>
      </c>
      <c r="G24">
        <v>0.39710000000000001</v>
      </c>
      <c r="H24" s="105">
        <v>41394</v>
      </c>
      <c r="I24">
        <v>0.56169999999999998</v>
      </c>
      <c r="J24" s="105">
        <v>42068</v>
      </c>
      <c r="K24">
        <v>0.68884999999999996</v>
      </c>
    </row>
    <row r="25" spans="1:11">
      <c r="A25" s="105">
        <v>40309</v>
      </c>
      <c r="B25" s="156">
        <v>0.33750000000000002</v>
      </c>
      <c r="D25" s="105">
        <v>42067</v>
      </c>
      <c r="E25">
        <v>0.2636</v>
      </c>
      <c r="F25" s="105">
        <v>42067</v>
      </c>
      <c r="G25">
        <v>0.39560000000000001</v>
      </c>
      <c r="H25" s="105">
        <v>41393</v>
      </c>
      <c r="I25">
        <v>0.56620000000000004</v>
      </c>
      <c r="J25" s="105">
        <v>42067</v>
      </c>
      <c r="K25">
        <v>0.68859999999999999</v>
      </c>
    </row>
    <row r="26" spans="1:11">
      <c r="A26" s="105">
        <v>40310</v>
      </c>
      <c r="B26" s="156">
        <v>0.33812999999999999</v>
      </c>
      <c r="D26" s="105">
        <v>42066</v>
      </c>
      <c r="E26">
        <v>0.26515</v>
      </c>
      <c r="F26" s="105">
        <v>42066</v>
      </c>
      <c r="G26">
        <v>0.38790000000000002</v>
      </c>
      <c r="H26" s="105">
        <v>41390</v>
      </c>
      <c r="I26">
        <v>0.56820000000000004</v>
      </c>
      <c r="J26" s="105">
        <v>42066</v>
      </c>
      <c r="K26">
        <v>0.68710000000000004</v>
      </c>
    </row>
    <row r="27" spans="1:11">
      <c r="A27" s="105">
        <v>40311</v>
      </c>
      <c r="B27" s="156">
        <v>0.33688000000000001</v>
      </c>
      <c r="D27" s="105">
        <v>42065</v>
      </c>
      <c r="E27">
        <v>0.26095000000000002</v>
      </c>
      <c r="F27" s="105">
        <v>42065</v>
      </c>
      <c r="G27">
        <v>0.38419999999999999</v>
      </c>
      <c r="H27" s="105">
        <v>41389</v>
      </c>
      <c r="I27">
        <v>0.56820000000000004</v>
      </c>
      <c r="J27" s="105">
        <v>42065</v>
      </c>
      <c r="K27">
        <v>0.68184999999999996</v>
      </c>
    </row>
    <row r="28" spans="1:11">
      <c r="A28" s="105">
        <v>40312</v>
      </c>
      <c r="B28" s="156">
        <v>0.33774999999999999</v>
      </c>
      <c r="D28" s="105">
        <v>42062</v>
      </c>
      <c r="E28">
        <v>0.26185000000000003</v>
      </c>
      <c r="F28" s="105">
        <v>42062</v>
      </c>
      <c r="G28">
        <v>0.38069999999999998</v>
      </c>
      <c r="H28" s="105">
        <v>41388</v>
      </c>
      <c r="I28">
        <v>0.56820000000000004</v>
      </c>
      <c r="J28" s="105">
        <v>42062</v>
      </c>
      <c r="K28">
        <v>0.67959999999999998</v>
      </c>
    </row>
    <row r="29" spans="1:11">
      <c r="A29" s="105">
        <v>40315</v>
      </c>
      <c r="B29" s="156">
        <v>0.33894000000000002</v>
      </c>
      <c r="D29" s="105">
        <v>42061</v>
      </c>
      <c r="E29">
        <v>0.2616</v>
      </c>
      <c r="F29" s="105">
        <v>42061</v>
      </c>
      <c r="G29">
        <v>0.37835000000000002</v>
      </c>
      <c r="H29" s="105">
        <v>41387</v>
      </c>
      <c r="I29">
        <v>0.56820000000000004</v>
      </c>
      <c r="J29" s="105">
        <v>42061</v>
      </c>
      <c r="K29">
        <v>0.66935</v>
      </c>
    </row>
    <row r="30" spans="1:11">
      <c r="A30" s="105">
        <v>40316</v>
      </c>
      <c r="B30" s="156">
        <v>0.33968999999999999</v>
      </c>
      <c r="D30" s="105">
        <v>42060</v>
      </c>
      <c r="E30">
        <v>0.26090000000000002</v>
      </c>
      <c r="F30" s="105">
        <v>42060</v>
      </c>
      <c r="G30">
        <v>0.38290000000000002</v>
      </c>
      <c r="H30" s="105">
        <v>41386</v>
      </c>
      <c r="I30">
        <v>0.57069999999999999</v>
      </c>
      <c r="J30" s="105">
        <v>42060</v>
      </c>
      <c r="K30">
        <v>0.66859999999999997</v>
      </c>
    </row>
    <row r="31" spans="1:11">
      <c r="A31" s="105">
        <v>40317</v>
      </c>
      <c r="B31" s="156">
        <v>0.34105999999999997</v>
      </c>
      <c r="D31" s="105">
        <v>42059</v>
      </c>
      <c r="E31">
        <v>0.2611</v>
      </c>
      <c r="F31" s="105">
        <v>42059</v>
      </c>
      <c r="G31">
        <v>0.38514999999999999</v>
      </c>
      <c r="H31" s="105">
        <v>41383</v>
      </c>
      <c r="I31">
        <v>0.57120000000000004</v>
      </c>
      <c r="J31" s="105">
        <v>42059</v>
      </c>
      <c r="K31">
        <v>0.67735000000000001</v>
      </c>
    </row>
    <row r="32" spans="1:11">
      <c r="A32" s="105">
        <v>40318</v>
      </c>
      <c r="B32" s="156">
        <v>0.34131</v>
      </c>
      <c r="D32" s="105">
        <v>42058</v>
      </c>
      <c r="E32">
        <v>0.2616</v>
      </c>
      <c r="F32" s="105">
        <v>42058</v>
      </c>
      <c r="G32">
        <v>0.38469999999999999</v>
      </c>
      <c r="H32" s="105">
        <v>41382</v>
      </c>
      <c r="I32">
        <v>0.57069999999999999</v>
      </c>
      <c r="J32" s="105">
        <v>42058</v>
      </c>
      <c r="K32">
        <v>0.6784</v>
      </c>
    </row>
    <row r="33" spans="1:11">
      <c r="A33" s="105">
        <v>40319</v>
      </c>
      <c r="B33" s="156">
        <v>0.34281</v>
      </c>
      <c r="D33" s="105">
        <v>42055</v>
      </c>
      <c r="E33">
        <v>0.2626</v>
      </c>
      <c r="F33" s="105">
        <v>42055</v>
      </c>
      <c r="G33">
        <v>0.38569999999999999</v>
      </c>
      <c r="H33" s="105">
        <v>41381</v>
      </c>
      <c r="I33">
        <v>0.57069999999999999</v>
      </c>
      <c r="J33" s="105">
        <v>42055</v>
      </c>
      <c r="K33">
        <v>0.6744</v>
      </c>
    </row>
    <row r="34" spans="1:11">
      <c r="A34" s="105">
        <v>40322</v>
      </c>
      <c r="B34" s="156">
        <v>0.34525</v>
      </c>
      <c r="D34" s="105">
        <v>42054</v>
      </c>
      <c r="E34">
        <v>0.26150000000000001</v>
      </c>
      <c r="F34" s="105">
        <v>42054</v>
      </c>
      <c r="G34">
        <v>0.3841</v>
      </c>
      <c r="H34" s="105">
        <v>41380</v>
      </c>
      <c r="I34">
        <v>0.57320000000000004</v>
      </c>
      <c r="J34" s="105">
        <v>42054</v>
      </c>
      <c r="K34">
        <v>0.67090000000000005</v>
      </c>
    </row>
    <row r="35" spans="1:11">
      <c r="A35" s="105">
        <v>40323</v>
      </c>
      <c r="B35" s="156">
        <v>0.35399999999999998</v>
      </c>
      <c r="D35" s="105">
        <v>42053</v>
      </c>
      <c r="E35">
        <v>0.2606</v>
      </c>
      <c r="F35" s="105">
        <v>42053</v>
      </c>
      <c r="G35">
        <v>0.38529999999999998</v>
      </c>
      <c r="H35" s="105">
        <v>41379</v>
      </c>
      <c r="I35">
        <v>0.57469999999999999</v>
      </c>
      <c r="J35" s="105">
        <v>42053</v>
      </c>
      <c r="K35">
        <v>0.68410000000000004</v>
      </c>
    </row>
    <row r="36" spans="1:11">
      <c r="A36" s="105">
        <v>40324</v>
      </c>
      <c r="B36" s="156">
        <v>0.35405999999999999</v>
      </c>
      <c r="D36" s="105">
        <v>42052</v>
      </c>
      <c r="E36">
        <v>0.25669999999999998</v>
      </c>
      <c r="F36" s="105">
        <v>42052</v>
      </c>
      <c r="G36">
        <v>0.38190000000000002</v>
      </c>
      <c r="H36" s="105">
        <v>41376</v>
      </c>
      <c r="I36">
        <v>0.57469999999999999</v>
      </c>
      <c r="J36" s="105">
        <v>42052</v>
      </c>
      <c r="K36">
        <v>0.67459999999999998</v>
      </c>
    </row>
    <row r="37" spans="1:11">
      <c r="A37" s="105">
        <v>40325</v>
      </c>
      <c r="B37" s="156">
        <v>0.35375000000000001</v>
      </c>
      <c r="D37" s="105">
        <v>42051</v>
      </c>
      <c r="E37">
        <v>0.25619999999999998</v>
      </c>
      <c r="F37" s="105">
        <v>42051</v>
      </c>
      <c r="G37">
        <v>0.38090000000000002</v>
      </c>
      <c r="H37" s="105">
        <v>41375</v>
      </c>
      <c r="I37">
        <v>0.57569999999999999</v>
      </c>
      <c r="J37" s="105">
        <v>42051</v>
      </c>
      <c r="K37">
        <v>0.67259999999999998</v>
      </c>
    </row>
    <row r="38" spans="1:11">
      <c r="A38" s="105">
        <v>40326</v>
      </c>
      <c r="B38" s="156">
        <v>0.35125000000000001</v>
      </c>
      <c r="D38" s="105">
        <v>42048</v>
      </c>
      <c r="E38">
        <v>0.2571</v>
      </c>
      <c r="F38" s="105">
        <v>42048</v>
      </c>
      <c r="G38">
        <v>0.38240000000000002</v>
      </c>
      <c r="H38" s="105">
        <v>41374</v>
      </c>
      <c r="I38">
        <v>0.57669999999999999</v>
      </c>
      <c r="J38" s="105">
        <v>42048</v>
      </c>
      <c r="K38">
        <v>0.67359999999999998</v>
      </c>
    </row>
    <row r="39" spans="1:11">
      <c r="A39" s="105">
        <v>40330</v>
      </c>
      <c r="B39" s="156">
        <v>0.35088000000000003</v>
      </c>
      <c r="D39" s="105">
        <v>42047</v>
      </c>
      <c r="E39">
        <v>0.2581</v>
      </c>
      <c r="F39" s="105">
        <v>42047</v>
      </c>
      <c r="G39">
        <v>0.37690000000000001</v>
      </c>
      <c r="H39" s="105">
        <v>41373</v>
      </c>
      <c r="I39">
        <v>0.57820000000000005</v>
      </c>
      <c r="J39" s="105">
        <v>42047</v>
      </c>
      <c r="K39">
        <v>0.67159999999999997</v>
      </c>
    </row>
    <row r="40" spans="1:11">
      <c r="A40" s="105">
        <v>40331</v>
      </c>
      <c r="B40" s="156">
        <v>0.35088000000000003</v>
      </c>
      <c r="D40" s="105">
        <v>42046</v>
      </c>
      <c r="E40">
        <v>0.2581</v>
      </c>
      <c r="F40" s="105">
        <v>42046</v>
      </c>
      <c r="G40">
        <v>0.37830000000000003</v>
      </c>
      <c r="H40" s="105">
        <v>41372</v>
      </c>
      <c r="I40">
        <v>0.57820000000000005</v>
      </c>
      <c r="J40" s="105">
        <v>42046</v>
      </c>
      <c r="K40">
        <v>0.66459999999999997</v>
      </c>
    </row>
    <row r="41" spans="1:11">
      <c r="A41" s="105">
        <v>40332</v>
      </c>
      <c r="B41" s="156">
        <v>0.35088000000000003</v>
      </c>
      <c r="D41" s="105">
        <v>42045</v>
      </c>
      <c r="E41">
        <v>0.2581</v>
      </c>
      <c r="F41" s="105">
        <v>42045</v>
      </c>
      <c r="G41">
        <v>0.37680000000000002</v>
      </c>
      <c r="H41" s="105">
        <v>41369</v>
      </c>
      <c r="I41">
        <v>0.57920000000000005</v>
      </c>
      <c r="J41" s="105">
        <v>42045</v>
      </c>
      <c r="K41">
        <v>0.66359999999999997</v>
      </c>
    </row>
    <row r="42" spans="1:11">
      <c r="A42" s="105">
        <v>40333</v>
      </c>
      <c r="B42" s="156">
        <v>0.35</v>
      </c>
      <c r="D42" s="105">
        <v>42044</v>
      </c>
      <c r="E42">
        <v>0.25835000000000002</v>
      </c>
      <c r="F42" s="105">
        <v>42044</v>
      </c>
      <c r="G42">
        <v>0.37340000000000001</v>
      </c>
      <c r="H42" s="105">
        <v>41368</v>
      </c>
      <c r="I42">
        <v>0.58020000000000005</v>
      </c>
      <c r="J42" s="105">
        <v>42044</v>
      </c>
      <c r="K42">
        <v>0.65600000000000003</v>
      </c>
    </row>
    <row r="43" spans="1:11">
      <c r="A43" s="105">
        <v>40336</v>
      </c>
      <c r="B43" s="156">
        <v>0.35</v>
      </c>
      <c r="D43" s="105">
        <v>42041</v>
      </c>
      <c r="E43">
        <v>0.25559999999999999</v>
      </c>
      <c r="F43" s="105">
        <v>42041</v>
      </c>
      <c r="G43">
        <v>0.3624</v>
      </c>
      <c r="H43" s="105">
        <v>41367</v>
      </c>
      <c r="I43">
        <v>0.5827</v>
      </c>
      <c r="J43" s="105">
        <v>42041</v>
      </c>
      <c r="K43">
        <v>0.63149999999999995</v>
      </c>
    </row>
    <row r="44" spans="1:11">
      <c r="A44" s="105">
        <v>40337</v>
      </c>
      <c r="B44" s="156">
        <v>0.35</v>
      </c>
      <c r="D44" s="105">
        <v>42040</v>
      </c>
      <c r="E44">
        <v>0.25609999999999999</v>
      </c>
      <c r="F44" s="105">
        <v>42040</v>
      </c>
      <c r="G44">
        <v>0.3624</v>
      </c>
      <c r="H44" s="105">
        <v>41366</v>
      </c>
      <c r="I44">
        <v>0.5847</v>
      </c>
      <c r="J44" s="105">
        <v>42040</v>
      </c>
      <c r="K44">
        <v>0.629</v>
      </c>
    </row>
    <row r="45" spans="1:11">
      <c r="A45" s="105">
        <v>40338</v>
      </c>
      <c r="B45" s="156">
        <v>0.35031000000000001</v>
      </c>
      <c r="D45" s="105">
        <v>42039</v>
      </c>
      <c r="E45">
        <v>0.25509999999999999</v>
      </c>
      <c r="F45" s="105">
        <v>42039</v>
      </c>
      <c r="G45">
        <v>0.36080000000000001</v>
      </c>
      <c r="H45" s="105">
        <v>41361</v>
      </c>
      <c r="I45">
        <v>0.58819999999999995</v>
      </c>
      <c r="J45" s="105">
        <v>42039</v>
      </c>
      <c r="K45">
        <v>0.62539999999999996</v>
      </c>
    </row>
    <row r="46" spans="1:11">
      <c r="A46" s="105">
        <v>40339</v>
      </c>
      <c r="B46" s="156">
        <v>0.34969</v>
      </c>
      <c r="D46" s="105">
        <v>42038</v>
      </c>
      <c r="E46">
        <v>0.25509999999999999</v>
      </c>
      <c r="F46" s="105">
        <v>42038</v>
      </c>
      <c r="G46">
        <v>0.35880000000000001</v>
      </c>
      <c r="H46" s="105">
        <v>41360</v>
      </c>
      <c r="I46">
        <v>0.58819999999999995</v>
      </c>
      <c r="J46" s="105">
        <v>42038</v>
      </c>
      <c r="K46">
        <v>0.61814999999999998</v>
      </c>
    </row>
    <row r="47" spans="1:11">
      <c r="A47" s="105">
        <v>40340</v>
      </c>
      <c r="B47" s="156">
        <v>0.34969</v>
      </c>
      <c r="D47" s="105">
        <v>42037</v>
      </c>
      <c r="E47">
        <v>0.25209999999999999</v>
      </c>
      <c r="F47" s="105">
        <v>42037</v>
      </c>
      <c r="G47">
        <v>0.3574</v>
      </c>
      <c r="H47" s="105">
        <v>41359</v>
      </c>
      <c r="I47">
        <v>0.58919999999999995</v>
      </c>
      <c r="J47" s="105">
        <v>42037</v>
      </c>
      <c r="K47">
        <v>0.61939999999999995</v>
      </c>
    </row>
    <row r="48" spans="1:11">
      <c r="A48" s="105">
        <v>40343</v>
      </c>
      <c r="B48" s="156">
        <v>0.34969</v>
      </c>
      <c r="D48" s="105">
        <v>42034</v>
      </c>
      <c r="E48">
        <v>0.25309999999999999</v>
      </c>
      <c r="F48" s="105">
        <v>42034</v>
      </c>
      <c r="G48">
        <v>0.3574</v>
      </c>
      <c r="H48" s="105">
        <v>41358</v>
      </c>
      <c r="I48">
        <v>0.5877</v>
      </c>
      <c r="J48" s="105">
        <v>42034</v>
      </c>
      <c r="K48">
        <v>0.62090000000000001</v>
      </c>
    </row>
    <row r="49" spans="1:11">
      <c r="A49" s="105">
        <v>40344</v>
      </c>
      <c r="B49" s="156">
        <v>0.34969</v>
      </c>
      <c r="D49" s="105">
        <v>42033</v>
      </c>
      <c r="E49">
        <v>0.25459999999999999</v>
      </c>
      <c r="F49" s="105">
        <v>42033</v>
      </c>
      <c r="G49">
        <v>0.3579</v>
      </c>
      <c r="H49" s="105">
        <v>41355</v>
      </c>
      <c r="I49">
        <v>0.5917</v>
      </c>
      <c r="J49" s="105">
        <v>42033</v>
      </c>
      <c r="K49">
        <v>0.62039999999999995</v>
      </c>
    </row>
    <row r="50" spans="1:11">
      <c r="A50" s="105">
        <v>40345</v>
      </c>
      <c r="B50" s="156">
        <v>0.34844000000000003</v>
      </c>
      <c r="D50" s="105">
        <v>42032</v>
      </c>
      <c r="E50">
        <v>0.25459999999999999</v>
      </c>
      <c r="F50" s="105">
        <v>42032</v>
      </c>
      <c r="G50">
        <v>0.3574</v>
      </c>
      <c r="H50" s="105">
        <v>41354</v>
      </c>
      <c r="I50">
        <v>0.59019999999999995</v>
      </c>
      <c r="J50" s="105">
        <v>42032</v>
      </c>
      <c r="K50">
        <v>0.6179</v>
      </c>
    </row>
    <row r="51" spans="1:11">
      <c r="A51" s="105">
        <v>40346</v>
      </c>
      <c r="B51" s="156">
        <v>0.34749999999999998</v>
      </c>
      <c r="D51" s="105">
        <v>42031</v>
      </c>
      <c r="E51">
        <v>0.25259999999999999</v>
      </c>
      <c r="F51" s="105">
        <v>42031</v>
      </c>
      <c r="G51">
        <v>0.35539999999999999</v>
      </c>
      <c r="H51" s="105">
        <v>41353</v>
      </c>
      <c r="I51">
        <v>0.59319999999999995</v>
      </c>
      <c r="J51" s="105">
        <v>42031</v>
      </c>
      <c r="K51">
        <v>0.62239999999999995</v>
      </c>
    </row>
    <row r="52" spans="1:11">
      <c r="A52" s="105">
        <v>40347</v>
      </c>
      <c r="B52" s="156">
        <v>0.34733999999999998</v>
      </c>
      <c r="D52" s="105">
        <v>42030</v>
      </c>
      <c r="E52">
        <v>0.25609999999999999</v>
      </c>
      <c r="F52" s="105">
        <v>42030</v>
      </c>
      <c r="G52">
        <v>0.35539999999999999</v>
      </c>
      <c r="H52" s="105">
        <v>41352</v>
      </c>
      <c r="I52">
        <v>0.59319999999999995</v>
      </c>
      <c r="J52" s="105">
        <v>42030</v>
      </c>
      <c r="K52">
        <v>0.62139999999999995</v>
      </c>
    </row>
    <row r="53" spans="1:11">
      <c r="A53" s="105">
        <v>40350</v>
      </c>
      <c r="B53" s="156">
        <v>0.34719</v>
      </c>
      <c r="D53" s="105">
        <v>42027</v>
      </c>
      <c r="E53">
        <v>0.25609999999999999</v>
      </c>
      <c r="F53" s="105">
        <v>42027</v>
      </c>
      <c r="G53">
        <v>0.35389999999999999</v>
      </c>
      <c r="H53" s="105">
        <v>41351</v>
      </c>
      <c r="I53">
        <v>0.5897</v>
      </c>
      <c r="J53" s="105">
        <v>42027</v>
      </c>
      <c r="K53">
        <v>0.62190000000000001</v>
      </c>
    </row>
    <row r="54" spans="1:11">
      <c r="A54" s="105">
        <v>40351</v>
      </c>
      <c r="B54" s="156">
        <v>0.34719</v>
      </c>
      <c r="D54" s="105">
        <v>42026</v>
      </c>
      <c r="E54">
        <v>0.25609999999999999</v>
      </c>
      <c r="F54" s="105">
        <v>42026</v>
      </c>
      <c r="G54">
        <v>0.3574</v>
      </c>
      <c r="H54" s="105">
        <v>41348</v>
      </c>
      <c r="I54">
        <v>0.58919999999999995</v>
      </c>
      <c r="J54" s="105">
        <v>42026</v>
      </c>
      <c r="K54">
        <v>0.62290000000000001</v>
      </c>
    </row>
    <row r="55" spans="1:11">
      <c r="A55" s="105">
        <v>40352</v>
      </c>
      <c r="B55" s="156">
        <v>0.34719</v>
      </c>
      <c r="D55" s="105">
        <v>42025</v>
      </c>
      <c r="E55">
        <v>0.2571</v>
      </c>
      <c r="F55" s="105">
        <v>42025</v>
      </c>
      <c r="G55">
        <v>0.3589</v>
      </c>
      <c r="H55" s="105">
        <v>41347</v>
      </c>
      <c r="I55">
        <v>0.58819999999999995</v>
      </c>
      <c r="J55" s="105">
        <v>42025</v>
      </c>
      <c r="K55">
        <v>0.62190000000000001</v>
      </c>
    </row>
    <row r="56" spans="1:11">
      <c r="A56" s="105">
        <v>40353</v>
      </c>
      <c r="B56" s="156">
        <v>0.34719</v>
      </c>
      <c r="D56" s="105">
        <v>42024</v>
      </c>
      <c r="E56">
        <v>0.25669999999999998</v>
      </c>
      <c r="F56" s="105">
        <v>42024</v>
      </c>
      <c r="G56">
        <v>0.35589999999999999</v>
      </c>
      <c r="H56" s="105">
        <v>41346</v>
      </c>
      <c r="I56">
        <v>0.58919999999999995</v>
      </c>
      <c r="J56" s="105">
        <v>42024</v>
      </c>
      <c r="K56">
        <v>0.6159</v>
      </c>
    </row>
    <row r="57" spans="1:11">
      <c r="A57" s="105">
        <v>40354</v>
      </c>
      <c r="B57" s="156">
        <v>0.34719</v>
      </c>
      <c r="D57" s="105">
        <v>42023</v>
      </c>
      <c r="E57">
        <v>0.25619999999999998</v>
      </c>
      <c r="F57" s="105">
        <v>42023</v>
      </c>
      <c r="G57">
        <v>0.35589999999999999</v>
      </c>
      <c r="H57" s="105">
        <v>41345</v>
      </c>
      <c r="I57">
        <v>0.5907</v>
      </c>
      <c r="J57" s="105">
        <v>42023</v>
      </c>
      <c r="K57">
        <v>0.6119</v>
      </c>
    </row>
    <row r="58" spans="1:11">
      <c r="A58" s="105">
        <v>40357</v>
      </c>
      <c r="B58" s="156">
        <v>0.34719</v>
      </c>
      <c r="D58" s="105">
        <v>42020</v>
      </c>
      <c r="E58">
        <v>0.25659999999999999</v>
      </c>
      <c r="F58" s="105">
        <v>42020</v>
      </c>
      <c r="G58">
        <v>0.35489999999999999</v>
      </c>
      <c r="H58" s="105">
        <v>41344</v>
      </c>
      <c r="I58">
        <v>0.5927</v>
      </c>
      <c r="J58" s="105">
        <v>42020</v>
      </c>
      <c r="K58">
        <v>0.6099</v>
      </c>
    </row>
    <row r="59" spans="1:11">
      <c r="A59" s="105">
        <v>40358</v>
      </c>
      <c r="B59" s="156">
        <v>0.34562999999999999</v>
      </c>
      <c r="D59" s="105">
        <v>42019</v>
      </c>
      <c r="E59">
        <v>0.25259999999999999</v>
      </c>
      <c r="F59" s="105">
        <v>42019</v>
      </c>
      <c r="G59">
        <v>0.35639999999999999</v>
      </c>
      <c r="H59" s="105">
        <v>41341</v>
      </c>
      <c r="I59">
        <v>0.59419999999999995</v>
      </c>
      <c r="J59" s="105">
        <v>42019</v>
      </c>
      <c r="K59">
        <v>0.6149</v>
      </c>
    </row>
    <row r="60" spans="1:11">
      <c r="A60" s="105">
        <v>40359</v>
      </c>
      <c r="B60" s="156">
        <v>0.34844000000000003</v>
      </c>
      <c r="D60" s="105">
        <v>42018</v>
      </c>
      <c r="E60">
        <v>0.25359999999999999</v>
      </c>
      <c r="F60" s="105">
        <v>42018</v>
      </c>
      <c r="G60">
        <v>0.3589</v>
      </c>
      <c r="H60" s="105">
        <v>41340</v>
      </c>
      <c r="I60">
        <v>0.59719999999999995</v>
      </c>
      <c r="J60" s="105">
        <v>42018</v>
      </c>
      <c r="K60">
        <v>0.62239999999999995</v>
      </c>
    </row>
    <row r="61" spans="1:11">
      <c r="A61" s="105">
        <v>40360</v>
      </c>
      <c r="B61" s="156">
        <v>0.34719</v>
      </c>
      <c r="D61" s="105">
        <v>42017</v>
      </c>
      <c r="E61">
        <v>0.25330000000000003</v>
      </c>
      <c r="F61" s="105">
        <v>42017</v>
      </c>
      <c r="G61">
        <v>0.35759999999999997</v>
      </c>
      <c r="H61" s="105">
        <v>41339</v>
      </c>
      <c r="I61">
        <v>0.59870000000000001</v>
      </c>
      <c r="J61" s="105">
        <v>42017</v>
      </c>
      <c r="K61">
        <v>0.62239999999999995</v>
      </c>
    </row>
    <row r="62" spans="1:11">
      <c r="A62" s="105">
        <v>40361</v>
      </c>
      <c r="B62" s="156">
        <v>0.34749999999999998</v>
      </c>
      <c r="D62" s="105">
        <v>42016</v>
      </c>
      <c r="E62">
        <v>0.25280000000000002</v>
      </c>
      <c r="F62" s="105">
        <v>42016</v>
      </c>
      <c r="G62">
        <v>0.35909999999999997</v>
      </c>
      <c r="H62" s="105">
        <v>41338</v>
      </c>
      <c r="I62">
        <v>0.60319999999999996</v>
      </c>
      <c r="J62" s="105">
        <v>42016</v>
      </c>
      <c r="K62">
        <v>0.62090000000000001</v>
      </c>
    </row>
    <row r="63" spans="1:11">
      <c r="A63" s="105">
        <v>40364</v>
      </c>
      <c r="B63" s="156">
        <v>0.34625</v>
      </c>
      <c r="D63" s="105">
        <v>42013</v>
      </c>
      <c r="E63">
        <v>0.25409999999999999</v>
      </c>
      <c r="F63" s="105">
        <v>42013</v>
      </c>
      <c r="G63">
        <v>0.3619</v>
      </c>
      <c r="H63" s="105">
        <v>41337</v>
      </c>
      <c r="I63">
        <v>0.60670000000000002</v>
      </c>
      <c r="J63" s="105">
        <v>42013</v>
      </c>
      <c r="K63">
        <v>0.62639999999999996</v>
      </c>
    </row>
    <row r="64" spans="1:11">
      <c r="A64" s="105">
        <v>40365</v>
      </c>
      <c r="B64" s="156">
        <v>0.34625</v>
      </c>
      <c r="D64" s="105">
        <v>42012</v>
      </c>
      <c r="E64">
        <v>0.25209999999999999</v>
      </c>
      <c r="F64" s="105">
        <v>42012</v>
      </c>
      <c r="G64">
        <v>0.3604</v>
      </c>
      <c r="H64" s="105">
        <v>41334</v>
      </c>
      <c r="I64">
        <v>0.61</v>
      </c>
      <c r="J64" s="105">
        <v>42012</v>
      </c>
      <c r="K64">
        <v>0.62890000000000001</v>
      </c>
    </row>
    <row r="65" spans="1:11">
      <c r="A65" s="105">
        <v>40366</v>
      </c>
      <c r="B65" s="156">
        <v>0.34499999999999997</v>
      </c>
      <c r="D65" s="105">
        <v>42011</v>
      </c>
      <c r="E65">
        <v>0.25209999999999999</v>
      </c>
      <c r="F65" s="105">
        <v>42011</v>
      </c>
      <c r="G65">
        <v>0.36130000000000001</v>
      </c>
      <c r="H65" s="105">
        <v>41333</v>
      </c>
      <c r="I65">
        <v>0.61099999999999999</v>
      </c>
      <c r="J65" s="105">
        <v>42011</v>
      </c>
      <c r="K65">
        <v>0.62729999999999997</v>
      </c>
    </row>
    <row r="66" spans="1:11">
      <c r="A66" s="105">
        <v>40367</v>
      </c>
      <c r="B66" s="156">
        <v>0.34250000000000003</v>
      </c>
      <c r="D66" s="105">
        <v>42010</v>
      </c>
      <c r="E66">
        <v>0.25109999999999999</v>
      </c>
      <c r="F66" s="105">
        <v>42010</v>
      </c>
      <c r="G66">
        <v>0.36030000000000001</v>
      </c>
      <c r="H66" s="105">
        <v>41332</v>
      </c>
      <c r="I66">
        <v>0.61199999999999999</v>
      </c>
      <c r="J66" s="105">
        <v>42010</v>
      </c>
      <c r="K66">
        <v>0.62829999999999997</v>
      </c>
    </row>
    <row r="67" spans="1:11">
      <c r="A67" s="105">
        <v>40368</v>
      </c>
      <c r="B67" s="156">
        <v>0.34094000000000002</v>
      </c>
      <c r="D67" s="105">
        <v>42009</v>
      </c>
      <c r="E67">
        <v>0.25359999999999999</v>
      </c>
      <c r="F67" s="105">
        <v>42009</v>
      </c>
      <c r="G67">
        <v>0.36230000000000001</v>
      </c>
      <c r="H67" s="105">
        <v>41331</v>
      </c>
      <c r="I67">
        <v>0.61199999999999999</v>
      </c>
      <c r="J67" s="105">
        <v>42009</v>
      </c>
      <c r="K67">
        <v>0.63380000000000003</v>
      </c>
    </row>
    <row r="68" spans="1:11">
      <c r="A68" s="105">
        <v>40371</v>
      </c>
      <c r="B68" s="156">
        <v>0.34094000000000002</v>
      </c>
      <c r="D68" s="105">
        <v>42006</v>
      </c>
      <c r="E68">
        <v>0.25559999999999999</v>
      </c>
      <c r="F68" s="105">
        <v>42006</v>
      </c>
      <c r="G68">
        <v>0.36480000000000001</v>
      </c>
      <c r="H68" s="105">
        <v>41330</v>
      </c>
      <c r="I68">
        <v>0.61399999999999999</v>
      </c>
      <c r="J68" s="105">
        <v>42006</v>
      </c>
      <c r="K68">
        <v>0.63280000000000003</v>
      </c>
    </row>
    <row r="69" spans="1:11">
      <c r="A69" s="105">
        <v>40372</v>
      </c>
      <c r="B69" s="156">
        <v>0.34094000000000002</v>
      </c>
      <c r="D69" s="105">
        <v>42004</v>
      </c>
      <c r="E69">
        <v>0.25559999999999999</v>
      </c>
      <c r="F69" s="105">
        <v>42004</v>
      </c>
      <c r="G69">
        <v>0.36280000000000001</v>
      </c>
      <c r="H69" s="105">
        <v>41327</v>
      </c>
      <c r="I69">
        <v>0.61699999999999999</v>
      </c>
      <c r="J69" s="105">
        <v>42004</v>
      </c>
      <c r="K69">
        <v>0.62880000000000003</v>
      </c>
    </row>
    <row r="70" spans="1:11">
      <c r="A70" s="105">
        <v>40373</v>
      </c>
      <c r="B70" s="156">
        <v>0.34094000000000002</v>
      </c>
      <c r="D70" s="105">
        <v>42003</v>
      </c>
      <c r="E70">
        <v>0.25519999999999998</v>
      </c>
      <c r="F70" s="105">
        <v>42003</v>
      </c>
      <c r="G70">
        <v>0.3574</v>
      </c>
      <c r="H70" s="105">
        <v>41326</v>
      </c>
      <c r="I70">
        <v>0.61750000000000005</v>
      </c>
      <c r="J70" s="105">
        <v>42003</v>
      </c>
      <c r="K70">
        <v>0.62880000000000003</v>
      </c>
    </row>
    <row r="71" spans="1:11">
      <c r="A71" s="105">
        <v>40374</v>
      </c>
      <c r="B71" s="156">
        <v>0.34062999999999999</v>
      </c>
      <c r="D71" s="105">
        <v>42002</v>
      </c>
      <c r="E71">
        <v>0.25509999999999999</v>
      </c>
      <c r="F71" s="105">
        <v>42002</v>
      </c>
      <c r="G71">
        <v>0.3574</v>
      </c>
      <c r="H71" s="105">
        <v>41325</v>
      </c>
      <c r="I71">
        <v>0.61950000000000005</v>
      </c>
      <c r="J71" s="105">
        <v>42002</v>
      </c>
      <c r="K71">
        <v>0.62880000000000003</v>
      </c>
    </row>
    <row r="72" spans="1:11">
      <c r="A72" s="105">
        <v>40375</v>
      </c>
      <c r="B72" s="156">
        <v>0.33812999999999999</v>
      </c>
      <c r="D72" s="105">
        <v>41997</v>
      </c>
      <c r="E72">
        <v>0.25659999999999999</v>
      </c>
      <c r="F72" s="105">
        <v>41997</v>
      </c>
      <c r="G72">
        <v>0.3574</v>
      </c>
      <c r="H72" s="105">
        <v>41324</v>
      </c>
      <c r="I72">
        <v>0.61950000000000005</v>
      </c>
      <c r="J72" s="105">
        <v>41997</v>
      </c>
      <c r="K72">
        <v>0.62880000000000003</v>
      </c>
    </row>
    <row r="73" spans="1:11">
      <c r="A73" s="105">
        <v>40378</v>
      </c>
      <c r="B73" s="156">
        <v>0.33688000000000001</v>
      </c>
      <c r="D73" s="105">
        <v>41996</v>
      </c>
      <c r="E73">
        <v>0.25459999999999999</v>
      </c>
      <c r="F73" s="105">
        <v>41996</v>
      </c>
      <c r="G73">
        <v>0.3574</v>
      </c>
      <c r="H73" s="105">
        <v>41323</v>
      </c>
      <c r="I73">
        <v>0.61950000000000005</v>
      </c>
      <c r="J73" s="105">
        <v>41996</v>
      </c>
      <c r="K73">
        <v>0.62780000000000002</v>
      </c>
    </row>
    <row r="74" spans="1:11">
      <c r="A74" s="105">
        <v>40379</v>
      </c>
      <c r="B74" s="156">
        <v>0.33250000000000002</v>
      </c>
      <c r="D74" s="105">
        <v>41995</v>
      </c>
      <c r="E74">
        <v>0.25509999999999999</v>
      </c>
      <c r="F74" s="105">
        <v>41995</v>
      </c>
      <c r="G74">
        <v>0.35439999999999999</v>
      </c>
      <c r="H74" s="105">
        <v>41320</v>
      </c>
      <c r="I74">
        <v>0.62050000000000005</v>
      </c>
      <c r="J74" s="105">
        <v>41995</v>
      </c>
      <c r="K74">
        <v>0.62229999999999996</v>
      </c>
    </row>
    <row r="75" spans="1:11">
      <c r="A75" s="105">
        <v>40380</v>
      </c>
      <c r="B75" s="156">
        <v>0.33062999999999998</v>
      </c>
      <c r="D75" s="105">
        <v>41992</v>
      </c>
      <c r="E75">
        <v>0.25209999999999999</v>
      </c>
      <c r="F75" s="105">
        <v>41992</v>
      </c>
      <c r="G75">
        <v>0.35</v>
      </c>
      <c r="H75" s="105">
        <v>41319</v>
      </c>
      <c r="I75">
        <v>0.62250000000000005</v>
      </c>
      <c r="J75" s="105">
        <v>41992</v>
      </c>
      <c r="K75">
        <v>0.61680000000000001</v>
      </c>
    </row>
    <row r="76" spans="1:11">
      <c r="A76" s="105">
        <v>40381</v>
      </c>
      <c r="B76" s="156">
        <v>0.32874999999999999</v>
      </c>
      <c r="D76" s="105">
        <v>41991</v>
      </c>
      <c r="E76">
        <v>0.24709999999999999</v>
      </c>
      <c r="F76" s="105">
        <v>41991</v>
      </c>
      <c r="G76">
        <v>0.34360000000000002</v>
      </c>
      <c r="H76" s="105">
        <v>41318</v>
      </c>
      <c r="I76">
        <v>0.62250000000000005</v>
      </c>
      <c r="J76" s="105">
        <v>41991</v>
      </c>
      <c r="K76">
        <v>0.60529999999999995</v>
      </c>
    </row>
    <row r="77" spans="1:11">
      <c r="A77" s="105">
        <v>40382</v>
      </c>
      <c r="B77" s="156">
        <v>0.32688</v>
      </c>
      <c r="D77" s="105">
        <v>41990</v>
      </c>
      <c r="E77">
        <v>0.24535000000000001</v>
      </c>
      <c r="F77" s="105">
        <v>41990</v>
      </c>
      <c r="G77">
        <v>0.34360000000000002</v>
      </c>
      <c r="H77" s="105">
        <v>41317</v>
      </c>
      <c r="I77">
        <v>0.62450000000000006</v>
      </c>
      <c r="J77" s="105">
        <v>41990</v>
      </c>
      <c r="K77">
        <v>0.60529999999999995</v>
      </c>
    </row>
    <row r="78" spans="1:11">
      <c r="A78" s="105">
        <v>40385</v>
      </c>
      <c r="B78" s="156">
        <v>0.32500000000000001</v>
      </c>
      <c r="D78" s="105">
        <v>41989</v>
      </c>
      <c r="E78">
        <v>0.24260000000000001</v>
      </c>
      <c r="F78" s="105">
        <v>41989</v>
      </c>
      <c r="G78">
        <v>0.33989999999999998</v>
      </c>
      <c r="H78" s="105">
        <v>41316</v>
      </c>
      <c r="I78">
        <v>0.62450000000000006</v>
      </c>
      <c r="J78" s="105">
        <v>41989</v>
      </c>
      <c r="K78">
        <v>0.59930000000000005</v>
      </c>
    </row>
    <row r="79" spans="1:11">
      <c r="A79" s="105">
        <v>40386</v>
      </c>
      <c r="B79" s="156">
        <v>0.32063000000000003</v>
      </c>
      <c r="D79" s="105">
        <v>41988</v>
      </c>
      <c r="E79">
        <v>0.24260000000000001</v>
      </c>
      <c r="F79" s="105">
        <v>41988</v>
      </c>
      <c r="G79">
        <v>0.34139999999999998</v>
      </c>
      <c r="H79" s="105">
        <v>41313</v>
      </c>
      <c r="I79">
        <v>0.62450000000000006</v>
      </c>
      <c r="J79" s="105">
        <v>41988</v>
      </c>
      <c r="K79">
        <v>0.5978</v>
      </c>
    </row>
    <row r="80" spans="1:11">
      <c r="A80" s="105">
        <v>40387</v>
      </c>
      <c r="B80" s="156">
        <v>0.31563000000000002</v>
      </c>
      <c r="D80" s="105">
        <v>41985</v>
      </c>
      <c r="E80">
        <v>0.24285000000000001</v>
      </c>
      <c r="F80" s="105">
        <v>41985</v>
      </c>
      <c r="G80">
        <v>0.34089999999999998</v>
      </c>
      <c r="H80" s="105">
        <v>41312</v>
      </c>
      <c r="I80">
        <v>0.626</v>
      </c>
      <c r="J80" s="105">
        <v>41985</v>
      </c>
      <c r="K80">
        <v>0.60129999999999995</v>
      </c>
    </row>
    <row r="81" spans="1:11">
      <c r="A81" s="105">
        <v>40388</v>
      </c>
      <c r="B81" s="156">
        <v>0.31156</v>
      </c>
      <c r="D81" s="105">
        <v>41984</v>
      </c>
      <c r="E81">
        <v>0.24060000000000001</v>
      </c>
      <c r="F81" s="105">
        <v>41984</v>
      </c>
      <c r="G81">
        <v>0.33839999999999998</v>
      </c>
      <c r="H81" s="105">
        <v>41311</v>
      </c>
      <c r="I81">
        <v>0.628</v>
      </c>
      <c r="J81" s="105">
        <v>41984</v>
      </c>
      <c r="K81">
        <v>0.60029999999999994</v>
      </c>
    </row>
    <row r="82" spans="1:11">
      <c r="A82" s="105">
        <v>40389</v>
      </c>
      <c r="B82" s="156">
        <v>0.30499999999999999</v>
      </c>
      <c r="D82" s="105">
        <v>41983</v>
      </c>
      <c r="E82">
        <v>0.2399</v>
      </c>
      <c r="F82" s="105">
        <v>41983</v>
      </c>
      <c r="G82">
        <v>0.3377</v>
      </c>
      <c r="H82" s="105">
        <v>41310</v>
      </c>
      <c r="I82">
        <v>0.629</v>
      </c>
      <c r="J82" s="105">
        <v>41983</v>
      </c>
      <c r="K82">
        <v>0.60260000000000002</v>
      </c>
    </row>
    <row r="83" spans="1:11">
      <c r="A83" s="105">
        <v>40392</v>
      </c>
      <c r="B83" s="156">
        <v>0.30281000000000002</v>
      </c>
      <c r="D83" s="105">
        <v>41982</v>
      </c>
      <c r="E83">
        <v>0.23885000000000001</v>
      </c>
      <c r="F83" s="105">
        <v>41982</v>
      </c>
      <c r="G83">
        <v>0.33789999999999998</v>
      </c>
      <c r="H83" s="105">
        <v>41309</v>
      </c>
      <c r="I83">
        <v>0.63149999999999995</v>
      </c>
      <c r="J83" s="105">
        <v>41982</v>
      </c>
      <c r="K83">
        <v>0.59809999999999997</v>
      </c>
    </row>
    <row r="84" spans="1:11">
      <c r="A84" s="105">
        <v>40393</v>
      </c>
      <c r="B84" s="156">
        <v>0.3</v>
      </c>
      <c r="D84" s="105">
        <v>41981</v>
      </c>
      <c r="E84">
        <v>0.23760000000000001</v>
      </c>
      <c r="F84" s="105">
        <v>41981</v>
      </c>
      <c r="G84">
        <v>0.33989999999999998</v>
      </c>
      <c r="H84" s="105">
        <v>41306</v>
      </c>
      <c r="I84">
        <v>0.63349999999999995</v>
      </c>
      <c r="J84" s="105">
        <v>41981</v>
      </c>
      <c r="K84">
        <v>0.60309999999999997</v>
      </c>
    </row>
    <row r="85" spans="1:11">
      <c r="A85" s="105">
        <v>40394</v>
      </c>
      <c r="B85" s="156">
        <v>0.29531000000000002</v>
      </c>
      <c r="D85" s="105">
        <v>41978</v>
      </c>
      <c r="E85">
        <v>0.2356</v>
      </c>
      <c r="F85" s="105">
        <v>41978</v>
      </c>
      <c r="G85">
        <v>0.33040000000000003</v>
      </c>
      <c r="H85" s="105">
        <v>41305</v>
      </c>
      <c r="I85">
        <v>0.63549999999999995</v>
      </c>
      <c r="J85" s="105">
        <v>41978</v>
      </c>
      <c r="K85">
        <v>0.5766</v>
      </c>
    </row>
    <row r="86" spans="1:11">
      <c r="A86" s="105">
        <v>40395</v>
      </c>
      <c r="B86" s="156">
        <v>0.29469000000000001</v>
      </c>
      <c r="D86" s="105">
        <v>41977</v>
      </c>
      <c r="E86">
        <v>0.23535</v>
      </c>
      <c r="F86" s="105">
        <v>41977</v>
      </c>
      <c r="G86">
        <v>0.32990000000000003</v>
      </c>
      <c r="H86" s="105">
        <v>41304</v>
      </c>
      <c r="I86">
        <v>0.64275000000000004</v>
      </c>
      <c r="J86" s="105">
        <v>41977</v>
      </c>
      <c r="K86">
        <v>0.57499999999999996</v>
      </c>
    </row>
    <row r="87" spans="1:11">
      <c r="A87" s="105">
        <v>40396</v>
      </c>
      <c r="B87" s="156">
        <v>0.29343999999999998</v>
      </c>
      <c r="D87" s="105">
        <v>41976</v>
      </c>
      <c r="E87">
        <v>0.23485</v>
      </c>
      <c r="F87" s="105">
        <v>41976</v>
      </c>
      <c r="G87">
        <v>0.32619999999999999</v>
      </c>
      <c r="H87" s="105">
        <v>41303</v>
      </c>
      <c r="I87">
        <v>0.64275000000000004</v>
      </c>
      <c r="J87" s="105">
        <v>41976</v>
      </c>
      <c r="K87">
        <v>0.57030000000000003</v>
      </c>
    </row>
    <row r="88" spans="1:11">
      <c r="A88" s="105">
        <v>40399</v>
      </c>
      <c r="B88" s="156">
        <v>0.28999999999999998</v>
      </c>
      <c r="D88" s="105">
        <v>41975</v>
      </c>
      <c r="E88">
        <v>0.2346</v>
      </c>
      <c r="F88" s="105">
        <v>41975</v>
      </c>
      <c r="G88">
        <v>0.32790000000000002</v>
      </c>
      <c r="H88" s="105">
        <v>41302</v>
      </c>
      <c r="I88">
        <v>0.64275000000000004</v>
      </c>
      <c r="J88" s="105">
        <v>41975</v>
      </c>
      <c r="K88">
        <v>0.56479999999999997</v>
      </c>
    </row>
    <row r="89" spans="1:11">
      <c r="A89" s="105">
        <v>40400</v>
      </c>
      <c r="B89" s="156">
        <v>0.28563</v>
      </c>
      <c r="D89" s="105">
        <v>41974</v>
      </c>
      <c r="E89">
        <v>0.2346</v>
      </c>
      <c r="F89" s="105">
        <v>41974</v>
      </c>
      <c r="G89">
        <v>0.32895000000000002</v>
      </c>
      <c r="H89" s="105">
        <v>41299</v>
      </c>
      <c r="I89">
        <v>0.64400000000000002</v>
      </c>
      <c r="J89" s="105">
        <v>41974</v>
      </c>
      <c r="K89">
        <v>0.56259999999999999</v>
      </c>
    </row>
    <row r="90" spans="1:11">
      <c r="A90" s="105">
        <v>40401</v>
      </c>
      <c r="B90" s="156">
        <v>0.27938000000000002</v>
      </c>
      <c r="D90" s="105">
        <v>41971</v>
      </c>
      <c r="E90">
        <v>0.2336</v>
      </c>
      <c r="F90" s="105">
        <v>41971</v>
      </c>
      <c r="G90">
        <v>0.32619999999999999</v>
      </c>
      <c r="H90" s="105">
        <v>41298</v>
      </c>
      <c r="I90">
        <v>0.64600000000000002</v>
      </c>
      <c r="J90" s="105">
        <v>41971</v>
      </c>
      <c r="K90">
        <v>0.56459999999999999</v>
      </c>
    </row>
    <row r="91" spans="1:11">
      <c r="A91" s="105">
        <v>40402</v>
      </c>
      <c r="B91" s="156">
        <v>0.27594000000000002</v>
      </c>
      <c r="D91" s="105">
        <v>41970</v>
      </c>
      <c r="E91">
        <v>0.2336</v>
      </c>
      <c r="F91" s="105">
        <v>41970</v>
      </c>
      <c r="G91">
        <v>0.32645000000000002</v>
      </c>
      <c r="H91" s="105">
        <v>41297</v>
      </c>
      <c r="I91">
        <v>0.65200000000000002</v>
      </c>
      <c r="J91" s="105">
        <v>41970</v>
      </c>
      <c r="K91">
        <v>0.56459999999999999</v>
      </c>
    </row>
    <row r="92" spans="1:11">
      <c r="A92" s="105">
        <v>40403</v>
      </c>
      <c r="B92" s="156">
        <v>0.27188000000000001</v>
      </c>
      <c r="D92" s="105">
        <v>41969</v>
      </c>
      <c r="E92">
        <v>0.2356</v>
      </c>
      <c r="F92" s="105">
        <v>41969</v>
      </c>
      <c r="G92">
        <v>0.33189999999999997</v>
      </c>
      <c r="H92" s="105">
        <v>41296</v>
      </c>
      <c r="I92">
        <v>0.65449999999999997</v>
      </c>
      <c r="J92" s="105">
        <v>41969</v>
      </c>
      <c r="K92">
        <v>0.56459999999999999</v>
      </c>
    </row>
    <row r="93" spans="1:11">
      <c r="A93" s="105">
        <v>40406</v>
      </c>
      <c r="B93" s="156">
        <v>0.26938000000000001</v>
      </c>
      <c r="D93" s="105">
        <v>41968</v>
      </c>
      <c r="E93">
        <v>0.2356</v>
      </c>
      <c r="F93" s="105">
        <v>41968</v>
      </c>
      <c r="G93">
        <v>0.32869999999999999</v>
      </c>
      <c r="H93" s="105">
        <v>41295</v>
      </c>
      <c r="I93">
        <v>0.65349999999999997</v>
      </c>
      <c r="J93" s="105">
        <v>41968</v>
      </c>
      <c r="K93">
        <v>0.56459999999999999</v>
      </c>
    </row>
    <row r="94" spans="1:11">
      <c r="A94" s="105">
        <v>40407</v>
      </c>
      <c r="B94" s="156">
        <v>0.26656000000000002</v>
      </c>
      <c r="D94" s="105">
        <v>41967</v>
      </c>
      <c r="E94">
        <v>0.23435</v>
      </c>
      <c r="F94" s="105">
        <v>41967</v>
      </c>
      <c r="G94">
        <v>0.32740000000000002</v>
      </c>
      <c r="H94" s="105">
        <v>41292</v>
      </c>
      <c r="I94">
        <v>0.65549999999999997</v>
      </c>
      <c r="J94" s="105">
        <v>41967</v>
      </c>
      <c r="K94">
        <v>0.56430000000000002</v>
      </c>
    </row>
    <row r="95" spans="1:11">
      <c r="A95" s="105">
        <v>40408</v>
      </c>
      <c r="B95" s="156">
        <v>0.26624999999999999</v>
      </c>
      <c r="D95" s="105">
        <v>41964</v>
      </c>
      <c r="E95">
        <v>0.23285</v>
      </c>
      <c r="F95" s="105">
        <v>41964</v>
      </c>
      <c r="G95">
        <v>0.32690000000000002</v>
      </c>
      <c r="H95" s="105">
        <v>41291</v>
      </c>
      <c r="I95">
        <v>0.65749999999999997</v>
      </c>
      <c r="J95" s="105">
        <v>41964</v>
      </c>
      <c r="K95">
        <v>0.56430000000000002</v>
      </c>
    </row>
    <row r="96" spans="1:11">
      <c r="A96" s="105">
        <v>40409</v>
      </c>
      <c r="B96" s="156">
        <v>0.26468999999999998</v>
      </c>
      <c r="D96" s="105">
        <v>41963</v>
      </c>
      <c r="E96">
        <v>0.2329</v>
      </c>
      <c r="F96" s="105">
        <v>41963</v>
      </c>
      <c r="G96">
        <v>0.32869999999999999</v>
      </c>
      <c r="H96" s="105">
        <v>41290</v>
      </c>
      <c r="I96">
        <v>0.65800000000000003</v>
      </c>
      <c r="J96" s="105">
        <v>41963</v>
      </c>
      <c r="K96">
        <v>0.56179999999999997</v>
      </c>
    </row>
    <row r="97" spans="1:11">
      <c r="A97" s="105">
        <v>40410</v>
      </c>
      <c r="B97" s="156">
        <v>0.26438</v>
      </c>
      <c r="D97" s="105">
        <v>41962</v>
      </c>
      <c r="E97">
        <v>0.2311</v>
      </c>
      <c r="F97" s="105">
        <v>41962</v>
      </c>
      <c r="G97">
        <v>0.32464999999999999</v>
      </c>
      <c r="H97" s="105">
        <v>41289</v>
      </c>
      <c r="I97">
        <v>0.66249999999999998</v>
      </c>
      <c r="J97" s="105">
        <v>41962</v>
      </c>
      <c r="K97">
        <v>0.56279999999999997</v>
      </c>
    </row>
    <row r="98" spans="1:11">
      <c r="A98" s="105">
        <v>40413</v>
      </c>
      <c r="B98" s="156">
        <v>0.26374999999999998</v>
      </c>
      <c r="D98" s="105">
        <v>41961</v>
      </c>
      <c r="E98">
        <v>0.23185</v>
      </c>
      <c r="F98" s="105">
        <v>41961</v>
      </c>
      <c r="G98">
        <v>0.32565</v>
      </c>
      <c r="H98" s="105">
        <v>41288</v>
      </c>
      <c r="I98">
        <v>0.66649999999999998</v>
      </c>
      <c r="J98" s="105">
        <v>41961</v>
      </c>
      <c r="K98">
        <v>0.56105000000000005</v>
      </c>
    </row>
    <row r="99" spans="1:11">
      <c r="A99" s="105">
        <v>40414</v>
      </c>
      <c r="B99" s="156">
        <v>0.26156000000000001</v>
      </c>
      <c r="D99" s="105">
        <v>41960</v>
      </c>
      <c r="E99">
        <v>0.23185</v>
      </c>
      <c r="F99" s="105">
        <v>41960</v>
      </c>
      <c r="G99">
        <v>0.32565</v>
      </c>
      <c r="H99" s="105">
        <v>41285</v>
      </c>
      <c r="I99">
        <v>0.67049999999999998</v>
      </c>
      <c r="J99" s="105">
        <v>41960</v>
      </c>
      <c r="K99">
        <v>0.56105000000000005</v>
      </c>
    </row>
    <row r="100" spans="1:11">
      <c r="A100" s="105">
        <v>40415</v>
      </c>
      <c r="B100" s="156">
        <v>0.26156000000000001</v>
      </c>
      <c r="D100" s="105">
        <v>41957</v>
      </c>
      <c r="E100">
        <v>0.2321</v>
      </c>
      <c r="F100" s="105">
        <v>41957</v>
      </c>
      <c r="G100">
        <v>0.32640000000000002</v>
      </c>
      <c r="H100" s="105">
        <v>41284</v>
      </c>
      <c r="I100">
        <v>0.67349999999999999</v>
      </c>
      <c r="J100" s="105">
        <v>41957</v>
      </c>
      <c r="K100">
        <v>0.56330000000000002</v>
      </c>
    </row>
    <row r="101" spans="1:11">
      <c r="A101" s="105">
        <v>40416</v>
      </c>
      <c r="B101" s="156">
        <v>0.26030999999999999</v>
      </c>
      <c r="D101" s="105">
        <v>41956</v>
      </c>
      <c r="E101">
        <v>0.2321</v>
      </c>
      <c r="F101" s="105">
        <v>41956</v>
      </c>
      <c r="G101">
        <v>0.32615</v>
      </c>
      <c r="H101" s="105">
        <v>41283</v>
      </c>
      <c r="I101">
        <v>0.67649999999999999</v>
      </c>
      <c r="J101" s="105">
        <v>41956</v>
      </c>
      <c r="K101">
        <v>0.56630000000000003</v>
      </c>
    </row>
    <row r="102" spans="1:11">
      <c r="A102" s="105">
        <v>40417</v>
      </c>
      <c r="B102" s="156">
        <v>0.25938</v>
      </c>
      <c r="D102" s="105">
        <v>41955</v>
      </c>
      <c r="E102">
        <v>0.23319999999999999</v>
      </c>
      <c r="F102" s="105">
        <v>41955</v>
      </c>
      <c r="G102">
        <v>0.32600000000000001</v>
      </c>
      <c r="H102" s="105">
        <v>41282</v>
      </c>
      <c r="I102">
        <v>0.67600000000000005</v>
      </c>
      <c r="J102" s="105">
        <v>41955</v>
      </c>
      <c r="K102">
        <v>0.56379999999999997</v>
      </c>
    </row>
    <row r="103" spans="1:11">
      <c r="A103" s="105">
        <v>40421</v>
      </c>
      <c r="B103" s="156">
        <v>0.25780999999999998</v>
      </c>
      <c r="D103" s="105">
        <v>41954</v>
      </c>
      <c r="E103">
        <v>0.23319999999999999</v>
      </c>
      <c r="F103" s="105">
        <v>41954</v>
      </c>
      <c r="G103">
        <v>0.32600000000000001</v>
      </c>
      <c r="H103" s="105">
        <v>41281</v>
      </c>
      <c r="I103">
        <v>0.67700000000000005</v>
      </c>
      <c r="J103" s="105">
        <v>41954</v>
      </c>
      <c r="K103">
        <v>0.56430000000000002</v>
      </c>
    </row>
    <row r="104" spans="1:11">
      <c r="A104" s="105">
        <v>40422</v>
      </c>
      <c r="B104" s="156">
        <v>0.25780999999999998</v>
      </c>
      <c r="D104" s="105">
        <v>41953</v>
      </c>
      <c r="E104">
        <v>0.2331</v>
      </c>
      <c r="F104" s="105">
        <v>41953</v>
      </c>
      <c r="G104">
        <v>0.32590000000000002</v>
      </c>
      <c r="H104" s="105">
        <v>41278</v>
      </c>
      <c r="I104">
        <v>0.68100000000000005</v>
      </c>
      <c r="J104" s="105">
        <v>41953</v>
      </c>
      <c r="K104">
        <v>0.55630000000000002</v>
      </c>
    </row>
    <row r="105" spans="1:11">
      <c r="A105" s="105">
        <v>40423</v>
      </c>
      <c r="B105" s="156">
        <v>0.25780999999999998</v>
      </c>
      <c r="D105" s="105">
        <v>41950</v>
      </c>
      <c r="E105">
        <v>0.2326</v>
      </c>
      <c r="F105" s="105">
        <v>41950</v>
      </c>
      <c r="G105">
        <v>0.32665</v>
      </c>
      <c r="H105" s="105">
        <v>41277</v>
      </c>
      <c r="I105">
        <v>0.68100000000000005</v>
      </c>
      <c r="J105" s="105">
        <v>41950</v>
      </c>
      <c r="K105">
        <v>0.56630000000000003</v>
      </c>
    </row>
    <row r="106" spans="1:11">
      <c r="A106" s="105">
        <v>40424</v>
      </c>
      <c r="B106" s="156">
        <v>0.25780999999999998</v>
      </c>
      <c r="D106" s="105">
        <v>41949</v>
      </c>
      <c r="E106">
        <v>0.2316</v>
      </c>
      <c r="F106" s="105">
        <v>41949</v>
      </c>
      <c r="G106">
        <v>0.32665</v>
      </c>
      <c r="H106" s="105">
        <v>41276</v>
      </c>
      <c r="I106">
        <v>0.68400000000000005</v>
      </c>
      <c r="J106" s="105">
        <v>41949</v>
      </c>
      <c r="K106">
        <v>0.55779999999999996</v>
      </c>
    </row>
    <row r="107" spans="1:11">
      <c r="A107" s="105">
        <v>40427</v>
      </c>
      <c r="B107" s="156">
        <v>0.25766</v>
      </c>
      <c r="D107" s="105">
        <v>41948</v>
      </c>
      <c r="E107">
        <v>0.23185</v>
      </c>
      <c r="F107" s="105">
        <v>41948</v>
      </c>
      <c r="G107">
        <v>0.32590000000000002</v>
      </c>
      <c r="H107" s="105">
        <v>41274</v>
      </c>
      <c r="I107">
        <v>0.68600000000000005</v>
      </c>
      <c r="J107" s="105">
        <v>41948</v>
      </c>
      <c r="K107">
        <v>0.55779999999999996</v>
      </c>
    </row>
    <row r="108" spans="1:11">
      <c r="A108" s="105">
        <v>40428</v>
      </c>
      <c r="B108" s="156">
        <v>0.25766</v>
      </c>
      <c r="D108" s="105">
        <v>41947</v>
      </c>
      <c r="E108">
        <v>0.23185</v>
      </c>
      <c r="F108" s="105">
        <v>41947</v>
      </c>
      <c r="G108">
        <v>0.32615</v>
      </c>
      <c r="H108" s="105">
        <v>41271</v>
      </c>
      <c r="I108">
        <v>0.68600000000000005</v>
      </c>
      <c r="J108" s="105">
        <v>41947</v>
      </c>
      <c r="K108">
        <v>0.55579999999999996</v>
      </c>
    </row>
    <row r="109" spans="1:11">
      <c r="A109" s="105">
        <v>40429</v>
      </c>
      <c r="B109" s="156">
        <v>0.25734000000000001</v>
      </c>
      <c r="D109" s="105">
        <v>41946</v>
      </c>
      <c r="E109">
        <v>0.23235</v>
      </c>
      <c r="F109" s="105">
        <v>41946</v>
      </c>
      <c r="G109">
        <v>0.32790000000000002</v>
      </c>
      <c r="H109" s="105">
        <v>41270</v>
      </c>
      <c r="I109">
        <v>0.68600000000000005</v>
      </c>
      <c r="J109" s="105">
        <v>41946</v>
      </c>
      <c r="K109">
        <v>0.55579999999999996</v>
      </c>
    </row>
    <row r="110" spans="1:11">
      <c r="A110" s="105">
        <v>40430</v>
      </c>
      <c r="B110" s="156">
        <v>0.25734000000000001</v>
      </c>
      <c r="D110" s="105">
        <v>41943</v>
      </c>
      <c r="E110">
        <v>0.2321</v>
      </c>
      <c r="F110" s="105">
        <v>41943</v>
      </c>
      <c r="G110">
        <v>0.32790000000000002</v>
      </c>
      <c r="H110" s="105">
        <v>41267</v>
      </c>
      <c r="I110">
        <v>0.6855</v>
      </c>
      <c r="J110" s="105">
        <v>41943</v>
      </c>
      <c r="K110">
        <v>0.55379999999999996</v>
      </c>
    </row>
    <row r="111" spans="1:11">
      <c r="A111" s="105">
        <v>40431</v>
      </c>
      <c r="B111" s="156">
        <v>0.25734000000000001</v>
      </c>
      <c r="D111" s="105">
        <v>41942</v>
      </c>
      <c r="E111">
        <v>0.23235</v>
      </c>
      <c r="F111" s="105">
        <v>41942</v>
      </c>
      <c r="G111">
        <v>0.32865</v>
      </c>
      <c r="H111" s="105">
        <v>41264</v>
      </c>
      <c r="I111">
        <v>0.6865</v>
      </c>
      <c r="J111" s="105">
        <v>41942</v>
      </c>
      <c r="K111">
        <v>0.55579999999999996</v>
      </c>
    </row>
    <row r="112" spans="1:11">
      <c r="A112" s="105">
        <v>40434</v>
      </c>
      <c r="B112" s="156">
        <v>0.25734000000000001</v>
      </c>
      <c r="D112" s="105">
        <v>41941</v>
      </c>
      <c r="E112">
        <v>0.2326</v>
      </c>
      <c r="F112" s="105">
        <v>41941</v>
      </c>
      <c r="G112">
        <v>0.32464999999999999</v>
      </c>
      <c r="H112" s="105">
        <v>41263</v>
      </c>
      <c r="I112">
        <v>0.6865</v>
      </c>
      <c r="J112" s="105">
        <v>41941</v>
      </c>
      <c r="K112">
        <v>0.54179999999999995</v>
      </c>
    </row>
    <row r="113" spans="1:11">
      <c r="A113" s="105">
        <v>40435</v>
      </c>
      <c r="B113" s="156">
        <v>0.25734000000000001</v>
      </c>
      <c r="D113" s="105">
        <v>41940</v>
      </c>
      <c r="E113">
        <v>0.2326</v>
      </c>
      <c r="F113" s="105">
        <v>41940</v>
      </c>
      <c r="G113">
        <v>0.32390000000000002</v>
      </c>
      <c r="H113" s="105">
        <v>41262</v>
      </c>
      <c r="I113">
        <v>0.68600000000000005</v>
      </c>
      <c r="J113" s="105">
        <v>41940</v>
      </c>
      <c r="K113">
        <v>0.54154999999999998</v>
      </c>
    </row>
    <row r="114" spans="1:11">
      <c r="A114" s="105">
        <v>40436</v>
      </c>
      <c r="B114" s="156">
        <v>0.25734000000000001</v>
      </c>
      <c r="D114" s="105">
        <v>41939</v>
      </c>
      <c r="E114">
        <v>0.2326</v>
      </c>
      <c r="F114" s="105">
        <v>41939</v>
      </c>
      <c r="G114">
        <v>0.32264999999999999</v>
      </c>
      <c r="H114" s="105">
        <v>41261</v>
      </c>
      <c r="I114">
        <v>0.6855</v>
      </c>
      <c r="J114" s="105">
        <v>41939</v>
      </c>
      <c r="K114">
        <v>0.54179999999999995</v>
      </c>
    </row>
    <row r="115" spans="1:11">
      <c r="A115" s="105">
        <v>40437</v>
      </c>
      <c r="B115" s="156">
        <v>0.25734000000000001</v>
      </c>
      <c r="D115" s="105">
        <v>41936</v>
      </c>
      <c r="E115">
        <v>0.2331</v>
      </c>
      <c r="F115" s="105">
        <v>41936</v>
      </c>
      <c r="G115">
        <v>0.32290000000000002</v>
      </c>
      <c r="H115" s="105">
        <v>41260</v>
      </c>
      <c r="I115">
        <v>0.6855</v>
      </c>
      <c r="J115" s="105">
        <v>41936</v>
      </c>
      <c r="K115">
        <v>0.54254999999999998</v>
      </c>
    </row>
    <row r="116" spans="1:11">
      <c r="A116" s="105">
        <v>40438</v>
      </c>
      <c r="B116" s="156">
        <v>0.25750000000000001</v>
      </c>
      <c r="D116" s="105">
        <v>41935</v>
      </c>
      <c r="E116">
        <v>0.2336</v>
      </c>
      <c r="F116" s="105">
        <v>41935</v>
      </c>
      <c r="G116">
        <v>0.32369999999999999</v>
      </c>
      <c r="H116" s="105">
        <v>41257</v>
      </c>
      <c r="I116">
        <v>0.6865</v>
      </c>
      <c r="J116" s="105">
        <v>41935</v>
      </c>
      <c r="K116">
        <v>0.54359999999999997</v>
      </c>
    </row>
    <row r="117" spans="1:11">
      <c r="A117" s="105">
        <v>40441</v>
      </c>
      <c r="B117" s="156">
        <v>0.25624999999999998</v>
      </c>
      <c r="D117" s="105">
        <v>41934</v>
      </c>
      <c r="E117">
        <v>0.23280000000000001</v>
      </c>
      <c r="F117" s="105">
        <v>41934</v>
      </c>
      <c r="G117">
        <v>0.32314999999999999</v>
      </c>
      <c r="H117" s="105">
        <v>41256</v>
      </c>
      <c r="I117">
        <v>0.6885</v>
      </c>
      <c r="J117" s="105">
        <v>41934</v>
      </c>
      <c r="K117">
        <v>0.54210000000000003</v>
      </c>
    </row>
    <row r="118" spans="1:11">
      <c r="A118" s="105">
        <v>40442</v>
      </c>
      <c r="B118" s="156">
        <v>0.25624999999999998</v>
      </c>
      <c r="D118" s="105">
        <v>41933</v>
      </c>
      <c r="E118">
        <v>0.2306</v>
      </c>
      <c r="F118" s="105">
        <v>41933</v>
      </c>
      <c r="G118">
        <v>0.32324999999999998</v>
      </c>
      <c r="H118" s="105">
        <v>41255</v>
      </c>
      <c r="I118">
        <v>0.68899999999999995</v>
      </c>
      <c r="J118" s="105">
        <v>41933</v>
      </c>
      <c r="K118">
        <v>0.54115000000000002</v>
      </c>
    </row>
    <row r="119" spans="1:11">
      <c r="A119" s="105">
        <v>40443</v>
      </c>
      <c r="B119" s="156">
        <v>0.25624999999999998</v>
      </c>
      <c r="D119" s="105">
        <v>41932</v>
      </c>
      <c r="E119">
        <v>0.2321</v>
      </c>
      <c r="F119" s="105">
        <v>41932</v>
      </c>
      <c r="G119">
        <v>0.32300000000000001</v>
      </c>
      <c r="H119" s="105">
        <v>41254</v>
      </c>
      <c r="I119">
        <v>0.6925</v>
      </c>
      <c r="J119" s="105">
        <v>41932</v>
      </c>
      <c r="K119">
        <v>0.54715000000000003</v>
      </c>
    </row>
    <row r="120" spans="1:11">
      <c r="A120" s="105">
        <v>40444</v>
      </c>
      <c r="B120" s="156">
        <v>0.25624999999999998</v>
      </c>
      <c r="D120" s="105">
        <v>41929</v>
      </c>
      <c r="E120">
        <v>0.23135</v>
      </c>
      <c r="F120" s="105">
        <v>41929</v>
      </c>
      <c r="G120">
        <v>0.32300000000000001</v>
      </c>
      <c r="H120" s="105">
        <v>41253</v>
      </c>
      <c r="I120">
        <v>0.69350000000000001</v>
      </c>
      <c r="J120" s="105">
        <v>41929</v>
      </c>
      <c r="K120">
        <v>0.54690000000000005</v>
      </c>
    </row>
    <row r="121" spans="1:11">
      <c r="A121" s="105">
        <v>40445</v>
      </c>
      <c r="B121" s="156">
        <v>0.25624999999999998</v>
      </c>
      <c r="D121" s="105">
        <v>41928</v>
      </c>
      <c r="E121">
        <v>0.23075000000000001</v>
      </c>
      <c r="F121" s="105">
        <v>41928</v>
      </c>
      <c r="G121">
        <v>0.32314999999999999</v>
      </c>
      <c r="H121" s="105">
        <v>41250</v>
      </c>
      <c r="I121">
        <v>0.69350000000000001</v>
      </c>
      <c r="J121" s="105">
        <v>41928</v>
      </c>
      <c r="K121">
        <v>0.54464999999999997</v>
      </c>
    </row>
    <row r="122" spans="1:11">
      <c r="A122" s="105">
        <v>40448</v>
      </c>
      <c r="B122" s="156">
        <v>0.25624999999999998</v>
      </c>
      <c r="D122" s="105">
        <v>41927</v>
      </c>
      <c r="E122">
        <v>0.2281</v>
      </c>
      <c r="F122" s="105">
        <v>41927</v>
      </c>
      <c r="G122">
        <v>0.32164999999999999</v>
      </c>
      <c r="H122" s="105">
        <v>41249</v>
      </c>
      <c r="I122">
        <v>0.69650000000000001</v>
      </c>
      <c r="J122" s="105">
        <v>41927</v>
      </c>
      <c r="K122">
        <v>0.5444</v>
      </c>
    </row>
    <row r="123" spans="1:11">
      <c r="A123" s="105">
        <v>40449</v>
      </c>
      <c r="B123" s="156">
        <v>0.25624999999999998</v>
      </c>
      <c r="D123" s="105">
        <v>41926</v>
      </c>
      <c r="E123">
        <v>0.2291</v>
      </c>
      <c r="F123" s="105">
        <v>41926</v>
      </c>
      <c r="G123">
        <v>0.32005</v>
      </c>
      <c r="H123" s="105">
        <v>41248</v>
      </c>
      <c r="I123">
        <v>0.69750000000000001</v>
      </c>
      <c r="J123" s="105">
        <v>41926</v>
      </c>
      <c r="K123">
        <v>0.54205000000000003</v>
      </c>
    </row>
    <row r="124" spans="1:11">
      <c r="A124" s="105">
        <v>40450</v>
      </c>
      <c r="B124" s="156">
        <v>0.25624999999999998</v>
      </c>
      <c r="D124" s="105">
        <v>41925</v>
      </c>
      <c r="E124">
        <v>0.2306</v>
      </c>
      <c r="F124" s="105">
        <v>41925</v>
      </c>
      <c r="G124">
        <v>0.32105</v>
      </c>
      <c r="H124" s="105">
        <v>41247</v>
      </c>
      <c r="I124">
        <v>0.69750000000000001</v>
      </c>
      <c r="J124" s="105">
        <v>41925</v>
      </c>
      <c r="K124">
        <v>0.54730000000000001</v>
      </c>
    </row>
    <row r="125" spans="1:11">
      <c r="A125" s="105">
        <v>40451</v>
      </c>
      <c r="B125" s="156">
        <v>0.25624999999999998</v>
      </c>
      <c r="D125" s="105">
        <v>41922</v>
      </c>
      <c r="E125">
        <v>0.23</v>
      </c>
      <c r="F125" s="105">
        <v>41922</v>
      </c>
      <c r="G125">
        <v>0.31979999999999997</v>
      </c>
      <c r="H125" s="105">
        <v>41246</v>
      </c>
      <c r="I125">
        <v>0.69850000000000001</v>
      </c>
      <c r="J125" s="105">
        <v>41922</v>
      </c>
      <c r="K125">
        <v>0.55254999999999999</v>
      </c>
    </row>
    <row r="126" spans="1:11">
      <c r="A126" s="105">
        <v>40452</v>
      </c>
      <c r="B126" s="156">
        <v>0.25688</v>
      </c>
      <c r="D126" s="105">
        <v>41921</v>
      </c>
      <c r="E126">
        <v>0.2291</v>
      </c>
      <c r="F126" s="105">
        <v>41921</v>
      </c>
      <c r="G126">
        <v>0.31940000000000002</v>
      </c>
      <c r="H126" s="105">
        <v>41243</v>
      </c>
      <c r="I126">
        <v>0.69850000000000001</v>
      </c>
      <c r="J126" s="105">
        <v>41921</v>
      </c>
      <c r="K126">
        <v>0.55054999999999998</v>
      </c>
    </row>
    <row r="127" spans="1:11">
      <c r="A127" s="105">
        <v>40455</v>
      </c>
      <c r="B127" s="156">
        <v>0.25688</v>
      </c>
      <c r="D127" s="105">
        <v>41920</v>
      </c>
      <c r="E127">
        <v>0.2291</v>
      </c>
      <c r="F127" s="105">
        <v>41920</v>
      </c>
      <c r="G127">
        <v>0.32414999999999999</v>
      </c>
      <c r="H127" s="105">
        <v>41242</v>
      </c>
      <c r="I127">
        <v>0.69950000000000001</v>
      </c>
      <c r="J127" s="105">
        <v>41920</v>
      </c>
      <c r="K127">
        <v>0.56730000000000003</v>
      </c>
    </row>
    <row r="128" spans="1:11">
      <c r="A128" s="105">
        <v>40456</v>
      </c>
      <c r="B128" s="156">
        <v>0.25688</v>
      </c>
      <c r="D128" s="105">
        <v>41919</v>
      </c>
      <c r="E128">
        <v>0.2311</v>
      </c>
      <c r="F128" s="105">
        <v>41919</v>
      </c>
      <c r="G128">
        <v>0.32765</v>
      </c>
      <c r="H128" s="105">
        <v>41241</v>
      </c>
      <c r="I128">
        <v>0.70050000000000001</v>
      </c>
      <c r="J128" s="105">
        <v>41919</v>
      </c>
      <c r="K128">
        <v>0.57130000000000003</v>
      </c>
    </row>
    <row r="129" spans="1:11">
      <c r="A129" s="105">
        <v>40457</v>
      </c>
      <c r="B129" s="156">
        <v>0.25688</v>
      </c>
      <c r="D129" s="105">
        <v>41918</v>
      </c>
      <c r="E129">
        <v>0.2326</v>
      </c>
      <c r="F129" s="105">
        <v>41918</v>
      </c>
      <c r="G129">
        <v>0.32640000000000002</v>
      </c>
      <c r="H129" s="105">
        <v>41240</v>
      </c>
      <c r="I129">
        <v>0.70050000000000001</v>
      </c>
      <c r="J129" s="105">
        <v>41918</v>
      </c>
      <c r="K129">
        <v>0.57179999999999997</v>
      </c>
    </row>
    <row r="130" spans="1:11">
      <c r="A130" s="105">
        <v>40458</v>
      </c>
      <c r="B130" s="156">
        <v>0.25624999999999998</v>
      </c>
      <c r="D130" s="105">
        <v>41915</v>
      </c>
      <c r="E130">
        <v>0.2316</v>
      </c>
      <c r="F130" s="105">
        <v>41915</v>
      </c>
      <c r="G130">
        <v>0.32469999999999999</v>
      </c>
      <c r="H130" s="105">
        <v>41239</v>
      </c>
      <c r="I130">
        <v>0.70050000000000001</v>
      </c>
      <c r="J130" s="105">
        <v>41915</v>
      </c>
      <c r="K130">
        <v>0.56910000000000005</v>
      </c>
    </row>
    <row r="131" spans="1:11">
      <c r="A131" s="105">
        <v>40459</v>
      </c>
      <c r="B131" s="156">
        <v>0.25624999999999998</v>
      </c>
      <c r="D131" s="105">
        <v>41914</v>
      </c>
      <c r="E131">
        <v>0.23119999999999999</v>
      </c>
      <c r="F131" s="105">
        <v>41914</v>
      </c>
      <c r="G131">
        <v>0.32379999999999998</v>
      </c>
      <c r="H131" s="105">
        <v>41236</v>
      </c>
      <c r="I131">
        <v>0.70050000000000001</v>
      </c>
      <c r="J131" s="105">
        <v>41914</v>
      </c>
      <c r="K131">
        <v>0.56810000000000005</v>
      </c>
    </row>
    <row r="132" spans="1:11">
      <c r="A132" s="105">
        <v>40462</v>
      </c>
      <c r="B132" s="156">
        <v>0.25624999999999998</v>
      </c>
      <c r="D132" s="105">
        <v>41913</v>
      </c>
      <c r="E132">
        <v>0.2326</v>
      </c>
      <c r="F132" s="105">
        <v>41913</v>
      </c>
      <c r="G132">
        <v>0.32469999999999999</v>
      </c>
      <c r="H132" s="105">
        <v>41235</v>
      </c>
      <c r="I132">
        <v>0.69950000000000001</v>
      </c>
      <c r="J132" s="105">
        <v>41913</v>
      </c>
      <c r="K132">
        <v>0.5776</v>
      </c>
    </row>
    <row r="133" spans="1:11">
      <c r="A133" s="105">
        <v>40463</v>
      </c>
      <c r="B133" s="156">
        <v>0.25624999999999998</v>
      </c>
      <c r="D133" s="105">
        <v>41912</v>
      </c>
      <c r="E133">
        <v>0.2351</v>
      </c>
      <c r="F133" s="105">
        <v>41912</v>
      </c>
      <c r="G133">
        <v>0.33040000000000003</v>
      </c>
      <c r="H133" s="105">
        <v>41234</v>
      </c>
      <c r="I133">
        <v>0.70050000000000001</v>
      </c>
      <c r="J133" s="105">
        <v>41912</v>
      </c>
      <c r="K133">
        <v>0.5786</v>
      </c>
    </row>
    <row r="134" spans="1:11">
      <c r="A134" s="105">
        <v>40464</v>
      </c>
      <c r="B134" s="156">
        <v>0.25624999999999998</v>
      </c>
      <c r="D134" s="105">
        <v>41911</v>
      </c>
      <c r="E134">
        <v>0.2351</v>
      </c>
      <c r="F134" s="105">
        <v>41911</v>
      </c>
      <c r="G134">
        <v>0.33065</v>
      </c>
      <c r="H134" s="105">
        <v>41233</v>
      </c>
      <c r="I134">
        <v>0.69850000000000001</v>
      </c>
      <c r="J134" s="105">
        <v>41911</v>
      </c>
      <c r="K134">
        <v>0.58020000000000005</v>
      </c>
    </row>
    <row r="135" spans="1:11">
      <c r="A135" s="105">
        <v>40465</v>
      </c>
      <c r="B135" s="156">
        <v>0.25624999999999998</v>
      </c>
      <c r="D135" s="105">
        <v>41908</v>
      </c>
      <c r="E135">
        <v>0.2331</v>
      </c>
      <c r="F135" s="105">
        <v>41908</v>
      </c>
      <c r="G135">
        <v>0.33040000000000003</v>
      </c>
      <c r="H135" s="105">
        <v>41232</v>
      </c>
      <c r="I135">
        <v>0.69850000000000001</v>
      </c>
      <c r="J135" s="105">
        <v>41908</v>
      </c>
      <c r="K135">
        <v>0.57769999999999999</v>
      </c>
    </row>
    <row r="136" spans="1:11">
      <c r="A136" s="105">
        <v>40466</v>
      </c>
      <c r="B136" s="156">
        <v>0.25624999999999998</v>
      </c>
      <c r="D136" s="105">
        <v>41907</v>
      </c>
      <c r="E136">
        <v>0.2336</v>
      </c>
      <c r="F136" s="105">
        <v>41907</v>
      </c>
      <c r="G136">
        <v>0.33139999999999997</v>
      </c>
      <c r="H136" s="105">
        <v>41229</v>
      </c>
      <c r="I136">
        <v>0.69750000000000001</v>
      </c>
      <c r="J136" s="105">
        <v>41907</v>
      </c>
      <c r="K136">
        <v>0.58220000000000005</v>
      </c>
    </row>
    <row r="137" spans="1:11">
      <c r="A137" s="105">
        <v>40469</v>
      </c>
      <c r="B137" s="156">
        <v>0.25624999999999998</v>
      </c>
      <c r="D137" s="105">
        <v>41906</v>
      </c>
      <c r="E137">
        <v>0.2351</v>
      </c>
      <c r="F137" s="105">
        <v>41906</v>
      </c>
      <c r="G137">
        <v>0.33115</v>
      </c>
      <c r="H137" s="105">
        <v>41228</v>
      </c>
      <c r="I137">
        <v>0.69650000000000001</v>
      </c>
      <c r="J137" s="105">
        <v>41906</v>
      </c>
      <c r="K137">
        <v>0.5827</v>
      </c>
    </row>
    <row r="138" spans="1:11">
      <c r="A138" s="105">
        <v>40470</v>
      </c>
      <c r="B138" s="156">
        <v>0.25624999999999998</v>
      </c>
      <c r="D138" s="105">
        <v>41905</v>
      </c>
      <c r="E138">
        <v>0.2341</v>
      </c>
      <c r="F138" s="105">
        <v>41905</v>
      </c>
      <c r="G138">
        <v>0.32990000000000003</v>
      </c>
      <c r="H138" s="105">
        <v>41227</v>
      </c>
      <c r="I138">
        <v>0.69750000000000001</v>
      </c>
      <c r="J138" s="105">
        <v>41905</v>
      </c>
      <c r="K138">
        <v>0.58120000000000005</v>
      </c>
    </row>
    <row r="139" spans="1:11">
      <c r="A139" s="105">
        <v>40471</v>
      </c>
      <c r="B139" s="156">
        <v>0.25624999999999998</v>
      </c>
      <c r="D139" s="105">
        <v>41904</v>
      </c>
      <c r="E139">
        <v>0.2356</v>
      </c>
      <c r="F139" s="105">
        <v>41904</v>
      </c>
      <c r="G139">
        <v>0.33040000000000003</v>
      </c>
      <c r="H139" s="105">
        <v>41226</v>
      </c>
      <c r="I139">
        <v>0.69850000000000001</v>
      </c>
      <c r="J139" s="105">
        <v>41904</v>
      </c>
      <c r="K139">
        <v>0.58169999999999999</v>
      </c>
    </row>
    <row r="140" spans="1:11">
      <c r="A140" s="105">
        <v>40472</v>
      </c>
      <c r="B140" s="156">
        <v>0.25624999999999998</v>
      </c>
      <c r="D140" s="105">
        <v>41901</v>
      </c>
      <c r="E140">
        <v>0.2331</v>
      </c>
      <c r="F140" s="105">
        <v>41901</v>
      </c>
      <c r="G140">
        <v>0.33090000000000003</v>
      </c>
      <c r="H140" s="105">
        <v>41225</v>
      </c>
      <c r="I140">
        <v>0.7</v>
      </c>
      <c r="J140" s="105">
        <v>41901</v>
      </c>
      <c r="K140">
        <v>0.5847</v>
      </c>
    </row>
    <row r="141" spans="1:11">
      <c r="A141" s="105">
        <v>40473</v>
      </c>
      <c r="B141" s="156">
        <v>0.25624999999999998</v>
      </c>
      <c r="D141" s="105">
        <v>41900</v>
      </c>
      <c r="E141">
        <v>0.2331</v>
      </c>
      <c r="F141" s="105">
        <v>41900</v>
      </c>
      <c r="G141">
        <v>0.33040000000000003</v>
      </c>
      <c r="H141" s="105">
        <v>41222</v>
      </c>
      <c r="I141">
        <v>0.70099999999999996</v>
      </c>
      <c r="J141" s="105">
        <v>41900</v>
      </c>
      <c r="K141">
        <v>0.58520000000000005</v>
      </c>
    </row>
    <row r="142" spans="1:11">
      <c r="A142" s="105">
        <v>40476</v>
      </c>
      <c r="B142" s="156">
        <v>0.25624999999999998</v>
      </c>
      <c r="D142" s="105">
        <v>41899</v>
      </c>
      <c r="E142">
        <v>0.2341</v>
      </c>
      <c r="F142" s="105">
        <v>41899</v>
      </c>
      <c r="G142">
        <v>0.33040000000000003</v>
      </c>
      <c r="H142" s="105">
        <v>41221</v>
      </c>
      <c r="I142">
        <v>0.70199999999999996</v>
      </c>
      <c r="J142" s="105">
        <v>41899</v>
      </c>
      <c r="K142">
        <v>0.5827</v>
      </c>
    </row>
    <row r="143" spans="1:11">
      <c r="A143" s="105">
        <v>40477</v>
      </c>
      <c r="B143" s="156">
        <v>0.25530999999999998</v>
      </c>
      <c r="D143" s="105">
        <v>41898</v>
      </c>
      <c r="E143">
        <v>0.2344</v>
      </c>
      <c r="F143" s="105">
        <v>41898</v>
      </c>
      <c r="G143">
        <v>0.33015</v>
      </c>
      <c r="H143" s="105">
        <v>41220</v>
      </c>
      <c r="I143">
        <v>0.70599999999999996</v>
      </c>
      <c r="J143" s="105">
        <v>41898</v>
      </c>
      <c r="K143">
        <v>0.5827</v>
      </c>
    </row>
    <row r="144" spans="1:11">
      <c r="A144" s="105">
        <v>40478</v>
      </c>
      <c r="B144" s="156">
        <v>0.25530999999999998</v>
      </c>
      <c r="D144" s="105">
        <v>41897</v>
      </c>
      <c r="E144">
        <v>0.2346</v>
      </c>
      <c r="F144" s="105">
        <v>41897</v>
      </c>
      <c r="G144">
        <v>0.33090000000000003</v>
      </c>
      <c r="H144" s="105">
        <v>41219</v>
      </c>
      <c r="I144">
        <v>0.71250000000000002</v>
      </c>
      <c r="J144" s="105">
        <v>41897</v>
      </c>
      <c r="K144">
        <v>0.5847</v>
      </c>
    </row>
    <row r="145" spans="1:11">
      <c r="A145" s="105">
        <v>40479</v>
      </c>
      <c r="B145" s="156">
        <v>0.25406000000000001</v>
      </c>
      <c r="D145" s="105">
        <v>41894</v>
      </c>
      <c r="E145">
        <v>0.2346</v>
      </c>
      <c r="F145" s="105">
        <v>41894</v>
      </c>
      <c r="G145">
        <v>0.33090000000000003</v>
      </c>
      <c r="H145" s="105">
        <v>41218</v>
      </c>
      <c r="I145">
        <v>0.71375</v>
      </c>
      <c r="J145" s="105">
        <v>41894</v>
      </c>
      <c r="K145">
        <v>0.58620000000000005</v>
      </c>
    </row>
    <row r="146" spans="1:11">
      <c r="A146" s="105">
        <v>40480</v>
      </c>
      <c r="B146" s="156">
        <v>0.25374999999999998</v>
      </c>
      <c r="D146" s="105">
        <v>41893</v>
      </c>
      <c r="E146">
        <v>0.2341</v>
      </c>
      <c r="F146" s="105">
        <v>41893</v>
      </c>
      <c r="G146">
        <v>0.33090000000000003</v>
      </c>
      <c r="H146" s="105">
        <v>41215</v>
      </c>
      <c r="I146">
        <v>0.71599999999999997</v>
      </c>
      <c r="J146" s="105">
        <v>41893</v>
      </c>
      <c r="K146">
        <v>0.58220000000000005</v>
      </c>
    </row>
    <row r="147" spans="1:11">
      <c r="A147" s="105">
        <v>40483</v>
      </c>
      <c r="B147" s="156">
        <v>0.25374999999999998</v>
      </c>
      <c r="D147" s="105">
        <v>41892</v>
      </c>
      <c r="E147">
        <v>0.2346</v>
      </c>
      <c r="F147" s="105">
        <v>41892</v>
      </c>
      <c r="G147">
        <v>0.33139999999999997</v>
      </c>
      <c r="H147" s="105">
        <v>41214</v>
      </c>
      <c r="I147">
        <v>0.71650000000000003</v>
      </c>
      <c r="J147" s="105">
        <v>41892</v>
      </c>
      <c r="K147">
        <v>0.58069999999999999</v>
      </c>
    </row>
    <row r="148" spans="1:11">
      <c r="A148" s="105">
        <v>40484</v>
      </c>
      <c r="B148" s="156">
        <v>0.25374999999999998</v>
      </c>
      <c r="D148" s="105">
        <v>41891</v>
      </c>
      <c r="E148">
        <v>0.2346</v>
      </c>
      <c r="F148" s="105">
        <v>41891</v>
      </c>
      <c r="G148">
        <v>0.32940000000000003</v>
      </c>
      <c r="H148" s="105">
        <v>41213</v>
      </c>
      <c r="I148">
        <v>0.71650000000000003</v>
      </c>
      <c r="J148" s="105">
        <v>41891</v>
      </c>
      <c r="K148">
        <v>0.57369999999999999</v>
      </c>
    </row>
    <row r="149" spans="1:11">
      <c r="A149" s="105">
        <v>40485</v>
      </c>
      <c r="B149" s="156">
        <v>0.25374999999999998</v>
      </c>
      <c r="D149" s="105">
        <v>41890</v>
      </c>
      <c r="E149">
        <v>0.2336</v>
      </c>
      <c r="F149" s="105">
        <v>41890</v>
      </c>
      <c r="G149">
        <v>0.32629999999999998</v>
      </c>
      <c r="H149" s="105">
        <v>41212</v>
      </c>
      <c r="I149">
        <v>0.71650000000000003</v>
      </c>
      <c r="J149" s="105">
        <v>41890</v>
      </c>
      <c r="K149">
        <v>0.56259999999999999</v>
      </c>
    </row>
    <row r="150" spans="1:11">
      <c r="A150" s="105">
        <v>40486</v>
      </c>
      <c r="B150" s="156">
        <v>0.25344</v>
      </c>
      <c r="D150" s="105">
        <v>41887</v>
      </c>
      <c r="E150">
        <v>0.23230000000000001</v>
      </c>
      <c r="F150" s="105">
        <v>41887</v>
      </c>
      <c r="G150">
        <v>0.32700000000000001</v>
      </c>
      <c r="H150" s="105">
        <v>41211</v>
      </c>
      <c r="I150">
        <v>0.71650000000000003</v>
      </c>
      <c r="J150" s="105">
        <v>41887</v>
      </c>
      <c r="K150">
        <v>0.56910000000000005</v>
      </c>
    </row>
    <row r="151" spans="1:11">
      <c r="A151" s="105">
        <v>40487</v>
      </c>
      <c r="B151" s="156">
        <v>0.25344</v>
      </c>
      <c r="D151" s="105">
        <v>41886</v>
      </c>
      <c r="E151">
        <v>0.2331</v>
      </c>
      <c r="F151" s="105">
        <v>41886</v>
      </c>
      <c r="G151">
        <v>0.32890000000000003</v>
      </c>
      <c r="H151" s="105">
        <v>41208</v>
      </c>
      <c r="I151">
        <v>0.71750000000000003</v>
      </c>
      <c r="J151" s="105">
        <v>41886</v>
      </c>
      <c r="K151">
        <v>0.56410000000000005</v>
      </c>
    </row>
    <row r="152" spans="1:11">
      <c r="A152" s="105">
        <v>40490</v>
      </c>
      <c r="B152" s="156">
        <v>0.25344</v>
      </c>
      <c r="D152" s="105">
        <v>41885</v>
      </c>
      <c r="E152">
        <v>0.2341</v>
      </c>
      <c r="F152" s="105">
        <v>41885</v>
      </c>
      <c r="G152">
        <v>0.32890000000000003</v>
      </c>
      <c r="H152" s="105">
        <v>41207</v>
      </c>
      <c r="I152">
        <v>0.72150000000000003</v>
      </c>
      <c r="J152" s="105">
        <v>41885</v>
      </c>
      <c r="K152">
        <v>0.56559999999999999</v>
      </c>
    </row>
    <row r="153" spans="1:11">
      <c r="A153" s="105">
        <v>40491</v>
      </c>
      <c r="B153" s="156">
        <v>0.25344</v>
      </c>
      <c r="D153" s="105">
        <v>41884</v>
      </c>
      <c r="E153">
        <v>0.2331</v>
      </c>
      <c r="F153" s="105">
        <v>41884</v>
      </c>
      <c r="G153">
        <v>0.32965</v>
      </c>
      <c r="H153" s="105">
        <v>41206</v>
      </c>
      <c r="I153">
        <v>0.72250000000000003</v>
      </c>
      <c r="J153" s="105">
        <v>41884</v>
      </c>
      <c r="K153">
        <v>0.56210000000000004</v>
      </c>
    </row>
    <row r="154" spans="1:11">
      <c r="A154" s="105">
        <v>40492</v>
      </c>
      <c r="B154" s="156">
        <v>0.25344</v>
      </c>
      <c r="D154" s="105">
        <v>41883</v>
      </c>
      <c r="E154">
        <v>0.2336</v>
      </c>
      <c r="F154" s="105">
        <v>41883</v>
      </c>
      <c r="G154">
        <v>0.32940000000000003</v>
      </c>
      <c r="H154" s="105">
        <v>41205</v>
      </c>
      <c r="I154">
        <v>0.72550000000000003</v>
      </c>
      <c r="J154" s="105">
        <v>41883</v>
      </c>
      <c r="K154">
        <v>0.56459999999999999</v>
      </c>
    </row>
    <row r="155" spans="1:11">
      <c r="A155" s="105">
        <v>40493</v>
      </c>
      <c r="B155" s="156">
        <v>0.25344</v>
      </c>
      <c r="D155" s="105">
        <v>41880</v>
      </c>
      <c r="E155">
        <v>0.2336</v>
      </c>
      <c r="F155" s="105">
        <v>41880</v>
      </c>
      <c r="G155">
        <v>0.32990000000000003</v>
      </c>
      <c r="H155" s="105">
        <v>41204</v>
      </c>
      <c r="I155">
        <v>0.72799999999999998</v>
      </c>
      <c r="J155" s="105">
        <v>41880</v>
      </c>
      <c r="K155">
        <v>0.56559999999999999</v>
      </c>
    </row>
    <row r="156" spans="1:11">
      <c r="A156" s="105">
        <v>40494</v>
      </c>
      <c r="B156" s="156">
        <v>0.25344</v>
      </c>
      <c r="D156" s="105">
        <v>41879</v>
      </c>
      <c r="E156">
        <v>0.2336</v>
      </c>
      <c r="F156" s="105">
        <v>41879</v>
      </c>
      <c r="G156">
        <v>0.33189999999999997</v>
      </c>
      <c r="H156" s="105">
        <v>41201</v>
      </c>
      <c r="I156">
        <v>0.73250000000000004</v>
      </c>
      <c r="J156" s="105">
        <v>41879</v>
      </c>
      <c r="K156">
        <v>0.56310000000000004</v>
      </c>
    </row>
    <row r="157" spans="1:11">
      <c r="A157" s="105">
        <v>40497</v>
      </c>
      <c r="B157" s="156">
        <v>0.25344</v>
      </c>
      <c r="D157" s="105">
        <v>41878</v>
      </c>
      <c r="E157">
        <v>0.2346</v>
      </c>
      <c r="F157" s="105">
        <v>41878</v>
      </c>
      <c r="G157">
        <v>0.33189999999999997</v>
      </c>
      <c r="H157" s="105">
        <v>41200</v>
      </c>
      <c r="I157">
        <v>0.73799999999999999</v>
      </c>
      <c r="J157" s="105">
        <v>41878</v>
      </c>
      <c r="K157">
        <v>0.56259999999999999</v>
      </c>
    </row>
    <row r="158" spans="1:11">
      <c r="A158" s="105">
        <v>40498</v>
      </c>
      <c r="B158" s="156">
        <v>0.25344</v>
      </c>
      <c r="D158" s="105">
        <v>41877</v>
      </c>
      <c r="E158">
        <v>0.23810000000000001</v>
      </c>
      <c r="F158" s="105">
        <v>41877</v>
      </c>
      <c r="G158">
        <v>0.32990000000000003</v>
      </c>
      <c r="H158" s="105">
        <v>41199</v>
      </c>
      <c r="I158">
        <v>0.74399999999999999</v>
      </c>
      <c r="J158" s="105">
        <v>41877</v>
      </c>
      <c r="K158">
        <v>0.56459999999999999</v>
      </c>
    </row>
    <row r="159" spans="1:11">
      <c r="A159" s="105">
        <v>40499</v>
      </c>
      <c r="B159" s="156">
        <v>0.25344</v>
      </c>
      <c r="D159" s="105">
        <v>41873</v>
      </c>
      <c r="E159">
        <v>0.2384</v>
      </c>
      <c r="F159" s="105">
        <v>41873</v>
      </c>
      <c r="G159">
        <v>0.33050000000000002</v>
      </c>
      <c r="H159" s="105">
        <v>41198</v>
      </c>
      <c r="I159">
        <v>0.751</v>
      </c>
      <c r="J159" s="105">
        <v>41873</v>
      </c>
      <c r="K159">
        <v>0.56559999999999999</v>
      </c>
    </row>
    <row r="160" spans="1:11">
      <c r="A160" s="105">
        <v>40500</v>
      </c>
      <c r="B160" s="156">
        <v>0.25344</v>
      </c>
      <c r="D160" s="105">
        <v>41872</v>
      </c>
      <c r="E160">
        <v>0.2349</v>
      </c>
      <c r="F160" s="105">
        <v>41872</v>
      </c>
      <c r="G160">
        <v>0.32900000000000001</v>
      </c>
      <c r="H160" s="105">
        <v>41197</v>
      </c>
      <c r="I160">
        <v>0.76</v>
      </c>
      <c r="J160" s="105">
        <v>41872</v>
      </c>
      <c r="K160">
        <v>0.56459999999999999</v>
      </c>
    </row>
    <row r="161" spans="1:11">
      <c r="A161" s="105">
        <v>40501</v>
      </c>
      <c r="B161" s="156">
        <v>0.25344</v>
      </c>
      <c r="D161" s="105">
        <v>41871</v>
      </c>
      <c r="E161">
        <v>0.2349</v>
      </c>
      <c r="F161" s="105">
        <v>41871</v>
      </c>
      <c r="G161">
        <v>0.32700000000000001</v>
      </c>
      <c r="H161" s="105">
        <v>41194</v>
      </c>
      <c r="I161">
        <v>0.76800000000000002</v>
      </c>
      <c r="J161" s="105">
        <v>41871</v>
      </c>
      <c r="K161">
        <v>0.55610000000000004</v>
      </c>
    </row>
    <row r="162" spans="1:11">
      <c r="A162" s="105">
        <v>40504</v>
      </c>
      <c r="B162" s="156">
        <v>0.25344</v>
      </c>
      <c r="D162" s="105">
        <v>41870</v>
      </c>
      <c r="E162">
        <v>0.2344</v>
      </c>
      <c r="F162" s="105">
        <v>41870</v>
      </c>
      <c r="G162">
        <v>0.32850000000000001</v>
      </c>
      <c r="H162" s="105">
        <v>41193</v>
      </c>
      <c r="I162">
        <v>0.77500000000000002</v>
      </c>
      <c r="J162" s="105">
        <v>41870</v>
      </c>
      <c r="K162">
        <v>0.55210000000000004</v>
      </c>
    </row>
    <row r="163" spans="1:11">
      <c r="A163" s="105">
        <v>40505</v>
      </c>
      <c r="B163" s="156">
        <v>0.25344</v>
      </c>
      <c r="D163" s="105">
        <v>41869</v>
      </c>
      <c r="E163">
        <v>0.2321</v>
      </c>
      <c r="F163" s="105">
        <v>41869</v>
      </c>
      <c r="G163">
        <v>0.32850000000000001</v>
      </c>
      <c r="H163" s="105">
        <v>41192</v>
      </c>
      <c r="I163">
        <v>0.78200000000000003</v>
      </c>
      <c r="J163" s="105">
        <v>41869</v>
      </c>
      <c r="K163">
        <v>0.55110000000000003</v>
      </c>
    </row>
    <row r="164" spans="1:11">
      <c r="A164" s="105">
        <v>40506</v>
      </c>
      <c r="B164" s="156">
        <v>0.25344</v>
      </c>
      <c r="D164" s="105">
        <v>41866</v>
      </c>
      <c r="E164">
        <v>0.2321</v>
      </c>
      <c r="F164" s="105">
        <v>41866</v>
      </c>
      <c r="G164">
        <v>0.32850000000000001</v>
      </c>
      <c r="H164" s="105">
        <v>41191</v>
      </c>
      <c r="I164">
        <v>0.78749999999999998</v>
      </c>
      <c r="J164" s="105">
        <v>41866</v>
      </c>
      <c r="K164">
        <v>0.55059999999999998</v>
      </c>
    </row>
    <row r="165" spans="1:11">
      <c r="A165" s="105">
        <v>40507</v>
      </c>
      <c r="B165" s="156">
        <v>0.255</v>
      </c>
      <c r="D165" s="105">
        <v>41865</v>
      </c>
      <c r="E165">
        <v>0.2311</v>
      </c>
      <c r="F165" s="105">
        <v>41865</v>
      </c>
      <c r="G165">
        <v>0.32919999999999999</v>
      </c>
      <c r="H165" s="105">
        <v>41190</v>
      </c>
      <c r="I165">
        <v>0.79</v>
      </c>
      <c r="J165" s="105">
        <v>41865</v>
      </c>
      <c r="K165">
        <v>0.55079999999999996</v>
      </c>
    </row>
    <row r="166" spans="1:11">
      <c r="A166" s="105">
        <v>40508</v>
      </c>
      <c r="B166" s="156">
        <v>0.25624999999999998</v>
      </c>
      <c r="D166" s="105">
        <v>41864</v>
      </c>
      <c r="E166">
        <v>0.2336</v>
      </c>
      <c r="F166" s="105">
        <v>41864</v>
      </c>
      <c r="G166">
        <v>0.33090000000000003</v>
      </c>
      <c r="H166" s="105">
        <v>41187</v>
      </c>
      <c r="I166">
        <v>0.79300000000000004</v>
      </c>
      <c r="J166" s="105">
        <v>41864</v>
      </c>
      <c r="K166">
        <v>0.55530000000000002</v>
      </c>
    </row>
    <row r="167" spans="1:11">
      <c r="A167" s="105">
        <v>40511</v>
      </c>
      <c r="B167" s="156">
        <v>0.25750000000000001</v>
      </c>
      <c r="D167" s="105">
        <v>41863</v>
      </c>
      <c r="E167">
        <v>0.2331</v>
      </c>
      <c r="F167" s="105">
        <v>41863</v>
      </c>
      <c r="G167">
        <v>0.32890000000000003</v>
      </c>
      <c r="H167" s="105">
        <v>41186</v>
      </c>
      <c r="I167">
        <v>0.79500000000000004</v>
      </c>
      <c r="J167" s="105">
        <v>41863</v>
      </c>
      <c r="K167">
        <v>0.55530000000000002</v>
      </c>
    </row>
    <row r="168" spans="1:11">
      <c r="A168" s="105">
        <v>40512</v>
      </c>
      <c r="B168" s="156">
        <v>0.26062999999999997</v>
      </c>
      <c r="D168" s="105">
        <v>41862</v>
      </c>
      <c r="E168">
        <v>0.23380000000000001</v>
      </c>
      <c r="F168" s="105">
        <v>41862</v>
      </c>
      <c r="G168">
        <v>0.3281</v>
      </c>
      <c r="H168" s="105">
        <v>41185</v>
      </c>
      <c r="I168">
        <v>0.79649999999999999</v>
      </c>
      <c r="J168" s="105">
        <v>41862</v>
      </c>
      <c r="K168">
        <v>0.55449999999999999</v>
      </c>
    </row>
    <row r="169" spans="1:11">
      <c r="A169" s="105">
        <v>40513</v>
      </c>
      <c r="B169" s="156">
        <v>0.26530999999999999</v>
      </c>
      <c r="D169" s="105">
        <v>41859</v>
      </c>
      <c r="E169">
        <v>0.2351</v>
      </c>
      <c r="F169" s="105">
        <v>41859</v>
      </c>
      <c r="G169">
        <v>0.32890000000000003</v>
      </c>
      <c r="H169" s="105">
        <v>41184</v>
      </c>
      <c r="I169">
        <v>0.79900000000000004</v>
      </c>
      <c r="J169" s="105">
        <v>41859</v>
      </c>
      <c r="K169">
        <v>0.55400000000000005</v>
      </c>
    </row>
    <row r="170" spans="1:11">
      <c r="A170" s="105">
        <v>40514</v>
      </c>
      <c r="B170" s="156">
        <v>0.26562999999999998</v>
      </c>
      <c r="D170" s="105">
        <v>41858</v>
      </c>
      <c r="E170">
        <v>0.2331</v>
      </c>
      <c r="F170" s="105">
        <v>41858</v>
      </c>
      <c r="G170">
        <v>0.32829999999999998</v>
      </c>
      <c r="H170" s="105">
        <v>41183</v>
      </c>
      <c r="I170">
        <v>0.80325000000000002</v>
      </c>
      <c r="J170" s="105">
        <v>41858</v>
      </c>
      <c r="K170">
        <v>0.5554</v>
      </c>
    </row>
    <row r="171" spans="1:11">
      <c r="A171" s="105">
        <v>40515</v>
      </c>
      <c r="B171" s="156">
        <v>0.26500000000000001</v>
      </c>
      <c r="D171" s="105">
        <v>41857</v>
      </c>
      <c r="E171">
        <v>0.23419999999999999</v>
      </c>
      <c r="F171" s="105">
        <v>41857</v>
      </c>
      <c r="G171">
        <v>0.32829999999999998</v>
      </c>
      <c r="H171" s="105">
        <v>41180</v>
      </c>
      <c r="I171">
        <v>0.8085</v>
      </c>
      <c r="J171" s="105">
        <v>41857</v>
      </c>
      <c r="K171">
        <v>0.55589999999999995</v>
      </c>
    </row>
    <row r="172" spans="1:11">
      <c r="A172" s="105">
        <v>40518</v>
      </c>
      <c r="B172" s="156">
        <v>0.26500000000000001</v>
      </c>
      <c r="D172" s="105">
        <v>41856</v>
      </c>
      <c r="E172">
        <v>0.23710000000000001</v>
      </c>
      <c r="F172" s="105">
        <v>41856</v>
      </c>
      <c r="G172">
        <v>0.32990000000000003</v>
      </c>
      <c r="H172" s="105">
        <v>41179</v>
      </c>
      <c r="I172">
        <v>0.81225000000000003</v>
      </c>
      <c r="J172" s="105">
        <v>41856</v>
      </c>
      <c r="K172">
        <v>0.56040000000000001</v>
      </c>
    </row>
    <row r="173" spans="1:11">
      <c r="A173" s="105">
        <v>40519</v>
      </c>
      <c r="B173" s="156">
        <v>0.26374999999999998</v>
      </c>
      <c r="D173" s="105">
        <v>41855</v>
      </c>
      <c r="E173">
        <v>0.23710000000000001</v>
      </c>
      <c r="F173" s="105">
        <v>41855</v>
      </c>
      <c r="G173">
        <v>0.3306</v>
      </c>
      <c r="H173" s="105">
        <v>41178</v>
      </c>
      <c r="I173">
        <v>0.81230000000000002</v>
      </c>
      <c r="J173" s="105">
        <v>41855</v>
      </c>
      <c r="K173">
        <v>0.56210000000000004</v>
      </c>
    </row>
    <row r="174" spans="1:11">
      <c r="A174" s="105">
        <v>40520</v>
      </c>
      <c r="B174" s="156">
        <v>0.26250000000000001</v>
      </c>
      <c r="D174" s="105">
        <v>41852</v>
      </c>
      <c r="E174">
        <v>0.23810000000000001</v>
      </c>
      <c r="F174" s="105">
        <v>41852</v>
      </c>
      <c r="G174">
        <v>0.33439999999999998</v>
      </c>
      <c r="H174" s="105">
        <v>41177</v>
      </c>
      <c r="I174">
        <v>0.81505000000000005</v>
      </c>
      <c r="J174" s="105">
        <v>41852</v>
      </c>
      <c r="K174">
        <v>0.57809999999999995</v>
      </c>
    </row>
    <row r="175" spans="1:11">
      <c r="A175" s="105">
        <v>40521</v>
      </c>
      <c r="B175" s="156">
        <v>0.26218999999999998</v>
      </c>
      <c r="D175" s="105">
        <v>41851</v>
      </c>
      <c r="E175">
        <v>0.23910000000000001</v>
      </c>
      <c r="F175" s="105">
        <v>41851</v>
      </c>
      <c r="G175">
        <v>0.33450000000000002</v>
      </c>
      <c r="H175" s="105">
        <v>41176</v>
      </c>
      <c r="I175">
        <v>0.81755</v>
      </c>
      <c r="J175" s="105">
        <v>41851</v>
      </c>
      <c r="K175">
        <v>0.5796</v>
      </c>
    </row>
    <row r="176" spans="1:11">
      <c r="A176" s="105">
        <v>40522</v>
      </c>
      <c r="B176" s="156">
        <v>0.26030999999999999</v>
      </c>
      <c r="D176" s="105">
        <v>41850</v>
      </c>
      <c r="E176">
        <v>0.23960000000000001</v>
      </c>
      <c r="F176" s="105">
        <v>41850</v>
      </c>
      <c r="G176">
        <v>0.33250000000000002</v>
      </c>
      <c r="H176" s="105">
        <v>41173</v>
      </c>
      <c r="I176">
        <v>0.81979999999999997</v>
      </c>
      <c r="J176" s="105">
        <v>41850</v>
      </c>
      <c r="K176">
        <v>0.56859999999999999</v>
      </c>
    </row>
    <row r="177" spans="1:11">
      <c r="A177" s="105">
        <v>40525</v>
      </c>
      <c r="B177" s="156">
        <v>0.26030999999999999</v>
      </c>
      <c r="D177" s="105">
        <v>41849</v>
      </c>
      <c r="E177">
        <v>0.23710000000000001</v>
      </c>
      <c r="F177" s="105">
        <v>41849</v>
      </c>
      <c r="G177">
        <v>0.33</v>
      </c>
      <c r="H177" s="105">
        <v>41172</v>
      </c>
      <c r="I177">
        <v>0.82055</v>
      </c>
      <c r="J177" s="105">
        <v>41849</v>
      </c>
      <c r="K177">
        <v>0.56459999999999999</v>
      </c>
    </row>
    <row r="178" spans="1:11">
      <c r="A178" s="105">
        <v>40526</v>
      </c>
      <c r="B178" s="156">
        <v>0.26062999999999997</v>
      </c>
      <c r="D178" s="105">
        <v>41848</v>
      </c>
      <c r="E178">
        <v>0.2361</v>
      </c>
      <c r="F178" s="105">
        <v>41848</v>
      </c>
      <c r="G178">
        <v>0.32879999999999998</v>
      </c>
      <c r="H178" s="105">
        <v>41171</v>
      </c>
      <c r="I178">
        <v>0.82230000000000003</v>
      </c>
      <c r="J178" s="105">
        <v>41848</v>
      </c>
      <c r="K178">
        <v>0.56359999999999999</v>
      </c>
    </row>
    <row r="179" spans="1:11">
      <c r="A179" s="105">
        <v>40527</v>
      </c>
      <c r="B179" s="156">
        <v>0.26062999999999997</v>
      </c>
      <c r="D179" s="105">
        <v>41845</v>
      </c>
      <c r="E179">
        <v>0.2341</v>
      </c>
      <c r="F179" s="105">
        <v>41845</v>
      </c>
      <c r="G179">
        <v>0.3281</v>
      </c>
      <c r="H179" s="105">
        <v>41170</v>
      </c>
      <c r="I179">
        <v>0.82399999999999995</v>
      </c>
      <c r="J179" s="105">
        <v>41845</v>
      </c>
      <c r="K179">
        <v>0.56010000000000004</v>
      </c>
    </row>
    <row r="180" spans="1:11">
      <c r="A180" s="105">
        <v>40528</v>
      </c>
      <c r="B180" s="156">
        <v>0.26062999999999997</v>
      </c>
      <c r="D180" s="105">
        <v>41844</v>
      </c>
      <c r="E180">
        <v>0.2351</v>
      </c>
      <c r="F180" s="105">
        <v>41844</v>
      </c>
      <c r="G180">
        <v>0.3291</v>
      </c>
      <c r="H180" s="105">
        <v>41169</v>
      </c>
      <c r="I180">
        <v>0.82679999999999998</v>
      </c>
      <c r="J180" s="105">
        <v>41844</v>
      </c>
      <c r="K180">
        <v>0.55710000000000004</v>
      </c>
    </row>
    <row r="181" spans="1:11">
      <c r="A181" s="105">
        <v>40529</v>
      </c>
      <c r="B181" s="156">
        <v>0.26062999999999997</v>
      </c>
      <c r="D181" s="105">
        <v>41843</v>
      </c>
      <c r="E181">
        <v>0.2341</v>
      </c>
      <c r="F181" s="105">
        <v>41843</v>
      </c>
      <c r="G181">
        <v>0.32879999999999998</v>
      </c>
      <c r="H181" s="105">
        <v>41166</v>
      </c>
      <c r="I181">
        <v>0.83330000000000004</v>
      </c>
      <c r="J181" s="105">
        <v>41843</v>
      </c>
      <c r="K181">
        <v>0.55359999999999998</v>
      </c>
    </row>
    <row r="182" spans="1:11">
      <c r="A182" s="105">
        <v>40532</v>
      </c>
      <c r="B182" s="156">
        <v>0.26062999999999997</v>
      </c>
      <c r="D182" s="105">
        <v>41842</v>
      </c>
      <c r="E182">
        <v>0.2326</v>
      </c>
      <c r="F182" s="105">
        <v>41842</v>
      </c>
      <c r="G182">
        <v>0.3271</v>
      </c>
      <c r="H182" s="105">
        <v>41165</v>
      </c>
      <c r="I182">
        <v>0.84279999999999999</v>
      </c>
      <c r="J182" s="105">
        <v>41842</v>
      </c>
      <c r="K182">
        <v>0.55610000000000004</v>
      </c>
    </row>
    <row r="183" spans="1:11">
      <c r="A183" s="105">
        <v>40533</v>
      </c>
      <c r="B183" s="156">
        <v>0.26062999999999997</v>
      </c>
      <c r="D183" s="105">
        <v>41841</v>
      </c>
      <c r="E183">
        <v>0.2331</v>
      </c>
      <c r="F183" s="105">
        <v>41841</v>
      </c>
      <c r="G183">
        <v>0.32740000000000002</v>
      </c>
      <c r="H183" s="105">
        <v>41164</v>
      </c>
      <c r="I183">
        <v>0.8468</v>
      </c>
      <c r="J183" s="105">
        <v>41841</v>
      </c>
      <c r="K183">
        <v>0.55210000000000004</v>
      </c>
    </row>
    <row r="184" spans="1:11">
      <c r="A184" s="105">
        <v>40534</v>
      </c>
      <c r="B184" s="156">
        <v>0.26062999999999997</v>
      </c>
      <c r="D184" s="105">
        <v>41838</v>
      </c>
      <c r="E184">
        <v>0.2316</v>
      </c>
      <c r="F184" s="105">
        <v>41838</v>
      </c>
      <c r="G184">
        <v>0.32540000000000002</v>
      </c>
      <c r="H184" s="105">
        <v>41163</v>
      </c>
      <c r="I184">
        <v>0.85229999999999995</v>
      </c>
      <c r="J184" s="105">
        <v>41838</v>
      </c>
      <c r="K184">
        <v>0.55289999999999995</v>
      </c>
    </row>
    <row r="185" spans="1:11">
      <c r="A185" s="105">
        <v>40535</v>
      </c>
      <c r="B185" s="156">
        <v>0.26062999999999997</v>
      </c>
      <c r="D185" s="105">
        <v>41837</v>
      </c>
      <c r="E185">
        <v>0.2336</v>
      </c>
      <c r="F185" s="105">
        <v>41837</v>
      </c>
      <c r="G185">
        <v>0.3271</v>
      </c>
      <c r="H185" s="105">
        <v>41162</v>
      </c>
      <c r="I185">
        <v>0.85629999999999995</v>
      </c>
      <c r="J185" s="105">
        <v>41837</v>
      </c>
      <c r="K185">
        <v>0.5544</v>
      </c>
    </row>
    <row r="186" spans="1:11">
      <c r="A186" s="105">
        <v>40536</v>
      </c>
      <c r="B186" s="156">
        <v>0.26062999999999997</v>
      </c>
      <c r="D186" s="105">
        <v>41836</v>
      </c>
      <c r="E186">
        <v>0.2336</v>
      </c>
      <c r="F186" s="105">
        <v>41836</v>
      </c>
      <c r="G186">
        <v>0.3266</v>
      </c>
      <c r="H186" s="105">
        <v>41159</v>
      </c>
      <c r="I186">
        <v>0.85929999999999995</v>
      </c>
      <c r="J186" s="105">
        <v>41836</v>
      </c>
      <c r="K186">
        <v>0.55489999999999995</v>
      </c>
    </row>
    <row r="187" spans="1:11">
      <c r="A187" s="105">
        <v>40541</v>
      </c>
      <c r="B187" s="156">
        <v>0.26062999999999997</v>
      </c>
      <c r="D187" s="105">
        <v>41835</v>
      </c>
      <c r="E187">
        <v>0.2331</v>
      </c>
      <c r="F187" s="105">
        <v>41835</v>
      </c>
      <c r="G187">
        <v>0.32640000000000002</v>
      </c>
      <c r="H187" s="105">
        <v>41158</v>
      </c>
      <c r="I187">
        <v>0.85980000000000001</v>
      </c>
      <c r="J187" s="105">
        <v>41835</v>
      </c>
      <c r="K187">
        <v>0.55189999999999995</v>
      </c>
    </row>
    <row r="188" spans="1:11">
      <c r="A188" s="105">
        <v>40542</v>
      </c>
      <c r="B188" s="156">
        <v>0.26062999999999997</v>
      </c>
      <c r="D188" s="105">
        <v>41834</v>
      </c>
      <c r="E188">
        <v>0.2326</v>
      </c>
      <c r="F188" s="105">
        <v>41834</v>
      </c>
      <c r="G188">
        <v>0.32640000000000002</v>
      </c>
      <c r="H188" s="105">
        <v>41157</v>
      </c>
      <c r="I188">
        <v>0.86129999999999995</v>
      </c>
      <c r="J188" s="105">
        <v>41834</v>
      </c>
      <c r="K188">
        <v>0.55189999999999995</v>
      </c>
    </row>
    <row r="189" spans="1:11">
      <c r="A189" s="105">
        <v>40543</v>
      </c>
      <c r="B189" s="156">
        <v>0.26062999999999997</v>
      </c>
      <c r="D189" s="105">
        <v>41831</v>
      </c>
      <c r="E189">
        <v>0.2336</v>
      </c>
      <c r="F189" s="105">
        <v>41831</v>
      </c>
      <c r="G189">
        <v>0.32569999999999999</v>
      </c>
      <c r="H189" s="105">
        <v>41156</v>
      </c>
      <c r="I189">
        <v>0.86280000000000001</v>
      </c>
      <c r="J189" s="105">
        <v>41831</v>
      </c>
      <c r="K189">
        <v>0.54969999999999997</v>
      </c>
    </row>
    <row r="190" spans="1:11">
      <c r="A190" s="105">
        <v>40547</v>
      </c>
      <c r="B190" s="156">
        <v>0.26062999999999997</v>
      </c>
      <c r="D190" s="105">
        <v>41830</v>
      </c>
      <c r="E190">
        <v>0.2336</v>
      </c>
      <c r="F190" s="105">
        <v>41830</v>
      </c>
      <c r="G190">
        <v>0.32719999999999999</v>
      </c>
      <c r="H190" s="105">
        <v>41155</v>
      </c>
      <c r="I190">
        <v>0.86529999999999996</v>
      </c>
      <c r="J190" s="105">
        <v>41830</v>
      </c>
      <c r="K190">
        <v>0.54920000000000002</v>
      </c>
    </row>
    <row r="191" spans="1:11">
      <c r="A191" s="105">
        <v>40548</v>
      </c>
      <c r="B191" s="156">
        <v>0.26124999999999998</v>
      </c>
      <c r="D191" s="105">
        <v>41829</v>
      </c>
      <c r="E191">
        <v>0.2341</v>
      </c>
      <c r="F191" s="105">
        <v>41829</v>
      </c>
      <c r="G191">
        <v>0.33069999999999999</v>
      </c>
      <c r="H191" s="105">
        <v>41152</v>
      </c>
      <c r="I191">
        <v>0.86780000000000002</v>
      </c>
      <c r="J191" s="105">
        <v>41829</v>
      </c>
      <c r="K191">
        <v>0.55720000000000003</v>
      </c>
    </row>
    <row r="192" spans="1:11">
      <c r="A192" s="105">
        <v>40549</v>
      </c>
      <c r="B192" s="156">
        <v>0.26124999999999998</v>
      </c>
      <c r="D192" s="105">
        <v>41828</v>
      </c>
      <c r="E192">
        <v>0.2336</v>
      </c>
      <c r="F192" s="105">
        <v>41828</v>
      </c>
      <c r="G192">
        <v>0.33019999999999999</v>
      </c>
      <c r="H192" s="105">
        <v>41151</v>
      </c>
      <c r="I192">
        <v>0.86829999999999996</v>
      </c>
      <c r="J192" s="105">
        <v>41828</v>
      </c>
      <c r="K192">
        <v>0.55620000000000003</v>
      </c>
    </row>
    <row r="193" spans="1:11">
      <c r="A193" s="105">
        <v>40550</v>
      </c>
      <c r="B193" s="156">
        <v>0.26124999999999998</v>
      </c>
      <c r="D193" s="105">
        <v>41827</v>
      </c>
      <c r="E193">
        <v>0.2341</v>
      </c>
      <c r="F193" s="105">
        <v>41827</v>
      </c>
      <c r="G193">
        <v>0.32829999999999998</v>
      </c>
      <c r="H193" s="105">
        <v>41150</v>
      </c>
      <c r="I193">
        <v>0.86880000000000002</v>
      </c>
      <c r="J193" s="105">
        <v>41827</v>
      </c>
      <c r="K193">
        <v>0.55620000000000003</v>
      </c>
    </row>
    <row r="194" spans="1:11">
      <c r="A194" s="105">
        <v>40553</v>
      </c>
      <c r="B194" s="156">
        <v>0.26124999999999998</v>
      </c>
      <c r="D194" s="105">
        <v>41824</v>
      </c>
      <c r="E194">
        <v>0.2331</v>
      </c>
      <c r="F194" s="105">
        <v>41824</v>
      </c>
      <c r="G194">
        <v>0.32719999999999999</v>
      </c>
      <c r="H194" s="105">
        <v>41149</v>
      </c>
      <c r="I194">
        <v>0.87129999999999996</v>
      </c>
      <c r="J194" s="105">
        <v>41824</v>
      </c>
      <c r="K194">
        <v>0.55320000000000003</v>
      </c>
    </row>
    <row r="195" spans="1:11">
      <c r="A195" s="105">
        <v>40554</v>
      </c>
      <c r="B195" s="156">
        <v>0.26124999999999998</v>
      </c>
      <c r="D195" s="105">
        <v>41823</v>
      </c>
      <c r="E195">
        <v>0.2321</v>
      </c>
      <c r="F195" s="105">
        <v>41823</v>
      </c>
      <c r="G195">
        <v>0.32669999999999999</v>
      </c>
      <c r="H195" s="105">
        <v>41145</v>
      </c>
      <c r="I195">
        <v>0.87229999999999996</v>
      </c>
      <c r="J195" s="105">
        <v>41823</v>
      </c>
      <c r="K195">
        <v>0.54669999999999996</v>
      </c>
    </row>
    <row r="196" spans="1:11">
      <c r="A196" s="105">
        <v>40555</v>
      </c>
      <c r="B196" s="156">
        <v>0.26124999999999998</v>
      </c>
      <c r="D196" s="105">
        <v>41822</v>
      </c>
      <c r="E196">
        <v>0.2346</v>
      </c>
      <c r="F196" s="105">
        <v>41822</v>
      </c>
      <c r="G196">
        <v>0.32790000000000002</v>
      </c>
      <c r="H196" s="105">
        <v>41144</v>
      </c>
      <c r="I196">
        <v>0.87429999999999997</v>
      </c>
      <c r="J196" s="105">
        <v>41822</v>
      </c>
      <c r="K196">
        <v>0.54669999999999996</v>
      </c>
    </row>
    <row r="197" spans="1:11">
      <c r="A197" s="105">
        <v>40556</v>
      </c>
      <c r="B197" s="156">
        <v>0.26124999999999998</v>
      </c>
      <c r="D197" s="105">
        <v>41821</v>
      </c>
      <c r="E197">
        <v>0.23180000000000001</v>
      </c>
      <c r="F197" s="105">
        <v>41821</v>
      </c>
      <c r="G197">
        <v>0.32790000000000002</v>
      </c>
      <c r="H197" s="105">
        <v>41143</v>
      </c>
      <c r="I197">
        <v>0.87729999999999997</v>
      </c>
      <c r="J197" s="105">
        <v>41821</v>
      </c>
      <c r="K197">
        <v>0.54620000000000002</v>
      </c>
    </row>
    <row r="198" spans="1:11">
      <c r="A198" s="105">
        <v>40557</v>
      </c>
      <c r="B198" s="156">
        <v>0.26124999999999998</v>
      </c>
      <c r="D198" s="105">
        <v>41820</v>
      </c>
      <c r="E198">
        <v>0.23069999999999999</v>
      </c>
      <c r="F198" s="105">
        <v>41820</v>
      </c>
      <c r="G198">
        <v>0.32679999999999998</v>
      </c>
      <c r="H198" s="105">
        <v>41142</v>
      </c>
      <c r="I198">
        <v>0.87929999999999997</v>
      </c>
      <c r="J198" s="105">
        <v>41820</v>
      </c>
      <c r="K198">
        <v>0.54510000000000003</v>
      </c>
    </row>
    <row r="199" spans="1:11">
      <c r="A199" s="105">
        <v>40560</v>
      </c>
      <c r="B199" s="156">
        <v>0.26124999999999998</v>
      </c>
      <c r="D199" s="105">
        <v>41817</v>
      </c>
      <c r="E199">
        <v>0.2346</v>
      </c>
      <c r="F199" s="105">
        <v>41817</v>
      </c>
      <c r="G199">
        <v>0.32679999999999998</v>
      </c>
      <c r="H199" s="105">
        <v>41141</v>
      </c>
      <c r="I199">
        <v>0.87980000000000003</v>
      </c>
      <c r="J199" s="105">
        <v>41817</v>
      </c>
      <c r="K199">
        <v>0.54510000000000003</v>
      </c>
    </row>
    <row r="200" spans="1:11">
      <c r="A200" s="105">
        <v>40561</v>
      </c>
      <c r="B200" s="156">
        <v>0.26062999999999997</v>
      </c>
      <c r="D200" s="105">
        <v>41816</v>
      </c>
      <c r="E200">
        <v>0.2341</v>
      </c>
      <c r="F200" s="105">
        <v>41816</v>
      </c>
      <c r="G200">
        <v>0.32615</v>
      </c>
      <c r="H200" s="105">
        <v>41138</v>
      </c>
      <c r="I200">
        <v>0.87980000000000003</v>
      </c>
      <c r="J200" s="105">
        <v>41816</v>
      </c>
      <c r="K200">
        <v>0.54610000000000003</v>
      </c>
    </row>
    <row r="201" spans="1:11">
      <c r="A201" s="105">
        <v>40562</v>
      </c>
      <c r="B201" s="156">
        <v>0.26</v>
      </c>
      <c r="D201" s="105">
        <v>41815</v>
      </c>
      <c r="E201">
        <v>0.23385</v>
      </c>
      <c r="F201" s="105">
        <v>41815</v>
      </c>
      <c r="G201">
        <v>0.32590000000000002</v>
      </c>
      <c r="H201" s="105">
        <v>41137</v>
      </c>
      <c r="I201">
        <v>0.87980000000000003</v>
      </c>
      <c r="J201" s="105">
        <v>41815</v>
      </c>
      <c r="K201">
        <v>0.54710000000000003</v>
      </c>
    </row>
    <row r="202" spans="1:11">
      <c r="A202" s="105">
        <v>40563</v>
      </c>
      <c r="B202" s="156">
        <v>0.26</v>
      </c>
      <c r="D202" s="105">
        <v>41814</v>
      </c>
      <c r="E202">
        <v>0.2336</v>
      </c>
      <c r="F202" s="105">
        <v>41814</v>
      </c>
      <c r="G202">
        <v>0.32629999999999998</v>
      </c>
      <c r="H202" s="105">
        <v>41136</v>
      </c>
      <c r="I202">
        <v>0.87929999999999997</v>
      </c>
      <c r="J202" s="105">
        <v>41814</v>
      </c>
      <c r="K202">
        <v>0.54710000000000003</v>
      </c>
    </row>
    <row r="203" spans="1:11">
      <c r="A203" s="105">
        <v>40564</v>
      </c>
      <c r="B203" s="156">
        <v>0.26</v>
      </c>
      <c r="D203" s="105">
        <v>41813</v>
      </c>
      <c r="E203">
        <v>0.2326</v>
      </c>
      <c r="F203" s="105">
        <v>41813</v>
      </c>
      <c r="G203">
        <v>0.32529999999999998</v>
      </c>
      <c r="H203" s="105">
        <v>41135</v>
      </c>
      <c r="I203">
        <v>0.87929999999999997</v>
      </c>
      <c r="J203" s="105">
        <v>41813</v>
      </c>
      <c r="K203">
        <v>0.54710000000000003</v>
      </c>
    </row>
    <row r="204" spans="1:11">
      <c r="A204" s="105">
        <v>40567</v>
      </c>
      <c r="B204" s="156">
        <v>0.26</v>
      </c>
      <c r="D204" s="105">
        <v>41810</v>
      </c>
      <c r="E204">
        <v>0.2306</v>
      </c>
      <c r="F204" s="105">
        <v>41810</v>
      </c>
      <c r="G204">
        <v>0.32340000000000002</v>
      </c>
      <c r="H204" s="105">
        <v>41134</v>
      </c>
      <c r="I204">
        <v>0.88129999999999997</v>
      </c>
      <c r="J204" s="105">
        <v>41810</v>
      </c>
      <c r="K204">
        <v>0.54710000000000003</v>
      </c>
    </row>
    <row r="205" spans="1:11">
      <c r="A205" s="105">
        <v>40568</v>
      </c>
      <c r="B205" s="156">
        <v>0.26</v>
      </c>
      <c r="D205" s="105">
        <v>41809</v>
      </c>
      <c r="E205">
        <v>0.2296</v>
      </c>
      <c r="F205" s="105">
        <v>41809</v>
      </c>
      <c r="G205">
        <v>0.32290000000000002</v>
      </c>
      <c r="H205" s="105">
        <v>41131</v>
      </c>
      <c r="I205">
        <v>0.88180000000000003</v>
      </c>
      <c r="J205" s="105">
        <v>41809</v>
      </c>
      <c r="K205">
        <v>0.54559999999999997</v>
      </c>
    </row>
    <row r="206" spans="1:11">
      <c r="A206" s="105">
        <v>40569</v>
      </c>
      <c r="B206" s="156">
        <v>0.26</v>
      </c>
      <c r="D206" s="105">
        <v>41808</v>
      </c>
      <c r="E206">
        <v>0.23100000000000001</v>
      </c>
      <c r="F206" s="105">
        <v>41808</v>
      </c>
      <c r="G206">
        <v>0.32540000000000002</v>
      </c>
      <c r="H206" s="105">
        <v>41130</v>
      </c>
      <c r="I206">
        <v>0.88329999999999997</v>
      </c>
      <c r="J206" s="105">
        <v>41808</v>
      </c>
      <c r="K206">
        <v>0.55059999999999998</v>
      </c>
    </row>
    <row r="207" spans="1:11">
      <c r="A207" s="105">
        <v>40570</v>
      </c>
      <c r="B207" s="156">
        <v>0.26</v>
      </c>
      <c r="D207" s="105">
        <v>41807</v>
      </c>
      <c r="E207">
        <v>0.23100000000000001</v>
      </c>
      <c r="F207" s="105">
        <v>41807</v>
      </c>
      <c r="G207">
        <v>0.32450000000000001</v>
      </c>
      <c r="H207" s="105">
        <v>41129</v>
      </c>
      <c r="I207">
        <v>0.88380000000000003</v>
      </c>
      <c r="J207" s="105">
        <v>41807</v>
      </c>
      <c r="K207">
        <v>0.55059999999999998</v>
      </c>
    </row>
    <row r="208" spans="1:11">
      <c r="A208" s="105">
        <v>40571</v>
      </c>
      <c r="B208" s="156">
        <v>0.26</v>
      </c>
      <c r="D208" s="105">
        <v>41806</v>
      </c>
      <c r="E208">
        <v>0.2306</v>
      </c>
      <c r="F208" s="105">
        <v>41806</v>
      </c>
      <c r="G208">
        <v>0.3261</v>
      </c>
      <c r="H208" s="105">
        <v>41128</v>
      </c>
      <c r="I208">
        <v>0.88580000000000003</v>
      </c>
      <c r="J208" s="105">
        <v>41806</v>
      </c>
      <c r="K208">
        <v>0.54659999999999997</v>
      </c>
    </row>
    <row r="209" spans="1:11">
      <c r="A209" s="105">
        <v>40574</v>
      </c>
      <c r="B209" s="156">
        <v>0.26</v>
      </c>
      <c r="D209" s="105">
        <v>41803</v>
      </c>
      <c r="E209">
        <v>0.2321</v>
      </c>
      <c r="F209" s="105">
        <v>41803</v>
      </c>
      <c r="G209">
        <v>0.32550000000000001</v>
      </c>
      <c r="H209" s="105">
        <v>41127</v>
      </c>
      <c r="I209">
        <v>0.88580000000000003</v>
      </c>
      <c r="J209" s="105">
        <v>41803</v>
      </c>
      <c r="K209">
        <v>0.54459999999999997</v>
      </c>
    </row>
    <row r="210" spans="1:11">
      <c r="A210" s="105">
        <v>40575</v>
      </c>
      <c r="B210" s="156">
        <v>0.26300000000000001</v>
      </c>
      <c r="D210" s="105">
        <v>41802</v>
      </c>
      <c r="E210">
        <v>0.2306</v>
      </c>
      <c r="F210" s="105">
        <v>41802</v>
      </c>
      <c r="G210">
        <v>0.32400000000000001</v>
      </c>
      <c r="H210" s="105">
        <v>41124</v>
      </c>
      <c r="I210">
        <v>0.88480000000000003</v>
      </c>
      <c r="J210" s="105">
        <v>41802</v>
      </c>
      <c r="K210">
        <v>0.54010000000000002</v>
      </c>
    </row>
    <row r="211" spans="1:11">
      <c r="A211" s="105">
        <v>40576</v>
      </c>
      <c r="B211" s="156">
        <v>0.26300000000000001</v>
      </c>
      <c r="D211" s="105">
        <v>41801</v>
      </c>
      <c r="E211">
        <v>0.2298</v>
      </c>
      <c r="F211" s="105">
        <v>41801</v>
      </c>
      <c r="G211">
        <v>0.32029999999999997</v>
      </c>
      <c r="H211" s="105">
        <v>41123</v>
      </c>
      <c r="I211">
        <v>0.88929999999999998</v>
      </c>
      <c r="J211" s="105">
        <v>41801</v>
      </c>
      <c r="K211">
        <v>0.53959999999999997</v>
      </c>
    </row>
    <row r="212" spans="1:11">
      <c r="A212" s="105">
        <v>40577</v>
      </c>
      <c r="B212" s="156">
        <v>0.26300000000000001</v>
      </c>
      <c r="D212" s="105">
        <v>41800</v>
      </c>
      <c r="E212">
        <v>0.2303</v>
      </c>
      <c r="F212" s="105">
        <v>41800</v>
      </c>
      <c r="G212">
        <v>0.32140000000000002</v>
      </c>
      <c r="H212" s="105">
        <v>41122</v>
      </c>
      <c r="I212">
        <v>0.88829999999999998</v>
      </c>
      <c r="J212" s="105">
        <v>41800</v>
      </c>
      <c r="K212">
        <v>0.53659999999999997</v>
      </c>
    </row>
    <row r="213" spans="1:11">
      <c r="A213" s="105">
        <v>40578</v>
      </c>
      <c r="B213" s="156">
        <v>0.26274999999999998</v>
      </c>
      <c r="D213" s="105">
        <v>41799</v>
      </c>
      <c r="E213">
        <v>0.23055</v>
      </c>
      <c r="F213" s="105">
        <v>41799</v>
      </c>
      <c r="G213">
        <v>0.32140000000000002</v>
      </c>
      <c r="H213" s="105">
        <v>41121</v>
      </c>
      <c r="I213">
        <v>0.89180000000000004</v>
      </c>
      <c r="J213" s="105">
        <v>41799</v>
      </c>
      <c r="K213">
        <v>0.53510000000000002</v>
      </c>
    </row>
    <row r="214" spans="1:11">
      <c r="A214" s="105">
        <v>40581</v>
      </c>
      <c r="B214" s="156">
        <v>0.26374999999999998</v>
      </c>
      <c r="D214" s="105">
        <v>41796</v>
      </c>
      <c r="E214">
        <v>0.2296</v>
      </c>
      <c r="F214" s="105">
        <v>41796</v>
      </c>
      <c r="G214">
        <v>0.32140000000000002</v>
      </c>
      <c r="H214" s="105">
        <v>41120</v>
      </c>
      <c r="I214">
        <v>0.89724999999999999</v>
      </c>
      <c r="J214" s="105">
        <v>41796</v>
      </c>
      <c r="K214">
        <v>0.53349999999999997</v>
      </c>
    </row>
    <row r="215" spans="1:11">
      <c r="A215" s="105">
        <v>40582</v>
      </c>
      <c r="B215" s="156">
        <v>0.26400000000000001</v>
      </c>
      <c r="D215" s="105">
        <v>41795</v>
      </c>
      <c r="E215">
        <v>0.2306</v>
      </c>
      <c r="F215" s="105">
        <v>41795</v>
      </c>
      <c r="G215">
        <v>0.32240000000000002</v>
      </c>
      <c r="H215" s="105">
        <v>41117</v>
      </c>
      <c r="I215">
        <v>0.89924999999999999</v>
      </c>
      <c r="J215" s="105">
        <v>41795</v>
      </c>
      <c r="K215">
        <v>0.53449999999999998</v>
      </c>
    </row>
    <row r="216" spans="1:11">
      <c r="A216" s="105">
        <v>40583</v>
      </c>
      <c r="B216" s="156">
        <v>0.26400000000000001</v>
      </c>
      <c r="D216" s="105">
        <v>41794</v>
      </c>
      <c r="E216">
        <v>0.22950000000000001</v>
      </c>
      <c r="F216" s="105">
        <v>41794</v>
      </c>
      <c r="G216">
        <v>0.32190000000000002</v>
      </c>
      <c r="H216" s="105">
        <v>41116</v>
      </c>
      <c r="I216">
        <v>0.89924999999999999</v>
      </c>
      <c r="J216" s="105">
        <v>41794</v>
      </c>
      <c r="K216">
        <v>0.53400000000000003</v>
      </c>
    </row>
    <row r="217" spans="1:11">
      <c r="A217" s="105">
        <v>40584</v>
      </c>
      <c r="B217" s="156">
        <v>0.26400000000000001</v>
      </c>
      <c r="D217" s="105">
        <v>41793</v>
      </c>
      <c r="E217">
        <v>0.22739999999999999</v>
      </c>
      <c r="F217" s="105">
        <v>41793</v>
      </c>
      <c r="G217">
        <v>0.32190000000000002</v>
      </c>
      <c r="H217" s="105">
        <v>41115</v>
      </c>
      <c r="I217">
        <v>0.90024999999999999</v>
      </c>
      <c r="J217" s="105">
        <v>41793</v>
      </c>
      <c r="K217">
        <v>0.53500000000000003</v>
      </c>
    </row>
    <row r="218" spans="1:11">
      <c r="A218" s="105">
        <v>40585</v>
      </c>
      <c r="B218" s="156">
        <v>0.26574999999999999</v>
      </c>
      <c r="D218" s="105">
        <v>41792</v>
      </c>
      <c r="E218">
        <v>0.22714999999999999</v>
      </c>
      <c r="F218" s="105">
        <v>41792</v>
      </c>
      <c r="G218">
        <v>0.32190000000000002</v>
      </c>
      <c r="H218" s="105">
        <v>41114</v>
      </c>
      <c r="I218">
        <v>0.90024999999999999</v>
      </c>
      <c r="J218" s="105">
        <v>41792</v>
      </c>
      <c r="K218">
        <v>0.53449999999999998</v>
      </c>
    </row>
    <row r="219" spans="1:11">
      <c r="A219" s="105">
        <v>40588</v>
      </c>
      <c r="B219" s="156">
        <v>0.26474999999999999</v>
      </c>
      <c r="D219" s="105">
        <v>41789</v>
      </c>
      <c r="E219">
        <v>0.22739999999999999</v>
      </c>
      <c r="F219" s="105">
        <v>41789</v>
      </c>
      <c r="G219">
        <v>0.32190000000000002</v>
      </c>
      <c r="H219" s="105">
        <v>41113</v>
      </c>
      <c r="I219">
        <v>0.90225</v>
      </c>
      <c r="J219" s="105">
        <v>41789</v>
      </c>
      <c r="K219">
        <v>0.53439999999999999</v>
      </c>
    </row>
    <row r="220" spans="1:11">
      <c r="A220" s="105">
        <v>40589</v>
      </c>
      <c r="B220" s="156">
        <v>0.26400000000000001</v>
      </c>
      <c r="D220" s="105">
        <v>41788</v>
      </c>
      <c r="E220">
        <v>0.22735</v>
      </c>
      <c r="F220" s="105">
        <v>41788</v>
      </c>
      <c r="G220">
        <v>0.32190000000000002</v>
      </c>
      <c r="H220" s="105">
        <v>41110</v>
      </c>
      <c r="I220">
        <v>0.90325</v>
      </c>
      <c r="J220" s="105">
        <v>41788</v>
      </c>
      <c r="K220">
        <v>0.53439999999999999</v>
      </c>
    </row>
    <row r="221" spans="1:11">
      <c r="A221" s="105">
        <v>40590</v>
      </c>
      <c r="B221" s="156">
        <v>0.26300000000000001</v>
      </c>
      <c r="D221" s="105">
        <v>41787</v>
      </c>
      <c r="E221">
        <v>0.2276</v>
      </c>
      <c r="F221" s="105">
        <v>41787</v>
      </c>
      <c r="G221">
        <v>0.32190000000000002</v>
      </c>
      <c r="H221" s="105">
        <v>41109</v>
      </c>
      <c r="I221">
        <v>0.90375000000000005</v>
      </c>
      <c r="J221" s="105">
        <v>41787</v>
      </c>
      <c r="K221">
        <v>0.53539999999999999</v>
      </c>
    </row>
    <row r="222" spans="1:11">
      <c r="A222" s="105">
        <v>40591</v>
      </c>
      <c r="B222" s="156">
        <v>0.26300000000000001</v>
      </c>
      <c r="D222" s="105">
        <v>41786</v>
      </c>
      <c r="E222">
        <v>0.22985</v>
      </c>
      <c r="F222" s="105">
        <v>41786</v>
      </c>
      <c r="G222">
        <v>0.32390000000000002</v>
      </c>
      <c r="H222" s="105">
        <v>41108</v>
      </c>
      <c r="I222">
        <v>0.90575000000000006</v>
      </c>
      <c r="J222" s="105">
        <v>41786</v>
      </c>
      <c r="K222">
        <v>0.53539999999999999</v>
      </c>
    </row>
    <row r="223" spans="1:11">
      <c r="A223" s="105">
        <v>40592</v>
      </c>
      <c r="B223" s="156">
        <v>0.26200000000000001</v>
      </c>
      <c r="D223" s="105">
        <v>41782</v>
      </c>
      <c r="E223">
        <v>0.22935</v>
      </c>
      <c r="F223" s="105">
        <v>41782</v>
      </c>
      <c r="G223">
        <v>0.32390000000000002</v>
      </c>
      <c r="H223" s="105">
        <v>41107</v>
      </c>
      <c r="I223">
        <v>0.90575000000000006</v>
      </c>
      <c r="J223" s="105">
        <v>41782</v>
      </c>
      <c r="K223">
        <v>0.53539999999999999</v>
      </c>
    </row>
    <row r="224" spans="1:11">
      <c r="A224" s="105">
        <v>40595</v>
      </c>
      <c r="B224" s="156">
        <v>0.26200000000000001</v>
      </c>
      <c r="D224" s="105">
        <v>41781</v>
      </c>
      <c r="E224">
        <v>0.22714999999999999</v>
      </c>
      <c r="F224" s="105">
        <v>41781</v>
      </c>
      <c r="G224">
        <v>0.32219999999999999</v>
      </c>
      <c r="H224" s="105">
        <v>41106</v>
      </c>
      <c r="I224">
        <v>0.90575000000000006</v>
      </c>
      <c r="J224" s="105">
        <v>41781</v>
      </c>
      <c r="K224">
        <v>0.53410000000000002</v>
      </c>
    </row>
    <row r="225" spans="1:11">
      <c r="A225" s="105">
        <v>40596</v>
      </c>
      <c r="B225" s="156">
        <v>0.26150000000000001</v>
      </c>
      <c r="D225" s="105">
        <v>41780</v>
      </c>
      <c r="E225">
        <v>0.22735</v>
      </c>
      <c r="F225" s="105">
        <v>41780</v>
      </c>
      <c r="G225">
        <v>0.32340000000000002</v>
      </c>
      <c r="H225" s="105">
        <v>41103</v>
      </c>
      <c r="I225">
        <v>0.90575000000000006</v>
      </c>
      <c r="J225" s="105">
        <v>41780</v>
      </c>
      <c r="K225">
        <v>0.53359999999999996</v>
      </c>
    </row>
    <row r="226" spans="1:11">
      <c r="A226" s="105">
        <v>40597</v>
      </c>
      <c r="B226" s="156">
        <v>0.26150000000000001</v>
      </c>
      <c r="D226" s="105">
        <v>41779</v>
      </c>
      <c r="E226">
        <v>0.2281</v>
      </c>
      <c r="F226" s="105">
        <v>41779</v>
      </c>
      <c r="G226">
        <v>0.32529999999999998</v>
      </c>
      <c r="H226" s="105">
        <v>41102</v>
      </c>
      <c r="I226">
        <v>0.90674999999999994</v>
      </c>
      <c r="J226" s="105">
        <v>41779</v>
      </c>
      <c r="K226">
        <v>0.53459999999999996</v>
      </c>
    </row>
    <row r="227" spans="1:11">
      <c r="A227" s="105">
        <v>40598</v>
      </c>
      <c r="B227" s="156">
        <v>0.26150000000000001</v>
      </c>
      <c r="D227" s="105">
        <v>41778</v>
      </c>
      <c r="E227">
        <v>0.22695000000000001</v>
      </c>
      <c r="F227" s="105">
        <v>41778</v>
      </c>
      <c r="G227">
        <v>0.32290000000000002</v>
      </c>
      <c r="H227" s="105">
        <v>41101</v>
      </c>
      <c r="I227">
        <v>0.90774999999999995</v>
      </c>
      <c r="J227" s="105">
        <v>41778</v>
      </c>
      <c r="K227">
        <v>0.53459999999999996</v>
      </c>
    </row>
    <row r="228" spans="1:11">
      <c r="A228" s="105">
        <v>40599</v>
      </c>
      <c r="B228" s="156">
        <v>0.26100000000000001</v>
      </c>
      <c r="D228" s="105">
        <v>41775</v>
      </c>
      <c r="E228">
        <v>0.2286</v>
      </c>
      <c r="F228" s="105">
        <v>41775</v>
      </c>
      <c r="G228">
        <v>0.32529999999999998</v>
      </c>
      <c r="H228" s="105">
        <v>41100</v>
      </c>
      <c r="I228">
        <v>0.90774999999999995</v>
      </c>
      <c r="J228" s="105">
        <v>41775</v>
      </c>
      <c r="K228">
        <v>0.53459999999999996</v>
      </c>
    </row>
    <row r="229" spans="1:11">
      <c r="A229" s="105">
        <v>40602</v>
      </c>
      <c r="B229" s="156">
        <v>0.26100000000000001</v>
      </c>
      <c r="D229" s="105">
        <v>41774</v>
      </c>
      <c r="E229">
        <v>0.22585</v>
      </c>
      <c r="F229" s="105">
        <v>41774</v>
      </c>
      <c r="G229">
        <v>0.32390000000000002</v>
      </c>
      <c r="H229" s="105">
        <v>41099</v>
      </c>
      <c r="I229">
        <v>0.90774999999999995</v>
      </c>
      <c r="J229" s="105">
        <v>41774</v>
      </c>
      <c r="K229">
        <v>0.53459999999999996</v>
      </c>
    </row>
    <row r="230" spans="1:11">
      <c r="A230" s="105">
        <v>40603</v>
      </c>
      <c r="B230" s="156">
        <v>0.26100000000000001</v>
      </c>
      <c r="D230" s="105">
        <v>41773</v>
      </c>
      <c r="E230">
        <v>0.22534999999999999</v>
      </c>
      <c r="F230" s="105">
        <v>41773</v>
      </c>
      <c r="G230">
        <v>0.32390000000000002</v>
      </c>
      <c r="H230" s="105">
        <v>41096</v>
      </c>
      <c r="I230">
        <v>0.90774999999999995</v>
      </c>
      <c r="J230" s="105">
        <v>41773</v>
      </c>
      <c r="K230">
        <v>0.53710000000000002</v>
      </c>
    </row>
    <row r="231" spans="1:11">
      <c r="A231" s="105">
        <v>40604</v>
      </c>
      <c r="B231" s="156">
        <v>0.26</v>
      </c>
      <c r="D231" s="105">
        <v>41772</v>
      </c>
      <c r="E231">
        <v>0.22384999999999999</v>
      </c>
      <c r="F231" s="105">
        <v>41772</v>
      </c>
      <c r="G231">
        <v>0.32290000000000002</v>
      </c>
      <c r="H231" s="105">
        <v>41095</v>
      </c>
      <c r="I231">
        <v>0.90774999999999995</v>
      </c>
      <c r="J231" s="105">
        <v>41772</v>
      </c>
      <c r="K231">
        <v>0.53920000000000001</v>
      </c>
    </row>
    <row r="232" spans="1:11">
      <c r="A232" s="105">
        <v>40605</v>
      </c>
      <c r="B232" s="156">
        <v>0.26</v>
      </c>
      <c r="D232" s="105">
        <v>41771</v>
      </c>
      <c r="E232">
        <v>0.22509999999999999</v>
      </c>
      <c r="F232" s="105">
        <v>41771</v>
      </c>
      <c r="G232">
        <v>0.32240000000000002</v>
      </c>
      <c r="H232" s="105">
        <v>41094</v>
      </c>
      <c r="I232">
        <v>0.90774999999999995</v>
      </c>
      <c r="J232" s="105">
        <v>41771</v>
      </c>
      <c r="K232">
        <v>0.53769999999999996</v>
      </c>
    </row>
    <row r="233" spans="1:11">
      <c r="A233" s="105">
        <v>40606</v>
      </c>
      <c r="B233" s="156">
        <v>0.26</v>
      </c>
      <c r="D233" s="105">
        <v>41768</v>
      </c>
      <c r="E233">
        <v>0.22409999999999999</v>
      </c>
      <c r="F233" s="105">
        <v>41768</v>
      </c>
      <c r="G233">
        <v>0.32240000000000002</v>
      </c>
      <c r="H233" s="105">
        <v>41093</v>
      </c>
      <c r="I233">
        <v>0.90749999999999997</v>
      </c>
      <c r="J233" s="105">
        <v>41768</v>
      </c>
      <c r="K233">
        <v>0.54020000000000001</v>
      </c>
    </row>
    <row r="234" spans="1:11">
      <c r="A234" s="105">
        <v>40609</v>
      </c>
      <c r="B234" s="156">
        <v>0.25900000000000001</v>
      </c>
      <c r="D234" s="105">
        <v>41767</v>
      </c>
      <c r="E234">
        <v>0.22334999999999999</v>
      </c>
      <c r="F234" s="105">
        <v>41767</v>
      </c>
      <c r="G234">
        <v>0.32340000000000002</v>
      </c>
      <c r="H234" s="105">
        <v>41092</v>
      </c>
      <c r="I234">
        <v>0.90774999999999995</v>
      </c>
      <c r="J234" s="105">
        <v>41767</v>
      </c>
      <c r="K234">
        <v>0.54210000000000003</v>
      </c>
    </row>
    <row r="235" spans="1:11">
      <c r="A235" s="105">
        <v>40610</v>
      </c>
      <c r="B235" s="156">
        <v>0.25800000000000001</v>
      </c>
      <c r="D235" s="105">
        <v>41766</v>
      </c>
      <c r="E235">
        <v>0.22395000000000001</v>
      </c>
      <c r="F235" s="105">
        <v>41766</v>
      </c>
      <c r="G235">
        <v>0.32350000000000001</v>
      </c>
      <c r="H235" s="105">
        <v>41089</v>
      </c>
      <c r="I235">
        <v>0.90725</v>
      </c>
      <c r="J235" s="105">
        <v>41766</v>
      </c>
      <c r="K235">
        <v>0.54359999999999997</v>
      </c>
    </row>
    <row r="236" spans="1:11">
      <c r="A236" s="105">
        <v>40611</v>
      </c>
      <c r="B236" s="156">
        <v>0.25800000000000001</v>
      </c>
      <c r="D236" s="105">
        <v>41765</v>
      </c>
      <c r="E236">
        <v>0.22484999999999999</v>
      </c>
      <c r="F236" s="105">
        <v>41765</v>
      </c>
      <c r="G236">
        <v>0.32290000000000002</v>
      </c>
      <c r="H236" s="105">
        <v>41088</v>
      </c>
      <c r="I236">
        <v>0.90625</v>
      </c>
      <c r="J236" s="105">
        <v>41765</v>
      </c>
      <c r="K236">
        <v>0.54359999999999997</v>
      </c>
    </row>
    <row r="237" spans="1:11">
      <c r="A237" s="105">
        <v>40612</v>
      </c>
      <c r="B237" s="156">
        <v>0.2555</v>
      </c>
      <c r="D237" s="105">
        <v>41761</v>
      </c>
      <c r="E237">
        <v>0.22284999999999999</v>
      </c>
      <c r="F237" s="105">
        <v>41761</v>
      </c>
      <c r="G237">
        <v>0.32250000000000001</v>
      </c>
      <c r="H237" s="105">
        <v>41087</v>
      </c>
      <c r="I237">
        <v>0.90575000000000006</v>
      </c>
      <c r="J237" s="105">
        <v>41761</v>
      </c>
      <c r="K237">
        <v>0.54700000000000004</v>
      </c>
    </row>
    <row r="238" spans="1:11">
      <c r="A238" s="105">
        <v>40613</v>
      </c>
      <c r="B238" s="156">
        <v>0.255</v>
      </c>
      <c r="D238" s="105">
        <v>41760</v>
      </c>
      <c r="E238">
        <v>0.22284999999999999</v>
      </c>
      <c r="F238" s="105">
        <v>41760</v>
      </c>
      <c r="G238">
        <v>0.32200000000000001</v>
      </c>
      <c r="H238" s="105">
        <v>41086</v>
      </c>
      <c r="I238">
        <v>0.90475000000000005</v>
      </c>
      <c r="J238" s="105">
        <v>41760</v>
      </c>
      <c r="K238">
        <v>0.54749999999999999</v>
      </c>
    </row>
    <row r="239" spans="1:11">
      <c r="A239" s="105">
        <v>40616</v>
      </c>
      <c r="B239" s="156">
        <v>0.2535</v>
      </c>
      <c r="D239" s="105">
        <v>41759</v>
      </c>
      <c r="E239">
        <v>0.22334999999999999</v>
      </c>
      <c r="F239" s="105">
        <v>41759</v>
      </c>
      <c r="G239">
        <v>0.32250000000000001</v>
      </c>
      <c r="H239" s="105">
        <v>41085</v>
      </c>
      <c r="I239">
        <v>0.90375000000000005</v>
      </c>
      <c r="J239" s="105">
        <v>41759</v>
      </c>
      <c r="K239">
        <v>0.54900000000000004</v>
      </c>
    </row>
    <row r="240" spans="1:11">
      <c r="A240" s="105">
        <v>40617</v>
      </c>
      <c r="B240" s="156">
        <v>0.2535</v>
      </c>
      <c r="D240" s="105">
        <v>41758</v>
      </c>
      <c r="E240">
        <v>0.22534999999999999</v>
      </c>
      <c r="F240" s="105">
        <v>41758</v>
      </c>
      <c r="G240">
        <v>0.32300000000000001</v>
      </c>
      <c r="H240" s="105">
        <v>41082</v>
      </c>
      <c r="I240">
        <v>0.90425</v>
      </c>
      <c r="J240" s="105">
        <v>41758</v>
      </c>
      <c r="K240">
        <v>0.54900000000000004</v>
      </c>
    </row>
    <row r="241" spans="1:11">
      <c r="A241" s="105">
        <v>40618</v>
      </c>
      <c r="B241" s="156">
        <v>0.2535</v>
      </c>
      <c r="D241" s="105">
        <v>41757</v>
      </c>
      <c r="E241">
        <v>0.22484999999999999</v>
      </c>
      <c r="F241" s="105">
        <v>41757</v>
      </c>
      <c r="G241">
        <v>0.32640000000000002</v>
      </c>
      <c r="H241" s="105">
        <v>41081</v>
      </c>
      <c r="I241">
        <v>0.90654999999999997</v>
      </c>
      <c r="J241" s="105">
        <v>41757</v>
      </c>
      <c r="K241">
        <v>0.54949999999999999</v>
      </c>
    </row>
    <row r="242" spans="1:11">
      <c r="A242" s="105">
        <v>40619</v>
      </c>
      <c r="B242" s="156">
        <v>0.2535</v>
      </c>
      <c r="D242" s="105">
        <v>41754</v>
      </c>
      <c r="E242">
        <v>0.2266</v>
      </c>
      <c r="F242" s="105">
        <v>41754</v>
      </c>
      <c r="G242">
        <v>0.32300000000000001</v>
      </c>
      <c r="H242" s="105">
        <v>41080</v>
      </c>
      <c r="I242">
        <v>0.90654999999999997</v>
      </c>
      <c r="J242" s="105">
        <v>41754</v>
      </c>
      <c r="K242">
        <v>0.54949999999999999</v>
      </c>
    </row>
    <row r="243" spans="1:11">
      <c r="A243" s="105">
        <v>40620</v>
      </c>
      <c r="B243" s="156">
        <v>0.2535</v>
      </c>
      <c r="D243" s="105">
        <v>41753</v>
      </c>
      <c r="E243">
        <v>0.22785</v>
      </c>
      <c r="F243" s="105">
        <v>41753</v>
      </c>
      <c r="G243">
        <v>0.32350000000000001</v>
      </c>
      <c r="H243" s="105">
        <v>41079</v>
      </c>
      <c r="I243">
        <v>0.90754999999999997</v>
      </c>
      <c r="J243" s="105">
        <v>41753</v>
      </c>
      <c r="K243">
        <v>0.54949999999999999</v>
      </c>
    </row>
    <row r="244" spans="1:11">
      <c r="A244" s="105">
        <v>40623</v>
      </c>
      <c r="B244" s="156">
        <v>0.2525</v>
      </c>
      <c r="D244" s="105">
        <v>41752</v>
      </c>
      <c r="E244">
        <v>0.22875000000000001</v>
      </c>
      <c r="F244" s="105">
        <v>41752</v>
      </c>
      <c r="G244">
        <v>0.32279999999999998</v>
      </c>
      <c r="H244" s="105">
        <v>41078</v>
      </c>
      <c r="I244">
        <v>0.90705000000000002</v>
      </c>
      <c r="J244" s="105">
        <v>41752</v>
      </c>
      <c r="K244">
        <v>0.54830000000000001</v>
      </c>
    </row>
    <row r="245" spans="1:11">
      <c r="A245" s="105">
        <v>40624</v>
      </c>
      <c r="B245" s="156">
        <v>0.252</v>
      </c>
      <c r="D245" s="105">
        <v>41751</v>
      </c>
      <c r="E245">
        <v>0.2286</v>
      </c>
      <c r="F245" s="105">
        <v>41751</v>
      </c>
      <c r="G245">
        <v>0.3221</v>
      </c>
      <c r="H245" s="105">
        <v>41075</v>
      </c>
      <c r="I245">
        <v>0.90754999999999997</v>
      </c>
      <c r="J245" s="105">
        <v>41751</v>
      </c>
      <c r="K245">
        <v>0.54830000000000001</v>
      </c>
    </row>
    <row r="246" spans="1:11">
      <c r="A246" s="105">
        <v>40625</v>
      </c>
      <c r="B246" s="156">
        <v>0.2495</v>
      </c>
      <c r="D246" s="105">
        <v>41746</v>
      </c>
      <c r="E246">
        <v>0.22585</v>
      </c>
      <c r="F246" s="105">
        <v>41746</v>
      </c>
      <c r="G246">
        <v>0.31979999999999997</v>
      </c>
      <c r="H246" s="105">
        <v>41074</v>
      </c>
      <c r="I246">
        <v>0.91005000000000003</v>
      </c>
      <c r="J246" s="105">
        <v>41746</v>
      </c>
      <c r="K246">
        <v>0.54649999999999999</v>
      </c>
    </row>
    <row r="247" spans="1:11">
      <c r="A247" s="105">
        <v>40626</v>
      </c>
      <c r="B247" s="156">
        <v>0.24825</v>
      </c>
      <c r="D247" s="105">
        <v>41745</v>
      </c>
      <c r="E247">
        <v>0.22785</v>
      </c>
      <c r="F247" s="105">
        <v>41745</v>
      </c>
      <c r="G247">
        <v>0.32090000000000002</v>
      </c>
      <c r="H247" s="105">
        <v>41073</v>
      </c>
      <c r="I247">
        <v>0.90954999999999997</v>
      </c>
      <c r="J247" s="105">
        <v>41745</v>
      </c>
      <c r="K247">
        <v>0.54649999999999999</v>
      </c>
    </row>
    <row r="248" spans="1:11">
      <c r="A248" s="105">
        <v>40627</v>
      </c>
      <c r="B248" s="156">
        <v>0.24825</v>
      </c>
      <c r="D248" s="105">
        <v>41744</v>
      </c>
      <c r="E248">
        <v>0.22635</v>
      </c>
      <c r="F248" s="105">
        <v>41744</v>
      </c>
      <c r="G248">
        <v>0.32090000000000002</v>
      </c>
      <c r="H248" s="105">
        <v>41072</v>
      </c>
      <c r="I248">
        <v>0.90954999999999997</v>
      </c>
      <c r="J248" s="105">
        <v>41744</v>
      </c>
      <c r="K248">
        <v>0.54549999999999998</v>
      </c>
    </row>
    <row r="249" spans="1:11">
      <c r="A249" s="105">
        <v>40630</v>
      </c>
      <c r="B249" s="156">
        <v>0.24765000000000001</v>
      </c>
      <c r="D249" s="105">
        <v>41743</v>
      </c>
      <c r="E249">
        <v>0.22864999999999999</v>
      </c>
      <c r="F249" s="105">
        <v>41743</v>
      </c>
      <c r="G249">
        <v>0.32269999999999999</v>
      </c>
      <c r="H249" s="105">
        <v>41071</v>
      </c>
      <c r="I249">
        <v>0.90905000000000002</v>
      </c>
      <c r="J249" s="105">
        <v>41743</v>
      </c>
      <c r="K249">
        <v>0.54649999999999999</v>
      </c>
    </row>
    <row r="250" spans="1:11">
      <c r="A250" s="105">
        <v>40631</v>
      </c>
      <c r="B250" s="156">
        <v>0.24615000000000001</v>
      </c>
      <c r="D250" s="105">
        <v>41740</v>
      </c>
      <c r="E250">
        <v>0.22645000000000001</v>
      </c>
      <c r="F250" s="105">
        <v>41740</v>
      </c>
      <c r="G250">
        <v>0.32200000000000001</v>
      </c>
      <c r="H250" s="105">
        <v>41068</v>
      </c>
      <c r="I250">
        <v>0.90905000000000002</v>
      </c>
      <c r="J250" s="105">
        <v>41740</v>
      </c>
      <c r="K250">
        <v>0.54600000000000004</v>
      </c>
    </row>
    <row r="251" spans="1:11">
      <c r="A251" s="105">
        <v>40632</v>
      </c>
      <c r="B251" s="156">
        <v>0.24379999999999999</v>
      </c>
      <c r="D251" s="105">
        <v>41739</v>
      </c>
      <c r="E251">
        <v>0.22705</v>
      </c>
      <c r="F251" s="105">
        <v>41739</v>
      </c>
      <c r="G251">
        <v>0.32400000000000001</v>
      </c>
      <c r="H251" s="105">
        <v>41067</v>
      </c>
      <c r="I251">
        <v>0.90854999999999997</v>
      </c>
      <c r="J251" s="105">
        <v>41739</v>
      </c>
      <c r="K251">
        <v>0.54849999999999999</v>
      </c>
    </row>
    <row r="252" spans="1:11">
      <c r="A252" s="105">
        <v>40633</v>
      </c>
      <c r="B252" s="156">
        <v>0.24345</v>
      </c>
      <c r="D252" s="105">
        <v>41738</v>
      </c>
      <c r="E252">
        <v>0.22755</v>
      </c>
      <c r="F252" s="105">
        <v>41738</v>
      </c>
      <c r="G252">
        <v>0.32650000000000001</v>
      </c>
      <c r="H252" s="105">
        <v>41066</v>
      </c>
      <c r="I252">
        <v>0.90954999999999997</v>
      </c>
      <c r="J252" s="105">
        <v>41738</v>
      </c>
      <c r="K252">
        <v>0.55300000000000005</v>
      </c>
    </row>
    <row r="253" spans="1:11">
      <c r="A253" s="105">
        <v>40634</v>
      </c>
      <c r="B253" s="156">
        <v>0.24295</v>
      </c>
      <c r="D253" s="105">
        <v>41737</v>
      </c>
      <c r="E253">
        <v>0.2273</v>
      </c>
      <c r="F253" s="105">
        <v>41737</v>
      </c>
      <c r="G253">
        <v>0.32650000000000001</v>
      </c>
      <c r="H253" s="105">
        <v>41061</v>
      </c>
      <c r="I253">
        <v>0.90954999999999997</v>
      </c>
      <c r="J253" s="105">
        <v>41737</v>
      </c>
      <c r="K253">
        <v>0.55300000000000005</v>
      </c>
    </row>
    <row r="254" spans="1:11">
      <c r="A254" s="105">
        <v>40637</v>
      </c>
      <c r="B254" s="156">
        <v>0.2399</v>
      </c>
      <c r="D254" s="105">
        <v>41736</v>
      </c>
      <c r="E254">
        <v>0.22935</v>
      </c>
      <c r="F254" s="105">
        <v>41736</v>
      </c>
      <c r="G254">
        <v>0.32650000000000001</v>
      </c>
      <c r="H254" s="105">
        <v>41060</v>
      </c>
      <c r="I254">
        <v>0.90805000000000002</v>
      </c>
      <c r="J254" s="105">
        <v>41736</v>
      </c>
      <c r="K254">
        <v>0.55210000000000004</v>
      </c>
    </row>
    <row r="255" spans="1:11">
      <c r="A255" s="105">
        <v>40638</v>
      </c>
      <c r="B255" s="156">
        <v>0.23549999999999999</v>
      </c>
      <c r="D255" s="105">
        <v>41733</v>
      </c>
      <c r="E255">
        <v>0.2296</v>
      </c>
      <c r="F255" s="105">
        <v>41733</v>
      </c>
      <c r="G255">
        <v>0.32750000000000001</v>
      </c>
      <c r="H255" s="105">
        <v>41059</v>
      </c>
      <c r="I255">
        <v>0.90805000000000002</v>
      </c>
      <c r="J255" s="105">
        <v>41733</v>
      </c>
      <c r="K255">
        <v>0.55559999999999998</v>
      </c>
    </row>
    <row r="256" spans="1:11">
      <c r="A256" s="105">
        <v>40639</v>
      </c>
      <c r="B256" s="156">
        <v>0.23350000000000001</v>
      </c>
      <c r="D256" s="105">
        <v>41732</v>
      </c>
      <c r="E256">
        <v>0.23035</v>
      </c>
      <c r="F256" s="105">
        <v>41732</v>
      </c>
      <c r="G256">
        <v>0.32800000000000001</v>
      </c>
      <c r="H256" s="105">
        <v>41058</v>
      </c>
      <c r="I256">
        <v>0.90805000000000002</v>
      </c>
      <c r="J256" s="105">
        <v>41732</v>
      </c>
      <c r="K256">
        <v>0.55510000000000004</v>
      </c>
    </row>
    <row r="257" spans="1:11">
      <c r="A257" s="105">
        <v>40640</v>
      </c>
      <c r="B257" s="156">
        <v>0.23138</v>
      </c>
      <c r="D257" s="105">
        <v>41731</v>
      </c>
      <c r="E257">
        <v>0.2301</v>
      </c>
      <c r="F257" s="105">
        <v>41731</v>
      </c>
      <c r="G257">
        <v>0.32800000000000001</v>
      </c>
      <c r="H257" s="105">
        <v>41057</v>
      </c>
      <c r="I257">
        <v>0.90805000000000002</v>
      </c>
      <c r="J257" s="105">
        <v>41731</v>
      </c>
      <c r="K257">
        <v>0.55510000000000004</v>
      </c>
    </row>
    <row r="258" spans="1:11">
      <c r="A258" s="105">
        <v>40641</v>
      </c>
      <c r="B258" s="156">
        <v>0.22650000000000001</v>
      </c>
      <c r="D258" s="105">
        <v>41730</v>
      </c>
      <c r="E258">
        <v>0.2281</v>
      </c>
      <c r="F258" s="105">
        <v>41730</v>
      </c>
      <c r="G258">
        <v>0.32790000000000002</v>
      </c>
      <c r="H258" s="105">
        <v>41054</v>
      </c>
      <c r="I258">
        <v>0.90805000000000002</v>
      </c>
      <c r="J258" s="105">
        <v>41730</v>
      </c>
      <c r="K258">
        <v>0.55359999999999998</v>
      </c>
    </row>
    <row r="259" spans="1:11">
      <c r="A259" s="105">
        <v>40644</v>
      </c>
      <c r="B259" s="156">
        <v>0.2238</v>
      </c>
      <c r="D259" s="105">
        <v>41729</v>
      </c>
      <c r="E259">
        <v>0.2306</v>
      </c>
      <c r="F259" s="105">
        <v>41729</v>
      </c>
      <c r="G259">
        <v>0.32890000000000003</v>
      </c>
      <c r="H259" s="105">
        <v>41053</v>
      </c>
      <c r="I259">
        <v>0.90805000000000002</v>
      </c>
      <c r="J259" s="105">
        <v>41729</v>
      </c>
      <c r="K259">
        <v>0.55810000000000004</v>
      </c>
    </row>
    <row r="260" spans="1:11">
      <c r="A260" s="105">
        <v>40645</v>
      </c>
      <c r="B260" s="156">
        <v>0.22109999999999999</v>
      </c>
      <c r="D260" s="105">
        <v>41726</v>
      </c>
      <c r="E260">
        <v>0.23335</v>
      </c>
      <c r="F260" s="105">
        <v>41726</v>
      </c>
      <c r="G260">
        <v>0.32890000000000003</v>
      </c>
      <c r="H260" s="105">
        <v>41052</v>
      </c>
      <c r="I260">
        <v>0.90805000000000002</v>
      </c>
      <c r="J260" s="105">
        <v>41726</v>
      </c>
      <c r="K260">
        <v>0.55859999999999999</v>
      </c>
    </row>
    <row r="261" spans="1:11">
      <c r="A261" s="105">
        <v>40646</v>
      </c>
      <c r="B261" s="156">
        <v>0.21875</v>
      </c>
      <c r="D261" s="105">
        <v>41725</v>
      </c>
      <c r="E261">
        <v>0.2336</v>
      </c>
      <c r="F261" s="105">
        <v>41725</v>
      </c>
      <c r="G261">
        <v>0.32900000000000001</v>
      </c>
      <c r="H261" s="105">
        <v>41051</v>
      </c>
      <c r="I261">
        <v>0.90805000000000002</v>
      </c>
      <c r="J261" s="105">
        <v>41725</v>
      </c>
      <c r="K261">
        <v>0.56159999999999999</v>
      </c>
    </row>
    <row r="262" spans="1:11">
      <c r="A262" s="105">
        <v>40647</v>
      </c>
      <c r="B262" s="156">
        <v>0.21584999999999999</v>
      </c>
      <c r="D262" s="105">
        <v>41724</v>
      </c>
      <c r="E262">
        <v>0.23335</v>
      </c>
      <c r="F262" s="105">
        <v>41724</v>
      </c>
      <c r="G262">
        <v>0.32950000000000002</v>
      </c>
      <c r="H262" s="105">
        <v>41050</v>
      </c>
      <c r="I262">
        <v>0.90805000000000002</v>
      </c>
      <c r="J262" s="105">
        <v>41724</v>
      </c>
      <c r="K262">
        <v>0.56210000000000004</v>
      </c>
    </row>
    <row r="263" spans="1:11">
      <c r="A263" s="105">
        <v>40648</v>
      </c>
      <c r="B263" s="156">
        <v>0.21375</v>
      </c>
      <c r="D263" s="105">
        <v>41723</v>
      </c>
      <c r="E263">
        <v>0.23435</v>
      </c>
      <c r="F263" s="105">
        <v>41723</v>
      </c>
      <c r="G263">
        <v>0.32950000000000002</v>
      </c>
      <c r="H263" s="105">
        <v>41047</v>
      </c>
      <c r="I263">
        <v>0.90705000000000002</v>
      </c>
      <c r="J263" s="105">
        <v>41723</v>
      </c>
      <c r="K263">
        <v>0.56159999999999999</v>
      </c>
    </row>
    <row r="264" spans="1:11">
      <c r="A264" s="105">
        <v>40651</v>
      </c>
      <c r="B264" s="156">
        <v>0.21295</v>
      </c>
      <c r="D264" s="105">
        <v>41722</v>
      </c>
      <c r="E264">
        <v>0.2351</v>
      </c>
      <c r="F264" s="105">
        <v>41722</v>
      </c>
      <c r="G264">
        <v>0.33250000000000002</v>
      </c>
      <c r="H264" s="105">
        <v>41046</v>
      </c>
      <c r="I264">
        <v>0.90605000000000002</v>
      </c>
      <c r="J264" s="105">
        <v>41722</v>
      </c>
      <c r="K264">
        <v>0.56410000000000005</v>
      </c>
    </row>
    <row r="265" spans="1:11">
      <c r="A265" s="105">
        <v>40652</v>
      </c>
      <c r="B265" s="156">
        <v>0.21260000000000001</v>
      </c>
      <c r="D265" s="105">
        <v>41719</v>
      </c>
      <c r="E265">
        <v>0.23285</v>
      </c>
      <c r="F265" s="105">
        <v>41719</v>
      </c>
      <c r="G265">
        <v>0.33150000000000002</v>
      </c>
      <c r="H265" s="105">
        <v>41045</v>
      </c>
      <c r="I265">
        <v>0.90605000000000002</v>
      </c>
      <c r="J265" s="105">
        <v>41719</v>
      </c>
      <c r="K265">
        <v>0.56410000000000005</v>
      </c>
    </row>
    <row r="266" spans="1:11">
      <c r="A266" s="105">
        <v>40653</v>
      </c>
      <c r="B266" s="156">
        <v>0.21260000000000001</v>
      </c>
      <c r="D266" s="105">
        <v>41718</v>
      </c>
      <c r="E266">
        <v>0.2336</v>
      </c>
      <c r="F266" s="105">
        <v>41718</v>
      </c>
      <c r="G266">
        <v>0.33</v>
      </c>
      <c r="H266" s="105">
        <v>41044</v>
      </c>
      <c r="I266">
        <v>0.90005000000000002</v>
      </c>
      <c r="J266" s="105">
        <v>41718</v>
      </c>
      <c r="K266">
        <v>0.56000000000000005</v>
      </c>
    </row>
    <row r="267" spans="1:11">
      <c r="A267" s="105">
        <v>40654</v>
      </c>
      <c r="B267" s="156">
        <v>0.21260000000000001</v>
      </c>
      <c r="D267" s="105">
        <v>41717</v>
      </c>
      <c r="E267">
        <v>0.23385</v>
      </c>
      <c r="F267" s="105">
        <v>41717</v>
      </c>
      <c r="G267">
        <v>0.32969999999999999</v>
      </c>
      <c r="H267" s="105">
        <v>41043</v>
      </c>
      <c r="I267">
        <v>0.89805000000000001</v>
      </c>
      <c r="J267" s="105">
        <v>41717</v>
      </c>
      <c r="K267">
        <v>0.55549999999999999</v>
      </c>
    </row>
    <row r="268" spans="1:11">
      <c r="A268" s="105">
        <v>40659</v>
      </c>
      <c r="B268" s="156">
        <v>0.21135000000000001</v>
      </c>
      <c r="D268" s="105">
        <v>41716</v>
      </c>
      <c r="E268">
        <v>0.23485</v>
      </c>
      <c r="F268" s="105">
        <v>41716</v>
      </c>
      <c r="G268">
        <v>0.33400000000000002</v>
      </c>
      <c r="H268" s="105">
        <v>41040</v>
      </c>
      <c r="I268">
        <v>0.89605000000000001</v>
      </c>
      <c r="J268" s="105">
        <v>41716</v>
      </c>
      <c r="K268">
        <v>0.55720000000000003</v>
      </c>
    </row>
    <row r="269" spans="1:11">
      <c r="A269" s="105">
        <v>40660</v>
      </c>
      <c r="B269" s="156">
        <v>0.21049999999999999</v>
      </c>
      <c r="D269" s="105">
        <v>41715</v>
      </c>
      <c r="E269">
        <v>0.23444999999999999</v>
      </c>
      <c r="F269" s="105">
        <v>41715</v>
      </c>
      <c r="G269">
        <v>0.33389999999999997</v>
      </c>
      <c r="H269" s="105">
        <v>41039</v>
      </c>
      <c r="I269">
        <v>0.89429999999999998</v>
      </c>
      <c r="J269" s="105">
        <v>41715</v>
      </c>
      <c r="K269">
        <v>0.55710000000000004</v>
      </c>
    </row>
    <row r="270" spans="1:11">
      <c r="A270" s="105">
        <v>40661</v>
      </c>
      <c r="B270" s="156">
        <v>0.21024999999999999</v>
      </c>
      <c r="D270" s="105">
        <v>41712</v>
      </c>
      <c r="E270">
        <v>0.23485</v>
      </c>
      <c r="F270" s="105">
        <v>41712</v>
      </c>
      <c r="G270">
        <v>0.33279999999999998</v>
      </c>
      <c r="H270" s="105">
        <v>41038</v>
      </c>
      <c r="I270">
        <v>0.89229999999999998</v>
      </c>
      <c r="J270" s="105">
        <v>41712</v>
      </c>
      <c r="K270">
        <v>0.55700000000000005</v>
      </c>
    </row>
    <row r="271" spans="1:11">
      <c r="A271" s="105">
        <v>40666</v>
      </c>
      <c r="B271" s="156">
        <v>0.20949999999999999</v>
      </c>
      <c r="D271" s="105">
        <v>41711</v>
      </c>
      <c r="E271">
        <v>0.23335</v>
      </c>
      <c r="F271" s="105">
        <v>41711</v>
      </c>
      <c r="G271">
        <v>0.33179999999999998</v>
      </c>
      <c r="H271" s="105">
        <v>41037</v>
      </c>
      <c r="I271">
        <v>0.88880000000000003</v>
      </c>
      <c r="J271" s="105">
        <v>41711</v>
      </c>
      <c r="K271">
        <v>0.55700000000000005</v>
      </c>
    </row>
    <row r="272" spans="1:11">
      <c r="A272" s="105">
        <v>40667</v>
      </c>
      <c r="B272" s="156">
        <v>0.20899999999999999</v>
      </c>
      <c r="D272" s="105">
        <v>41710</v>
      </c>
      <c r="E272">
        <v>0.2341</v>
      </c>
      <c r="F272" s="105">
        <v>41710</v>
      </c>
      <c r="G272">
        <v>0.33050000000000002</v>
      </c>
      <c r="H272" s="105">
        <v>41033</v>
      </c>
      <c r="I272">
        <v>0.88880000000000003</v>
      </c>
      <c r="J272" s="105">
        <v>41710</v>
      </c>
      <c r="K272">
        <v>0.55520000000000003</v>
      </c>
    </row>
    <row r="273" spans="1:11">
      <c r="A273" s="105">
        <v>40668</v>
      </c>
      <c r="B273" s="156">
        <v>0.20619999999999999</v>
      </c>
      <c r="D273" s="105">
        <v>41709</v>
      </c>
      <c r="E273">
        <v>0.23330000000000001</v>
      </c>
      <c r="F273" s="105">
        <v>41709</v>
      </c>
      <c r="G273">
        <v>0.33100000000000002</v>
      </c>
      <c r="H273" s="105">
        <v>41032</v>
      </c>
      <c r="I273">
        <v>0.88780000000000003</v>
      </c>
      <c r="J273" s="105">
        <v>41709</v>
      </c>
      <c r="K273">
        <v>0.55520000000000003</v>
      </c>
    </row>
    <row r="274" spans="1:11">
      <c r="A274" s="105">
        <v>40669</v>
      </c>
      <c r="B274" s="156">
        <v>0.20385</v>
      </c>
      <c r="D274" s="105">
        <v>41708</v>
      </c>
      <c r="E274">
        <v>0.23435</v>
      </c>
      <c r="F274" s="105">
        <v>41708</v>
      </c>
      <c r="G274">
        <v>0.33200000000000002</v>
      </c>
      <c r="H274" s="105">
        <v>41031</v>
      </c>
      <c r="I274">
        <v>0.88680000000000003</v>
      </c>
      <c r="J274" s="105">
        <v>41708</v>
      </c>
      <c r="K274">
        <v>0.55520000000000003</v>
      </c>
    </row>
    <row r="275" spans="1:11">
      <c r="A275" s="105">
        <v>40672</v>
      </c>
      <c r="B275" s="156">
        <v>0.20185</v>
      </c>
      <c r="D275" s="105">
        <v>41705</v>
      </c>
      <c r="E275">
        <v>0.23565</v>
      </c>
      <c r="F275" s="105">
        <v>41705</v>
      </c>
      <c r="G275">
        <v>0.33179999999999998</v>
      </c>
      <c r="H275" s="105">
        <v>41030</v>
      </c>
      <c r="I275">
        <v>0.88680000000000003</v>
      </c>
      <c r="J275" s="105">
        <v>41705</v>
      </c>
      <c r="K275">
        <v>0.55200000000000005</v>
      </c>
    </row>
    <row r="276" spans="1:11">
      <c r="A276" s="105">
        <v>40673</v>
      </c>
      <c r="B276" s="156">
        <v>0.20025000000000001</v>
      </c>
      <c r="D276" s="105">
        <v>41704</v>
      </c>
      <c r="E276">
        <v>0.2351</v>
      </c>
      <c r="F276" s="105">
        <v>41704</v>
      </c>
      <c r="G276">
        <v>0.33200000000000002</v>
      </c>
      <c r="H276" s="105">
        <v>41029</v>
      </c>
      <c r="I276">
        <v>0.88680000000000003</v>
      </c>
      <c r="J276" s="105">
        <v>41704</v>
      </c>
      <c r="K276">
        <v>0.55200000000000005</v>
      </c>
    </row>
    <row r="277" spans="1:11">
      <c r="A277" s="105">
        <v>40674</v>
      </c>
      <c r="B277" s="156">
        <v>0.19875000000000001</v>
      </c>
      <c r="D277" s="105">
        <v>41703</v>
      </c>
      <c r="E277">
        <v>0.2344</v>
      </c>
      <c r="F277" s="105">
        <v>41703</v>
      </c>
      <c r="G277">
        <v>0.33110000000000001</v>
      </c>
      <c r="H277" s="105">
        <v>41026</v>
      </c>
      <c r="I277">
        <v>0.88580000000000003</v>
      </c>
      <c r="J277" s="105">
        <v>41703</v>
      </c>
      <c r="K277">
        <v>0.55059999999999998</v>
      </c>
    </row>
    <row r="278" spans="1:11">
      <c r="A278" s="105">
        <v>40675</v>
      </c>
      <c r="B278" s="156">
        <v>0.19800000000000001</v>
      </c>
      <c r="D278" s="105">
        <v>41702</v>
      </c>
      <c r="E278">
        <v>0.23535</v>
      </c>
      <c r="F278" s="105">
        <v>41702</v>
      </c>
      <c r="G278">
        <v>0.33150000000000002</v>
      </c>
      <c r="H278" s="105">
        <v>41025</v>
      </c>
      <c r="I278">
        <v>0.88580000000000003</v>
      </c>
      <c r="J278" s="105">
        <v>41702</v>
      </c>
      <c r="K278">
        <v>0.55200000000000005</v>
      </c>
    </row>
    <row r="279" spans="1:11">
      <c r="A279" s="105">
        <v>40676</v>
      </c>
      <c r="B279" s="156">
        <v>0.1971</v>
      </c>
      <c r="D279" s="105">
        <v>41701</v>
      </c>
      <c r="E279">
        <v>0.23565</v>
      </c>
      <c r="F279" s="105">
        <v>41701</v>
      </c>
      <c r="G279">
        <v>0.33050000000000002</v>
      </c>
      <c r="H279" s="105">
        <v>41024</v>
      </c>
      <c r="I279">
        <v>0.88580000000000003</v>
      </c>
      <c r="J279" s="105">
        <v>41701</v>
      </c>
      <c r="K279">
        <v>0.55379999999999996</v>
      </c>
    </row>
    <row r="280" spans="1:11">
      <c r="A280" s="105">
        <v>40679</v>
      </c>
      <c r="B280" s="156">
        <v>0.19700000000000001</v>
      </c>
      <c r="D280" s="105">
        <v>41698</v>
      </c>
      <c r="E280">
        <v>0.23565</v>
      </c>
      <c r="F280" s="105">
        <v>41698</v>
      </c>
      <c r="G280">
        <v>0.33050000000000002</v>
      </c>
      <c r="H280" s="105">
        <v>41023</v>
      </c>
      <c r="I280">
        <v>0.88580000000000003</v>
      </c>
      <c r="J280" s="105">
        <v>41698</v>
      </c>
      <c r="K280">
        <v>0.55330000000000001</v>
      </c>
    </row>
    <row r="281" spans="1:11">
      <c r="A281" s="105">
        <v>40680</v>
      </c>
      <c r="B281" s="156">
        <v>0.19700000000000001</v>
      </c>
      <c r="D281" s="105">
        <v>41697</v>
      </c>
      <c r="E281">
        <v>0.2361</v>
      </c>
      <c r="F281" s="105">
        <v>41697</v>
      </c>
      <c r="G281">
        <v>0.33</v>
      </c>
      <c r="H281" s="105">
        <v>41022</v>
      </c>
      <c r="I281">
        <v>0.88580000000000003</v>
      </c>
      <c r="J281" s="105">
        <v>41697</v>
      </c>
      <c r="K281">
        <v>0.55230000000000001</v>
      </c>
    </row>
    <row r="282" spans="1:11">
      <c r="A282" s="105">
        <v>40681</v>
      </c>
      <c r="B282" s="156">
        <v>0.19575000000000001</v>
      </c>
      <c r="D282" s="105">
        <v>41696</v>
      </c>
      <c r="E282">
        <v>0.23330000000000001</v>
      </c>
      <c r="F282" s="105">
        <v>41696</v>
      </c>
      <c r="G282">
        <v>0.32969999999999999</v>
      </c>
      <c r="H282" s="105">
        <v>41019</v>
      </c>
      <c r="I282">
        <v>0.88580000000000003</v>
      </c>
      <c r="J282" s="105">
        <v>41696</v>
      </c>
      <c r="K282">
        <v>0.55049999999999999</v>
      </c>
    </row>
    <row r="283" spans="1:11">
      <c r="A283" s="105">
        <v>40682</v>
      </c>
      <c r="B283" s="156">
        <v>0.19525000000000001</v>
      </c>
      <c r="D283" s="105">
        <v>41695</v>
      </c>
      <c r="E283">
        <v>0.2336</v>
      </c>
      <c r="F283" s="105">
        <v>41695</v>
      </c>
      <c r="G283">
        <v>0.33050000000000002</v>
      </c>
      <c r="H283" s="105">
        <v>41018</v>
      </c>
      <c r="I283">
        <v>0.88529999999999998</v>
      </c>
      <c r="J283" s="105">
        <v>41695</v>
      </c>
      <c r="K283">
        <v>0.55330000000000001</v>
      </c>
    </row>
    <row r="284" spans="1:11">
      <c r="A284" s="105">
        <v>40683</v>
      </c>
      <c r="B284" s="156">
        <v>0.19475000000000001</v>
      </c>
      <c r="D284" s="105">
        <v>41694</v>
      </c>
      <c r="E284">
        <v>0.23435</v>
      </c>
      <c r="F284" s="105">
        <v>41694</v>
      </c>
      <c r="G284">
        <v>0.33050000000000002</v>
      </c>
      <c r="H284" s="105">
        <v>41017</v>
      </c>
      <c r="I284">
        <v>0.88529999999999998</v>
      </c>
      <c r="J284" s="105">
        <v>41694</v>
      </c>
      <c r="K284">
        <v>0.55330000000000001</v>
      </c>
    </row>
    <row r="285" spans="1:11">
      <c r="A285" s="105">
        <v>40686</v>
      </c>
      <c r="B285" s="156">
        <v>0.19400000000000001</v>
      </c>
      <c r="D285" s="105">
        <v>41691</v>
      </c>
      <c r="E285">
        <v>0.23485</v>
      </c>
      <c r="F285" s="105">
        <v>41691</v>
      </c>
      <c r="G285">
        <v>0.33050000000000002</v>
      </c>
      <c r="H285" s="105">
        <v>41016</v>
      </c>
      <c r="I285">
        <v>0.88629999999999998</v>
      </c>
      <c r="J285" s="105">
        <v>41691</v>
      </c>
      <c r="K285">
        <v>0.55530000000000002</v>
      </c>
    </row>
    <row r="286" spans="1:11">
      <c r="A286" s="105">
        <v>40687</v>
      </c>
      <c r="B286" s="156">
        <v>0.19270000000000001</v>
      </c>
      <c r="D286" s="105">
        <v>41690</v>
      </c>
      <c r="E286">
        <v>0.2356</v>
      </c>
      <c r="F286" s="105">
        <v>41690</v>
      </c>
      <c r="G286">
        <v>0.32950000000000002</v>
      </c>
      <c r="H286" s="105">
        <v>41015</v>
      </c>
      <c r="I286">
        <v>0.88829999999999998</v>
      </c>
      <c r="J286" s="105">
        <v>41690</v>
      </c>
      <c r="K286">
        <v>0.55379999999999996</v>
      </c>
    </row>
    <row r="287" spans="1:11">
      <c r="A287" s="105">
        <v>40688</v>
      </c>
      <c r="B287" s="156">
        <v>0.19234999999999999</v>
      </c>
      <c r="D287" s="105">
        <v>41689</v>
      </c>
      <c r="E287">
        <v>0.2336</v>
      </c>
      <c r="F287" s="105">
        <v>41689</v>
      </c>
      <c r="G287">
        <v>0.32900000000000001</v>
      </c>
      <c r="H287" s="105">
        <v>41012</v>
      </c>
      <c r="I287">
        <v>0.88680000000000003</v>
      </c>
      <c r="J287" s="105">
        <v>41689</v>
      </c>
      <c r="K287">
        <v>0.55330000000000001</v>
      </c>
    </row>
    <row r="288" spans="1:11">
      <c r="A288" s="105">
        <v>40689</v>
      </c>
      <c r="B288" s="156">
        <v>0.19125</v>
      </c>
      <c r="D288" s="105">
        <v>41688</v>
      </c>
      <c r="E288">
        <v>0.23455000000000001</v>
      </c>
      <c r="F288" s="105">
        <v>41688</v>
      </c>
      <c r="G288">
        <v>0.32969999999999999</v>
      </c>
      <c r="H288" s="105">
        <v>41011</v>
      </c>
      <c r="I288">
        <v>0.88680000000000003</v>
      </c>
      <c r="J288" s="105">
        <v>41688</v>
      </c>
      <c r="K288">
        <v>0.55330000000000001</v>
      </c>
    </row>
    <row r="289" spans="1:11">
      <c r="A289" s="105">
        <v>40690</v>
      </c>
      <c r="B289" s="156">
        <v>0.19103000000000001</v>
      </c>
      <c r="D289" s="105">
        <v>41687</v>
      </c>
      <c r="E289">
        <v>0.2351</v>
      </c>
      <c r="F289" s="105">
        <v>41687</v>
      </c>
      <c r="G289">
        <v>0.33</v>
      </c>
      <c r="H289" s="105">
        <v>41010</v>
      </c>
      <c r="I289">
        <v>0.88780000000000003</v>
      </c>
      <c r="J289" s="105">
        <v>41687</v>
      </c>
      <c r="K289">
        <v>0.55230000000000001</v>
      </c>
    </row>
    <row r="290" spans="1:11">
      <c r="A290" s="105">
        <v>40694</v>
      </c>
      <c r="B290" s="156">
        <v>0.19042999999999999</v>
      </c>
      <c r="D290" s="105">
        <v>41684</v>
      </c>
      <c r="E290">
        <v>0.23585</v>
      </c>
      <c r="F290" s="105">
        <v>41684</v>
      </c>
      <c r="G290">
        <v>0.32900000000000001</v>
      </c>
      <c r="H290" s="105">
        <v>41009</v>
      </c>
      <c r="I290">
        <v>0.88780000000000003</v>
      </c>
      <c r="J290" s="105">
        <v>41684</v>
      </c>
      <c r="K290">
        <v>0.55079999999999996</v>
      </c>
    </row>
    <row r="291" spans="1:11">
      <c r="A291" s="105">
        <v>40695</v>
      </c>
      <c r="B291" s="156">
        <v>0.19042999999999999</v>
      </c>
      <c r="D291" s="105">
        <v>41683</v>
      </c>
      <c r="E291">
        <v>0.23585</v>
      </c>
      <c r="F291" s="105">
        <v>41683</v>
      </c>
      <c r="G291">
        <v>0.33100000000000002</v>
      </c>
      <c r="H291" s="105">
        <v>41004</v>
      </c>
      <c r="I291">
        <v>0.88780000000000003</v>
      </c>
      <c r="J291" s="105">
        <v>41683</v>
      </c>
      <c r="K291">
        <v>0.55230000000000001</v>
      </c>
    </row>
    <row r="292" spans="1:11">
      <c r="A292" s="105">
        <v>40696</v>
      </c>
      <c r="B292" s="156">
        <v>0.19017999999999999</v>
      </c>
      <c r="D292" s="105">
        <v>41682</v>
      </c>
      <c r="E292">
        <v>0.2361</v>
      </c>
      <c r="F292" s="105">
        <v>41682</v>
      </c>
      <c r="G292">
        <v>0.33100000000000002</v>
      </c>
      <c r="H292" s="105">
        <v>41003</v>
      </c>
      <c r="I292">
        <v>0.88680000000000003</v>
      </c>
      <c r="J292" s="105">
        <v>41682</v>
      </c>
      <c r="K292">
        <v>0.55379999999999996</v>
      </c>
    </row>
    <row r="293" spans="1:11">
      <c r="A293" s="105">
        <v>40697</v>
      </c>
      <c r="B293" s="156">
        <v>0.1898</v>
      </c>
      <c r="D293" s="105">
        <v>41681</v>
      </c>
      <c r="E293">
        <v>0.2366</v>
      </c>
      <c r="F293" s="105">
        <v>41681</v>
      </c>
      <c r="G293">
        <v>0.33200000000000002</v>
      </c>
      <c r="H293" s="105">
        <v>41002</v>
      </c>
      <c r="I293">
        <v>0.88680000000000003</v>
      </c>
      <c r="J293" s="105">
        <v>41681</v>
      </c>
      <c r="K293">
        <v>0.55330000000000001</v>
      </c>
    </row>
    <row r="294" spans="1:11">
      <c r="A294" s="105">
        <v>40700</v>
      </c>
      <c r="B294" s="156">
        <v>0.18955</v>
      </c>
      <c r="D294" s="105">
        <v>41680</v>
      </c>
      <c r="E294">
        <v>0.23385</v>
      </c>
      <c r="F294" s="105">
        <v>41680</v>
      </c>
      <c r="G294">
        <v>0.3291</v>
      </c>
      <c r="H294" s="105">
        <v>41001</v>
      </c>
      <c r="I294">
        <v>0.88680000000000003</v>
      </c>
      <c r="J294" s="105">
        <v>41680</v>
      </c>
      <c r="K294">
        <v>0.55089999999999995</v>
      </c>
    </row>
    <row r="295" spans="1:11">
      <c r="A295" s="105">
        <v>40701</v>
      </c>
      <c r="B295" s="156">
        <v>0.18955</v>
      </c>
      <c r="D295" s="105">
        <v>41677</v>
      </c>
      <c r="E295">
        <v>0.23385</v>
      </c>
      <c r="F295" s="105">
        <v>41677</v>
      </c>
      <c r="G295">
        <v>0.33110000000000001</v>
      </c>
      <c r="H295" s="105">
        <v>40998</v>
      </c>
      <c r="I295">
        <v>0.88480000000000003</v>
      </c>
      <c r="J295" s="105">
        <v>41677</v>
      </c>
      <c r="K295">
        <v>0.55840000000000001</v>
      </c>
    </row>
    <row r="296" spans="1:11">
      <c r="A296" s="105">
        <v>40702</v>
      </c>
      <c r="B296" s="156">
        <v>0.18955</v>
      </c>
      <c r="D296" s="105">
        <v>41676</v>
      </c>
      <c r="E296">
        <v>0.23685</v>
      </c>
      <c r="F296" s="105">
        <v>41676</v>
      </c>
      <c r="G296">
        <v>0.33310000000000001</v>
      </c>
      <c r="H296" s="105">
        <v>40997</v>
      </c>
      <c r="I296">
        <v>0.88460000000000005</v>
      </c>
      <c r="J296" s="105">
        <v>41676</v>
      </c>
      <c r="K296">
        <v>0.55789999999999995</v>
      </c>
    </row>
    <row r="297" spans="1:11">
      <c r="A297" s="105">
        <v>40703</v>
      </c>
      <c r="B297" s="156">
        <v>0.18955</v>
      </c>
      <c r="D297" s="105">
        <v>41675</v>
      </c>
      <c r="E297">
        <v>0.23635</v>
      </c>
      <c r="F297" s="105">
        <v>41675</v>
      </c>
      <c r="G297">
        <v>0.33300000000000002</v>
      </c>
      <c r="H297" s="105">
        <v>40996</v>
      </c>
      <c r="I297">
        <v>0.8851</v>
      </c>
      <c r="J297" s="105">
        <v>41675</v>
      </c>
      <c r="K297">
        <v>0.55940000000000001</v>
      </c>
    </row>
    <row r="298" spans="1:11">
      <c r="A298" s="105">
        <v>40704</v>
      </c>
      <c r="B298" s="156">
        <v>0.18855</v>
      </c>
      <c r="D298" s="105">
        <v>41674</v>
      </c>
      <c r="E298">
        <v>0.23644999999999999</v>
      </c>
      <c r="F298" s="105">
        <v>41674</v>
      </c>
      <c r="G298">
        <v>0.33329999999999999</v>
      </c>
      <c r="H298" s="105">
        <v>40995</v>
      </c>
      <c r="I298">
        <v>0.8861</v>
      </c>
      <c r="J298" s="105">
        <v>41674</v>
      </c>
      <c r="K298">
        <v>0.56169999999999998</v>
      </c>
    </row>
    <row r="299" spans="1:11">
      <c r="A299" s="105">
        <v>40707</v>
      </c>
      <c r="B299" s="156">
        <v>0.18704999999999999</v>
      </c>
      <c r="D299" s="105">
        <v>41673</v>
      </c>
      <c r="E299">
        <v>0.2356</v>
      </c>
      <c r="F299" s="105">
        <v>41673</v>
      </c>
      <c r="G299">
        <v>0.33350000000000002</v>
      </c>
      <c r="H299" s="105">
        <v>40994</v>
      </c>
      <c r="I299">
        <v>0.88759999999999994</v>
      </c>
      <c r="J299" s="105">
        <v>41673</v>
      </c>
      <c r="K299">
        <v>0.56289999999999996</v>
      </c>
    </row>
    <row r="300" spans="1:11">
      <c r="A300" s="105">
        <v>40708</v>
      </c>
      <c r="B300" s="156">
        <v>0.18554999999999999</v>
      </c>
      <c r="D300" s="105">
        <v>41670</v>
      </c>
      <c r="E300">
        <v>0.2366</v>
      </c>
      <c r="F300" s="105">
        <v>41670</v>
      </c>
      <c r="G300">
        <v>0.33629999999999999</v>
      </c>
      <c r="H300" s="105">
        <v>40991</v>
      </c>
      <c r="I300">
        <v>0.88819999999999999</v>
      </c>
      <c r="J300" s="105">
        <v>41670</v>
      </c>
      <c r="K300">
        <v>0.56540000000000001</v>
      </c>
    </row>
    <row r="301" spans="1:11">
      <c r="A301" s="105">
        <v>40709</v>
      </c>
      <c r="B301" s="156">
        <v>0.18529999999999999</v>
      </c>
      <c r="D301" s="105">
        <v>41669</v>
      </c>
      <c r="E301">
        <v>0.23760000000000001</v>
      </c>
      <c r="F301" s="105">
        <v>41669</v>
      </c>
      <c r="G301">
        <v>0.33700000000000002</v>
      </c>
      <c r="H301" s="105">
        <v>40990</v>
      </c>
      <c r="I301">
        <v>0.88919999999999999</v>
      </c>
      <c r="J301" s="105">
        <v>41669</v>
      </c>
      <c r="K301">
        <v>0.56940000000000002</v>
      </c>
    </row>
    <row r="302" spans="1:11">
      <c r="A302" s="105">
        <v>40710</v>
      </c>
      <c r="B302" s="156">
        <v>0.18579999999999999</v>
      </c>
      <c r="D302" s="105">
        <v>41668</v>
      </c>
      <c r="E302">
        <v>0.2356</v>
      </c>
      <c r="F302" s="105">
        <v>41668</v>
      </c>
      <c r="G302">
        <v>0.33350000000000002</v>
      </c>
      <c r="H302" s="105">
        <v>40989</v>
      </c>
      <c r="I302">
        <v>0.88919999999999999</v>
      </c>
      <c r="J302" s="105">
        <v>41668</v>
      </c>
      <c r="K302">
        <v>0.57040000000000002</v>
      </c>
    </row>
    <row r="303" spans="1:11">
      <c r="A303" s="105">
        <v>40711</v>
      </c>
      <c r="B303" s="156">
        <v>0.18579999999999999</v>
      </c>
      <c r="D303" s="105">
        <v>41667</v>
      </c>
      <c r="E303">
        <v>0.2361</v>
      </c>
      <c r="F303" s="105">
        <v>41667</v>
      </c>
      <c r="G303">
        <v>0.33200000000000002</v>
      </c>
      <c r="H303" s="105">
        <v>40988</v>
      </c>
      <c r="I303">
        <v>0.88919999999999999</v>
      </c>
      <c r="J303" s="105">
        <v>41667</v>
      </c>
      <c r="K303">
        <v>0.57099999999999995</v>
      </c>
    </row>
    <row r="304" spans="1:11">
      <c r="A304" s="105">
        <v>40714</v>
      </c>
      <c r="B304" s="156">
        <v>0.18579999999999999</v>
      </c>
      <c r="D304" s="105">
        <v>41666</v>
      </c>
      <c r="E304">
        <v>0.2361</v>
      </c>
      <c r="F304" s="105">
        <v>41666</v>
      </c>
      <c r="G304">
        <v>0.33250000000000002</v>
      </c>
      <c r="H304" s="105">
        <v>40987</v>
      </c>
      <c r="I304">
        <v>0.88919999999999999</v>
      </c>
      <c r="J304" s="105">
        <v>41666</v>
      </c>
      <c r="K304">
        <v>0.57099999999999995</v>
      </c>
    </row>
    <row r="305" spans="1:11">
      <c r="A305" s="105">
        <v>40715</v>
      </c>
      <c r="B305" s="156">
        <v>0.18579999999999999</v>
      </c>
      <c r="D305" s="105">
        <v>41663</v>
      </c>
      <c r="E305">
        <v>0.23535</v>
      </c>
      <c r="F305" s="105">
        <v>41663</v>
      </c>
      <c r="G305">
        <v>0.33350000000000002</v>
      </c>
      <c r="H305" s="105">
        <v>40984</v>
      </c>
      <c r="I305">
        <v>0.88919999999999999</v>
      </c>
      <c r="J305" s="105">
        <v>41663</v>
      </c>
      <c r="K305">
        <v>0.57210000000000005</v>
      </c>
    </row>
    <row r="306" spans="1:11">
      <c r="A306" s="105">
        <v>40716</v>
      </c>
      <c r="B306" s="156">
        <v>0.18579999999999999</v>
      </c>
      <c r="D306" s="105">
        <v>41662</v>
      </c>
      <c r="E306">
        <v>0.23860000000000001</v>
      </c>
      <c r="F306" s="105">
        <v>41662</v>
      </c>
      <c r="G306">
        <v>0.33500000000000002</v>
      </c>
      <c r="H306" s="105">
        <v>40983</v>
      </c>
      <c r="I306">
        <v>0.89080000000000004</v>
      </c>
      <c r="J306" s="105">
        <v>41662</v>
      </c>
      <c r="K306">
        <v>0.57250000000000001</v>
      </c>
    </row>
    <row r="307" spans="1:11">
      <c r="A307" s="105">
        <v>40717</v>
      </c>
      <c r="B307" s="156">
        <v>0.18579999999999999</v>
      </c>
      <c r="D307" s="105">
        <v>41661</v>
      </c>
      <c r="E307">
        <v>0.23710000000000001</v>
      </c>
      <c r="F307" s="105">
        <v>41661</v>
      </c>
      <c r="G307">
        <v>0.33410000000000001</v>
      </c>
      <c r="H307" s="105">
        <v>40982</v>
      </c>
      <c r="I307">
        <v>0.89180000000000004</v>
      </c>
      <c r="J307" s="105">
        <v>41661</v>
      </c>
      <c r="K307">
        <v>0.57110000000000005</v>
      </c>
    </row>
    <row r="308" spans="1:11">
      <c r="A308" s="105">
        <v>40718</v>
      </c>
      <c r="B308" s="156">
        <v>0.18554999999999999</v>
      </c>
      <c r="D308" s="105">
        <v>41660</v>
      </c>
      <c r="E308">
        <v>0.2366</v>
      </c>
      <c r="F308" s="105">
        <v>41660</v>
      </c>
      <c r="G308">
        <v>0.33410000000000001</v>
      </c>
      <c r="H308" s="105">
        <v>40981</v>
      </c>
      <c r="I308">
        <v>0.89070000000000005</v>
      </c>
      <c r="J308" s="105">
        <v>41660</v>
      </c>
      <c r="K308">
        <v>0.5726</v>
      </c>
    </row>
    <row r="309" spans="1:11">
      <c r="A309" s="105">
        <v>40721</v>
      </c>
      <c r="B309" s="156">
        <v>0.18554999999999999</v>
      </c>
      <c r="D309" s="105">
        <v>41659</v>
      </c>
      <c r="E309">
        <v>0.23710000000000001</v>
      </c>
      <c r="F309" s="105">
        <v>41659</v>
      </c>
      <c r="G309">
        <v>0.33410000000000001</v>
      </c>
      <c r="H309" s="105">
        <v>40980</v>
      </c>
      <c r="I309">
        <v>0.89049999999999996</v>
      </c>
      <c r="J309" s="105">
        <v>41659</v>
      </c>
      <c r="K309">
        <v>0.57210000000000005</v>
      </c>
    </row>
    <row r="310" spans="1:11">
      <c r="A310" s="105">
        <v>40722</v>
      </c>
      <c r="B310" s="156">
        <v>0.18554999999999999</v>
      </c>
      <c r="D310" s="105">
        <v>41656</v>
      </c>
      <c r="E310">
        <v>0.2366</v>
      </c>
      <c r="F310" s="105">
        <v>41656</v>
      </c>
      <c r="G310">
        <v>0.33460000000000001</v>
      </c>
      <c r="H310" s="105">
        <v>40977</v>
      </c>
      <c r="I310">
        <v>0.89049999999999996</v>
      </c>
      <c r="J310" s="105">
        <v>41656</v>
      </c>
      <c r="K310">
        <v>0.57210000000000005</v>
      </c>
    </row>
    <row r="311" spans="1:11">
      <c r="A311" s="105">
        <v>40723</v>
      </c>
      <c r="B311" s="156">
        <v>0.18554999999999999</v>
      </c>
      <c r="D311" s="105">
        <v>41655</v>
      </c>
      <c r="E311">
        <v>0.23635</v>
      </c>
      <c r="F311" s="105">
        <v>41655</v>
      </c>
      <c r="G311">
        <v>0.33460000000000001</v>
      </c>
      <c r="H311" s="105">
        <v>40976</v>
      </c>
      <c r="I311">
        <v>0.89049999999999996</v>
      </c>
      <c r="J311" s="105">
        <v>41655</v>
      </c>
      <c r="K311">
        <v>0.5716</v>
      </c>
    </row>
    <row r="312" spans="1:11">
      <c r="A312" s="105">
        <v>40724</v>
      </c>
      <c r="B312" s="156">
        <v>0.18554999999999999</v>
      </c>
      <c r="D312" s="105">
        <v>41654</v>
      </c>
      <c r="E312">
        <v>0.23785000000000001</v>
      </c>
      <c r="F312" s="105">
        <v>41654</v>
      </c>
      <c r="G312">
        <v>0.33560000000000001</v>
      </c>
      <c r="H312" s="105">
        <v>40975</v>
      </c>
      <c r="I312">
        <v>0.89049999999999996</v>
      </c>
      <c r="J312" s="105">
        <v>41654</v>
      </c>
      <c r="K312">
        <v>0.5716</v>
      </c>
    </row>
    <row r="313" spans="1:11">
      <c r="A313" s="105">
        <v>40725</v>
      </c>
      <c r="B313" s="156">
        <v>0.18504999999999999</v>
      </c>
      <c r="D313" s="105">
        <v>41653</v>
      </c>
      <c r="E313">
        <v>0.23674999999999999</v>
      </c>
      <c r="F313" s="105">
        <v>41653</v>
      </c>
      <c r="G313">
        <v>0.33550000000000002</v>
      </c>
      <c r="H313" s="105">
        <v>40974</v>
      </c>
      <c r="I313">
        <v>0.88949999999999996</v>
      </c>
      <c r="J313" s="105">
        <v>41653</v>
      </c>
      <c r="K313">
        <v>0.56810000000000005</v>
      </c>
    </row>
    <row r="314" spans="1:11">
      <c r="A314" s="105">
        <v>40728</v>
      </c>
      <c r="B314" s="156">
        <v>0.18504999999999999</v>
      </c>
      <c r="D314" s="105">
        <v>41652</v>
      </c>
      <c r="E314">
        <v>0.2389</v>
      </c>
      <c r="F314" s="105">
        <v>41652</v>
      </c>
      <c r="G314">
        <v>0.33839999999999998</v>
      </c>
      <c r="H314" s="105">
        <v>40973</v>
      </c>
      <c r="I314">
        <v>0.88949999999999996</v>
      </c>
      <c r="J314" s="105">
        <v>41652</v>
      </c>
      <c r="K314">
        <v>0.5736</v>
      </c>
    </row>
    <row r="315" spans="1:11">
      <c r="A315" s="105">
        <v>40729</v>
      </c>
      <c r="B315" s="156">
        <v>0.18504999999999999</v>
      </c>
      <c r="D315" s="105">
        <v>41649</v>
      </c>
      <c r="E315">
        <v>0.24165</v>
      </c>
      <c r="F315" s="105">
        <v>41649</v>
      </c>
      <c r="G315">
        <v>0.34439999999999998</v>
      </c>
      <c r="H315" s="105">
        <v>40970</v>
      </c>
      <c r="I315">
        <v>0.89029999999999998</v>
      </c>
      <c r="J315" s="105">
        <v>41649</v>
      </c>
      <c r="K315">
        <v>0.58260000000000001</v>
      </c>
    </row>
    <row r="316" spans="1:11">
      <c r="A316" s="105">
        <v>40730</v>
      </c>
      <c r="B316" s="156">
        <v>0.18525</v>
      </c>
      <c r="D316" s="105">
        <v>41648</v>
      </c>
      <c r="E316">
        <v>0.24165</v>
      </c>
      <c r="F316" s="105">
        <v>41648</v>
      </c>
      <c r="G316">
        <v>0.34389999999999998</v>
      </c>
      <c r="H316" s="105">
        <v>40969</v>
      </c>
      <c r="I316">
        <v>0.89424999999999999</v>
      </c>
      <c r="J316" s="105">
        <v>41648</v>
      </c>
      <c r="K316">
        <v>0.58460000000000001</v>
      </c>
    </row>
    <row r="317" spans="1:11">
      <c r="A317" s="105">
        <v>40731</v>
      </c>
      <c r="B317" s="156">
        <v>0.18575</v>
      </c>
      <c r="D317" s="105">
        <v>41647</v>
      </c>
      <c r="E317">
        <v>0.2404</v>
      </c>
      <c r="F317" s="105">
        <v>41647</v>
      </c>
      <c r="G317">
        <v>0.34520000000000001</v>
      </c>
      <c r="H317" s="105">
        <v>40968</v>
      </c>
      <c r="I317">
        <v>0.89490000000000003</v>
      </c>
      <c r="J317" s="105">
        <v>41647</v>
      </c>
      <c r="K317">
        <v>0.58560000000000001</v>
      </c>
    </row>
    <row r="318" spans="1:11">
      <c r="A318" s="105">
        <v>40732</v>
      </c>
      <c r="B318" s="156">
        <v>0.18575</v>
      </c>
      <c r="D318" s="105">
        <v>41646</v>
      </c>
      <c r="E318">
        <v>0.24210000000000001</v>
      </c>
      <c r="F318" s="105">
        <v>41646</v>
      </c>
      <c r="G318">
        <v>0.34470000000000001</v>
      </c>
      <c r="H318" s="105">
        <v>40967</v>
      </c>
      <c r="I318">
        <v>0.89815</v>
      </c>
      <c r="J318" s="105">
        <v>41646</v>
      </c>
      <c r="K318">
        <v>0.58660000000000001</v>
      </c>
    </row>
    <row r="319" spans="1:11">
      <c r="A319" s="105">
        <v>40735</v>
      </c>
      <c r="B319" s="156">
        <v>0.18575</v>
      </c>
      <c r="D319" s="105">
        <v>41645</v>
      </c>
      <c r="E319">
        <v>0.23935000000000001</v>
      </c>
      <c r="F319" s="105">
        <v>41645</v>
      </c>
      <c r="G319">
        <v>0.34449999999999997</v>
      </c>
      <c r="H319" s="105">
        <v>40966</v>
      </c>
      <c r="I319">
        <v>0.90075000000000005</v>
      </c>
      <c r="J319" s="105">
        <v>41645</v>
      </c>
      <c r="K319">
        <v>0.58540000000000003</v>
      </c>
    </row>
    <row r="320" spans="1:11">
      <c r="A320" s="105">
        <v>40736</v>
      </c>
      <c r="B320" s="156">
        <v>0.1865</v>
      </c>
      <c r="D320" s="105">
        <v>41642</v>
      </c>
      <c r="E320">
        <v>0.23985000000000001</v>
      </c>
      <c r="F320" s="105">
        <v>41642</v>
      </c>
      <c r="G320">
        <v>0.34520000000000001</v>
      </c>
      <c r="H320" s="105">
        <v>40963</v>
      </c>
      <c r="I320">
        <v>0.90164999999999995</v>
      </c>
      <c r="J320" s="105">
        <v>41642</v>
      </c>
      <c r="K320">
        <v>0.58460000000000001</v>
      </c>
    </row>
    <row r="321" spans="1:11">
      <c r="A321" s="105">
        <v>40737</v>
      </c>
      <c r="B321" s="156">
        <v>0.1865</v>
      </c>
      <c r="D321" s="105">
        <v>41641</v>
      </c>
      <c r="E321">
        <v>0.24285000000000001</v>
      </c>
      <c r="F321" s="105">
        <v>41641</v>
      </c>
      <c r="G321">
        <v>0.34639999999999999</v>
      </c>
      <c r="H321" s="105">
        <v>40962</v>
      </c>
      <c r="I321">
        <v>0.90064999999999995</v>
      </c>
      <c r="J321" s="105">
        <v>41641</v>
      </c>
      <c r="K321">
        <v>0.58260000000000001</v>
      </c>
    </row>
    <row r="322" spans="1:11">
      <c r="A322" s="105">
        <v>40738</v>
      </c>
      <c r="B322" s="156">
        <v>0.1865</v>
      </c>
      <c r="D322" s="105">
        <v>41639</v>
      </c>
      <c r="E322">
        <v>0.24610000000000001</v>
      </c>
      <c r="F322" s="105">
        <v>41639</v>
      </c>
      <c r="G322">
        <v>0.34799999999999998</v>
      </c>
      <c r="H322" s="105">
        <v>40961</v>
      </c>
      <c r="I322">
        <v>0.90064999999999995</v>
      </c>
      <c r="J322" s="105">
        <v>41639</v>
      </c>
      <c r="K322">
        <v>0.58309999999999995</v>
      </c>
    </row>
    <row r="323" spans="1:11">
      <c r="A323" s="105">
        <v>40739</v>
      </c>
      <c r="B323" s="156">
        <v>0.1865</v>
      </c>
      <c r="D323" s="105">
        <v>41638</v>
      </c>
      <c r="E323">
        <v>0.24660000000000001</v>
      </c>
      <c r="F323" s="105">
        <v>41638</v>
      </c>
      <c r="G323">
        <v>0.34849999999999998</v>
      </c>
      <c r="H323" s="105">
        <v>40960</v>
      </c>
      <c r="I323">
        <v>0.90064999999999995</v>
      </c>
      <c r="J323" s="105">
        <v>41638</v>
      </c>
      <c r="K323">
        <v>0.58309999999999995</v>
      </c>
    </row>
    <row r="324" spans="1:11">
      <c r="A324" s="105">
        <v>40742</v>
      </c>
      <c r="B324" s="156">
        <v>0.18625</v>
      </c>
      <c r="D324" s="105">
        <v>41635</v>
      </c>
      <c r="E324">
        <v>0.24660000000000001</v>
      </c>
      <c r="F324" s="105">
        <v>41635</v>
      </c>
      <c r="G324">
        <v>0.34899999999999998</v>
      </c>
      <c r="H324" s="105">
        <v>40959</v>
      </c>
      <c r="I324">
        <v>0.89964999999999995</v>
      </c>
      <c r="J324" s="105">
        <v>41635</v>
      </c>
      <c r="K324">
        <v>0.58309999999999995</v>
      </c>
    </row>
    <row r="325" spans="1:11">
      <c r="A325" s="105">
        <v>40743</v>
      </c>
      <c r="B325" s="156">
        <v>0.18625</v>
      </c>
      <c r="D325" s="105">
        <v>41632</v>
      </c>
      <c r="E325">
        <v>0.24685000000000001</v>
      </c>
      <c r="F325" s="105">
        <v>41632</v>
      </c>
      <c r="G325">
        <v>0.34939999999999999</v>
      </c>
      <c r="H325" s="105">
        <v>40956</v>
      </c>
      <c r="I325">
        <v>0.89964999999999995</v>
      </c>
      <c r="J325" s="105">
        <v>41632</v>
      </c>
      <c r="K325">
        <v>0.58360000000000001</v>
      </c>
    </row>
    <row r="326" spans="1:11">
      <c r="A326" s="105">
        <v>40744</v>
      </c>
      <c r="B326" s="156">
        <v>0.18725</v>
      </c>
      <c r="D326" s="105">
        <v>41631</v>
      </c>
      <c r="E326">
        <v>0.24585000000000001</v>
      </c>
      <c r="F326" s="105">
        <v>41631</v>
      </c>
      <c r="G326">
        <v>0.34939999999999999</v>
      </c>
      <c r="H326" s="105">
        <v>40955</v>
      </c>
      <c r="I326">
        <v>0.89964999999999995</v>
      </c>
      <c r="J326" s="105">
        <v>41631</v>
      </c>
      <c r="K326">
        <v>0.58360000000000001</v>
      </c>
    </row>
    <row r="327" spans="1:11">
      <c r="A327" s="105">
        <v>40745</v>
      </c>
      <c r="B327" s="156">
        <v>0.18725</v>
      </c>
      <c r="D327" s="105">
        <v>41628</v>
      </c>
      <c r="E327">
        <v>0.24834999999999999</v>
      </c>
      <c r="F327" s="105">
        <v>41628</v>
      </c>
      <c r="G327">
        <v>0.35039999999999999</v>
      </c>
      <c r="H327" s="105">
        <v>40954</v>
      </c>
      <c r="I327">
        <v>0.89864999999999995</v>
      </c>
      <c r="J327" s="105">
        <v>41628</v>
      </c>
      <c r="K327">
        <v>0.58409999999999995</v>
      </c>
    </row>
    <row r="328" spans="1:11">
      <c r="A328" s="105">
        <v>40746</v>
      </c>
      <c r="B328" s="156">
        <v>0.18725</v>
      </c>
      <c r="D328" s="105">
        <v>41627</v>
      </c>
      <c r="E328">
        <v>0.24585000000000001</v>
      </c>
      <c r="F328" s="105">
        <v>41627</v>
      </c>
      <c r="G328">
        <v>0.34789999999999999</v>
      </c>
      <c r="H328" s="105">
        <v>40953</v>
      </c>
      <c r="I328">
        <v>0.90015000000000001</v>
      </c>
      <c r="J328" s="105">
        <v>41627</v>
      </c>
      <c r="K328">
        <v>0.5806</v>
      </c>
    </row>
    <row r="329" spans="1:11">
      <c r="A329" s="105">
        <v>40749</v>
      </c>
      <c r="B329" s="156">
        <v>0.18725</v>
      </c>
      <c r="D329" s="105">
        <v>41626</v>
      </c>
      <c r="E329">
        <v>0.24510000000000001</v>
      </c>
      <c r="F329" s="105">
        <v>41626</v>
      </c>
      <c r="G329">
        <v>0.34689999999999999</v>
      </c>
      <c r="H329" s="105">
        <v>40952</v>
      </c>
      <c r="I329">
        <v>0.90039999999999998</v>
      </c>
      <c r="J329" s="105">
        <v>41626</v>
      </c>
      <c r="K329">
        <v>0.57809999999999995</v>
      </c>
    </row>
    <row r="330" spans="1:11">
      <c r="A330" s="105">
        <v>40750</v>
      </c>
      <c r="B330" s="156">
        <v>0.18725</v>
      </c>
      <c r="D330" s="105">
        <v>41625</v>
      </c>
      <c r="E330">
        <v>0.24435000000000001</v>
      </c>
      <c r="F330" s="105">
        <v>41625</v>
      </c>
      <c r="G330">
        <v>0.34789999999999999</v>
      </c>
      <c r="H330" s="105">
        <v>40949</v>
      </c>
      <c r="I330">
        <v>0.90339999999999998</v>
      </c>
      <c r="J330" s="105">
        <v>41625</v>
      </c>
      <c r="K330">
        <v>0.5806</v>
      </c>
    </row>
    <row r="331" spans="1:11">
      <c r="A331" s="105">
        <v>40751</v>
      </c>
      <c r="B331" s="156">
        <v>0.18725</v>
      </c>
      <c r="D331" s="105">
        <v>41624</v>
      </c>
      <c r="E331">
        <v>0.24285000000000001</v>
      </c>
      <c r="F331" s="105">
        <v>41624</v>
      </c>
      <c r="G331">
        <v>0.34539999999999998</v>
      </c>
      <c r="H331" s="105">
        <v>40948</v>
      </c>
      <c r="I331">
        <v>0.90490000000000004</v>
      </c>
      <c r="J331" s="105">
        <v>41624</v>
      </c>
      <c r="K331">
        <v>0.5796</v>
      </c>
    </row>
    <row r="332" spans="1:11">
      <c r="A332" s="105">
        <v>40752</v>
      </c>
      <c r="B332" s="156">
        <v>0.18825</v>
      </c>
      <c r="D332" s="105">
        <v>41621</v>
      </c>
      <c r="E332">
        <v>0.24385000000000001</v>
      </c>
      <c r="F332" s="105">
        <v>41621</v>
      </c>
      <c r="G332">
        <v>0.34539999999999998</v>
      </c>
      <c r="H332" s="105">
        <v>40947</v>
      </c>
      <c r="I332">
        <v>0.90905000000000002</v>
      </c>
      <c r="J332" s="105">
        <v>41621</v>
      </c>
      <c r="K332">
        <v>0.5806</v>
      </c>
    </row>
    <row r="333" spans="1:11">
      <c r="A333" s="105">
        <v>40753</v>
      </c>
      <c r="B333" s="156">
        <v>0.19109999999999999</v>
      </c>
      <c r="D333" s="105">
        <v>41620</v>
      </c>
      <c r="E333">
        <v>0.24285000000000001</v>
      </c>
      <c r="F333" s="105">
        <v>41620</v>
      </c>
      <c r="G333">
        <v>0.34410000000000002</v>
      </c>
      <c r="H333" s="105">
        <v>40946</v>
      </c>
      <c r="I333">
        <v>0.9133</v>
      </c>
      <c r="J333" s="105">
        <v>41620</v>
      </c>
      <c r="K333">
        <v>0.57630000000000003</v>
      </c>
    </row>
    <row r="334" spans="1:11">
      <c r="A334" s="105">
        <v>40756</v>
      </c>
      <c r="B334" s="156">
        <v>0.19206000000000001</v>
      </c>
      <c r="D334" s="105">
        <v>41619</v>
      </c>
      <c r="E334">
        <v>0.24385000000000001</v>
      </c>
      <c r="F334" s="105">
        <v>41619</v>
      </c>
      <c r="G334">
        <v>0.34379999999999999</v>
      </c>
      <c r="H334" s="105">
        <v>40945</v>
      </c>
      <c r="I334">
        <v>0.91554999999999997</v>
      </c>
      <c r="J334" s="105">
        <v>41619</v>
      </c>
      <c r="K334">
        <v>0.57430000000000003</v>
      </c>
    </row>
    <row r="335" spans="1:11">
      <c r="A335" s="105">
        <v>40757</v>
      </c>
      <c r="B335" s="156">
        <v>0.20083000000000001</v>
      </c>
      <c r="D335" s="105">
        <v>41618</v>
      </c>
      <c r="E335">
        <v>0.24185000000000001</v>
      </c>
      <c r="F335" s="105">
        <v>41618</v>
      </c>
      <c r="G335">
        <v>0.34399999999999997</v>
      </c>
      <c r="H335" s="105">
        <v>40942</v>
      </c>
      <c r="I335">
        <v>0.91679999999999995</v>
      </c>
      <c r="J335" s="105">
        <v>41618</v>
      </c>
      <c r="K335">
        <v>0.57330000000000003</v>
      </c>
    </row>
    <row r="336" spans="1:11">
      <c r="A336" s="105">
        <v>40758</v>
      </c>
      <c r="B336" s="156">
        <v>0.20555999999999999</v>
      </c>
      <c r="D336" s="105">
        <v>41617</v>
      </c>
      <c r="E336">
        <v>0.24260000000000001</v>
      </c>
      <c r="F336" s="105">
        <v>41617</v>
      </c>
      <c r="G336">
        <v>0.34200000000000003</v>
      </c>
      <c r="H336" s="105">
        <v>40941</v>
      </c>
      <c r="I336">
        <v>0.91830000000000001</v>
      </c>
      <c r="J336" s="105">
        <v>41617</v>
      </c>
      <c r="K336">
        <v>0.5736</v>
      </c>
    </row>
    <row r="337" spans="1:11">
      <c r="A337" s="105">
        <v>40759</v>
      </c>
      <c r="B337" s="156">
        <v>0.20505999999999999</v>
      </c>
      <c r="D337" s="105">
        <v>41614</v>
      </c>
      <c r="E337">
        <v>0.24085000000000001</v>
      </c>
      <c r="F337" s="105">
        <v>41614</v>
      </c>
      <c r="G337">
        <v>0.34449999999999997</v>
      </c>
      <c r="H337" s="105">
        <v>40940</v>
      </c>
      <c r="I337">
        <v>0.92279999999999995</v>
      </c>
      <c r="J337" s="105">
        <v>41614</v>
      </c>
      <c r="K337">
        <v>0.57669999999999999</v>
      </c>
    </row>
    <row r="338" spans="1:11">
      <c r="A338" s="105">
        <v>40760</v>
      </c>
      <c r="B338" s="156">
        <v>0.20549999999999999</v>
      </c>
      <c r="D338" s="105">
        <v>41613</v>
      </c>
      <c r="E338">
        <v>0.24160000000000001</v>
      </c>
      <c r="F338" s="105">
        <v>41613</v>
      </c>
      <c r="G338">
        <v>0.34599999999999997</v>
      </c>
      <c r="H338" s="105">
        <v>40939</v>
      </c>
      <c r="I338">
        <v>0.92730000000000001</v>
      </c>
      <c r="J338" s="105">
        <v>41613</v>
      </c>
      <c r="K338">
        <v>0.57720000000000005</v>
      </c>
    </row>
    <row r="339" spans="1:11">
      <c r="A339" s="105">
        <v>40763</v>
      </c>
      <c r="B339" s="156">
        <v>0.20577999999999999</v>
      </c>
      <c r="D339" s="105">
        <v>41612</v>
      </c>
      <c r="E339">
        <v>0.24185000000000001</v>
      </c>
      <c r="F339" s="105">
        <v>41612</v>
      </c>
      <c r="G339">
        <v>0.34449999999999997</v>
      </c>
      <c r="H339" s="105">
        <v>40938</v>
      </c>
      <c r="I339">
        <v>0.93005000000000004</v>
      </c>
      <c r="J339" s="105">
        <v>41612</v>
      </c>
      <c r="K339">
        <v>0.57669999999999999</v>
      </c>
    </row>
    <row r="340" spans="1:11">
      <c r="A340" s="105">
        <v>40764</v>
      </c>
      <c r="B340" s="156">
        <v>0.20799999999999999</v>
      </c>
      <c r="D340" s="105">
        <v>41611</v>
      </c>
      <c r="E340">
        <v>0.24129999999999999</v>
      </c>
      <c r="F340" s="105">
        <v>41611</v>
      </c>
      <c r="G340">
        <v>0.34449999999999997</v>
      </c>
      <c r="H340" s="105">
        <v>40935</v>
      </c>
      <c r="I340">
        <v>0.93279999999999996</v>
      </c>
      <c r="J340" s="105">
        <v>41611</v>
      </c>
      <c r="K340">
        <v>0.57569999999999999</v>
      </c>
    </row>
    <row r="341" spans="1:11">
      <c r="A341" s="105">
        <v>40765</v>
      </c>
      <c r="B341" s="156">
        <v>0.20710999999999999</v>
      </c>
      <c r="D341" s="105">
        <v>41610</v>
      </c>
      <c r="E341">
        <v>0.23885000000000001</v>
      </c>
      <c r="F341" s="105">
        <v>41610</v>
      </c>
      <c r="G341">
        <v>0.3463</v>
      </c>
      <c r="H341" s="105">
        <v>40934</v>
      </c>
      <c r="I341">
        <v>0.93530000000000002</v>
      </c>
      <c r="J341" s="105">
        <v>41610</v>
      </c>
      <c r="K341">
        <v>0.57699999999999996</v>
      </c>
    </row>
    <row r="342" spans="1:11">
      <c r="A342" s="105">
        <v>40766</v>
      </c>
      <c r="B342" s="156">
        <v>0.20721999999999999</v>
      </c>
      <c r="D342" s="105">
        <v>41607</v>
      </c>
      <c r="E342">
        <v>0.23910000000000001</v>
      </c>
      <c r="F342" s="105">
        <v>41607</v>
      </c>
      <c r="G342">
        <v>0.3468</v>
      </c>
      <c r="H342" s="105">
        <v>40933</v>
      </c>
      <c r="I342">
        <v>0.94155</v>
      </c>
      <c r="J342" s="105">
        <v>41607</v>
      </c>
      <c r="K342">
        <v>0.57799999999999996</v>
      </c>
    </row>
    <row r="343" spans="1:11">
      <c r="A343" s="105">
        <v>40767</v>
      </c>
      <c r="B343" s="156">
        <v>0.20832999999999999</v>
      </c>
      <c r="D343" s="105">
        <v>41606</v>
      </c>
      <c r="E343">
        <v>0.23910000000000001</v>
      </c>
      <c r="F343" s="105">
        <v>41606</v>
      </c>
      <c r="G343">
        <v>0.34549999999999997</v>
      </c>
      <c r="H343" s="105">
        <v>40932</v>
      </c>
      <c r="I343">
        <v>0.94205000000000005</v>
      </c>
      <c r="J343" s="105">
        <v>41606</v>
      </c>
      <c r="K343">
        <v>0.57799999999999996</v>
      </c>
    </row>
    <row r="344" spans="1:11">
      <c r="A344" s="105">
        <v>40770</v>
      </c>
      <c r="B344" s="156">
        <v>0.21021999999999999</v>
      </c>
      <c r="D344" s="105">
        <v>41605</v>
      </c>
      <c r="E344">
        <v>0.23760000000000001</v>
      </c>
      <c r="F344" s="105">
        <v>41605</v>
      </c>
      <c r="G344">
        <v>0.34599999999999997</v>
      </c>
      <c r="H344" s="105">
        <v>40931</v>
      </c>
      <c r="I344">
        <v>0.94455</v>
      </c>
      <c r="J344" s="105">
        <v>41605</v>
      </c>
      <c r="K344">
        <v>0.57809999999999995</v>
      </c>
    </row>
    <row r="345" spans="1:11">
      <c r="A345" s="105">
        <v>40771</v>
      </c>
      <c r="B345" s="156">
        <v>0.21021999999999999</v>
      </c>
      <c r="D345" s="105">
        <v>41604</v>
      </c>
      <c r="E345">
        <v>0.2366</v>
      </c>
      <c r="F345" s="105">
        <v>41604</v>
      </c>
      <c r="G345">
        <v>0.34410000000000002</v>
      </c>
      <c r="H345" s="105">
        <v>40928</v>
      </c>
      <c r="I345">
        <v>0.94504999999999995</v>
      </c>
      <c r="J345" s="105">
        <v>41604</v>
      </c>
      <c r="K345">
        <v>0.5756</v>
      </c>
    </row>
    <row r="346" spans="1:11">
      <c r="A346" s="105">
        <v>40772</v>
      </c>
      <c r="B346" s="156">
        <v>0.21243999999999999</v>
      </c>
      <c r="D346" s="105">
        <v>41603</v>
      </c>
      <c r="E346">
        <v>0.23585</v>
      </c>
      <c r="F346" s="105">
        <v>41603</v>
      </c>
      <c r="G346">
        <v>0.34489999999999998</v>
      </c>
      <c r="H346" s="105">
        <v>40927</v>
      </c>
      <c r="I346">
        <v>0.94564999999999999</v>
      </c>
      <c r="J346" s="105">
        <v>41603</v>
      </c>
      <c r="K346">
        <v>0.5736</v>
      </c>
    </row>
    <row r="347" spans="1:11">
      <c r="A347" s="105">
        <v>40773</v>
      </c>
      <c r="B347" s="156">
        <v>0.21299999999999999</v>
      </c>
      <c r="D347" s="105">
        <v>41600</v>
      </c>
      <c r="E347">
        <v>0.2366</v>
      </c>
      <c r="F347" s="105">
        <v>41600</v>
      </c>
      <c r="G347">
        <v>0.34589999999999999</v>
      </c>
      <c r="H347" s="105">
        <v>40926</v>
      </c>
      <c r="I347">
        <v>0.94464999999999999</v>
      </c>
      <c r="J347" s="105">
        <v>41600</v>
      </c>
      <c r="K347">
        <v>0.57410000000000005</v>
      </c>
    </row>
    <row r="348" spans="1:11">
      <c r="A348" s="105">
        <v>40774</v>
      </c>
      <c r="B348" s="156">
        <v>0.21543999999999999</v>
      </c>
      <c r="D348" s="105">
        <v>41599</v>
      </c>
      <c r="E348">
        <v>0.23760000000000001</v>
      </c>
      <c r="F348" s="105">
        <v>41599</v>
      </c>
      <c r="G348">
        <v>0.34689999999999999</v>
      </c>
      <c r="H348" s="105">
        <v>40925</v>
      </c>
      <c r="I348">
        <v>0.94574999999999998</v>
      </c>
      <c r="J348" s="105">
        <v>41599</v>
      </c>
      <c r="K348">
        <v>0.5756</v>
      </c>
    </row>
    <row r="349" spans="1:11">
      <c r="A349" s="105">
        <v>40777</v>
      </c>
      <c r="B349" s="156">
        <v>0.21678</v>
      </c>
      <c r="D349" s="105">
        <v>41598</v>
      </c>
      <c r="E349">
        <v>0.23810000000000001</v>
      </c>
      <c r="F349" s="105">
        <v>41598</v>
      </c>
      <c r="G349">
        <v>0.34989999999999999</v>
      </c>
      <c r="H349" s="105">
        <v>40924</v>
      </c>
      <c r="I349">
        <v>0.94684999999999997</v>
      </c>
      <c r="J349" s="105">
        <v>41598</v>
      </c>
      <c r="K349">
        <v>0.58409999999999995</v>
      </c>
    </row>
    <row r="350" spans="1:11">
      <c r="A350" s="105">
        <v>40778</v>
      </c>
      <c r="B350" s="156">
        <v>0.21839</v>
      </c>
      <c r="D350" s="105">
        <v>41597</v>
      </c>
      <c r="E350">
        <v>0.23910000000000001</v>
      </c>
      <c r="F350" s="105">
        <v>41597</v>
      </c>
      <c r="G350">
        <v>0.35189999999999999</v>
      </c>
      <c r="H350" s="105">
        <v>40921</v>
      </c>
      <c r="I350">
        <v>0.94804999999999995</v>
      </c>
      <c r="J350" s="105">
        <v>41597</v>
      </c>
      <c r="K350">
        <v>0.58460000000000001</v>
      </c>
    </row>
    <row r="351" spans="1:11">
      <c r="A351" s="105">
        <v>40779</v>
      </c>
      <c r="B351" s="156">
        <v>0.21894</v>
      </c>
      <c r="D351" s="105">
        <v>41596</v>
      </c>
      <c r="E351">
        <v>0.23735000000000001</v>
      </c>
      <c r="F351" s="105">
        <v>41596</v>
      </c>
      <c r="G351">
        <v>0.35139999999999999</v>
      </c>
      <c r="H351" s="105">
        <v>40920</v>
      </c>
      <c r="I351">
        <v>0.95504999999999995</v>
      </c>
      <c r="J351" s="105">
        <v>41596</v>
      </c>
      <c r="K351">
        <v>0.58509999999999995</v>
      </c>
    </row>
    <row r="352" spans="1:11">
      <c r="A352" s="105">
        <v>40780</v>
      </c>
      <c r="B352" s="156">
        <v>0.22083</v>
      </c>
      <c r="D352" s="105">
        <v>41593</v>
      </c>
      <c r="E352">
        <v>0.23810000000000001</v>
      </c>
      <c r="F352" s="105">
        <v>41593</v>
      </c>
      <c r="G352">
        <v>0.35139999999999999</v>
      </c>
      <c r="H352" s="105">
        <v>40919</v>
      </c>
      <c r="I352">
        <v>0.95994999999999997</v>
      </c>
      <c r="J352" s="105">
        <v>41593</v>
      </c>
      <c r="K352">
        <v>0.58409999999999995</v>
      </c>
    </row>
    <row r="353" spans="1:11">
      <c r="A353" s="105">
        <v>40781</v>
      </c>
      <c r="B353" s="156">
        <v>0.22094</v>
      </c>
      <c r="D353" s="105">
        <v>41592</v>
      </c>
      <c r="E353">
        <v>0.23845</v>
      </c>
      <c r="F353" s="105">
        <v>41592</v>
      </c>
      <c r="G353">
        <v>0.35349999999999998</v>
      </c>
      <c r="H353" s="105">
        <v>40918</v>
      </c>
      <c r="I353">
        <v>0.96189999999999998</v>
      </c>
      <c r="J353" s="105">
        <v>41592</v>
      </c>
      <c r="K353">
        <v>0.58809999999999996</v>
      </c>
    </row>
    <row r="354" spans="1:11">
      <c r="A354" s="105">
        <v>40785</v>
      </c>
      <c r="B354" s="156">
        <v>0.2215</v>
      </c>
      <c r="D354" s="105">
        <v>41591</v>
      </c>
      <c r="E354">
        <v>0.24060000000000001</v>
      </c>
      <c r="F354" s="105">
        <v>41591</v>
      </c>
      <c r="G354">
        <v>0.35539999999999999</v>
      </c>
      <c r="H354" s="105">
        <v>40917</v>
      </c>
      <c r="I354">
        <v>0.96409999999999996</v>
      </c>
      <c r="J354" s="105">
        <v>41591</v>
      </c>
      <c r="K354">
        <v>0.59160000000000001</v>
      </c>
    </row>
    <row r="355" spans="1:11">
      <c r="A355" s="105">
        <v>40786</v>
      </c>
      <c r="B355" s="156">
        <v>0.2215</v>
      </c>
      <c r="D355" s="105">
        <v>41590</v>
      </c>
      <c r="E355">
        <v>0.23924999999999999</v>
      </c>
      <c r="F355" s="105">
        <v>41590</v>
      </c>
      <c r="G355">
        <v>0.35485</v>
      </c>
      <c r="H355" s="105">
        <v>40914</v>
      </c>
      <c r="I355">
        <v>0.9677</v>
      </c>
      <c r="J355" s="105">
        <v>41590</v>
      </c>
      <c r="K355">
        <v>0.59050000000000002</v>
      </c>
    </row>
    <row r="356" spans="1:11">
      <c r="A356" s="105">
        <v>40787</v>
      </c>
      <c r="B356" s="156">
        <v>0.2215</v>
      </c>
      <c r="D356" s="105">
        <v>41589</v>
      </c>
      <c r="E356">
        <v>0.23924999999999999</v>
      </c>
      <c r="F356" s="105">
        <v>41589</v>
      </c>
      <c r="G356">
        <v>0.35460000000000003</v>
      </c>
      <c r="H356" s="105">
        <v>40913</v>
      </c>
      <c r="I356">
        <v>0.9677</v>
      </c>
      <c r="J356" s="105">
        <v>41589</v>
      </c>
      <c r="K356">
        <v>0.59499999999999997</v>
      </c>
    </row>
    <row r="357" spans="1:11">
      <c r="A357" s="105">
        <v>40788</v>
      </c>
      <c r="B357" s="156">
        <v>0.22178</v>
      </c>
      <c r="D357" s="105">
        <v>41586</v>
      </c>
      <c r="E357">
        <v>0.2394</v>
      </c>
      <c r="F357" s="105">
        <v>41586</v>
      </c>
      <c r="G357">
        <v>0.35449999999999998</v>
      </c>
      <c r="H357" s="105">
        <v>40912</v>
      </c>
      <c r="I357">
        <v>0.9667</v>
      </c>
      <c r="J357" s="105">
        <v>41586</v>
      </c>
      <c r="K357">
        <v>0.59475</v>
      </c>
    </row>
    <row r="358" spans="1:11">
      <c r="A358" s="105">
        <v>40791</v>
      </c>
      <c r="B358" s="156">
        <v>0.22439000000000001</v>
      </c>
      <c r="D358" s="105">
        <v>41585</v>
      </c>
      <c r="E358">
        <v>0.2389</v>
      </c>
      <c r="F358" s="105">
        <v>41585</v>
      </c>
      <c r="G358">
        <v>0.35425000000000001</v>
      </c>
      <c r="H358" s="105">
        <v>40911</v>
      </c>
      <c r="I358">
        <v>0.96640000000000004</v>
      </c>
      <c r="J358" s="105">
        <v>41585</v>
      </c>
      <c r="K358">
        <v>0.59699999999999998</v>
      </c>
    </row>
    <row r="359" spans="1:11">
      <c r="A359" s="105">
        <v>40792</v>
      </c>
      <c r="B359" s="156">
        <v>0.22600000000000001</v>
      </c>
      <c r="D359" s="105">
        <v>41584</v>
      </c>
      <c r="E359">
        <v>0.23865</v>
      </c>
      <c r="F359" s="105">
        <v>41584</v>
      </c>
      <c r="G359">
        <v>0.35375000000000001</v>
      </c>
      <c r="H359" s="105">
        <v>40907</v>
      </c>
      <c r="I359">
        <v>0.96589999999999998</v>
      </c>
      <c r="J359" s="105">
        <v>41584</v>
      </c>
      <c r="K359">
        <v>0.59750000000000003</v>
      </c>
    </row>
    <row r="360" spans="1:11">
      <c r="A360" s="105">
        <v>40793</v>
      </c>
      <c r="B360" s="156">
        <v>0.22611000000000001</v>
      </c>
      <c r="D360" s="105">
        <v>41583</v>
      </c>
      <c r="E360">
        <v>0.23769999999999999</v>
      </c>
      <c r="F360" s="105">
        <v>41583</v>
      </c>
      <c r="G360">
        <v>0.35160000000000002</v>
      </c>
      <c r="H360" s="105">
        <v>40906</v>
      </c>
      <c r="I360">
        <v>0.96640000000000004</v>
      </c>
      <c r="J360" s="105">
        <v>41583</v>
      </c>
      <c r="K360">
        <v>0.59609999999999996</v>
      </c>
    </row>
    <row r="361" spans="1:11">
      <c r="A361" s="105">
        <v>40794</v>
      </c>
      <c r="B361" s="156">
        <v>0.22500000000000001</v>
      </c>
      <c r="D361" s="105">
        <v>41582</v>
      </c>
      <c r="E361">
        <v>0.23810000000000001</v>
      </c>
      <c r="F361" s="105">
        <v>41582</v>
      </c>
      <c r="G361">
        <v>0.35275000000000001</v>
      </c>
      <c r="H361" s="105">
        <v>40905</v>
      </c>
      <c r="I361">
        <v>0.96499999999999997</v>
      </c>
      <c r="J361" s="105">
        <v>41582</v>
      </c>
      <c r="K361">
        <v>0.59709999999999996</v>
      </c>
    </row>
    <row r="362" spans="1:11">
      <c r="A362" s="105">
        <v>40795</v>
      </c>
      <c r="B362" s="156">
        <v>0.22611000000000001</v>
      </c>
      <c r="D362" s="105">
        <v>41579</v>
      </c>
      <c r="E362">
        <v>0.23774999999999999</v>
      </c>
      <c r="F362" s="105">
        <v>41579</v>
      </c>
      <c r="G362">
        <v>0.35349999999999998</v>
      </c>
      <c r="H362" s="105">
        <v>40900</v>
      </c>
      <c r="I362">
        <v>0.9607</v>
      </c>
      <c r="J362" s="105">
        <v>41579</v>
      </c>
      <c r="K362">
        <v>0.60160000000000002</v>
      </c>
    </row>
    <row r="363" spans="1:11">
      <c r="A363" s="105">
        <v>40798</v>
      </c>
      <c r="B363" s="156">
        <v>0.22861000000000001</v>
      </c>
      <c r="D363" s="105">
        <v>41578</v>
      </c>
      <c r="E363">
        <v>0.24199999999999999</v>
      </c>
      <c r="F363" s="105">
        <v>41578</v>
      </c>
      <c r="G363">
        <v>0.35489999999999999</v>
      </c>
      <c r="H363" s="105">
        <v>40899</v>
      </c>
      <c r="I363">
        <v>0.95820000000000005</v>
      </c>
      <c r="J363" s="105">
        <v>41578</v>
      </c>
      <c r="K363">
        <v>0.60260000000000002</v>
      </c>
    </row>
    <row r="364" spans="1:11">
      <c r="A364" s="105">
        <v>40799</v>
      </c>
      <c r="B364" s="156">
        <v>0.22900000000000001</v>
      </c>
      <c r="D364" s="105">
        <v>41577</v>
      </c>
      <c r="E364">
        <v>0.2419</v>
      </c>
      <c r="F364" s="105">
        <v>41577</v>
      </c>
      <c r="G364">
        <v>0.35489999999999999</v>
      </c>
      <c r="H364" s="105">
        <v>40898</v>
      </c>
      <c r="I364">
        <v>0.95569999999999999</v>
      </c>
      <c r="J364" s="105">
        <v>41577</v>
      </c>
      <c r="K364">
        <v>0.60360000000000003</v>
      </c>
    </row>
    <row r="365" spans="1:11">
      <c r="A365" s="105">
        <v>40800</v>
      </c>
      <c r="B365" s="156">
        <v>0.22939000000000001</v>
      </c>
      <c r="D365" s="105">
        <v>41576</v>
      </c>
      <c r="E365">
        <v>0.23744999999999999</v>
      </c>
      <c r="F365" s="105">
        <v>41576</v>
      </c>
      <c r="G365">
        <v>0.35539999999999999</v>
      </c>
      <c r="H365" s="105">
        <v>40897</v>
      </c>
      <c r="I365">
        <v>0.95520000000000005</v>
      </c>
      <c r="J365" s="105">
        <v>41576</v>
      </c>
      <c r="K365">
        <v>0.60509999999999997</v>
      </c>
    </row>
    <row r="366" spans="1:11">
      <c r="A366" s="105">
        <v>40801</v>
      </c>
      <c r="B366" s="156">
        <v>0.22994000000000001</v>
      </c>
      <c r="D366" s="105">
        <v>41575</v>
      </c>
      <c r="E366">
        <v>0.23585</v>
      </c>
      <c r="F366" s="105">
        <v>41575</v>
      </c>
      <c r="G366">
        <v>0.3538</v>
      </c>
      <c r="H366" s="105">
        <v>40896</v>
      </c>
      <c r="I366">
        <v>0.95220000000000005</v>
      </c>
      <c r="J366" s="105">
        <v>41575</v>
      </c>
      <c r="K366">
        <v>0.60560000000000003</v>
      </c>
    </row>
    <row r="367" spans="1:11">
      <c r="A367" s="105">
        <v>40802</v>
      </c>
      <c r="B367" s="156">
        <v>0.23050000000000001</v>
      </c>
      <c r="D367" s="105">
        <v>41572</v>
      </c>
      <c r="E367">
        <v>0.23685</v>
      </c>
      <c r="F367" s="105">
        <v>41572</v>
      </c>
      <c r="G367">
        <v>0.35389999999999999</v>
      </c>
      <c r="H367" s="105">
        <v>40893</v>
      </c>
      <c r="I367">
        <v>0.94669999999999999</v>
      </c>
      <c r="J367" s="105">
        <v>41572</v>
      </c>
      <c r="K367">
        <v>0.60570000000000002</v>
      </c>
    </row>
    <row r="368" spans="1:11">
      <c r="A368" s="105">
        <v>40805</v>
      </c>
      <c r="B368" s="156">
        <v>0.23072000000000001</v>
      </c>
      <c r="D368" s="105">
        <v>41571</v>
      </c>
      <c r="E368">
        <v>0.23810000000000001</v>
      </c>
      <c r="F368" s="105">
        <v>41571</v>
      </c>
      <c r="G368">
        <v>0.35620000000000002</v>
      </c>
      <c r="H368" s="105">
        <v>40892</v>
      </c>
      <c r="I368">
        <v>0.94220000000000004</v>
      </c>
      <c r="J368" s="105">
        <v>41571</v>
      </c>
      <c r="K368">
        <v>0.60660000000000003</v>
      </c>
    </row>
    <row r="369" spans="1:11">
      <c r="A369" s="105">
        <v>40806</v>
      </c>
      <c r="B369" s="156">
        <v>0.23183000000000001</v>
      </c>
      <c r="D369" s="105">
        <v>41570</v>
      </c>
      <c r="E369">
        <v>0.23835000000000001</v>
      </c>
      <c r="F369" s="105">
        <v>41570</v>
      </c>
      <c r="G369">
        <v>0.35570000000000002</v>
      </c>
      <c r="H369" s="105">
        <v>40891</v>
      </c>
      <c r="I369">
        <v>0.93600000000000005</v>
      </c>
      <c r="J369" s="105">
        <v>41570</v>
      </c>
      <c r="K369">
        <v>0.60860000000000003</v>
      </c>
    </row>
    <row r="370" spans="1:11">
      <c r="A370" s="105">
        <v>40807</v>
      </c>
      <c r="B370" s="156">
        <v>0.23350000000000001</v>
      </c>
      <c r="D370" s="105">
        <v>41569</v>
      </c>
      <c r="E370">
        <v>0.23835000000000001</v>
      </c>
      <c r="F370" s="105">
        <v>41569</v>
      </c>
      <c r="G370">
        <v>0.3584</v>
      </c>
      <c r="H370" s="105">
        <v>40890</v>
      </c>
      <c r="I370">
        <v>0.92749999999999999</v>
      </c>
      <c r="J370" s="105">
        <v>41569</v>
      </c>
      <c r="K370">
        <v>0.61260000000000003</v>
      </c>
    </row>
    <row r="371" spans="1:11">
      <c r="A371" s="105">
        <v>40808</v>
      </c>
      <c r="B371" s="156">
        <v>0.23455999999999999</v>
      </c>
      <c r="D371" s="105">
        <v>41568</v>
      </c>
      <c r="E371">
        <v>0.23860000000000001</v>
      </c>
      <c r="F371" s="105">
        <v>41568</v>
      </c>
      <c r="G371">
        <v>0.3584</v>
      </c>
      <c r="H371" s="105">
        <v>40889</v>
      </c>
      <c r="I371">
        <v>0.92149999999999999</v>
      </c>
      <c r="J371" s="105">
        <v>41568</v>
      </c>
      <c r="K371">
        <v>0.61309999999999998</v>
      </c>
    </row>
    <row r="372" spans="1:11">
      <c r="A372" s="105">
        <v>40809</v>
      </c>
      <c r="B372" s="156">
        <v>0.23577999999999999</v>
      </c>
      <c r="D372" s="105">
        <v>41565</v>
      </c>
      <c r="E372">
        <v>0.24055000000000001</v>
      </c>
      <c r="F372" s="105">
        <v>41565</v>
      </c>
      <c r="G372">
        <v>0.3599</v>
      </c>
      <c r="H372" s="105">
        <v>40886</v>
      </c>
      <c r="I372">
        <v>0.91749999999999998</v>
      </c>
      <c r="J372" s="105">
        <v>41565</v>
      </c>
      <c r="K372">
        <v>0.61409999999999998</v>
      </c>
    </row>
    <row r="373" spans="1:11">
      <c r="A373" s="105">
        <v>40812</v>
      </c>
      <c r="B373" s="156">
        <v>0.23744000000000001</v>
      </c>
      <c r="D373" s="105">
        <v>41564</v>
      </c>
      <c r="E373">
        <v>0.24204999999999999</v>
      </c>
      <c r="F373" s="105">
        <v>41564</v>
      </c>
      <c r="G373">
        <v>0.3594</v>
      </c>
      <c r="H373" s="105">
        <v>40885</v>
      </c>
      <c r="I373">
        <v>0.91549999999999998</v>
      </c>
      <c r="J373" s="105">
        <v>41564</v>
      </c>
      <c r="K373">
        <v>0.62009999999999998</v>
      </c>
    </row>
    <row r="374" spans="1:11">
      <c r="A374" s="105">
        <v>40813</v>
      </c>
      <c r="B374" s="156">
        <v>0.23877999999999999</v>
      </c>
      <c r="D374" s="105">
        <v>41563</v>
      </c>
      <c r="E374">
        <v>0.24604999999999999</v>
      </c>
      <c r="F374" s="105">
        <v>41563</v>
      </c>
      <c r="G374">
        <v>0.3644</v>
      </c>
      <c r="H374" s="105">
        <v>40884</v>
      </c>
      <c r="I374">
        <v>0.91574999999999995</v>
      </c>
      <c r="J374" s="105">
        <v>41563</v>
      </c>
      <c r="K374">
        <v>0.62960000000000005</v>
      </c>
    </row>
    <row r="375" spans="1:11">
      <c r="A375" s="105">
        <v>40814</v>
      </c>
      <c r="B375" s="156">
        <v>0.23888999999999999</v>
      </c>
      <c r="D375" s="105">
        <v>41562</v>
      </c>
      <c r="E375">
        <v>0.24354999999999999</v>
      </c>
      <c r="F375" s="105">
        <v>41562</v>
      </c>
      <c r="G375">
        <v>0.3634</v>
      </c>
      <c r="H375" s="105">
        <v>40883</v>
      </c>
      <c r="I375">
        <v>0.91549999999999998</v>
      </c>
      <c r="J375" s="105">
        <v>41562</v>
      </c>
      <c r="K375">
        <v>0.62909999999999999</v>
      </c>
    </row>
    <row r="376" spans="1:11">
      <c r="A376" s="105">
        <v>40815</v>
      </c>
      <c r="B376" s="156">
        <v>0.23943999999999999</v>
      </c>
      <c r="D376" s="105">
        <v>41561</v>
      </c>
      <c r="E376">
        <v>0.24579999999999999</v>
      </c>
      <c r="F376" s="105">
        <v>41561</v>
      </c>
      <c r="G376">
        <v>0.3644</v>
      </c>
      <c r="H376" s="105">
        <v>40882</v>
      </c>
      <c r="I376">
        <v>0.91049999999999998</v>
      </c>
      <c r="J376" s="105">
        <v>41561</v>
      </c>
      <c r="K376">
        <v>0.63160000000000005</v>
      </c>
    </row>
    <row r="377" spans="1:11">
      <c r="A377" s="105">
        <v>40816</v>
      </c>
      <c r="B377" s="156">
        <v>0.23943999999999999</v>
      </c>
      <c r="D377" s="105">
        <v>41558</v>
      </c>
      <c r="E377">
        <v>0.24360000000000001</v>
      </c>
      <c r="F377" s="105">
        <v>41558</v>
      </c>
      <c r="G377">
        <v>0.3634</v>
      </c>
      <c r="H377" s="105">
        <v>40879</v>
      </c>
      <c r="I377">
        <v>0.9</v>
      </c>
      <c r="J377" s="105">
        <v>41558</v>
      </c>
      <c r="K377">
        <v>0.62760000000000005</v>
      </c>
    </row>
    <row r="378" spans="1:11">
      <c r="A378" s="105">
        <v>40819</v>
      </c>
      <c r="B378" s="156">
        <v>0.24</v>
      </c>
      <c r="D378" s="105">
        <v>41557</v>
      </c>
      <c r="E378">
        <v>0.24310000000000001</v>
      </c>
      <c r="F378" s="105">
        <v>41557</v>
      </c>
      <c r="G378">
        <v>0.36614999999999998</v>
      </c>
      <c r="H378" s="105">
        <v>40878</v>
      </c>
      <c r="I378">
        <v>0.90088999999999997</v>
      </c>
      <c r="J378" s="105">
        <v>41557</v>
      </c>
      <c r="K378">
        <v>0.62709999999999999</v>
      </c>
    </row>
    <row r="379" spans="1:11">
      <c r="A379" s="105">
        <v>40820</v>
      </c>
      <c r="B379" s="156">
        <v>0.24110999999999999</v>
      </c>
      <c r="D379" s="105">
        <v>41556</v>
      </c>
      <c r="E379">
        <v>0.24560000000000001</v>
      </c>
      <c r="F379" s="105">
        <v>41556</v>
      </c>
      <c r="G379">
        <v>0.36864999999999998</v>
      </c>
      <c r="H379" s="105">
        <v>40877</v>
      </c>
      <c r="I379">
        <v>0.90866999999999998</v>
      </c>
      <c r="J379" s="105">
        <v>41556</v>
      </c>
      <c r="K379">
        <v>0.63109999999999999</v>
      </c>
    </row>
    <row r="380" spans="1:11">
      <c r="A380" s="105">
        <v>40821</v>
      </c>
      <c r="B380" s="156">
        <v>0.24067</v>
      </c>
      <c r="D380" s="105">
        <v>41555</v>
      </c>
      <c r="E380">
        <v>0.24360000000000001</v>
      </c>
      <c r="F380" s="105">
        <v>41555</v>
      </c>
      <c r="G380">
        <v>0.36614999999999998</v>
      </c>
      <c r="H380" s="105">
        <v>40876</v>
      </c>
      <c r="I380">
        <v>0.90500000000000003</v>
      </c>
      <c r="J380" s="105">
        <v>41555</v>
      </c>
      <c r="K380">
        <v>0.62334999999999996</v>
      </c>
    </row>
    <row r="381" spans="1:11">
      <c r="A381" s="105">
        <v>40822</v>
      </c>
      <c r="B381" s="156">
        <v>0.24232999999999999</v>
      </c>
      <c r="D381" s="105">
        <v>41554</v>
      </c>
      <c r="E381">
        <v>0.24335000000000001</v>
      </c>
      <c r="F381" s="105">
        <v>41554</v>
      </c>
      <c r="G381">
        <v>0.36575000000000002</v>
      </c>
      <c r="H381" s="105">
        <v>40875</v>
      </c>
      <c r="I381">
        <v>0.89888999999999997</v>
      </c>
      <c r="J381" s="105">
        <v>41554</v>
      </c>
      <c r="K381">
        <v>0.62085000000000001</v>
      </c>
    </row>
    <row r="382" spans="1:11">
      <c r="A382" s="105">
        <v>40823</v>
      </c>
      <c r="B382" s="156">
        <v>0.24288999999999999</v>
      </c>
      <c r="D382" s="105">
        <v>41551</v>
      </c>
      <c r="E382">
        <v>0.24285000000000001</v>
      </c>
      <c r="F382" s="105">
        <v>41551</v>
      </c>
      <c r="G382">
        <v>0.36499999999999999</v>
      </c>
      <c r="H382" s="105">
        <v>40872</v>
      </c>
      <c r="I382">
        <v>0.89056000000000002</v>
      </c>
      <c r="J382" s="105">
        <v>41551</v>
      </c>
      <c r="K382">
        <v>0.61860000000000004</v>
      </c>
    </row>
    <row r="383" spans="1:11">
      <c r="A383" s="105">
        <v>40826</v>
      </c>
      <c r="B383" s="156">
        <v>0.24299999999999999</v>
      </c>
      <c r="D383" s="105">
        <v>41550</v>
      </c>
      <c r="E383">
        <v>0.24285000000000001</v>
      </c>
      <c r="F383" s="105">
        <v>41550</v>
      </c>
      <c r="G383">
        <v>0.36549999999999999</v>
      </c>
      <c r="H383" s="105">
        <v>40871</v>
      </c>
      <c r="I383">
        <v>0.88610999999999995</v>
      </c>
      <c r="J383" s="105">
        <v>41550</v>
      </c>
      <c r="K383">
        <v>0.62265000000000004</v>
      </c>
    </row>
    <row r="384" spans="1:11">
      <c r="A384" s="105">
        <v>40827</v>
      </c>
      <c r="B384" s="156">
        <v>0.24310999999999999</v>
      </c>
      <c r="D384" s="105">
        <v>41549</v>
      </c>
      <c r="E384">
        <v>0.24435000000000001</v>
      </c>
      <c r="F384" s="105">
        <v>41549</v>
      </c>
      <c r="G384">
        <v>0.36675000000000002</v>
      </c>
      <c r="H384" s="105">
        <v>40870</v>
      </c>
      <c r="I384">
        <v>0.88</v>
      </c>
      <c r="J384" s="105">
        <v>41549</v>
      </c>
      <c r="K384">
        <v>0.62314999999999998</v>
      </c>
    </row>
    <row r="385" spans="1:11">
      <c r="A385" s="105">
        <v>40828</v>
      </c>
      <c r="B385" s="156">
        <v>0.24321999999999999</v>
      </c>
      <c r="D385" s="105">
        <v>41548</v>
      </c>
      <c r="E385">
        <v>0.24585000000000001</v>
      </c>
      <c r="F385" s="105">
        <v>41548</v>
      </c>
      <c r="G385">
        <v>0.36749999999999999</v>
      </c>
      <c r="H385" s="105">
        <v>40869</v>
      </c>
      <c r="I385">
        <v>0.87222</v>
      </c>
      <c r="J385" s="105">
        <v>41548</v>
      </c>
      <c r="K385">
        <v>0.62665000000000004</v>
      </c>
    </row>
    <row r="386" spans="1:11">
      <c r="A386" s="105">
        <v>40829</v>
      </c>
      <c r="B386" s="156">
        <v>0.24332999999999999</v>
      </c>
      <c r="D386" s="105">
        <v>41547</v>
      </c>
      <c r="E386">
        <v>0.24884999999999999</v>
      </c>
      <c r="F386" s="105">
        <v>41547</v>
      </c>
      <c r="G386">
        <v>0.36849999999999999</v>
      </c>
      <c r="H386" s="105">
        <v>40868</v>
      </c>
      <c r="I386">
        <v>0.86389000000000005</v>
      </c>
      <c r="J386" s="105">
        <v>41547</v>
      </c>
      <c r="K386">
        <v>0.62939999999999996</v>
      </c>
    </row>
    <row r="387" spans="1:11">
      <c r="A387" s="105">
        <v>40830</v>
      </c>
      <c r="B387" s="156">
        <v>0.24332999999999999</v>
      </c>
      <c r="D387" s="105">
        <v>41544</v>
      </c>
      <c r="E387">
        <v>0.24834999999999999</v>
      </c>
      <c r="F387" s="105">
        <v>41544</v>
      </c>
      <c r="G387">
        <v>0.36649999999999999</v>
      </c>
      <c r="H387" s="105">
        <v>40865</v>
      </c>
      <c r="I387">
        <v>0.85555999999999999</v>
      </c>
      <c r="J387" s="105">
        <v>41544</v>
      </c>
      <c r="K387">
        <v>0.62609999999999999</v>
      </c>
    </row>
    <row r="388" spans="1:11">
      <c r="A388" s="105">
        <v>40833</v>
      </c>
      <c r="B388" s="156">
        <v>0.24443999999999999</v>
      </c>
      <c r="D388" s="105">
        <v>41543</v>
      </c>
      <c r="E388">
        <v>0.24809999999999999</v>
      </c>
      <c r="F388" s="105">
        <v>41543</v>
      </c>
      <c r="G388">
        <v>0.36749999999999999</v>
      </c>
      <c r="H388" s="105">
        <v>40864</v>
      </c>
      <c r="I388">
        <v>0.84499999999999997</v>
      </c>
      <c r="J388" s="105">
        <v>41543</v>
      </c>
      <c r="K388">
        <v>0.63109999999999999</v>
      </c>
    </row>
    <row r="389" spans="1:11">
      <c r="A389" s="105">
        <v>40834</v>
      </c>
      <c r="B389" s="156">
        <v>0.24471999999999999</v>
      </c>
      <c r="D389" s="105">
        <v>41542</v>
      </c>
      <c r="E389">
        <v>0.24759999999999999</v>
      </c>
      <c r="F389" s="105">
        <v>41542</v>
      </c>
      <c r="G389">
        <v>0.36849999999999999</v>
      </c>
      <c r="H389" s="105">
        <v>40863</v>
      </c>
      <c r="I389">
        <v>0.83221999999999996</v>
      </c>
      <c r="J389" s="105">
        <v>41542</v>
      </c>
      <c r="K389">
        <v>0.6331</v>
      </c>
    </row>
    <row r="390" spans="1:11">
      <c r="A390" s="105">
        <v>40835</v>
      </c>
      <c r="B390" s="156">
        <v>0.24471999999999999</v>
      </c>
      <c r="D390" s="105">
        <v>41541</v>
      </c>
      <c r="E390">
        <v>0.25019999999999998</v>
      </c>
      <c r="F390" s="105">
        <v>41541</v>
      </c>
      <c r="G390">
        <v>0.3695</v>
      </c>
      <c r="H390" s="105">
        <v>40862</v>
      </c>
      <c r="I390">
        <v>0.82489000000000001</v>
      </c>
      <c r="J390" s="105">
        <v>41541</v>
      </c>
      <c r="K390">
        <v>0.6351</v>
      </c>
    </row>
    <row r="391" spans="1:11">
      <c r="A391" s="105">
        <v>40836</v>
      </c>
      <c r="B391" s="156">
        <v>0.24471999999999999</v>
      </c>
      <c r="D391" s="105">
        <v>41540</v>
      </c>
      <c r="E391">
        <v>0.25059999999999999</v>
      </c>
      <c r="F391" s="105">
        <v>41540</v>
      </c>
      <c r="G391">
        <v>0.3725</v>
      </c>
      <c r="H391" s="105">
        <v>40861</v>
      </c>
      <c r="I391">
        <v>0.81767000000000001</v>
      </c>
      <c r="J391" s="105">
        <v>41540</v>
      </c>
      <c r="K391">
        <v>0.63759999999999994</v>
      </c>
    </row>
    <row r="392" spans="1:11">
      <c r="A392" s="105">
        <v>40837</v>
      </c>
      <c r="B392" s="156">
        <v>0.24471999999999999</v>
      </c>
      <c r="D392" s="105">
        <v>41537</v>
      </c>
      <c r="E392">
        <v>0.24959999999999999</v>
      </c>
      <c r="F392" s="105">
        <v>41537</v>
      </c>
      <c r="G392">
        <v>0.37340000000000001</v>
      </c>
      <c r="H392" s="105">
        <v>40858</v>
      </c>
      <c r="I392">
        <v>0.81444000000000005</v>
      </c>
      <c r="J392" s="105">
        <v>41537</v>
      </c>
      <c r="K392">
        <v>0.63859999999999995</v>
      </c>
    </row>
    <row r="393" spans="1:11">
      <c r="A393" s="105">
        <v>40840</v>
      </c>
      <c r="B393" s="156">
        <v>0.24471999999999999</v>
      </c>
      <c r="D393" s="105">
        <v>41536</v>
      </c>
      <c r="E393">
        <v>0.25019999999999998</v>
      </c>
      <c r="F393" s="105">
        <v>41536</v>
      </c>
      <c r="G393">
        <v>0.37440000000000001</v>
      </c>
      <c r="H393" s="105">
        <v>40857</v>
      </c>
      <c r="I393">
        <v>0.80778000000000005</v>
      </c>
      <c r="J393" s="105">
        <v>41536</v>
      </c>
      <c r="K393">
        <v>0.63859999999999995</v>
      </c>
    </row>
    <row r="394" spans="1:11">
      <c r="A394" s="105">
        <v>40841</v>
      </c>
      <c r="B394" s="156">
        <v>0.24471999999999999</v>
      </c>
      <c r="D394" s="105">
        <v>41535</v>
      </c>
      <c r="E394">
        <v>0.25245000000000001</v>
      </c>
      <c r="F394" s="105">
        <v>41535</v>
      </c>
      <c r="G394">
        <v>0.37890000000000001</v>
      </c>
      <c r="H394" s="105">
        <v>40856</v>
      </c>
      <c r="I394">
        <v>0.80027999999999999</v>
      </c>
      <c r="J394" s="105">
        <v>41535</v>
      </c>
      <c r="K394">
        <v>0.65010000000000001</v>
      </c>
    </row>
    <row r="395" spans="1:11">
      <c r="A395" s="105">
        <v>40842</v>
      </c>
      <c r="B395" s="156">
        <v>0.24582999999999999</v>
      </c>
      <c r="D395" s="105">
        <v>41534</v>
      </c>
      <c r="E395">
        <v>0.25195000000000001</v>
      </c>
      <c r="F395" s="105">
        <v>41534</v>
      </c>
      <c r="G395">
        <v>0.37640000000000001</v>
      </c>
      <c r="H395" s="105">
        <v>40855</v>
      </c>
      <c r="I395">
        <v>0.79383000000000004</v>
      </c>
      <c r="J395" s="105">
        <v>41534</v>
      </c>
      <c r="K395">
        <v>0.65159999999999996</v>
      </c>
    </row>
    <row r="396" spans="1:11">
      <c r="A396" s="105">
        <v>40843</v>
      </c>
      <c r="B396" s="156">
        <v>0.24582999999999999</v>
      </c>
      <c r="D396" s="105">
        <v>41533</v>
      </c>
      <c r="E396">
        <v>0.25185000000000002</v>
      </c>
      <c r="F396" s="105">
        <v>41533</v>
      </c>
      <c r="G396">
        <v>0.37990000000000002</v>
      </c>
      <c r="H396" s="105">
        <v>40854</v>
      </c>
      <c r="I396">
        <v>0.78893999999999997</v>
      </c>
      <c r="J396" s="105">
        <v>41533</v>
      </c>
      <c r="K396">
        <v>0.65610000000000002</v>
      </c>
    </row>
    <row r="397" spans="1:11">
      <c r="A397" s="105">
        <v>40844</v>
      </c>
      <c r="B397" s="156">
        <v>0.24582999999999999</v>
      </c>
      <c r="D397" s="105">
        <v>41530</v>
      </c>
      <c r="E397">
        <v>0.25390000000000001</v>
      </c>
      <c r="F397" s="105">
        <v>41530</v>
      </c>
      <c r="G397">
        <v>0.38340000000000002</v>
      </c>
      <c r="H397" s="105">
        <v>40851</v>
      </c>
      <c r="I397">
        <v>0.78405999999999998</v>
      </c>
      <c r="J397" s="105">
        <v>41530</v>
      </c>
      <c r="K397">
        <v>0.66359999999999997</v>
      </c>
    </row>
    <row r="398" spans="1:11">
      <c r="A398" s="105">
        <v>40847</v>
      </c>
      <c r="B398" s="156">
        <v>0.24528</v>
      </c>
      <c r="D398" s="105">
        <v>41529</v>
      </c>
      <c r="E398">
        <v>0.25440000000000002</v>
      </c>
      <c r="F398" s="105">
        <v>41529</v>
      </c>
      <c r="G398">
        <v>0.38440000000000002</v>
      </c>
      <c r="H398" s="105">
        <v>40850</v>
      </c>
      <c r="I398">
        <v>0.78178000000000003</v>
      </c>
      <c r="J398" s="105">
        <v>41529</v>
      </c>
      <c r="K398">
        <v>0.66359999999999997</v>
      </c>
    </row>
    <row r="399" spans="1:11">
      <c r="A399" s="105">
        <v>40848</v>
      </c>
      <c r="B399" s="156">
        <v>0.24528</v>
      </c>
      <c r="D399" s="105">
        <v>41528</v>
      </c>
      <c r="E399">
        <v>0.25440000000000002</v>
      </c>
      <c r="F399" s="105">
        <v>41528</v>
      </c>
      <c r="G399">
        <v>0.38640000000000002</v>
      </c>
      <c r="H399" s="105">
        <v>40849</v>
      </c>
      <c r="I399">
        <v>0.77739000000000003</v>
      </c>
      <c r="J399" s="105">
        <v>41528</v>
      </c>
      <c r="K399">
        <v>0.66510000000000002</v>
      </c>
    </row>
    <row r="400" spans="1:11">
      <c r="A400" s="105">
        <v>40849</v>
      </c>
      <c r="B400" s="156">
        <v>0.24528</v>
      </c>
      <c r="D400" s="105">
        <v>41527</v>
      </c>
      <c r="E400">
        <v>0.25590000000000002</v>
      </c>
      <c r="F400" s="105">
        <v>41527</v>
      </c>
      <c r="G400">
        <v>0.38740000000000002</v>
      </c>
      <c r="H400" s="105">
        <v>40848</v>
      </c>
      <c r="I400">
        <v>0.77605999999999997</v>
      </c>
      <c r="J400" s="105">
        <v>41527</v>
      </c>
      <c r="K400">
        <v>0.66559999999999997</v>
      </c>
    </row>
    <row r="401" spans="1:11">
      <c r="A401" s="105">
        <v>40850</v>
      </c>
      <c r="B401" s="156">
        <v>0.2475</v>
      </c>
      <c r="D401" s="105">
        <v>41526</v>
      </c>
      <c r="E401">
        <v>0.25590000000000002</v>
      </c>
      <c r="F401" s="105">
        <v>41526</v>
      </c>
      <c r="G401">
        <v>0.38740000000000002</v>
      </c>
      <c r="H401" s="105">
        <v>40847</v>
      </c>
      <c r="I401">
        <v>0.77305999999999997</v>
      </c>
      <c r="J401" s="105">
        <v>41526</v>
      </c>
      <c r="K401">
        <v>0.66559999999999997</v>
      </c>
    </row>
    <row r="402" spans="1:11">
      <c r="A402" s="105">
        <v>40851</v>
      </c>
      <c r="B402" s="156">
        <v>0.2475</v>
      </c>
      <c r="D402" s="105">
        <v>41523</v>
      </c>
      <c r="E402">
        <v>0.25640000000000002</v>
      </c>
      <c r="F402" s="105">
        <v>41523</v>
      </c>
      <c r="G402">
        <v>0.39065</v>
      </c>
      <c r="H402" s="105">
        <v>40844</v>
      </c>
      <c r="I402">
        <v>0.77171999999999996</v>
      </c>
      <c r="J402" s="105">
        <v>41523</v>
      </c>
      <c r="K402">
        <v>0.67510000000000003</v>
      </c>
    </row>
    <row r="403" spans="1:11">
      <c r="A403" s="105">
        <v>40854</v>
      </c>
      <c r="B403" s="156">
        <v>0.24778</v>
      </c>
      <c r="D403" s="105">
        <v>41522</v>
      </c>
      <c r="E403">
        <v>0.2581</v>
      </c>
      <c r="F403" s="105">
        <v>41522</v>
      </c>
      <c r="G403">
        <v>0.39205000000000001</v>
      </c>
      <c r="H403" s="105">
        <v>40843</v>
      </c>
      <c r="I403">
        <v>0.76761000000000001</v>
      </c>
      <c r="J403" s="105">
        <v>41522</v>
      </c>
      <c r="K403">
        <v>0.67510000000000003</v>
      </c>
    </row>
    <row r="404" spans="1:11">
      <c r="A404" s="105">
        <v>40855</v>
      </c>
      <c r="B404" s="156">
        <v>0.24778</v>
      </c>
      <c r="D404" s="105">
        <v>41521</v>
      </c>
      <c r="E404">
        <v>0.25900000000000001</v>
      </c>
      <c r="F404" s="105">
        <v>41521</v>
      </c>
      <c r="G404">
        <v>0.39240000000000003</v>
      </c>
      <c r="H404" s="105">
        <v>40842</v>
      </c>
      <c r="I404">
        <v>0.76461000000000001</v>
      </c>
      <c r="J404" s="105">
        <v>41521</v>
      </c>
      <c r="K404">
        <v>0.66810000000000003</v>
      </c>
    </row>
    <row r="405" spans="1:11">
      <c r="A405" s="105">
        <v>40856</v>
      </c>
      <c r="B405" s="156">
        <v>0.24778</v>
      </c>
      <c r="D405" s="105">
        <v>41520</v>
      </c>
      <c r="E405">
        <v>0.25950000000000001</v>
      </c>
      <c r="F405" s="105">
        <v>41520</v>
      </c>
      <c r="G405">
        <v>0.39350000000000002</v>
      </c>
      <c r="H405" s="105">
        <v>40841</v>
      </c>
      <c r="I405">
        <v>0.76300000000000001</v>
      </c>
      <c r="J405" s="105">
        <v>41520</v>
      </c>
      <c r="K405">
        <v>0.66910000000000003</v>
      </c>
    </row>
    <row r="406" spans="1:11">
      <c r="A406" s="105">
        <v>40857</v>
      </c>
      <c r="B406" s="156">
        <v>0.24789</v>
      </c>
      <c r="D406" s="105">
        <v>41519</v>
      </c>
      <c r="E406">
        <v>0.25950000000000001</v>
      </c>
      <c r="F406" s="105">
        <v>41519</v>
      </c>
      <c r="G406">
        <v>0.39350000000000002</v>
      </c>
      <c r="H406" s="105">
        <v>40840</v>
      </c>
      <c r="I406">
        <v>0.76110999999999995</v>
      </c>
      <c r="J406" s="105">
        <v>41519</v>
      </c>
      <c r="K406">
        <v>0.66810000000000003</v>
      </c>
    </row>
    <row r="407" spans="1:11">
      <c r="A407" s="105">
        <v>40858</v>
      </c>
      <c r="B407" s="156">
        <v>0.249</v>
      </c>
      <c r="D407" s="105">
        <v>41516</v>
      </c>
      <c r="E407">
        <v>0.25950000000000001</v>
      </c>
      <c r="F407" s="105">
        <v>41516</v>
      </c>
      <c r="G407">
        <v>0.39300000000000002</v>
      </c>
      <c r="H407" s="105">
        <v>40837</v>
      </c>
      <c r="I407">
        <v>0.75717000000000001</v>
      </c>
      <c r="J407" s="105">
        <v>41516</v>
      </c>
      <c r="K407">
        <v>0.66710000000000003</v>
      </c>
    </row>
    <row r="408" spans="1:11">
      <c r="A408" s="105">
        <v>40861</v>
      </c>
      <c r="B408" s="156">
        <v>0.25022</v>
      </c>
      <c r="D408" s="105">
        <v>41515</v>
      </c>
      <c r="E408">
        <v>0.26119999999999999</v>
      </c>
      <c r="F408" s="105">
        <v>41515</v>
      </c>
      <c r="G408">
        <v>0.39300000000000002</v>
      </c>
      <c r="H408" s="105">
        <v>40836</v>
      </c>
      <c r="I408">
        <v>0.75494000000000006</v>
      </c>
      <c r="J408" s="105">
        <v>41515</v>
      </c>
      <c r="K408">
        <v>0.66710000000000003</v>
      </c>
    </row>
    <row r="409" spans="1:11">
      <c r="A409" s="105">
        <v>40862</v>
      </c>
      <c r="B409" s="156">
        <v>0.25172</v>
      </c>
      <c r="D409" s="105">
        <v>41514</v>
      </c>
      <c r="E409">
        <v>0.26050000000000001</v>
      </c>
      <c r="F409" s="105">
        <v>41514</v>
      </c>
      <c r="G409">
        <v>0.39300000000000002</v>
      </c>
      <c r="H409" s="105">
        <v>40835</v>
      </c>
      <c r="I409">
        <v>0.75305999999999995</v>
      </c>
      <c r="J409" s="105">
        <v>41514</v>
      </c>
      <c r="K409">
        <v>0.66759999999999997</v>
      </c>
    </row>
    <row r="410" spans="1:11">
      <c r="A410" s="105">
        <v>40863</v>
      </c>
      <c r="B410" s="156">
        <v>0.25172</v>
      </c>
      <c r="D410" s="105">
        <v>41513</v>
      </c>
      <c r="E410">
        <v>0.25940000000000002</v>
      </c>
      <c r="F410" s="105">
        <v>41513</v>
      </c>
      <c r="G410">
        <v>0.39350000000000002</v>
      </c>
      <c r="H410" s="105">
        <v>40834</v>
      </c>
      <c r="I410">
        <v>0.75088999999999995</v>
      </c>
      <c r="J410" s="105">
        <v>41513</v>
      </c>
      <c r="K410">
        <v>0.66810000000000003</v>
      </c>
    </row>
    <row r="411" spans="1:11">
      <c r="A411" s="105">
        <v>40864</v>
      </c>
      <c r="B411" s="156">
        <v>0.25478000000000001</v>
      </c>
      <c r="D411" s="105">
        <v>41509</v>
      </c>
      <c r="E411">
        <v>0.2621</v>
      </c>
      <c r="F411" s="105">
        <v>41509</v>
      </c>
      <c r="G411">
        <v>0.39600000000000002</v>
      </c>
      <c r="H411" s="105">
        <v>40833</v>
      </c>
      <c r="I411">
        <v>0.74756</v>
      </c>
      <c r="J411" s="105">
        <v>41509</v>
      </c>
      <c r="K411">
        <v>0.67559999999999998</v>
      </c>
    </row>
    <row r="412" spans="1:11">
      <c r="A412" s="105">
        <v>40865</v>
      </c>
      <c r="B412" s="156">
        <v>0.25656000000000001</v>
      </c>
      <c r="D412" s="105">
        <v>41508</v>
      </c>
      <c r="E412">
        <v>0.2621</v>
      </c>
      <c r="F412" s="105">
        <v>41508</v>
      </c>
      <c r="G412">
        <v>0.39650000000000002</v>
      </c>
      <c r="H412" s="105">
        <v>40830</v>
      </c>
      <c r="I412">
        <v>0.74611000000000005</v>
      </c>
      <c r="J412" s="105">
        <v>41508</v>
      </c>
      <c r="K412">
        <v>0.67310000000000003</v>
      </c>
    </row>
    <row r="413" spans="1:11">
      <c r="A413" s="105">
        <v>40868</v>
      </c>
      <c r="B413" s="156">
        <v>0.25667000000000001</v>
      </c>
      <c r="D413" s="105">
        <v>41507</v>
      </c>
      <c r="E413">
        <v>0.2621</v>
      </c>
      <c r="F413" s="105">
        <v>41507</v>
      </c>
      <c r="G413">
        <v>0.39450000000000002</v>
      </c>
      <c r="H413" s="105">
        <v>40829</v>
      </c>
      <c r="I413">
        <v>0.74360999999999999</v>
      </c>
      <c r="J413" s="105">
        <v>41507</v>
      </c>
      <c r="K413">
        <v>0.66610000000000003</v>
      </c>
    </row>
    <row r="414" spans="1:11">
      <c r="A414" s="105">
        <v>40869</v>
      </c>
      <c r="B414" s="156">
        <v>0.25722</v>
      </c>
      <c r="D414" s="105">
        <v>41506</v>
      </c>
      <c r="E414">
        <v>0.2621</v>
      </c>
      <c r="F414" s="105">
        <v>41506</v>
      </c>
      <c r="G414">
        <v>0.39450000000000002</v>
      </c>
      <c r="H414" s="105">
        <v>40828</v>
      </c>
      <c r="I414">
        <v>0.74256</v>
      </c>
      <c r="J414" s="105">
        <v>41506</v>
      </c>
      <c r="K414">
        <v>0.66710000000000003</v>
      </c>
    </row>
    <row r="415" spans="1:11">
      <c r="A415" s="105">
        <v>40870</v>
      </c>
      <c r="B415" s="156">
        <v>0.25722</v>
      </c>
      <c r="D415" s="105">
        <v>41505</v>
      </c>
      <c r="E415">
        <v>0.2631</v>
      </c>
      <c r="F415" s="105">
        <v>41505</v>
      </c>
      <c r="G415">
        <v>0.39450000000000002</v>
      </c>
      <c r="H415" s="105">
        <v>40827</v>
      </c>
      <c r="I415">
        <v>0.74043999999999999</v>
      </c>
      <c r="J415" s="105">
        <v>41505</v>
      </c>
      <c r="K415">
        <v>0.66832000000000003</v>
      </c>
    </row>
    <row r="416" spans="1:11">
      <c r="A416" s="105">
        <v>40871</v>
      </c>
      <c r="B416" s="156">
        <v>0.25722</v>
      </c>
      <c r="D416" s="105">
        <v>41502</v>
      </c>
      <c r="E416">
        <v>0.2641</v>
      </c>
      <c r="F416" s="105">
        <v>41502</v>
      </c>
      <c r="G416">
        <v>0.39450000000000002</v>
      </c>
      <c r="H416" s="105">
        <v>40826</v>
      </c>
      <c r="I416">
        <v>0.73482999999999998</v>
      </c>
      <c r="J416" s="105">
        <v>41502</v>
      </c>
      <c r="K416">
        <v>0.66759999999999997</v>
      </c>
    </row>
    <row r="417" spans="1:11">
      <c r="A417" s="105">
        <v>40872</v>
      </c>
      <c r="B417" s="156">
        <v>0.25944</v>
      </c>
      <c r="D417" s="105">
        <v>41501</v>
      </c>
      <c r="E417">
        <v>0.26319999999999999</v>
      </c>
      <c r="F417" s="105">
        <v>41501</v>
      </c>
      <c r="G417">
        <v>0.39450000000000002</v>
      </c>
      <c r="H417" s="105">
        <v>40823</v>
      </c>
      <c r="I417">
        <v>0.73177999999999999</v>
      </c>
      <c r="J417" s="105">
        <v>41501</v>
      </c>
      <c r="K417">
        <v>0.66759999999999997</v>
      </c>
    </row>
    <row r="418" spans="1:11">
      <c r="A418" s="105">
        <v>40875</v>
      </c>
      <c r="B418" s="156">
        <v>0.26</v>
      </c>
      <c r="D418" s="105">
        <v>41500</v>
      </c>
      <c r="E418">
        <v>0.26319999999999999</v>
      </c>
      <c r="F418" s="105">
        <v>41500</v>
      </c>
      <c r="G418">
        <v>0.39550000000000002</v>
      </c>
      <c r="H418" s="105">
        <v>40822</v>
      </c>
      <c r="I418">
        <v>0.72872000000000003</v>
      </c>
      <c r="J418" s="105">
        <v>41500</v>
      </c>
      <c r="K418">
        <v>0.66759999999999997</v>
      </c>
    </row>
    <row r="419" spans="1:11">
      <c r="A419" s="105">
        <v>40876</v>
      </c>
      <c r="B419" s="156">
        <v>0.27022000000000002</v>
      </c>
      <c r="D419" s="105">
        <v>41499</v>
      </c>
      <c r="E419">
        <v>0.26419999999999999</v>
      </c>
      <c r="F419" s="105">
        <v>41499</v>
      </c>
      <c r="G419">
        <v>0.39550000000000002</v>
      </c>
      <c r="H419" s="105">
        <v>40821</v>
      </c>
      <c r="I419">
        <v>0.72177999999999998</v>
      </c>
      <c r="J419" s="105">
        <v>41499</v>
      </c>
      <c r="K419">
        <v>0.66459999999999997</v>
      </c>
    </row>
    <row r="420" spans="1:11">
      <c r="A420" s="105">
        <v>40877</v>
      </c>
      <c r="B420" s="156">
        <v>0.27144000000000001</v>
      </c>
      <c r="D420" s="105">
        <v>41498</v>
      </c>
      <c r="E420">
        <v>0.26469999999999999</v>
      </c>
      <c r="F420" s="105">
        <v>41498</v>
      </c>
      <c r="G420">
        <v>0.39550000000000002</v>
      </c>
      <c r="H420" s="105">
        <v>40820</v>
      </c>
      <c r="I420">
        <v>0.71577999999999997</v>
      </c>
      <c r="J420" s="105">
        <v>41498</v>
      </c>
      <c r="K420">
        <v>0.66510000000000002</v>
      </c>
    </row>
    <row r="421" spans="1:11">
      <c r="A421" s="105">
        <v>40878</v>
      </c>
      <c r="B421" s="156">
        <v>0.27144000000000001</v>
      </c>
      <c r="D421" s="105">
        <v>41495</v>
      </c>
      <c r="E421">
        <v>0.26469999999999999</v>
      </c>
      <c r="F421" s="105">
        <v>41495</v>
      </c>
      <c r="G421">
        <v>0.39450000000000002</v>
      </c>
      <c r="H421" s="105">
        <v>40819</v>
      </c>
      <c r="I421">
        <v>0.70806000000000002</v>
      </c>
      <c r="J421" s="105">
        <v>41495</v>
      </c>
      <c r="K421">
        <v>0.66488999999999998</v>
      </c>
    </row>
    <row r="422" spans="1:11">
      <c r="A422" s="105">
        <v>40879</v>
      </c>
      <c r="B422" s="156">
        <v>0.27033000000000001</v>
      </c>
      <c r="D422" s="105">
        <v>41494</v>
      </c>
      <c r="E422">
        <v>0.26469999999999999</v>
      </c>
      <c r="F422" s="105">
        <v>41494</v>
      </c>
      <c r="G422">
        <v>0.39500000000000002</v>
      </c>
      <c r="H422" s="105">
        <v>40816</v>
      </c>
      <c r="I422">
        <v>0.70443999999999996</v>
      </c>
      <c r="J422" s="105">
        <v>41494</v>
      </c>
      <c r="K422">
        <v>0.66488999999999998</v>
      </c>
    </row>
    <row r="423" spans="1:11">
      <c r="A423" s="105">
        <v>40882</v>
      </c>
      <c r="B423" s="156">
        <v>0.27410000000000001</v>
      </c>
      <c r="D423" s="105">
        <v>41493</v>
      </c>
      <c r="E423">
        <v>0.26640000000000003</v>
      </c>
      <c r="F423" s="105">
        <v>41493</v>
      </c>
      <c r="G423">
        <v>0.39550000000000002</v>
      </c>
      <c r="H423" s="105">
        <v>40815</v>
      </c>
      <c r="I423">
        <v>0.69967000000000001</v>
      </c>
      <c r="J423" s="105">
        <v>41493</v>
      </c>
      <c r="K423">
        <v>0.66539000000000004</v>
      </c>
    </row>
    <row r="424" spans="1:11">
      <c r="A424" s="105">
        <v>40883</v>
      </c>
      <c r="B424" s="156">
        <v>0.27505000000000002</v>
      </c>
      <c r="D424" s="105">
        <v>41492</v>
      </c>
      <c r="E424">
        <v>0.26640000000000003</v>
      </c>
      <c r="F424" s="105">
        <v>41492</v>
      </c>
      <c r="G424">
        <v>0.39550000000000002</v>
      </c>
      <c r="H424" s="105">
        <v>40814</v>
      </c>
      <c r="I424">
        <v>0.69489000000000001</v>
      </c>
      <c r="J424" s="105">
        <v>41492</v>
      </c>
      <c r="K424">
        <v>0.66539000000000004</v>
      </c>
    </row>
    <row r="425" spans="1:11">
      <c r="A425" s="105">
        <v>40884</v>
      </c>
      <c r="B425" s="156">
        <v>0.27629999999999999</v>
      </c>
      <c r="D425" s="105">
        <v>41491</v>
      </c>
      <c r="E425">
        <v>0.26540000000000002</v>
      </c>
      <c r="F425" s="105">
        <v>41491</v>
      </c>
      <c r="G425">
        <v>0.39550000000000002</v>
      </c>
      <c r="H425" s="105">
        <v>40813</v>
      </c>
      <c r="I425">
        <v>0.69167000000000001</v>
      </c>
      <c r="J425" s="105">
        <v>41491</v>
      </c>
      <c r="K425">
        <v>0.66639000000000004</v>
      </c>
    </row>
    <row r="426" spans="1:11">
      <c r="A426" s="105">
        <v>40885</v>
      </c>
      <c r="B426" s="156">
        <v>0.27629999999999999</v>
      </c>
      <c r="D426" s="105">
        <v>41488</v>
      </c>
      <c r="E426">
        <v>0.2666</v>
      </c>
      <c r="F426" s="105">
        <v>41488</v>
      </c>
      <c r="G426">
        <v>0.39650000000000002</v>
      </c>
      <c r="H426" s="105">
        <v>40812</v>
      </c>
      <c r="I426">
        <v>0.68944000000000005</v>
      </c>
      <c r="J426" s="105">
        <v>41488</v>
      </c>
      <c r="K426">
        <v>0.67418999999999996</v>
      </c>
    </row>
    <row r="427" spans="1:11">
      <c r="A427" s="105">
        <v>40886</v>
      </c>
      <c r="B427" s="156">
        <v>0.27655000000000002</v>
      </c>
      <c r="D427" s="105">
        <v>41487</v>
      </c>
      <c r="E427">
        <v>0.2656</v>
      </c>
      <c r="F427" s="105">
        <v>41487</v>
      </c>
      <c r="G427">
        <v>0.39700000000000002</v>
      </c>
      <c r="H427" s="105">
        <v>40809</v>
      </c>
      <c r="I427">
        <v>0.68694</v>
      </c>
      <c r="J427" s="105">
        <v>41487</v>
      </c>
      <c r="K427">
        <v>0.67318999999999996</v>
      </c>
    </row>
    <row r="428" spans="1:11">
      <c r="A428" s="105">
        <v>40889</v>
      </c>
      <c r="B428" s="156">
        <v>0.27755000000000002</v>
      </c>
      <c r="D428" s="105">
        <v>41486</v>
      </c>
      <c r="E428">
        <v>0.2656</v>
      </c>
      <c r="F428" s="105">
        <v>41486</v>
      </c>
      <c r="G428">
        <v>0.39650000000000002</v>
      </c>
      <c r="H428" s="105">
        <v>40808</v>
      </c>
      <c r="I428">
        <v>0.68500000000000005</v>
      </c>
      <c r="J428" s="105">
        <v>41486</v>
      </c>
      <c r="K428">
        <v>0.67318999999999996</v>
      </c>
    </row>
    <row r="429" spans="1:11">
      <c r="A429" s="105">
        <v>40890</v>
      </c>
      <c r="B429" s="156">
        <v>0.27829999999999999</v>
      </c>
      <c r="D429" s="105">
        <v>41485</v>
      </c>
      <c r="E429">
        <v>0.26500000000000001</v>
      </c>
      <c r="F429" s="105">
        <v>41485</v>
      </c>
      <c r="G429">
        <v>0.39700000000000002</v>
      </c>
      <c r="H429" s="105">
        <v>40807</v>
      </c>
      <c r="I429">
        <v>0.67778000000000005</v>
      </c>
      <c r="J429" s="105">
        <v>41485</v>
      </c>
      <c r="K429">
        <v>0.67318999999999996</v>
      </c>
    </row>
    <row r="430" spans="1:11">
      <c r="A430" s="105">
        <v>40891</v>
      </c>
      <c r="B430" s="156">
        <v>0.28255000000000002</v>
      </c>
      <c r="D430" s="105">
        <v>41484</v>
      </c>
      <c r="E430">
        <v>0.26600000000000001</v>
      </c>
      <c r="F430" s="105">
        <v>41484</v>
      </c>
      <c r="G430">
        <v>0.39550000000000002</v>
      </c>
      <c r="H430" s="105">
        <v>40806</v>
      </c>
      <c r="I430">
        <v>0.67605999999999999</v>
      </c>
      <c r="J430" s="105">
        <v>41484</v>
      </c>
      <c r="K430">
        <v>0.67318999999999996</v>
      </c>
    </row>
    <row r="431" spans="1:11">
      <c r="A431" s="105">
        <v>40892</v>
      </c>
      <c r="B431" s="156">
        <v>0.28460000000000002</v>
      </c>
      <c r="D431" s="105">
        <v>41481</v>
      </c>
      <c r="E431">
        <v>0.26500000000000001</v>
      </c>
      <c r="F431" s="105">
        <v>41481</v>
      </c>
      <c r="G431">
        <v>0.39550000000000002</v>
      </c>
      <c r="H431" s="105">
        <v>40805</v>
      </c>
      <c r="I431">
        <v>0.67493999999999998</v>
      </c>
      <c r="J431" s="105">
        <v>41481</v>
      </c>
      <c r="K431">
        <v>0.67369000000000001</v>
      </c>
    </row>
    <row r="432" spans="1:11">
      <c r="A432" s="105">
        <v>40893</v>
      </c>
      <c r="B432" s="156">
        <v>0.28484999999999999</v>
      </c>
      <c r="D432" s="105">
        <v>41480</v>
      </c>
      <c r="E432">
        <v>0.26379999999999998</v>
      </c>
      <c r="F432" s="105">
        <v>41480</v>
      </c>
      <c r="G432">
        <v>0.39650000000000002</v>
      </c>
      <c r="H432" s="105">
        <v>40802</v>
      </c>
      <c r="I432">
        <v>0.67300000000000004</v>
      </c>
      <c r="J432" s="105">
        <v>41480</v>
      </c>
      <c r="K432">
        <v>0.67593999999999999</v>
      </c>
    </row>
    <row r="433" spans="1:11">
      <c r="A433" s="105">
        <v>40896</v>
      </c>
      <c r="B433" s="156">
        <v>0.28734999999999999</v>
      </c>
      <c r="D433" s="105">
        <v>41479</v>
      </c>
      <c r="E433">
        <v>0.26429999999999998</v>
      </c>
      <c r="F433" s="105">
        <v>41479</v>
      </c>
      <c r="G433">
        <v>0.39650000000000002</v>
      </c>
      <c r="H433" s="105">
        <v>40801</v>
      </c>
      <c r="I433">
        <v>0.67410999999999999</v>
      </c>
      <c r="J433" s="105">
        <v>41479</v>
      </c>
      <c r="K433">
        <v>0.67544000000000004</v>
      </c>
    </row>
    <row r="434" spans="1:11">
      <c r="A434" s="105">
        <v>40897</v>
      </c>
      <c r="B434" s="156">
        <v>0.29060000000000002</v>
      </c>
      <c r="D434" s="105">
        <v>41478</v>
      </c>
      <c r="E434">
        <v>0.26590000000000003</v>
      </c>
      <c r="F434" s="105">
        <v>41478</v>
      </c>
      <c r="G434">
        <v>0.39650000000000002</v>
      </c>
      <c r="H434" s="105">
        <v>40800</v>
      </c>
      <c r="I434">
        <v>0.67327999999999999</v>
      </c>
      <c r="J434" s="105">
        <v>41478</v>
      </c>
      <c r="K434">
        <v>0.67593999999999999</v>
      </c>
    </row>
    <row r="435" spans="1:11">
      <c r="A435" s="105">
        <v>40898</v>
      </c>
      <c r="B435" s="156">
        <v>0.29185</v>
      </c>
      <c r="D435" s="105">
        <v>41477</v>
      </c>
      <c r="E435">
        <v>0.26469999999999999</v>
      </c>
      <c r="F435" s="105">
        <v>41477</v>
      </c>
      <c r="G435">
        <v>0.39650000000000002</v>
      </c>
      <c r="H435" s="105">
        <v>40799</v>
      </c>
      <c r="I435">
        <v>0.67</v>
      </c>
      <c r="J435" s="105">
        <v>41477</v>
      </c>
      <c r="K435">
        <v>0.68093999999999999</v>
      </c>
    </row>
    <row r="436" spans="1:11">
      <c r="A436" s="105">
        <v>40899</v>
      </c>
      <c r="B436" s="156">
        <v>0.29360000000000003</v>
      </c>
      <c r="D436" s="105">
        <v>41474</v>
      </c>
      <c r="E436">
        <v>0.26469999999999999</v>
      </c>
      <c r="F436" s="105">
        <v>41474</v>
      </c>
      <c r="G436">
        <v>0.39750000000000002</v>
      </c>
      <c r="H436" s="105">
        <v>40798</v>
      </c>
      <c r="I436">
        <v>0.66661000000000004</v>
      </c>
      <c r="J436" s="105">
        <v>41474</v>
      </c>
      <c r="K436">
        <v>0.68093999999999999</v>
      </c>
    </row>
    <row r="437" spans="1:11">
      <c r="A437" s="105">
        <v>40900</v>
      </c>
      <c r="B437" s="156">
        <v>0.29394999999999999</v>
      </c>
      <c r="D437" s="105">
        <v>41473</v>
      </c>
      <c r="E437">
        <v>0.26619999999999999</v>
      </c>
      <c r="F437" s="105">
        <v>41473</v>
      </c>
      <c r="G437">
        <v>0.39800000000000002</v>
      </c>
      <c r="H437" s="105">
        <v>40795</v>
      </c>
      <c r="I437">
        <v>0.66049999999999998</v>
      </c>
      <c r="J437" s="105">
        <v>41473</v>
      </c>
      <c r="K437">
        <v>0.68093999999999999</v>
      </c>
    </row>
    <row r="438" spans="1:11">
      <c r="A438" s="105">
        <v>40905</v>
      </c>
      <c r="B438" s="156">
        <v>0.29630000000000001</v>
      </c>
      <c r="D438" s="105">
        <v>41472</v>
      </c>
      <c r="E438">
        <v>0.26619999999999999</v>
      </c>
      <c r="F438" s="105">
        <v>41472</v>
      </c>
      <c r="G438">
        <v>0.4</v>
      </c>
      <c r="H438" s="105">
        <v>40794</v>
      </c>
      <c r="I438">
        <v>0.65788999999999997</v>
      </c>
      <c r="J438" s="105">
        <v>41472</v>
      </c>
      <c r="K438">
        <v>0.68418999999999996</v>
      </c>
    </row>
    <row r="439" spans="1:11">
      <c r="A439" s="105">
        <v>40906</v>
      </c>
      <c r="B439" s="156">
        <v>0.29530000000000001</v>
      </c>
      <c r="D439" s="105">
        <v>41471</v>
      </c>
      <c r="E439">
        <v>0.26619999999999999</v>
      </c>
      <c r="F439" s="105">
        <v>41471</v>
      </c>
      <c r="G439">
        <v>0.40200000000000002</v>
      </c>
      <c r="H439" s="105">
        <v>40793</v>
      </c>
      <c r="I439">
        <v>0.65593999999999997</v>
      </c>
      <c r="J439" s="105">
        <v>41471</v>
      </c>
      <c r="K439">
        <v>0.68718999999999997</v>
      </c>
    </row>
    <row r="440" spans="1:11">
      <c r="A440" s="105">
        <v>40907</v>
      </c>
      <c r="B440" s="156">
        <v>0.29530000000000001</v>
      </c>
      <c r="D440" s="105">
        <v>41470</v>
      </c>
      <c r="E440">
        <v>0.2676</v>
      </c>
      <c r="F440" s="105">
        <v>41470</v>
      </c>
      <c r="G440">
        <v>0.40350000000000003</v>
      </c>
      <c r="H440" s="105">
        <v>40792</v>
      </c>
      <c r="I440">
        <v>0.65322000000000002</v>
      </c>
      <c r="J440" s="105">
        <v>41470</v>
      </c>
      <c r="K440">
        <v>0.68984999999999996</v>
      </c>
    </row>
    <row r="441" spans="1:11">
      <c r="A441" s="105">
        <v>40911</v>
      </c>
      <c r="B441" s="156">
        <v>0.29530000000000001</v>
      </c>
      <c r="D441" s="105">
        <v>41467</v>
      </c>
      <c r="E441">
        <v>0.2676</v>
      </c>
      <c r="F441" s="105">
        <v>41467</v>
      </c>
      <c r="G441">
        <v>0.40200000000000002</v>
      </c>
      <c r="H441" s="105">
        <v>40791</v>
      </c>
      <c r="I441">
        <v>0.64761000000000002</v>
      </c>
      <c r="J441" s="105">
        <v>41467</v>
      </c>
      <c r="K441">
        <v>0.68584999999999996</v>
      </c>
    </row>
    <row r="442" spans="1:11">
      <c r="A442" s="105">
        <v>40912</v>
      </c>
      <c r="B442" s="156">
        <v>0.29530000000000001</v>
      </c>
      <c r="D442" s="105">
        <v>41466</v>
      </c>
      <c r="E442">
        <v>0.2681</v>
      </c>
      <c r="F442" s="105">
        <v>41466</v>
      </c>
      <c r="G442">
        <v>0.40400000000000003</v>
      </c>
      <c r="H442" s="105">
        <v>40788</v>
      </c>
      <c r="I442">
        <v>0.64349999999999996</v>
      </c>
      <c r="J442" s="105">
        <v>41466</v>
      </c>
      <c r="K442">
        <v>0.68835000000000002</v>
      </c>
    </row>
    <row r="443" spans="1:11">
      <c r="A443" s="105">
        <v>40913</v>
      </c>
      <c r="B443" s="156">
        <v>0.29530000000000001</v>
      </c>
      <c r="D443" s="105">
        <v>41465</v>
      </c>
      <c r="E443">
        <v>0.26910000000000001</v>
      </c>
      <c r="F443" s="105">
        <v>41465</v>
      </c>
      <c r="G443">
        <v>0.40839999999999999</v>
      </c>
      <c r="H443" s="105">
        <v>40787</v>
      </c>
      <c r="I443">
        <v>0.64271999999999996</v>
      </c>
      <c r="J443" s="105">
        <v>41465</v>
      </c>
      <c r="K443">
        <v>0.69364999999999999</v>
      </c>
    </row>
    <row r="444" spans="1:11">
      <c r="A444" s="105">
        <v>40914</v>
      </c>
      <c r="B444" s="156">
        <v>0.29630000000000001</v>
      </c>
      <c r="D444" s="105">
        <v>41464</v>
      </c>
      <c r="E444">
        <v>0.26910000000000001</v>
      </c>
      <c r="F444" s="105">
        <v>41464</v>
      </c>
      <c r="G444">
        <v>0.40839999999999999</v>
      </c>
      <c r="H444" s="105">
        <v>40786</v>
      </c>
      <c r="I444">
        <v>0.64</v>
      </c>
      <c r="J444" s="105">
        <v>41464</v>
      </c>
      <c r="K444">
        <v>0.69164999999999999</v>
      </c>
    </row>
    <row r="445" spans="1:11">
      <c r="A445" s="105">
        <v>40917</v>
      </c>
      <c r="B445" s="156">
        <v>0.29630000000000001</v>
      </c>
      <c r="D445" s="105">
        <v>41463</v>
      </c>
      <c r="E445">
        <v>0.26860000000000001</v>
      </c>
      <c r="F445" s="105">
        <v>41463</v>
      </c>
      <c r="G445">
        <v>0.41039999999999999</v>
      </c>
      <c r="H445" s="105">
        <v>40785</v>
      </c>
      <c r="I445">
        <v>0.63810999999999996</v>
      </c>
      <c r="J445" s="105">
        <v>41463</v>
      </c>
      <c r="K445">
        <v>0.69415000000000004</v>
      </c>
    </row>
    <row r="446" spans="1:11">
      <c r="A446" s="105">
        <v>40918</v>
      </c>
      <c r="B446" s="156">
        <v>0.29580000000000001</v>
      </c>
      <c r="D446" s="105">
        <v>41460</v>
      </c>
      <c r="E446">
        <v>0.26989999999999997</v>
      </c>
      <c r="F446" s="105">
        <v>41460</v>
      </c>
      <c r="G446">
        <v>0.40989999999999999</v>
      </c>
      <c r="H446" s="105">
        <v>40781</v>
      </c>
      <c r="I446">
        <v>0.63644000000000001</v>
      </c>
      <c r="J446" s="105">
        <v>41460</v>
      </c>
      <c r="K446">
        <v>0.68964999999999999</v>
      </c>
    </row>
    <row r="447" spans="1:11">
      <c r="A447" s="105">
        <v>40919</v>
      </c>
      <c r="B447" s="156">
        <v>0.29470000000000002</v>
      </c>
      <c r="D447" s="105">
        <v>41459</v>
      </c>
      <c r="E447">
        <v>0.27089999999999997</v>
      </c>
      <c r="F447" s="105">
        <v>41459</v>
      </c>
      <c r="G447">
        <v>0.41439999999999999</v>
      </c>
      <c r="H447" s="105">
        <v>40780</v>
      </c>
      <c r="I447">
        <v>0.63844000000000001</v>
      </c>
      <c r="J447" s="105">
        <v>41459</v>
      </c>
      <c r="K447">
        <v>0.69164999999999999</v>
      </c>
    </row>
    <row r="448" spans="1:11">
      <c r="A448" s="105">
        <v>40920</v>
      </c>
      <c r="B448" s="156">
        <v>0.28960000000000002</v>
      </c>
      <c r="D448" s="105">
        <v>41458</v>
      </c>
      <c r="E448">
        <v>0.27389999999999998</v>
      </c>
      <c r="F448" s="105">
        <v>41458</v>
      </c>
      <c r="G448">
        <v>0.41450999999999999</v>
      </c>
      <c r="H448" s="105">
        <v>40779</v>
      </c>
      <c r="I448">
        <v>0.63510999999999995</v>
      </c>
      <c r="J448" s="105">
        <v>41458</v>
      </c>
      <c r="K448">
        <v>0.69064999999999999</v>
      </c>
    </row>
    <row r="449" spans="1:11">
      <c r="A449" s="105">
        <v>40921</v>
      </c>
      <c r="B449" s="156">
        <v>0.28510000000000002</v>
      </c>
      <c r="D449" s="105">
        <v>41457</v>
      </c>
      <c r="E449">
        <v>0.27289999999999998</v>
      </c>
      <c r="F449" s="105">
        <v>41457</v>
      </c>
      <c r="G449">
        <v>0.41289999999999999</v>
      </c>
      <c r="H449" s="105">
        <v>40778</v>
      </c>
      <c r="I449">
        <v>0.63288999999999995</v>
      </c>
      <c r="J449" s="105">
        <v>41457</v>
      </c>
      <c r="K449">
        <v>0.68815000000000004</v>
      </c>
    </row>
    <row r="450" spans="1:11">
      <c r="A450" s="105">
        <v>40924</v>
      </c>
      <c r="B450" s="156">
        <v>0.28160000000000002</v>
      </c>
      <c r="D450" s="105">
        <v>41456</v>
      </c>
      <c r="E450">
        <v>0.27310000000000001</v>
      </c>
      <c r="F450" s="105">
        <v>41456</v>
      </c>
      <c r="G450">
        <v>0.41439999999999999</v>
      </c>
      <c r="H450" s="105">
        <v>40777</v>
      </c>
      <c r="I450">
        <v>0.62788999999999995</v>
      </c>
      <c r="J450" s="105">
        <v>41456</v>
      </c>
      <c r="K450">
        <v>0.69015000000000004</v>
      </c>
    </row>
    <row r="451" spans="1:11">
      <c r="A451" s="105">
        <v>40925</v>
      </c>
      <c r="B451" s="156">
        <v>0.28100000000000003</v>
      </c>
      <c r="D451" s="105">
        <v>41453</v>
      </c>
      <c r="E451">
        <v>0.27310000000000001</v>
      </c>
      <c r="F451" s="105">
        <v>41453</v>
      </c>
      <c r="G451">
        <v>0.41339999999999999</v>
      </c>
      <c r="H451" s="105">
        <v>40774</v>
      </c>
      <c r="I451">
        <v>0.62411000000000005</v>
      </c>
      <c r="J451" s="105">
        <v>41453</v>
      </c>
      <c r="K451">
        <v>0.68564999999999998</v>
      </c>
    </row>
    <row r="452" spans="1:11">
      <c r="A452" s="105">
        <v>40926</v>
      </c>
      <c r="B452" s="156">
        <v>0.28089999999999998</v>
      </c>
      <c r="D452" s="105">
        <v>41452</v>
      </c>
      <c r="E452">
        <v>0.27400000000000002</v>
      </c>
      <c r="F452" s="105">
        <v>41452</v>
      </c>
      <c r="G452">
        <v>0.4168</v>
      </c>
      <c r="H452" s="105">
        <v>40773</v>
      </c>
      <c r="I452">
        <v>0.62111000000000005</v>
      </c>
      <c r="J452" s="105">
        <v>41452</v>
      </c>
      <c r="K452">
        <v>0.69064999999999999</v>
      </c>
    </row>
    <row r="453" spans="1:11">
      <c r="A453" s="105">
        <v>40927</v>
      </c>
      <c r="B453" s="156">
        <v>0.27889999999999998</v>
      </c>
      <c r="D453" s="105">
        <v>41451</v>
      </c>
      <c r="E453">
        <v>0.27560000000000001</v>
      </c>
      <c r="F453" s="105">
        <v>41451</v>
      </c>
      <c r="G453">
        <v>0.42191000000000001</v>
      </c>
      <c r="H453" s="105">
        <v>40772</v>
      </c>
      <c r="I453">
        <v>0.61799999999999999</v>
      </c>
      <c r="J453" s="105">
        <v>41451</v>
      </c>
      <c r="K453">
        <v>0.69764999999999999</v>
      </c>
    </row>
    <row r="454" spans="1:11">
      <c r="A454" s="105">
        <v>40928</v>
      </c>
      <c r="B454" s="156">
        <v>0.27729999999999999</v>
      </c>
      <c r="D454" s="105">
        <v>41450</v>
      </c>
      <c r="E454">
        <v>0.27610000000000001</v>
      </c>
      <c r="F454" s="105">
        <v>41450</v>
      </c>
      <c r="G454">
        <v>0.42341000000000001</v>
      </c>
      <c r="H454" s="105">
        <v>40771</v>
      </c>
      <c r="I454">
        <v>0.61799999999999999</v>
      </c>
      <c r="J454" s="105">
        <v>41450</v>
      </c>
      <c r="K454">
        <v>0.70115000000000005</v>
      </c>
    </row>
    <row r="455" spans="1:11">
      <c r="A455" s="105">
        <v>40931</v>
      </c>
      <c r="B455" s="156">
        <v>0.27629999999999999</v>
      </c>
      <c r="D455" s="105">
        <v>41449</v>
      </c>
      <c r="E455">
        <v>0.27675</v>
      </c>
      <c r="F455" s="105">
        <v>41449</v>
      </c>
      <c r="G455">
        <v>0.42541000000000001</v>
      </c>
      <c r="H455" s="105">
        <v>40770</v>
      </c>
      <c r="I455">
        <v>0.61743999999999999</v>
      </c>
      <c r="J455" s="105">
        <v>41449</v>
      </c>
      <c r="K455">
        <v>0.70315000000000005</v>
      </c>
    </row>
    <row r="456" spans="1:11">
      <c r="A456" s="105">
        <v>40932</v>
      </c>
      <c r="B456" s="156">
        <v>0.27529999999999999</v>
      </c>
      <c r="D456" s="105">
        <v>41446</v>
      </c>
      <c r="E456">
        <v>0.27274999999999999</v>
      </c>
      <c r="F456" s="105">
        <v>41446</v>
      </c>
      <c r="G456">
        <v>0.4138</v>
      </c>
      <c r="H456" s="105">
        <v>40767</v>
      </c>
      <c r="I456">
        <v>0.61321999999999999</v>
      </c>
      <c r="J456" s="105">
        <v>41446</v>
      </c>
      <c r="K456">
        <v>0.68294999999999995</v>
      </c>
    </row>
    <row r="457" spans="1:11">
      <c r="A457" s="105">
        <v>40933</v>
      </c>
      <c r="B457" s="156">
        <v>0.27279999999999999</v>
      </c>
      <c r="D457" s="105">
        <v>41445</v>
      </c>
      <c r="E457">
        <v>0.27255000000000001</v>
      </c>
      <c r="F457" s="105">
        <v>41445</v>
      </c>
      <c r="G457">
        <v>0.41326000000000002</v>
      </c>
      <c r="H457" s="105">
        <v>40766</v>
      </c>
      <c r="I457">
        <v>0.60943999999999998</v>
      </c>
      <c r="J457" s="105">
        <v>41445</v>
      </c>
      <c r="K457">
        <v>0.68045</v>
      </c>
    </row>
    <row r="458" spans="1:11">
      <c r="A458" s="105">
        <v>40934</v>
      </c>
      <c r="B458" s="156">
        <v>0.27050000000000002</v>
      </c>
      <c r="D458" s="105">
        <v>41444</v>
      </c>
      <c r="E458">
        <v>0.27174999999999999</v>
      </c>
      <c r="F458" s="105">
        <v>41444</v>
      </c>
      <c r="G458">
        <v>0.40926000000000001</v>
      </c>
      <c r="H458" s="105">
        <v>40765</v>
      </c>
      <c r="I458">
        <v>0.60699999999999998</v>
      </c>
      <c r="J458" s="105">
        <v>41444</v>
      </c>
      <c r="K458">
        <v>0.66810000000000003</v>
      </c>
    </row>
    <row r="459" spans="1:11">
      <c r="A459" s="105">
        <v>40935</v>
      </c>
      <c r="B459" s="156">
        <v>0.27</v>
      </c>
      <c r="D459" s="105">
        <v>41443</v>
      </c>
      <c r="E459">
        <v>0.27224999999999999</v>
      </c>
      <c r="F459" s="105">
        <v>41443</v>
      </c>
      <c r="G459">
        <v>0.40926000000000001</v>
      </c>
      <c r="H459" s="105">
        <v>40764</v>
      </c>
      <c r="I459">
        <v>0.60806000000000004</v>
      </c>
      <c r="J459" s="105">
        <v>41443</v>
      </c>
      <c r="K459">
        <v>0.66810000000000003</v>
      </c>
    </row>
    <row r="460" spans="1:11">
      <c r="A460" s="105">
        <v>40938</v>
      </c>
      <c r="B460" s="156">
        <v>0.26774999999999999</v>
      </c>
      <c r="D460" s="105">
        <v>41442</v>
      </c>
      <c r="E460">
        <v>0.27324999999999999</v>
      </c>
      <c r="F460" s="105">
        <v>41442</v>
      </c>
      <c r="G460">
        <v>0.41126000000000001</v>
      </c>
      <c r="H460" s="105">
        <v>40763</v>
      </c>
      <c r="I460">
        <v>0.60499999999999998</v>
      </c>
      <c r="J460" s="105">
        <v>41442</v>
      </c>
      <c r="K460">
        <v>0.66810000000000003</v>
      </c>
    </row>
    <row r="461" spans="1:11">
      <c r="A461" s="105">
        <v>40939</v>
      </c>
      <c r="B461" s="156">
        <v>0.26474999999999999</v>
      </c>
      <c r="D461" s="105">
        <v>41439</v>
      </c>
      <c r="E461">
        <v>0.27274999999999999</v>
      </c>
      <c r="F461" s="105">
        <v>41439</v>
      </c>
      <c r="G461">
        <v>0.41126000000000001</v>
      </c>
      <c r="H461" s="105">
        <v>40760</v>
      </c>
      <c r="I461">
        <v>0.60416999999999998</v>
      </c>
      <c r="J461" s="105">
        <v>41439</v>
      </c>
      <c r="K461">
        <v>0.66910000000000003</v>
      </c>
    </row>
    <row r="462" spans="1:11">
      <c r="A462" s="105">
        <v>40940</v>
      </c>
      <c r="B462" s="156">
        <v>0.26400000000000001</v>
      </c>
      <c r="D462" s="105">
        <v>41438</v>
      </c>
      <c r="E462">
        <v>0.27324999999999999</v>
      </c>
      <c r="F462" s="105">
        <v>41438</v>
      </c>
      <c r="G462">
        <v>0.41476000000000002</v>
      </c>
      <c r="H462" s="105">
        <v>40759</v>
      </c>
      <c r="I462">
        <v>0.60306000000000004</v>
      </c>
      <c r="J462" s="105">
        <v>41438</v>
      </c>
      <c r="K462">
        <v>0.67869999999999997</v>
      </c>
    </row>
    <row r="463" spans="1:11">
      <c r="A463" s="105">
        <v>40941</v>
      </c>
      <c r="B463" s="156">
        <v>0.26250000000000001</v>
      </c>
      <c r="D463" s="105">
        <v>41437</v>
      </c>
      <c r="E463">
        <v>0.27324999999999999</v>
      </c>
      <c r="F463" s="105">
        <v>41437</v>
      </c>
      <c r="G463">
        <v>0.41376000000000002</v>
      </c>
      <c r="H463" s="105">
        <v>40758</v>
      </c>
      <c r="I463">
        <v>0.60194000000000003</v>
      </c>
      <c r="J463" s="105">
        <v>41437</v>
      </c>
      <c r="K463">
        <v>0.68320000000000003</v>
      </c>
    </row>
    <row r="464" spans="1:11">
      <c r="A464" s="105">
        <v>40942</v>
      </c>
      <c r="B464" s="156">
        <v>0.26050000000000001</v>
      </c>
      <c r="D464" s="105">
        <v>41436</v>
      </c>
      <c r="E464">
        <v>0.27224999999999999</v>
      </c>
      <c r="F464" s="105">
        <v>41436</v>
      </c>
      <c r="G464">
        <v>0.41126000000000001</v>
      </c>
      <c r="H464" s="105">
        <v>40757</v>
      </c>
      <c r="I464">
        <v>0.59833000000000003</v>
      </c>
      <c r="J464" s="105">
        <v>41436</v>
      </c>
      <c r="K464">
        <v>0.68469999999999998</v>
      </c>
    </row>
    <row r="465" spans="1:11">
      <c r="A465" s="105">
        <v>40945</v>
      </c>
      <c r="B465" s="156">
        <v>0.25974999999999998</v>
      </c>
      <c r="D465" s="105">
        <v>41435</v>
      </c>
      <c r="E465">
        <v>0.27415</v>
      </c>
      <c r="F465" s="105">
        <v>41435</v>
      </c>
      <c r="G465">
        <v>0.41126000000000001</v>
      </c>
      <c r="H465" s="105">
        <v>40756</v>
      </c>
      <c r="I465">
        <v>0.59250000000000003</v>
      </c>
      <c r="J465" s="105">
        <v>41435</v>
      </c>
      <c r="K465">
        <v>0.68320000000000003</v>
      </c>
    </row>
    <row r="466" spans="1:11">
      <c r="A466" s="105">
        <v>40946</v>
      </c>
      <c r="B466" s="156">
        <v>0.25700000000000001</v>
      </c>
      <c r="D466" s="105">
        <v>41432</v>
      </c>
      <c r="E466">
        <v>0.27515000000000001</v>
      </c>
      <c r="F466" s="105">
        <v>41432</v>
      </c>
      <c r="G466">
        <v>0.40976000000000001</v>
      </c>
      <c r="H466" s="105">
        <v>40753</v>
      </c>
      <c r="I466">
        <v>0.59299999999999997</v>
      </c>
      <c r="J466" s="105">
        <v>41432</v>
      </c>
      <c r="K466">
        <v>0.68520000000000003</v>
      </c>
    </row>
    <row r="467" spans="1:11">
      <c r="A467" s="105">
        <v>40947</v>
      </c>
      <c r="B467" s="156">
        <v>0.25474999999999998</v>
      </c>
      <c r="D467" s="105">
        <v>41431</v>
      </c>
      <c r="E467">
        <v>0.27424999999999999</v>
      </c>
      <c r="F467" s="105">
        <v>41431</v>
      </c>
      <c r="G467">
        <v>0.41026000000000001</v>
      </c>
      <c r="H467" s="105">
        <v>40752</v>
      </c>
      <c r="I467">
        <v>0.58975</v>
      </c>
      <c r="J467" s="105">
        <v>41431</v>
      </c>
      <c r="K467">
        <v>0.68520000000000003</v>
      </c>
    </row>
    <row r="468" spans="1:11">
      <c r="A468" s="105">
        <v>40948</v>
      </c>
      <c r="B468" s="156">
        <v>0.2535</v>
      </c>
      <c r="D468" s="105">
        <v>41430</v>
      </c>
      <c r="E468">
        <v>0.27445000000000003</v>
      </c>
      <c r="F468" s="105">
        <v>41430</v>
      </c>
      <c r="G468">
        <v>0.41276000000000002</v>
      </c>
      <c r="H468" s="105">
        <v>40751</v>
      </c>
      <c r="I468">
        <v>0.58525000000000005</v>
      </c>
      <c r="J468" s="105">
        <v>41430</v>
      </c>
      <c r="K468">
        <v>0.68620000000000003</v>
      </c>
    </row>
    <row r="469" spans="1:11">
      <c r="A469" s="105">
        <v>40949</v>
      </c>
      <c r="B469" s="156">
        <v>0.2505</v>
      </c>
      <c r="D469" s="105">
        <v>41429</v>
      </c>
      <c r="E469">
        <v>0.27395000000000003</v>
      </c>
      <c r="F469" s="105">
        <v>41429</v>
      </c>
      <c r="G469">
        <v>0.41176000000000001</v>
      </c>
      <c r="H469" s="105">
        <v>40750</v>
      </c>
      <c r="I469">
        <v>0.58274999999999999</v>
      </c>
      <c r="J469" s="105">
        <v>41429</v>
      </c>
      <c r="K469">
        <v>0.68720000000000003</v>
      </c>
    </row>
    <row r="470" spans="1:11">
      <c r="A470" s="105">
        <v>40952</v>
      </c>
      <c r="B470" s="156">
        <v>0.2485</v>
      </c>
      <c r="D470" s="105">
        <v>41428</v>
      </c>
      <c r="E470">
        <v>0.27324999999999999</v>
      </c>
      <c r="F470" s="105">
        <v>41428</v>
      </c>
      <c r="G470">
        <v>0.41526000000000002</v>
      </c>
      <c r="H470" s="105">
        <v>40749</v>
      </c>
      <c r="I470">
        <v>0.58374999999999999</v>
      </c>
      <c r="J470" s="105">
        <v>41428</v>
      </c>
      <c r="K470">
        <v>0.69020000000000004</v>
      </c>
    </row>
    <row r="471" spans="1:11">
      <c r="A471" s="105">
        <v>40953</v>
      </c>
      <c r="B471" s="156">
        <v>0.2475</v>
      </c>
      <c r="D471" s="105">
        <v>41425</v>
      </c>
      <c r="E471">
        <v>0.27524999999999999</v>
      </c>
      <c r="F471" s="105">
        <v>41425</v>
      </c>
      <c r="G471">
        <v>0.41426000000000002</v>
      </c>
      <c r="H471" s="105">
        <v>40746</v>
      </c>
      <c r="I471">
        <v>0.58374999999999999</v>
      </c>
      <c r="J471" s="105">
        <v>41425</v>
      </c>
      <c r="K471">
        <v>0.68920000000000003</v>
      </c>
    </row>
    <row r="472" spans="1:11">
      <c r="A472" s="105">
        <v>40954</v>
      </c>
      <c r="B472" s="156">
        <v>0.246</v>
      </c>
      <c r="D472" s="105">
        <v>41424</v>
      </c>
      <c r="E472">
        <v>0.27465000000000001</v>
      </c>
      <c r="F472" s="105">
        <v>41424</v>
      </c>
      <c r="G472">
        <v>0.41626000000000002</v>
      </c>
      <c r="H472" s="105">
        <v>40745</v>
      </c>
      <c r="I472">
        <v>0.58474999999999999</v>
      </c>
      <c r="J472" s="105">
        <v>41424</v>
      </c>
      <c r="K472">
        <v>0.68799999999999994</v>
      </c>
    </row>
    <row r="473" spans="1:11">
      <c r="A473" s="105">
        <v>40955</v>
      </c>
      <c r="B473" s="156">
        <v>0.2455</v>
      </c>
      <c r="D473" s="105">
        <v>41423</v>
      </c>
      <c r="E473">
        <v>0.27575</v>
      </c>
      <c r="F473" s="105">
        <v>41423</v>
      </c>
      <c r="G473">
        <v>0.41626000000000002</v>
      </c>
      <c r="H473" s="105">
        <v>40744</v>
      </c>
      <c r="I473">
        <v>0.58474999999999999</v>
      </c>
      <c r="J473" s="105">
        <v>41423</v>
      </c>
      <c r="K473">
        <v>0.69069999999999998</v>
      </c>
    </row>
    <row r="474" spans="1:11">
      <c r="A474" s="105">
        <v>40956</v>
      </c>
      <c r="B474" s="156">
        <v>0.2455</v>
      </c>
      <c r="D474" s="105">
        <v>41422</v>
      </c>
      <c r="E474">
        <v>0.27274999999999999</v>
      </c>
      <c r="F474" s="105">
        <v>41422</v>
      </c>
      <c r="G474">
        <v>0.41526000000000002</v>
      </c>
      <c r="H474" s="105">
        <v>40743</v>
      </c>
      <c r="I474">
        <v>0.58450000000000002</v>
      </c>
      <c r="J474" s="105">
        <v>41422</v>
      </c>
      <c r="K474">
        <v>0.68400000000000005</v>
      </c>
    </row>
    <row r="475" spans="1:11">
      <c r="A475" s="105">
        <v>40959</v>
      </c>
      <c r="B475" s="156">
        <v>0.2455</v>
      </c>
      <c r="D475" s="105">
        <v>41418</v>
      </c>
      <c r="E475">
        <v>0.27274999999999999</v>
      </c>
      <c r="F475" s="105">
        <v>41418</v>
      </c>
      <c r="G475">
        <v>0.41739999999999999</v>
      </c>
      <c r="H475" s="105">
        <v>40742</v>
      </c>
      <c r="I475">
        <v>0.58255000000000001</v>
      </c>
      <c r="J475" s="105">
        <v>41418</v>
      </c>
      <c r="K475">
        <v>0.68589</v>
      </c>
    </row>
    <row r="476" spans="1:11">
      <c r="A476" s="105">
        <v>40960</v>
      </c>
      <c r="B476" s="156">
        <v>0.2455</v>
      </c>
      <c r="D476" s="105">
        <v>41417</v>
      </c>
      <c r="E476">
        <v>0.27274999999999999</v>
      </c>
      <c r="F476" s="105">
        <v>41417</v>
      </c>
      <c r="G476">
        <v>0.41739999999999999</v>
      </c>
      <c r="H476" s="105">
        <v>40739</v>
      </c>
      <c r="I476">
        <v>0.57799999999999996</v>
      </c>
      <c r="J476" s="105">
        <v>41417</v>
      </c>
      <c r="K476">
        <v>0.68589</v>
      </c>
    </row>
    <row r="477" spans="1:11">
      <c r="A477" s="105">
        <v>40961</v>
      </c>
      <c r="B477" s="156">
        <v>0.2445</v>
      </c>
      <c r="D477" s="105">
        <v>41416</v>
      </c>
      <c r="E477">
        <v>0.27374999999999999</v>
      </c>
      <c r="F477" s="105">
        <v>41416</v>
      </c>
      <c r="G477">
        <v>0.41839999999999999</v>
      </c>
      <c r="H477" s="105">
        <v>40738</v>
      </c>
      <c r="I477">
        <v>0.57750000000000001</v>
      </c>
      <c r="J477" s="105">
        <v>41416</v>
      </c>
      <c r="K477">
        <v>0.68589</v>
      </c>
    </row>
    <row r="478" spans="1:11">
      <c r="A478" s="105">
        <v>40962</v>
      </c>
      <c r="B478" s="156">
        <v>0.24399999999999999</v>
      </c>
      <c r="D478" s="105">
        <v>41415</v>
      </c>
      <c r="E478">
        <v>0.27410000000000001</v>
      </c>
      <c r="F478" s="105">
        <v>41415</v>
      </c>
      <c r="G478">
        <v>0.41839999999999999</v>
      </c>
      <c r="H478" s="105">
        <v>40737</v>
      </c>
      <c r="I478">
        <v>0.57699999999999996</v>
      </c>
      <c r="J478" s="105">
        <v>41415</v>
      </c>
      <c r="K478">
        <v>0.68589</v>
      </c>
    </row>
    <row r="479" spans="1:11">
      <c r="A479" s="105">
        <v>40963</v>
      </c>
      <c r="B479" s="156">
        <v>0.24399999999999999</v>
      </c>
      <c r="D479" s="105">
        <v>41414</v>
      </c>
      <c r="E479">
        <v>0.27310000000000001</v>
      </c>
      <c r="F479" s="105">
        <v>41414</v>
      </c>
      <c r="G479">
        <v>0.41839999999999999</v>
      </c>
      <c r="H479" s="105">
        <v>40736</v>
      </c>
      <c r="I479">
        <v>0.57450000000000001</v>
      </c>
      <c r="J479" s="105">
        <v>41414</v>
      </c>
      <c r="K479">
        <v>0.68738999999999995</v>
      </c>
    </row>
    <row r="480" spans="1:11">
      <c r="A480" s="105">
        <v>40966</v>
      </c>
      <c r="B480" s="156">
        <v>0.24399999999999999</v>
      </c>
      <c r="D480" s="105">
        <v>41411</v>
      </c>
      <c r="E480">
        <v>0.27360000000000001</v>
      </c>
      <c r="F480" s="105">
        <v>41411</v>
      </c>
      <c r="G480">
        <v>0.4194</v>
      </c>
      <c r="H480" s="105">
        <v>40735</v>
      </c>
      <c r="I480">
        <v>0.56699999999999995</v>
      </c>
      <c r="J480" s="105">
        <v>41411</v>
      </c>
      <c r="K480">
        <v>0.68838999999999995</v>
      </c>
    </row>
    <row r="481" spans="1:11">
      <c r="A481" s="105">
        <v>40967</v>
      </c>
      <c r="B481" s="156">
        <v>0.24399999999999999</v>
      </c>
      <c r="D481" s="105">
        <v>41410</v>
      </c>
      <c r="E481">
        <v>0.27410000000000001</v>
      </c>
      <c r="F481" s="105">
        <v>41410</v>
      </c>
      <c r="G481">
        <v>0.4199</v>
      </c>
      <c r="H481" s="105">
        <v>40732</v>
      </c>
      <c r="I481">
        <v>0.56699999999999995</v>
      </c>
      <c r="J481" s="105">
        <v>41410</v>
      </c>
      <c r="K481">
        <v>0.68989</v>
      </c>
    </row>
    <row r="482" spans="1:11">
      <c r="A482" s="105">
        <v>40968</v>
      </c>
      <c r="B482" s="156">
        <v>0.24349999999999999</v>
      </c>
      <c r="D482" s="105">
        <v>41409</v>
      </c>
      <c r="E482">
        <v>0.27410000000000001</v>
      </c>
      <c r="F482" s="105">
        <v>41409</v>
      </c>
      <c r="G482">
        <v>0.4209</v>
      </c>
      <c r="H482" s="105">
        <v>40731</v>
      </c>
      <c r="I482">
        <v>0.5645</v>
      </c>
      <c r="J482" s="105">
        <v>41409</v>
      </c>
      <c r="K482">
        <v>0.68989</v>
      </c>
    </row>
    <row r="483" spans="1:11">
      <c r="A483" s="105">
        <v>40969</v>
      </c>
      <c r="B483" s="156">
        <v>0.24299999999999999</v>
      </c>
      <c r="D483" s="105">
        <v>41408</v>
      </c>
      <c r="E483">
        <v>0.27410000000000001</v>
      </c>
      <c r="F483" s="105">
        <v>41408</v>
      </c>
      <c r="G483">
        <v>0.4234</v>
      </c>
      <c r="H483" s="105">
        <v>40730</v>
      </c>
      <c r="I483">
        <v>0.5655</v>
      </c>
      <c r="J483" s="105">
        <v>41408</v>
      </c>
      <c r="K483">
        <v>0.69510000000000005</v>
      </c>
    </row>
    <row r="484" spans="1:11">
      <c r="A484" s="105">
        <v>40970</v>
      </c>
      <c r="B484" s="156">
        <v>0.24274999999999999</v>
      </c>
      <c r="D484" s="105">
        <v>41407</v>
      </c>
      <c r="E484">
        <v>0.27510000000000001</v>
      </c>
      <c r="F484" s="105">
        <v>41407</v>
      </c>
      <c r="G484">
        <v>0.4264</v>
      </c>
      <c r="H484" s="105">
        <v>40729</v>
      </c>
      <c r="I484">
        <v>0.56425000000000003</v>
      </c>
      <c r="J484" s="105">
        <v>41407</v>
      </c>
      <c r="K484">
        <v>0.70109999999999995</v>
      </c>
    </row>
    <row r="485" spans="1:11">
      <c r="A485" s="105">
        <v>40973</v>
      </c>
      <c r="B485" s="156">
        <v>0.24274999999999999</v>
      </c>
      <c r="D485" s="105">
        <v>41404</v>
      </c>
      <c r="E485">
        <v>0.27510000000000001</v>
      </c>
      <c r="F485" s="105">
        <v>41404</v>
      </c>
      <c r="G485">
        <v>0.4264</v>
      </c>
      <c r="H485" s="105">
        <v>40728</v>
      </c>
      <c r="I485">
        <v>0.56425000000000003</v>
      </c>
      <c r="J485" s="105">
        <v>41404</v>
      </c>
      <c r="K485">
        <v>0.70109999999999995</v>
      </c>
    </row>
    <row r="486" spans="1:11">
      <c r="A486" s="105">
        <v>40974</v>
      </c>
      <c r="B486" s="156">
        <v>0.24274999999999999</v>
      </c>
      <c r="D486" s="105">
        <v>41403</v>
      </c>
      <c r="E486">
        <v>0.27510000000000001</v>
      </c>
      <c r="F486" s="105">
        <v>41403</v>
      </c>
      <c r="G486">
        <v>0.4274</v>
      </c>
      <c r="H486" s="105">
        <v>40725</v>
      </c>
      <c r="I486">
        <v>0.56474999999999997</v>
      </c>
      <c r="J486" s="105">
        <v>41403</v>
      </c>
      <c r="K486">
        <v>0.70209999999999995</v>
      </c>
    </row>
    <row r="487" spans="1:11">
      <c r="A487" s="105">
        <v>40975</v>
      </c>
      <c r="B487" s="156">
        <v>0.24274999999999999</v>
      </c>
      <c r="D487" s="105">
        <v>41402</v>
      </c>
      <c r="E487">
        <v>0.27510000000000001</v>
      </c>
      <c r="F487" s="105">
        <v>41402</v>
      </c>
      <c r="G487">
        <v>0.4284</v>
      </c>
      <c r="H487" s="105">
        <v>40724</v>
      </c>
      <c r="I487">
        <v>0.56374999999999997</v>
      </c>
      <c r="J487" s="105">
        <v>41402</v>
      </c>
      <c r="K487">
        <v>0.70309999999999995</v>
      </c>
    </row>
    <row r="488" spans="1:11">
      <c r="A488" s="105">
        <v>40976</v>
      </c>
      <c r="B488" s="156">
        <v>0.24174999999999999</v>
      </c>
      <c r="D488" s="105">
        <v>41401</v>
      </c>
      <c r="E488">
        <v>0.27510000000000001</v>
      </c>
      <c r="F488" s="105">
        <v>41401</v>
      </c>
      <c r="G488">
        <v>0.4284</v>
      </c>
      <c r="H488" s="105">
        <v>40723</v>
      </c>
      <c r="I488">
        <v>0.56674999999999998</v>
      </c>
      <c r="J488" s="105">
        <v>41401</v>
      </c>
      <c r="K488">
        <v>0.70309999999999995</v>
      </c>
    </row>
    <row r="489" spans="1:11">
      <c r="A489" s="105">
        <v>40977</v>
      </c>
      <c r="B489" s="156">
        <v>0.24174999999999999</v>
      </c>
      <c r="D489" s="105">
        <v>41397</v>
      </c>
      <c r="E489">
        <v>0.27510000000000001</v>
      </c>
      <c r="F489" s="105">
        <v>41397</v>
      </c>
      <c r="G489">
        <v>0.4254</v>
      </c>
      <c r="H489" s="105">
        <v>40722</v>
      </c>
      <c r="I489">
        <v>0.56674999999999998</v>
      </c>
      <c r="J489" s="105">
        <v>41397</v>
      </c>
      <c r="K489">
        <v>0.70209999999999995</v>
      </c>
    </row>
    <row r="490" spans="1:11">
      <c r="A490" s="105">
        <v>40980</v>
      </c>
      <c r="B490" s="156">
        <v>0.24174999999999999</v>
      </c>
      <c r="D490" s="105">
        <v>41396</v>
      </c>
      <c r="E490">
        <v>0.27310000000000001</v>
      </c>
      <c r="F490" s="105">
        <v>41396</v>
      </c>
      <c r="G490">
        <v>0.4254</v>
      </c>
      <c r="H490" s="105">
        <v>40721</v>
      </c>
      <c r="I490">
        <v>0.56674999999999998</v>
      </c>
      <c r="J490" s="105">
        <v>41396</v>
      </c>
      <c r="K490">
        <v>0.70309999999999995</v>
      </c>
    </row>
    <row r="491" spans="1:11">
      <c r="A491" s="105">
        <v>40981</v>
      </c>
      <c r="B491" s="156">
        <v>0.24174999999999999</v>
      </c>
      <c r="D491" s="105">
        <v>41395</v>
      </c>
      <c r="E491">
        <v>0.27310000000000001</v>
      </c>
      <c r="F491" s="105">
        <v>41395</v>
      </c>
      <c r="G491">
        <v>0.4254</v>
      </c>
      <c r="H491" s="105">
        <v>40718</v>
      </c>
      <c r="I491">
        <v>0.56299999999999994</v>
      </c>
      <c r="J491" s="105">
        <v>41395</v>
      </c>
      <c r="K491">
        <v>0.70399999999999996</v>
      </c>
    </row>
    <row r="492" spans="1:11">
      <c r="A492" s="105">
        <v>40982</v>
      </c>
      <c r="B492" s="156">
        <v>0.24174999999999999</v>
      </c>
      <c r="D492" s="105">
        <v>41394</v>
      </c>
      <c r="E492">
        <v>0.27310000000000001</v>
      </c>
      <c r="F492" s="105">
        <v>41394</v>
      </c>
      <c r="G492">
        <v>0.4254</v>
      </c>
      <c r="H492" s="105">
        <v>40717</v>
      </c>
      <c r="I492">
        <v>0.5615</v>
      </c>
      <c r="J492" s="105">
        <v>41394</v>
      </c>
      <c r="K492">
        <v>0.70450000000000002</v>
      </c>
    </row>
    <row r="493" spans="1:11">
      <c r="A493" s="105">
        <v>40983</v>
      </c>
      <c r="B493" s="156">
        <v>0.24174999999999999</v>
      </c>
      <c r="D493" s="105">
        <v>41393</v>
      </c>
      <c r="E493">
        <v>0.27410000000000001</v>
      </c>
      <c r="F493" s="105">
        <v>41393</v>
      </c>
      <c r="G493">
        <v>0.4299</v>
      </c>
      <c r="H493" s="105">
        <v>40716</v>
      </c>
      <c r="I493">
        <v>0.5595</v>
      </c>
      <c r="J493" s="105">
        <v>41393</v>
      </c>
      <c r="K493">
        <v>0.70850000000000002</v>
      </c>
    </row>
    <row r="494" spans="1:11">
      <c r="A494" s="105">
        <v>40984</v>
      </c>
      <c r="B494" s="156">
        <v>0.24174999999999999</v>
      </c>
      <c r="D494" s="105">
        <v>41390</v>
      </c>
      <c r="E494">
        <v>0.27560000000000001</v>
      </c>
      <c r="F494" s="105">
        <v>41390</v>
      </c>
      <c r="G494">
        <v>0.4304</v>
      </c>
      <c r="H494" s="105">
        <v>40715</v>
      </c>
      <c r="I494">
        <v>0.56200000000000006</v>
      </c>
      <c r="J494" s="105">
        <v>41390</v>
      </c>
      <c r="K494">
        <v>0.71050000000000002</v>
      </c>
    </row>
    <row r="495" spans="1:11">
      <c r="A495" s="105">
        <v>40987</v>
      </c>
      <c r="B495" s="156">
        <v>0.24174999999999999</v>
      </c>
      <c r="D495" s="105">
        <v>41389</v>
      </c>
      <c r="E495">
        <v>0.27560000000000001</v>
      </c>
      <c r="F495" s="105">
        <v>41389</v>
      </c>
      <c r="G495">
        <v>0.4304</v>
      </c>
      <c r="H495" s="105">
        <v>40714</v>
      </c>
      <c r="I495">
        <v>0.56200000000000006</v>
      </c>
      <c r="J495" s="105">
        <v>41389</v>
      </c>
      <c r="K495">
        <v>0.71099999999999997</v>
      </c>
    </row>
    <row r="496" spans="1:11">
      <c r="A496" s="105">
        <v>40988</v>
      </c>
      <c r="B496" s="156">
        <v>0.24174999999999999</v>
      </c>
      <c r="D496" s="105">
        <v>41388</v>
      </c>
      <c r="E496">
        <v>0.27560000000000001</v>
      </c>
      <c r="F496" s="105">
        <v>41388</v>
      </c>
      <c r="G496">
        <v>0.43140000000000001</v>
      </c>
      <c r="H496" s="105">
        <v>40711</v>
      </c>
      <c r="I496">
        <v>0.56200000000000006</v>
      </c>
      <c r="J496" s="105">
        <v>41388</v>
      </c>
      <c r="K496">
        <v>0.71199999999999997</v>
      </c>
    </row>
    <row r="497" spans="1:11">
      <c r="A497" s="105">
        <v>40989</v>
      </c>
      <c r="B497" s="156">
        <v>0.24174999999999999</v>
      </c>
      <c r="D497" s="105">
        <v>41387</v>
      </c>
      <c r="E497">
        <v>0.27560000000000001</v>
      </c>
      <c r="F497" s="105">
        <v>41387</v>
      </c>
      <c r="G497">
        <v>0.43140000000000001</v>
      </c>
      <c r="H497" s="105">
        <v>40710</v>
      </c>
      <c r="I497">
        <v>0.5625</v>
      </c>
      <c r="J497" s="105">
        <v>41387</v>
      </c>
      <c r="K497">
        <v>0.71099999999999997</v>
      </c>
    </row>
    <row r="498" spans="1:11">
      <c r="A498" s="105">
        <v>40990</v>
      </c>
      <c r="B498" s="156">
        <v>0.24174999999999999</v>
      </c>
      <c r="D498" s="105">
        <v>41386</v>
      </c>
      <c r="E498">
        <v>0.27510000000000001</v>
      </c>
      <c r="F498" s="105">
        <v>41386</v>
      </c>
      <c r="G498">
        <v>0.43290000000000001</v>
      </c>
      <c r="H498" s="105">
        <v>40709</v>
      </c>
      <c r="I498">
        <v>0.55500000000000005</v>
      </c>
      <c r="J498" s="105">
        <v>41386</v>
      </c>
      <c r="K498">
        <v>0.71550000000000002</v>
      </c>
    </row>
    <row r="499" spans="1:11">
      <c r="A499" s="105">
        <v>40991</v>
      </c>
      <c r="B499" s="156">
        <v>0.24124999999999999</v>
      </c>
      <c r="D499" s="105">
        <v>41383</v>
      </c>
      <c r="E499">
        <v>0.27610000000000001</v>
      </c>
      <c r="F499" s="105">
        <v>41383</v>
      </c>
      <c r="G499">
        <v>0.43340000000000001</v>
      </c>
      <c r="H499" s="105">
        <v>40708</v>
      </c>
      <c r="I499">
        <v>0.55500000000000005</v>
      </c>
      <c r="J499" s="105">
        <v>41383</v>
      </c>
      <c r="K499">
        <v>0.71499999999999997</v>
      </c>
    </row>
    <row r="500" spans="1:11">
      <c r="A500" s="105">
        <v>40994</v>
      </c>
      <c r="B500" s="156">
        <v>0.24124999999999999</v>
      </c>
      <c r="D500" s="105">
        <v>41382</v>
      </c>
      <c r="E500">
        <v>0.27610000000000001</v>
      </c>
      <c r="F500" s="105">
        <v>41382</v>
      </c>
      <c r="G500">
        <v>0.43290000000000001</v>
      </c>
      <c r="H500" s="105">
        <v>40707</v>
      </c>
      <c r="I500">
        <v>0.55549999999999999</v>
      </c>
      <c r="J500" s="105">
        <v>41382</v>
      </c>
      <c r="K500">
        <v>0.71499999999999997</v>
      </c>
    </row>
    <row r="501" spans="1:11">
      <c r="A501" s="105">
        <v>40995</v>
      </c>
      <c r="B501" s="156">
        <v>0.24124999999999999</v>
      </c>
      <c r="D501" s="105">
        <v>41381</v>
      </c>
      <c r="E501">
        <v>0.27610000000000001</v>
      </c>
      <c r="F501" s="105">
        <v>41381</v>
      </c>
      <c r="G501">
        <v>0.43290000000000001</v>
      </c>
      <c r="H501" s="105">
        <v>40704</v>
      </c>
      <c r="I501">
        <v>0.55674999999999997</v>
      </c>
      <c r="J501" s="105">
        <v>41381</v>
      </c>
      <c r="K501">
        <v>0.71499999999999997</v>
      </c>
    </row>
    <row r="502" spans="1:11">
      <c r="A502" s="105">
        <v>40996</v>
      </c>
      <c r="B502" s="156">
        <v>0.24124999999999999</v>
      </c>
      <c r="D502" s="105">
        <v>41380</v>
      </c>
      <c r="E502">
        <v>0.27710000000000001</v>
      </c>
      <c r="F502" s="105">
        <v>41380</v>
      </c>
      <c r="G502">
        <v>0.43640000000000001</v>
      </c>
      <c r="H502" s="105">
        <v>40703</v>
      </c>
      <c r="I502">
        <v>0.55674999999999997</v>
      </c>
      <c r="J502" s="105">
        <v>41380</v>
      </c>
      <c r="K502">
        <v>0.71750000000000003</v>
      </c>
    </row>
    <row r="503" spans="1:11">
      <c r="A503" s="105">
        <v>40997</v>
      </c>
      <c r="B503" s="156">
        <v>0.24124999999999999</v>
      </c>
      <c r="D503" s="105">
        <v>41379</v>
      </c>
      <c r="E503">
        <v>0.27760000000000001</v>
      </c>
      <c r="F503" s="105">
        <v>41379</v>
      </c>
      <c r="G503">
        <v>0.43790000000000001</v>
      </c>
      <c r="H503" s="105">
        <v>40702</v>
      </c>
      <c r="I503">
        <v>0.55800000000000005</v>
      </c>
      <c r="J503" s="105">
        <v>41379</v>
      </c>
      <c r="K503">
        <v>0.71899999999999997</v>
      </c>
    </row>
    <row r="504" spans="1:11">
      <c r="A504" s="105">
        <v>40998</v>
      </c>
      <c r="B504" s="156">
        <v>0.24124999999999999</v>
      </c>
      <c r="D504" s="105">
        <v>41376</v>
      </c>
      <c r="E504">
        <v>0.27760000000000001</v>
      </c>
      <c r="F504" s="105">
        <v>41376</v>
      </c>
      <c r="G504">
        <v>0.43790000000000001</v>
      </c>
      <c r="H504" s="105">
        <v>40701</v>
      </c>
      <c r="I504">
        <v>0.56100000000000005</v>
      </c>
      <c r="J504" s="105">
        <v>41376</v>
      </c>
      <c r="K504">
        <v>0.71899999999999997</v>
      </c>
    </row>
    <row r="505" spans="1:11">
      <c r="A505" s="105">
        <v>41001</v>
      </c>
      <c r="B505" s="156">
        <v>0.24124999999999999</v>
      </c>
      <c r="D505" s="105">
        <v>41375</v>
      </c>
      <c r="E505">
        <v>0.27710000000000001</v>
      </c>
      <c r="F505" s="105">
        <v>41375</v>
      </c>
      <c r="G505">
        <v>0.43890000000000001</v>
      </c>
      <c r="H505" s="105">
        <v>40700</v>
      </c>
      <c r="I505">
        <v>0.56125000000000003</v>
      </c>
      <c r="J505" s="105">
        <v>41375</v>
      </c>
      <c r="K505">
        <v>0.72</v>
      </c>
    </row>
    <row r="506" spans="1:11">
      <c r="A506" s="105">
        <v>41002</v>
      </c>
      <c r="B506" s="156">
        <v>0.24124999999999999</v>
      </c>
      <c r="D506" s="105">
        <v>41374</v>
      </c>
      <c r="E506">
        <v>0.27710000000000001</v>
      </c>
      <c r="F506" s="105">
        <v>41374</v>
      </c>
      <c r="G506">
        <v>0.43990000000000001</v>
      </c>
      <c r="H506" s="105">
        <v>40697</v>
      </c>
      <c r="I506">
        <v>0.5625</v>
      </c>
      <c r="J506" s="105">
        <v>41374</v>
      </c>
      <c r="K506">
        <v>0.72099999999999997</v>
      </c>
    </row>
    <row r="507" spans="1:11">
      <c r="A507" s="105">
        <v>41003</v>
      </c>
      <c r="B507" s="156">
        <v>0.24124999999999999</v>
      </c>
      <c r="D507" s="105">
        <v>41373</v>
      </c>
      <c r="E507">
        <v>0.27810000000000001</v>
      </c>
      <c r="F507" s="105">
        <v>41373</v>
      </c>
      <c r="G507">
        <v>0.44190000000000002</v>
      </c>
      <c r="H507" s="105">
        <v>40696</v>
      </c>
      <c r="I507">
        <v>0.56237999999999999</v>
      </c>
      <c r="J507" s="105">
        <v>41373</v>
      </c>
      <c r="K507">
        <v>0.72099999999999997</v>
      </c>
    </row>
    <row r="508" spans="1:11">
      <c r="A508" s="105">
        <v>41004</v>
      </c>
      <c r="B508" s="156">
        <v>0.24124999999999999</v>
      </c>
      <c r="D508" s="105">
        <v>41372</v>
      </c>
      <c r="E508">
        <v>0.27939999999999998</v>
      </c>
      <c r="F508" s="105">
        <v>41372</v>
      </c>
      <c r="G508">
        <v>0.44190000000000002</v>
      </c>
      <c r="H508" s="105">
        <v>40695</v>
      </c>
      <c r="I508">
        <v>0.56413000000000002</v>
      </c>
      <c r="J508" s="105">
        <v>41372</v>
      </c>
      <c r="K508">
        <v>0.72099999999999997</v>
      </c>
    </row>
    <row r="509" spans="1:11">
      <c r="A509" s="105">
        <v>41009</v>
      </c>
      <c r="B509" s="156">
        <v>0.24024999999999999</v>
      </c>
      <c r="D509" s="105">
        <v>41369</v>
      </c>
      <c r="E509">
        <v>0.27939999999999998</v>
      </c>
      <c r="F509" s="105">
        <v>41369</v>
      </c>
      <c r="G509">
        <v>0.44190000000000002</v>
      </c>
      <c r="H509" s="105">
        <v>40694</v>
      </c>
      <c r="I509">
        <v>0.56462999999999997</v>
      </c>
      <c r="J509" s="105">
        <v>41369</v>
      </c>
      <c r="K509">
        <v>0.72099999999999997</v>
      </c>
    </row>
    <row r="510" spans="1:11">
      <c r="A510" s="105">
        <v>41010</v>
      </c>
      <c r="B510" s="156">
        <v>0.24024999999999999</v>
      </c>
      <c r="D510" s="105">
        <v>41368</v>
      </c>
      <c r="E510">
        <v>0.28039999999999998</v>
      </c>
      <c r="F510" s="105">
        <v>41368</v>
      </c>
      <c r="G510">
        <v>0.44240000000000002</v>
      </c>
      <c r="H510" s="105">
        <v>40690</v>
      </c>
      <c r="I510">
        <v>0.56413000000000002</v>
      </c>
      <c r="J510" s="105">
        <v>41368</v>
      </c>
      <c r="K510">
        <v>0.72299999999999998</v>
      </c>
    </row>
    <row r="511" spans="1:11">
      <c r="A511" s="105">
        <v>41011</v>
      </c>
      <c r="B511" s="156">
        <v>0.24024999999999999</v>
      </c>
      <c r="D511" s="105">
        <v>41367</v>
      </c>
      <c r="E511">
        <v>0.28110000000000002</v>
      </c>
      <c r="F511" s="105">
        <v>41367</v>
      </c>
      <c r="G511">
        <v>0.44240000000000002</v>
      </c>
      <c r="H511" s="105">
        <v>40689</v>
      </c>
      <c r="I511">
        <v>0.56525000000000003</v>
      </c>
      <c r="J511" s="105">
        <v>41367</v>
      </c>
      <c r="K511">
        <v>0.72499999999999998</v>
      </c>
    </row>
    <row r="512" spans="1:11">
      <c r="A512" s="105">
        <v>41012</v>
      </c>
      <c r="B512" s="156">
        <v>0.23974999999999999</v>
      </c>
      <c r="D512" s="105">
        <v>41366</v>
      </c>
      <c r="E512">
        <v>0.28210000000000002</v>
      </c>
      <c r="F512" s="105">
        <v>41366</v>
      </c>
      <c r="G512">
        <v>0.44390000000000002</v>
      </c>
      <c r="H512" s="105">
        <v>40688</v>
      </c>
      <c r="I512">
        <v>0.56474999999999997</v>
      </c>
      <c r="J512" s="105">
        <v>41366</v>
      </c>
      <c r="K512">
        <v>0.72799999999999998</v>
      </c>
    </row>
    <row r="513" spans="1:11">
      <c r="A513" s="105">
        <v>41015</v>
      </c>
      <c r="B513" s="156">
        <v>0.23974999999999999</v>
      </c>
      <c r="D513" s="105">
        <v>41361</v>
      </c>
      <c r="E513">
        <v>0.28260000000000002</v>
      </c>
      <c r="F513" s="105">
        <v>41361</v>
      </c>
      <c r="G513">
        <v>0.44490000000000002</v>
      </c>
      <c r="H513" s="105">
        <v>40687</v>
      </c>
      <c r="I513">
        <v>0.5655</v>
      </c>
      <c r="J513" s="105">
        <v>41361</v>
      </c>
      <c r="K513">
        <v>0.73150000000000004</v>
      </c>
    </row>
    <row r="514" spans="1:11">
      <c r="A514" s="105">
        <v>41016</v>
      </c>
      <c r="B514" s="156">
        <v>0.23974999999999999</v>
      </c>
      <c r="D514" s="105">
        <v>41360</v>
      </c>
      <c r="E514">
        <v>0.28360000000000002</v>
      </c>
      <c r="F514" s="105">
        <v>41360</v>
      </c>
      <c r="G514">
        <v>0.44490000000000002</v>
      </c>
      <c r="H514" s="105">
        <v>40686</v>
      </c>
      <c r="I514">
        <v>0.56499999999999995</v>
      </c>
      <c r="J514" s="105">
        <v>41360</v>
      </c>
      <c r="K514">
        <v>0.73150000000000004</v>
      </c>
    </row>
    <row r="515" spans="1:11">
      <c r="A515" s="105">
        <v>41017</v>
      </c>
      <c r="B515" s="156">
        <v>0.23974999999999999</v>
      </c>
      <c r="D515" s="105">
        <v>41359</v>
      </c>
      <c r="E515">
        <v>0.28360000000000002</v>
      </c>
      <c r="F515" s="105">
        <v>41359</v>
      </c>
      <c r="G515">
        <v>0.44590000000000002</v>
      </c>
      <c r="H515" s="105">
        <v>40683</v>
      </c>
      <c r="I515">
        <v>0.56874999999999998</v>
      </c>
      <c r="J515" s="105">
        <v>41359</v>
      </c>
      <c r="K515">
        <v>0.73250000000000004</v>
      </c>
    </row>
    <row r="516" spans="1:11">
      <c r="A516" s="105">
        <v>41018</v>
      </c>
      <c r="B516" s="156">
        <v>0.23974999999999999</v>
      </c>
      <c r="D516" s="105">
        <v>41358</v>
      </c>
      <c r="E516">
        <v>0.28310000000000002</v>
      </c>
      <c r="F516" s="105">
        <v>41358</v>
      </c>
      <c r="G516">
        <v>0.44590000000000002</v>
      </c>
      <c r="H516" s="105">
        <v>40682</v>
      </c>
      <c r="I516">
        <v>0.57074999999999998</v>
      </c>
      <c r="J516" s="105">
        <v>41358</v>
      </c>
      <c r="K516">
        <v>0.73099999999999998</v>
      </c>
    </row>
    <row r="517" spans="1:11">
      <c r="A517" s="105">
        <v>41019</v>
      </c>
      <c r="B517" s="156">
        <v>0.23974999999999999</v>
      </c>
      <c r="D517" s="105">
        <v>41355</v>
      </c>
      <c r="E517">
        <v>0.28460000000000002</v>
      </c>
      <c r="F517" s="105">
        <v>41355</v>
      </c>
      <c r="G517">
        <v>0.44790000000000002</v>
      </c>
      <c r="H517" s="105">
        <v>40681</v>
      </c>
      <c r="I517">
        <v>0.57099999999999995</v>
      </c>
      <c r="J517" s="105">
        <v>41355</v>
      </c>
      <c r="K517">
        <v>0.73750000000000004</v>
      </c>
    </row>
    <row r="518" spans="1:11">
      <c r="A518" s="105">
        <v>41022</v>
      </c>
      <c r="B518" s="156">
        <v>0.23874999999999999</v>
      </c>
      <c r="D518" s="105">
        <v>41354</v>
      </c>
      <c r="E518">
        <v>0.28410000000000002</v>
      </c>
      <c r="F518" s="105">
        <v>41354</v>
      </c>
      <c r="G518">
        <v>0.44740000000000002</v>
      </c>
      <c r="H518" s="105">
        <v>40680</v>
      </c>
      <c r="I518">
        <v>0.57199999999999995</v>
      </c>
      <c r="J518" s="105">
        <v>41354</v>
      </c>
      <c r="K518">
        <v>0.73550000000000004</v>
      </c>
    </row>
    <row r="519" spans="1:11">
      <c r="A519" s="105">
        <v>41023</v>
      </c>
      <c r="B519" s="156">
        <v>0.23874999999999999</v>
      </c>
      <c r="D519" s="105">
        <v>41353</v>
      </c>
      <c r="E519">
        <v>0.28410000000000002</v>
      </c>
      <c r="F519" s="105">
        <v>41353</v>
      </c>
      <c r="G519">
        <v>0.44790000000000002</v>
      </c>
      <c r="H519" s="105">
        <v>40679</v>
      </c>
      <c r="I519">
        <v>0.57250000000000001</v>
      </c>
      <c r="J519" s="105">
        <v>41353</v>
      </c>
      <c r="K519">
        <v>0.73699999999999999</v>
      </c>
    </row>
    <row r="520" spans="1:11">
      <c r="A520" s="105">
        <v>41024</v>
      </c>
      <c r="B520" s="156">
        <v>0.23874999999999999</v>
      </c>
      <c r="D520" s="105">
        <v>41352</v>
      </c>
      <c r="E520">
        <v>0.28210000000000002</v>
      </c>
      <c r="F520" s="105">
        <v>41352</v>
      </c>
      <c r="G520">
        <v>0.44790000000000002</v>
      </c>
      <c r="H520" s="105">
        <v>40676</v>
      </c>
      <c r="I520">
        <v>0.57374999999999998</v>
      </c>
      <c r="J520" s="105">
        <v>41352</v>
      </c>
      <c r="K520">
        <v>0.73499999999999999</v>
      </c>
    </row>
    <row r="521" spans="1:11">
      <c r="A521" s="105">
        <v>41025</v>
      </c>
      <c r="B521" s="156">
        <v>0.23874999999999999</v>
      </c>
      <c r="D521" s="105">
        <v>41351</v>
      </c>
      <c r="E521">
        <v>0.28010000000000002</v>
      </c>
      <c r="F521" s="105">
        <v>41351</v>
      </c>
      <c r="G521">
        <v>0.44540000000000002</v>
      </c>
      <c r="H521" s="105">
        <v>40675</v>
      </c>
      <c r="I521">
        <v>0.57625000000000004</v>
      </c>
      <c r="J521" s="105">
        <v>41351</v>
      </c>
      <c r="K521">
        <v>0.73150000000000004</v>
      </c>
    </row>
    <row r="522" spans="1:11">
      <c r="A522" s="105">
        <v>41026</v>
      </c>
      <c r="B522" s="156">
        <v>0.23874999999999999</v>
      </c>
      <c r="D522" s="105">
        <v>41348</v>
      </c>
      <c r="E522">
        <v>0.28010000000000002</v>
      </c>
      <c r="F522" s="105">
        <v>41348</v>
      </c>
      <c r="G522">
        <v>0.44490000000000002</v>
      </c>
      <c r="H522" s="105">
        <v>40674</v>
      </c>
      <c r="I522">
        <v>0.57874999999999999</v>
      </c>
      <c r="J522" s="105">
        <v>41348</v>
      </c>
      <c r="K522">
        <v>0.73099999999999998</v>
      </c>
    </row>
    <row r="523" spans="1:11">
      <c r="A523" s="105">
        <v>41029</v>
      </c>
      <c r="B523" s="156">
        <v>0.23874999999999999</v>
      </c>
      <c r="D523" s="105">
        <v>41347</v>
      </c>
      <c r="E523">
        <v>0.28010000000000002</v>
      </c>
      <c r="F523" s="105">
        <v>41347</v>
      </c>
      <c r="G523">
        <v>0.44490000000000002</v>
      </c>
      <c r="H523" s="105">
        <v>40673</v>
      </c>
      <c r="I523">
        <v>0.58025000000000004</v>
      </c>
      <c r="J523" s="105">
        <v>41347</v>
      </c>
      <c r="K523">
        <v>0.72899999999999998</v>
      </c>
    </row>
    <row r="524" spans="1:11">
      <c r="A524" s="105">
        <v>41030</v>
      </c>
      <c r="B524" s="156">
        <v>0.23874999999999999</v>
      </c>
      <c r="D524" s="105">
        <v>41346</v>
      </c>
      <c r="E524">
        <v>0.28010000000000002</v>
      </c>
      <c r="F524" s="105">
        <v>41346</v>
      </c>
      <c r="G524">
        <v>0.44490000000000002</v>
      </c>
      <c r="H524" s="105">
        <v>40672</v>
      </c>
      <c r="I524">
        <v>0.58174999999999999</v>
      </c>
      <c r="J524" s="105">
        <v>41346</v>
      </c>
      <c r="K524">
        <v>0.73</v>
      </c>
    </row>
    <row r="525" spans="1:11">
      <c r="A525" s="105">
        <v>41031</v>
      </c>
      <c r="B525" s="156">
        <v>0.23874999999999999</v>
      </c>
      <c r="D525" s="105">
        <v>41345</v>
      </c>
      <c r="E525">
        <v>0.28110000000000002</v>
      </c>
      <c r="F525" s="105">
        <v>41345</v>
      </c>
      <c r="G525">
        <v>0.44590000000000002</v>
      </c>
      <c r="H525" s="105">
        <v>40669</v>
      </c>
      <c r="I525">
        <v>0.58399999999999996</v>
      </c>
      <c r="J525" s="105">
        <v>41345</v>
      </c>
      <c r="K525">
        <v>0.73050000000000004</v>
      </c>
    </row>
    <row r="526" spans="1:11">
      <c r="A526" s="105">
        <v>41032</v>
      </c>
      <c r="B526" s="156">
        <v>0.23874999999999999</v>
      </c>
      <c r="D526" s="105">
        <v>41344</v>
      </c>
      <c r="E526">
        <v>0.28010000000000002</v>
      </c>
      <c r="F526" s="105">
        <v>41344</v>
      </c>
      <c r="G526">
        <v>0.44690000000000002</v>
      </c>
      <c r="H526" s="105">
        <v>40668</v>
      </c>
      <c r="I526">
        <v>0.58725000000000005</v>
      </c>
      <c r="J526" s="105">
        <v>41344</v>
      </c>
      <c r="K526">
        <v>0.73299999999999998</v>
      </c>
    </row>
    <row r="527" spans="1:11">
      <c r="A527" s="105">
        <v>41033</v>
      </c>
      <c r="B527" s="156">
        <v>0.23874999999999999</v>
      </c>
      <c r="D527" s="105">
        <v>41341</v>
      </c>
      <c r="E527">
        <v>0.28010000000000002</v>
      </c>
      <c r="F527" s="105">
        <v>41341</v>
      </c>
      <c r="G527">
        <v>0.44740000000000002</v>
      </c>
      <c r="H527" s="105">
        <v>40667</v>
      </c>
      <c r="I527">
        <v>0.59</v>
      </c>
      <c r="J527" s="105">
        <v>41341</v>
      </c>
      <c r="K527">
        <v>0.73350000000000004</v>
      </c>
    </row>
    <row r="528" spans="1:11">
      <c r="A528" s="105">
        <v>41037</v>
      </c>
      <c r="B528" s="156">
        <v>0.23874999999999999</v>
      </c>
      <c r="D528" s="105">
        <v>41340</v>
      </c>
      <c r="E528">
        <v>0.28060000000000002</v>
      </c>
      <c r="F528" s="105">
        <v>41340</v>
      </c>
      <c r="G528">
        <v>0.44940000000000002</v>
      </c>
      <c r="H528" s="105">
        <v>40666</v>
      </c>
      <c r="I528">
        <v>0.59150000000000003</v>
      </c>
      <c r="J528" s="105">
        <v>41340</v>
      </c>
      <c r="K528">
        <v>0.73650000000000004</v>
      </c>
    </row>
    <row r="529" spans="1:11">
      <c r="A529" s="105">
        <v>41038</v>
      </c>
      <c r="B529" s="156">
        <v>0.23874999999999999</v>
      </c>
      <c r="D529" s="105">
        <v>41339</v>
      </c>
      <c r="E529">
        <v>0.27960000000000002</v>
      </c>
      <c r="F529" s="105">
        <v>41339</v>
      </c>
      <c r="G529">
        <v>0.44990000000000002</v>
      </c>
      <c r="H529" s="105">
        <v>40661</v>
      </c>
      <c r="I529">
        <v>0.59299999999999997</v>
      </c>
      <c r="J529" s="105">
        <v>41339</v>
      </c>
      <c r="K529">
        <v>0.73850000000000005</v>
      </c>
    </row>
    <row r="530" spans="1:11">
      <c r="A530" s="105">
        <v>41039</v>
      </c>
      <c r="B530" s="156">
        <v>0.23874999999999999</v>
      </c>
      <c r="D530" s="105">
        <v>41338</v>
      </c>
      <c r="E530">
        <v>0.28110000000000002</v>
      </c>
      <c r="F530" s="105">
        <v>41338</v>
      </c>
      <c r="G530">
        <v>0.45240000000000002</v>
      </c>
      <c r="H530" s="105">
        <v>40660</v>
      </c>
      <c r="I530">
        <v>0.59424999999999994</v>
      </c>
      <c r="J530" s="105">
        <v>41338</v>
      </c>
      <c r="K530">
        <v>0.74299999999999999</v>
      </c>
    </row>
    <row r="531" spans="1:11">
      <c r="A531" s="105">
        <v>41040</v>
      </c>
      <c r="B531" s="156">
        <v>0.23874999999999999</v>
      </c>
      <c r="D531" s="105">
        <v>41337</v>
      </c>
      <c r="E531">
        <v>0.28310000000000002</v>
      </c>
      <c r="F531" s="105">
        <v>41337</v>
      </c>
      <c r="G531">
        <v>0.45540000000000003</v>
      </c>
      <c r="H531" s="105">
        <v>40659</v>
      </c>
      <c r="I531">
        <v>0.59575</v>
      </c>
      <c r="J531" s="105">
        <v>41337</v>
      </c>
      <c r="K531">
        <v>0.745</v>
      </c>
    </row>
    <row r="532" spans="1:11">
      <c r="A532" s="105">
        <v>41043</v>
      </c>
      <c r="B532" s="156">
        <v>0.23874999999999999</v>
      </c>
      <c r="D532" s="105">
        <v>41334</v>
      </c>
      <c r="E532">
        <v>0.28410000000000002</v>
      </c>
      <c r="F532" s="105">
        <v>41334</v>
      </c>
      <c r="G532">
        <v>0.45639999999999997</v>
      </c>
      <c r="H532" s="105">
        <v>40654</v>
      </c>
      <c r="I532">
        <v>0.59424999999999994</v>
      </c>
      <c r="J532" s="105">
        <v>41334</v>
      </c>
      <c r="K532">
        <v>0.74950000000000006</v>
      </c>
    </row>
    <row r="533" spans="1:11">
      <c r="A533" s="105">
        <v>41044</v>
      </c>
      <c r="B533" s="156">
        <v>0.23874999999999999</v>
      </c>
      <c r="D533" s="105">
        <v>41333</v>
      </c>
      <c r="E533">
        <v>0.28710000000000002</v>
      </c>
      <c r="F533" s="105">
        <v>41333</v>
      </c>
      <c r="G533">
        <v>0.45689999999999997</v>
      </c>
      <c r="H533" s="105">
        <v>40653</v>
      </c>
      <c r="I533">
        <v>0.59575</v>
      </c>
      <c r="J533" s="105">
        <v>41333</v>
      </c>
      <c r="K533">
        <v>0.75149999999999995</v>
      </c>
    </row>
    <row r="534" spans="1:11">
      <c r="A534" s="105">
        <v>41045</v>
      </c>
      <c r="B534" s="156">
        <v>0.23974999999999999</v>
      </c>
      <c r="D534" s="105">
        <v>41332</v>
      </c>
      <c r="E534">
        <v>0.28710000000000002</v>
      </c>
      <c r="F534" s="105">
        <v>41332</v>
      </c>
      <c r="G534">
        <v>0.45689999999999997</v>
      </c>
      <c r="H534" s="105">
        <v>40652</v>
      </c>
      <c r="I534">
        <v>0.59524999999999995</v>
      </c>
      <c r="J534" s="105">
        <v>41332</v>
      </c>
      <c r="K534">
        <v>0.75249999999999995</v>
      </c>
    </row>
    <row r="535" spans="1:11">
      <c r="A535" s="105">
        <v>41046</v>
      </c>
      <c r="B535" s="156">
        <v>0.23974999999999999</v>
      </c>
      <c r="D535" s="105">
        <v>41331</v>
      </c>
      <c r="E535">
        <v>0.28660000000000002</v>
      </c>
      <c r="F535" s="105">
        <v>41331</v>
      </c>
      <c r="G535">
        <v>0.45689999999999997</v>
      </c>
      <c r="H535" s="105">
        <v>40651</v>
      </c>
      <c r="I535">
        <v>0.59550000000000003</v>
      </c>
      <c r="J535" s="105">
        <v>41331</v>
      </c>
      <c r="K535">
        <v>0.75249999999999995</v>
      </c>
    </row>
    <row r="536" spans="1:11">
      <c r="A536" s="105">
        <v>41047</v>
      </c>
      <c r="B536" s="156">
        <v>0.23974999999999999</v>
      </c>
      <c r="D536" s="105">
        <v>41330</v>
      </c>
      <c r="E536">
        <v>0.28660000000000002</v>
      </c>
      <c r="F536" s="105">
        <v>41330</v>
      </c>
      <c r="G536">
        <v>0.45989999999999998</v>
      </c>
      <c r="H536" s="105">
        <v>40648</v>
      </c>
      <c r="I536">
        <v>0.59650000000000003</v>
      </c>
      <c r="J536" s="105">
        <v>41330</v>
      </c>
      <c r="K536">
        <v>0.75449999999999995</v>
      </c>
    </row>
    <row r="537" spans="1:11">
      <c r="A537" s="105">
        <v>41050</v>
      </c>
      <c r="B537" s="156">
        <v>0.23974999999999999</v>
      </c>
      <c r="D537" s="105">
        <v>41327</v>
      </c>
      <c r="E537">
        <v>0.28810000000000002</v>
      </c>
      <c r="F537" s="105">
        <v>41327</v>
      </c>
      <c r="G537">
        <v>0.45989999999999998</v>
      </c>
      <c r="H537" s="105">
        <v>40647</v>
      </c>
      <c r="I537">
        <v>0.59750000000000003</v>
      </c>
      <c r="J537" s="105">
        <v>41327</v>
      </c>
      <c r="K537">
        <v>0.75549999999999995</v>
      </c>
    </row>
    <row r="538" spans="1:11">
      <c r="A538" s="105">
        <v>41051</v>
      </c>
      <c r="B538" s="156">
        <v>0.23874999999999999</v>
      </c>
      <c r="D538" s="105">
        <v>41326</v>
      </c>
      <c r="E538">
        <v>0.28810000000000002</v>
      </c>
      <c r="F538" s="105">
        <v>41326</v>
      </c>
      <c r="G538">
        <v>0.46139999999999998</v>
      </c>
      <c r="H538" s="105">
        <v>40646</v>
      </c>
      <c r="I538">
        <v>0.60150000000000003</v>
      </c>
      <c r="J538" s="105">
        <v>41326</v>
      </c>
      <c r="K538">
        <v>0.75600000000000001</v>
      </c>
    </row>
    <row r="539" spans="1:11">
      <c r="A539" s="105">
        <v>41052</v>
      </c>
      <c r="B539" s="156">
        <v>0.23874999999999999</v>
      </c>
      <c r="D539" s="105">
        <v>41325</v>
      </c>
      <c r="E539">
        <v>0.28910000000000002</v>
      </c>
      <c r="F539" s="105">
        <v>41325</v>
      </c>
      <c r="G539">
        <v>0.46289999999999998</v>
      </c>
      <c r="H539" s="105">
        <v>40645</v>
      </c>
      <c r="I539">
        <v>0.60299999999999998</v>
      </c>
      <c r="J539" s="105">
        <v>41325</v>
      </c>
      <c r="K539">
        <v>0.75849999999999995</v>
      </c>
    </row>
    <row r="540" spans="1:11">
      <c r="A540" s="105">
        <v>41053</v>
      </c>
      <c r="B540" s="156">
        <v>0.23874999999999999</v>
      </c>
      <c r="D540" s="105">
        <v>41324</v>
      </c>
      <c r="E540">
        <v>0.28910000000000002</v>
      </c>
      <c r="F540" s="105">
        <v>41324</v>
      </c>
      <c r="G540">
        <v>0.46289999999999998</v>
      </c>
      <c r="H540" s="105">
        <v>40644</v>
      </c>
      <c r="I540">
        <v>0.60450000000000004</v>
      </c>
      <c r="J540" s="105">
        <v>41324</v>
      </c>
      <c r="K540">
        <v>0.75949999999999995</v>
      </c>
    </row>
    <row r="541" spans="1:11">
      <c r="A541" s="105">
        <v>41054</v>
      </c>
      <c r="B541" s="156">
        <v>0.23874999999999999</v>
      </c>
      <c r="D541" s="105">
        <v>41323</v>
      </c>
      <c r="E541">
        <v>0.28910000000000002</v>
      </c>
      <c r="F541" s="105">
        <v>41323</v>
      </c>
      <c r="G541">
        <v>0.46289999999999998</v>
      </c>
      <c r="H541" s="105">
        <v>40641</v>
      </c>
      <c r="I541">
        <v>0.60675000000000001</v>
      </c>
      <c r="J541" s="105">
        <v>41323</v>
      </c>
      <c r="K541">
        <v>0.76</v>
      </c>
    </row>
    <row r="542" spans="1:11">
      <c r="A542" s="105">
        <v>41057</v>
      </c>
      <c r="B542" s="156">
        <v>0.23874999999999999</v>
      </c>
      <c r="D542" s="105">
        <v>41320</v>
      </c>
      <c r="E542">
        <v>0.29010000000000002</v>
      </c>
      <c r="F542" s="105">
        <v>41320</v>
      </c>
      <c r="G542">
        <v>0.46339999999999998</v>
      </c>
      <c r="H542" s="105">
        <v>40640</v>
      </c>
      <c r="I542">
        <v>0.60975000000000001</v>
      </c>
      <c r="J542" s="105">
        <v>41320</v>
      </c>
      <c r="K542">
        <v>0.76</v>
      </c>
    </row>
    <row r="543" spans="1:11">
      <c r="A543" s="105">
        <v>41058</v>
      </c>
      <c r="B543" s="156">
        <v>0.23874999999999999</v>
      </c>
      <c r="D543" s="105">
        <v>41319</v>
      </c>
      <c r="E543">
        <v>0.29010000000000002</v>
      </c>
      <c r="F543" s="105">
        <v>41319</v>
      </c>
      <c r="G543">
        <v>0.46489999999999998</v>
      </c>
      <c r="H543" s="105">
        <v>40639</v>
      </c>
      <c r="I543">
        <v>0.61124999999999996</v>
      </c>
      <c r="J543" s="105">
        <v>41319</v>
      </c>
      <c r="K543">
        <v>0.76249999999999996</v>
      </c>
    </row>
    <row r="544" spans="1:11">
      <c r="A544" s="105">
        <v>41059</v>
      </c>
      <c r="B544" s="156">
        <v>0.23874999999999999</v>
      </c>
      <c r="D544" s="105">
        <v>41318</v>
      </c>
      <c r="E544">
        <v>0.29010000000000002</v>
      </c>
      <c r="F544" s="105">
        <v>41318</v>
      </c>
      <c r="G544">
        <v>0.46489999999999998</v>
      </c>
      <c r="H544" s="105">
        <v>40638</v>
      </c>
      <c r="I544">
        <v>0.61024999999999996</v>
      </c>
      <c r="J544" s="105">
        <v>41318</v>
      </c>
      <c r="K544">
        <v>0.76200000000000001</v>
      </c>
    </row>
    <row r="545" spans="1:11">
      <c r="A545" s="105">
        <v>41060</v>
      </c>
      <c r="B545" s="156">
        <v>0.23874999999999999</v>
      </c>
      <c r="D545" s="105">
        <v>41317</v>
      </c>
      <c r="E545">
        <v>0.29210000000000003</v>
      </c>
      <c r="F545" s="105">
        <v>41317</v>
      </c>
      <c r="G545">
        <v>0.46589999999999998</v>
      </c>
      <c r="H545" s="105">
        <v>40637</v>
      </c>
      <c r="I545">
        <v>0.61299999999999999</v>
      </c>
      <c r="J545" s="105">
        <v>41317</v>
      </c>
      <c r="K545">
        <v>0.76400000000000001</v>
      </c>
    </row>
    <row r="546" spans="1:11">
      <c r="A546" s="105">
        <v>41061</v>
      </c>
      <c r="B546" s="156">
        <v>0.23974999999999999</v>
      </c>
      <c r="D546" s="105">
        <v>41316</v>
      </c>
      <c r="E546">
        <v>0.29310000000000003</v>
      </c>
      <c r="F546" s="105">
        <v>41316</v>
      </c>
      <c r="G546">
        <v>0.46489999999999998</v>
      </c>
      <c r="H546" s="105">
        <v>40634</v>
      </c>
      <c r="I546">
        <v>0.61824999999999997</v>
      </c>
      <c r="J546" s="105">
        <v>41316</v>
      </c>
      <c r="K546">
        <v>0.76500000000000001</v>
      </c>
    </row>
    <row r="547" spans="1:11">
      <c r="A547" s="105">
        <v>41066</v>
      </c>
      <c r="B547" s="156">
        <v>0.24074999999999999</v>
      </c>
      <c r="D547" s="105">
        <v>41313</v>
      </c>
      <c r="E547">
        <v>0.29199999999999998</v>
      </c>
      <c r="F547" s="105">
        <v>41313</v>
      </c>
      <c r="G547">
        <v>0.46539999999999998</v>
      </c>
      <c r="H547" s="105">
        <v>40633</v>
      </c>
      <c r="I547">
        <v>0.61375000000000002</v>
      </c>
      <c r="J547" s="105">
        <v>41313</v>
      </c>
      <c r="K547">
        <v>0.76600000000000001</v>
      </c>
    </row>
    <row r="548" spans="1:11">
      <c r="A548" s="105">
        <v>41067</v>
      </c>
      <c r="B548" s="156">
        <v>0.24074999999999999</v>
      </c>
      <c r="D548" s="105">
        <v>41312</v>
      </c>
      <c r="E548">
        <v>0.29199999999999998</v>
      </c>
      <c r="F548" s="105">
        <v>41312</v>
      </c>
      <c r="G548">
        <v>0.46689999999999998</v>
      </c>
      <c r="H548" s="105">
        <v>40632</v>
      </c>
      <c r="I548">
        <v>0.61624999999999996</v>
      </c>
      <c r="J548" s="105">
        <v>41312</v>
      </c>
      <c r="K548">
        <v>0.76749999999999996</v>
      </c>
    </row>
    <row r="549" spans="1:11">
      <c r="A549" s="105">
        <v>41068</v>
      </c>
      <c r="B549" s="156">
        <v>0.24074999999999999</v>
      </c>
      <c r="D549" s="105">
        <v>41311</v>
      </c>
      <c r="E549">
        <v>0.29299999999999998</v>
      </c>
      <c r="F549" s="105">
        <v>41311</v>
      </c>
      <c r="G549">
        <v>0.46789999999999998</v>
      </c>
      <c r="H549" s="105">
        <v>40631</v>
      </c>
      <c r="I549">
        <v>0.61575000000000002</v>
      </c>
      <c r="J549" s="105">
        <v>41311</v>
      </c>
      <c r="K549">
        <v>0.76949999999999996</v>
      </c>
    </row>
    <row r="550" spans="1:11">
      <c r="A550" s="105">
        <v>41071</v>
      </c>
      <c r="B550" s="156">
        <v>0.24074999999999999</v>
      </c>
      <c r="D550" s="105">
        <v>41310</v>
      </c>
      <c r="E550">
        <v>0.29549999999999998</v>
      </c>
      <c r="F550" s="105">
        <v>41310</v>
      </c>
      <c r="G550">
        <v>0.46889999999999998</v>
      </c>
      <c r="H550" s="105">
        <v>40630</v>
      </c>
      <c r="I550">
        <v>0.61675000000000002</v>
      </c>
      <c r="J550" s="105">
        <v>41310</v>
      </c>
      <c r="K550">
        <v>0.77049999999999996</v>
      </c>
    </row>
    <row r="551" spans="1:11">
      <c r="A551" s="105">
        <v>41072</v>
      </c>
      <c r="B551" s="156">
        <v>0.24074999999999999</v>
      </c>
      <c r="D551" s="105">
        <v>41309</v>
      </c>
      <c r="E551">
        <v>0.29549999999999998</v>
      </c>
      <c r="F551" s="105">
        <v>41309</v>
      </c>
      <c r="G551">
        <v>0.46689999999999998</v>
      </c>
      <c r="H551" s="105">
        <v>40627</v>
      </c>
      <c r="I551">
        <v>0.61424999999999996</v>
      </c>
      <c r="J551" s="105">
        <v>41309</v>
      </c>
      <c r="K551">
        <v>0.77300000000000002</v>
      </c>
    </row>
    <row r="552" spans="1:11">
      <c r="A552" s="105">
        <v>41073</v>
      </c>
      <c r="B552" s="156">
        <v>0.24174999999999999</v>
      </c>
      <c r="D552" s="105">
        <v>41306</v>
      </c>
      <c r="E552">
        <v>0.29549999999999998</v>
      </c>
      <c r="F552" s="105">
        <v>41306</v>
      </c>
      <c r="G552">
        <v>0.46789999999999998</v>
      </c>
      <c r="H552" s="105">
        <v>40626</v>
      </c>
      <c r="I552">
        <v>0.61424999999999996</v>
      </c>
      <c r="J552" s="105">
        <v>41306</v>
      </c>
      <c r="K552">
        <v>0.77700000000000002</v>
      </c>
    </row>
    <row r="553" spans="1:11">
      <c r="A553" s="105">
        <v>41074</v>
      </c>
      <c r="B553" s="156">
        <v>0.24274999999999999</v>
      </c>
      <c r="D553" s="105">
        <v>41305</v>
      </c>
      <c r="E553">
        <v>0.29799999999999999</v>
      </c>
      <c r="F553" s="105">
        <v>41305</v>
      </c>
      <c r="G553">
        <v>0.46839999999999998</v>
      </c>
      <c r="H553" s="105">
        <v>40625</v>
      </c>
      <c r="I553">
        <v>0.61424999999999996</v>
      </c>
      <c r="J553" s="105">
        <v>41305</v>
      </c>
      <c r="K553">
        <v>0.78100000000000003</v>
      </c>
    </row>
    <row r="554" spans="1:11">
      <c r="A554" s="105">
        <v>41075</v>
      </c>
      <c r="B554" s="156">
        <v>0.24274999999999999</v>
      </c>
      <c r="D554" s="105">
        <v>41304</v>
      </c>
      <c r="E554">
        <v>0.29849999999999999</v>
      </c>
      <c r="F554" s="105">
        <v>41304</v>
      </c>
      <c r="G554">
        <v>0.47315000000000002</v>
      </c>
      <c r="H554" s="105">
        <v>40624</v>
      </c>
      <c r="I554">
        <v>0.61324999999999996</v>
      </c>
      <c r="J554" s="105">
        <v>41304</v>
      </c>
      <c r="K554">
        <v>0.79049999999999998</v>
      </c>
    </row>
    <row r="555" spans="1:11">
      <c r="A555" s="105">
        <v>41078</v>
      </c>
      <c r="B555" s="156">
        <v>0.24374999999999999</v>
      </c>
      <c r="D555" s="105">
        <v>41303</v>
      </c>
      <c r="E555">
        <v>0.30049999999999999</v>
      </c>
      <c r="F555" s="105">
        <v>41303</v>
      </c>
      <c r="G555">
        <v>0.47575000000000001</v>
      </c>
      <c r="H555" s="105">
        <v>40623</v>
      </c>
      <c r="I555">
        <v>0.61175000000000002</v>
      </c>
      <c r="J555" s="105">
        <v>41303</v>
      </c>
      <c r="K555">
        <v>0.79549999999999998</v>
      </c>
    </row>
    <row r="556" spans="1:11">
      <c r="A556" s="105">
        <v>41079</v>
      </c>
      <c r="B556" s="156">
        <v>0.24374999999999999</v>
      </c>
      <c r="D556" s="105">
        <v>41302</v>
      </c>
      <c r="E556">
        <v>0.30149999999999999</v>
      </c>
      <c r="F556" s="105">
        <v>41302</v>
      </c>
      <c r="G556">
        <v>0.47575000000000001</v>
      </c>
      <c r="H556" s="105">
        <v>40620</v>
      </c>
      <c r="I556">
        <v>0.61075000000000002</v>
      </c>
      <c r="J556" s="105">
        <v>41302</v>
      </c>
      <c r="K556">
        <v>0.79749999999999999</v>
      </c>
    </row>
    <row r="557" spans="1:11">
      <c r="A557" s="105">
        <v>41080</v>
      </c>
      <c r="B557" s="156">
        <v>0.24525</v>
      </c>
      <c r="D557" s="105">
        <v>41299</v>
      </c>
      <c r="E557">
        <v>0.30049999999999999</v>
      </c>
      <c r="F557" s="105">
        <v>41299</v>
      </c>
      <c r="G557">
        <v>0.47649999999999998</v>
      </c>
      <c r="H557" s="105">
        <v>40619</v>
      </c>
      <c r="I557">
        <v>0.61124999999999996</v>
      </c>
      <c r="J557" s="105">
        <v>41299</v>
      </c>
      <c r="K557">
        <v>0.79649999999999999</v>
      </c>
    </row>
    <row r="558" spans="1:11">
      <c r="A558" s="105">
        <v>41081</v>
      </c>
      <c r="B558" s="156">
        <v>0.24525</v>
      </c>
      <c r="D558" s="105">
        <v>41298</v>
      </c>
      <c r="E558">
        <v>0.30049999999999999</v>
      </c>
      <c r="F558" s="105">
        <v>41298</v>
      </c>
      <c r="G558">
        <v>0.47649999999999998</v>
      </c>
      <c r="H558" s="105">
        <v>40618</v>
      </c>
      <c r="I558">
        <v>0.61024999999999996</v>
      </c>
      <c r="J558" s="105">
        <v>41298</v>
      </c>
      <c r="K558">
        <v>0.79849999999999999</v>
      </c>
    </row>
    <row r="559" spans="1:11">
      <c r="A559" s="105">
        <v>41082</v>
      </c>
      <c r="B559" s="156">
        <v>0.24525</v>
      </c>
      <c r="D559" s="105">
        <v>41297</v>
      </c>
      <c r="E559">
        <v>0.30099999999999999</v>
      </c>
      <c r="F559" s="105">
        <v>41297</v>
      </c>
      <c r="G559">
        <v>0.48049999999999998</v>
      </c>
      <c r="H559" s="105">
        <v>40617</v>
      </c>
      <c r="I559">
        <v>0.60824999999999996</v>
      </c>
      <c r="J559" s="105">
        <v>41297</v>
      </c>
      <c r="K559">
        <v>0.8075</v>
      </c>
    </row>
    <row r="560" spans="1:11">
      <c r="A560" s="105">
        <v>41085</v>
      </c>
      <c r="B560" s="156">
        <v>0.24525</v>
      </c>
      <c r="D560" s="105">
        <v>41296</v>
      </c>
      <c r="E560">
        <v>0.30199999999999999</v>
      </c>
      <c r="F560" s="105">
        <v>41296</v>
      </c>
      <c r="G560">
        <v>0.48349999999999999</v>
      </c>
      <c r="H560" s="105">
        <v>40616</v>
      </c>
      <c r="I560">
        <v>0.61324999999999996</v>
      </c>
      <c r="J560" s="105">
        <v>41296</v>
      </c>
      <c r="K560">
        <v>0.80900000000000005</v>
      </c>
    </row>
    <row r="561" spans="1:11">
      <c r="A561" s="105">
        <v>41086</v>
      </c>
      <c r="B561" s="156">
        <v>0.24525</v>
      </c>
      <c r="D561" s="105">
        <v>41295</v>
      </c>
      <c r="E561">
        <v>0.30199999999999999</v>
      </c>
      <c r="F561" s="105">
        <v>41295</v>
      </c>
      <c r="G561">
        <v>0.48349999999999999</v>
      </c>
      <c r="H561" s="105">
        <v>40613</v>
      </c>
      <c r="I561">
        <v>0.61524999999999996</v>
      </c>
      <c r="J561" s="105">
        <v>41295</v>
      </c>
      <c r="K561">
        <v>0.80900000000000005</v>
      </c>
    </row>
    <row r="562" spans="1:11">
      <c r="A562" s="105">
        <v>41087</v>
      </c>
      <c r="B562" s="156">
        <v>0.24525</v>
      </c>
      <c r="D562" s="105">
        <v>41292</v>
      </c>
      <c r="E562">
        <v>0.30199999999999999</v>
      </c>
      <c r="F562" s="105">
        <v>41292</v>
      </c>
      <c r="G562">
        <v>0.48449999999999999</v>
      </c>
      <c r="H562" s="105">
        <v>40612</v>
      </c>
      <c r="I562">
        <v>0.61975000000000002</v>
      </c>
      <c r="J562" s="105">
        <v>41292</v>
      </c>
      <c r="K562">
        <v>0.80900000000000005</v>
      </c>
    </row>
    <row r="563" spans="1:11">
      <c r="A563" s="105">
        <v>41088</v>
      </c>
      <c r="B563" s="156">
        <v>0.24525</v>
      </c>
      <c r="D563" s="105">
        <v>41291</v>
      </c>
      <c r="E563">
        <v>0.30199999999999999</v>
      </c>
      <c r="F563" s="105">
        <v>41291</v>
      </c>
      <c r="G563">
        <v>0.48649999999999999</v>
      </c>
      <c r="H563" s="105">
        <v>40611</v>
      </c>
      <c r="I563">
        <v>0.62075000000000002</v>
      </c>
      <c r="J563" s="105">
        <v>41291</v>
      </c>
      <c r="K563">
        <v>0.81</v>
      </c>
    </row>
    <row r="564" spans="1:11">
      <c r="A564" s="105">
        <v>41089</v>
      </c>
      <c r="B564" s="156">
        <v>0.24575</v>
      </c>
      <c r="D564" s="105">
        <v>41290</v>
      </c>
      <c r="E564">
        <v>0.30299999999999999</v>
      </c>
      <c r="F564" s="105">
        <v>41290</v>
      </c>
      <c r="G564">
        <v>0.48749999999999999</v>
      </c>
      <c r="H564" s="105">
        <v>40610</v>
      </c>
      <c r="I564">
        <v>0.61975000000000002</v>
      </c>
      <c r="J564" s="105">
        <v>41290</v>
      </c>
      <c r="K564">
        <v>0.8095</v>
      </c>
    </row>
    <row r="565" spans="1:11">
      <c r="A565" s="105">
        <v>41092</v>
      </c>
      <c r="B565" s="156">
        <v>0.24475</v>
      </c>
      <c r="D565" s="105">
        <v>41289</v>
      </c>
      <c r="E565">
        <v>0.30299999999999999</v>
      </c>
      <c r="F565" s="105">
        <v>41289</v>
      </c>
      <c r="G565">
        <v>0.49</v>
      </c>
      <c r="H565" s="105">
        <v>40609</v>
      </c>
      <c r="I565">
        <v>0.62075000000000002</v>
      </c>
      <c r="J565" s="105">
        <v>41289</v>
      </c>
      <c r="K565">
        <v>0.81399999999999995</v>
      </c>
    </row>
    <row r="566" spans="1:11">
      <c r="A566" s="105">
        <v>41093</v>
      </c>
      <c r="B566" s="156">
        <v>0.24575</v>
      </c>
      <c r="D566" s="105">
        <v>41288</v>
      </c>
      <c r="E566">
        <v>0.30399999999999999</v>
      </c>
      <c r="F566" s="105">
        <v>41288</v>
      </c>
      <c r="G566">
        <v>0.49099999999999999</v>
      </c>
      <c r="H566" s="105">
        <v>40606</v>
      </c>
      <c r="I566">
        <v>0.62424999999999997</v>
      </c>
      <c r="J566" s="105">
        <v>41288</v>
      </c>
      <c r="K566">
        <v>0.81899999999999995</v>
      </c>
    </row>
    <row r="567" spans="1:11">
      <c r="A567" s="105">
        <v>41094</v>
      </c>
      <c r="B567" s="156">
        <v>0.24575</v>
      </c>
      <c r="D567" s="105">
        <v>41285</v>
      </c>
      <c r="E567">
        <v>0.30399999999999999</v>
      </c>
      <c r="F567" s="105">
        <v>41285</v>
      </c>
      <c r="G567">
        <v>0.496</v>
      </c>
      <c r="H567" s="105">
        <v>40605</v>
      </c>
      <c r="I567">
        <v>0.62075000000000002</v>
      </c>
      <c r="J567" s="105">
        <v>41285</v>
      </c>
      <c r="K567">
        <v>0.82099999999999995</v>
      </c>
    </row>
    <row r="568" spans="1:11">
      <c r="A568" s="105">
        <v>41095</v>
      </c>
      <c r="B568" s="156">
        <v>0.24575</v>
      </c>
      <c r="D568" s="105">
        <v>41284</v>
      </c>
      <c r="E568">
        <v>0.30499999999999999</v>
      </c>
      <c r="F568" s="105">
        <v>41284</v>
      </c>
      <c r="G568">
        <v>0.498</v>
      </c>
      <c r="H568" s="105">
        <v>40604</v>
      </c>
      <c r="I568">
        <v>0.62075000000000002</v>
      </c>
      <c r="J568" s="105">
        <v>41284</v>
      </c>
      <c r="K568">
        <v>0.82299999999999995</v>
      </c>
    </row>
    <row r="569" spans="1:11">
      <c r="A569" s="105">
        <v>41096</v>
      </c>
      <c r="B569" s="156">
        <v>0.24575</v>
      </c>
      <c r="D569" s="105">
        <v>41283</v>
      </c>
      <c r="E569">
        <v>0.30499999999999999</v>
      </c>
      <c r="F569" s="105">
        <v>41283</v>
      </c>
      <c r="G569">
        <v>0.5</v>
      </c>
      <c r="H569" s="105">
        <v>40603</v>
      </c>
      <c r="I569">
        <v>0.62224999999999997</v>
      </c>
      <c r="J569" s="105">
        <v>41283</v>
      </c>
      <c r="K569">
        <v>0.83399999999999996</v>
      </c>
    </row>
    <row r="570" spans="1:11">
      <c r="A570" s="105">
        <v>41099</v>
      </c>
      <c r="B570" s="156">
        <v>0.24875</v>
      </c>
      <c r="D570" s="105">
        <v>41282</v>
      </c>
      <c r="E570">
        <v>0.30499999999999999</v>
      </c>
      <c r="F570" s="105">
        <v>41282</v>
      </c>
      <c r="G570">
        <v>0.50024999999999997</v>
      </c>
      <c r="H570" s="105">
        <v>40602</v>
      </c>
      <c r="I570">
        <v>0.62375000000000003</v>
      </c>
      <c r="J570" s="105">
        <v>41282</v>
      </c>
      <c r="K570">
        <v>0.83450000000000002</v>
      </c>
    </row>
    <row r="571" spans="1:11">
      <c r="A571" s="105">
        <v>41100</v>
      </c>
      <c r="B571" s="156">
        <v>0.24875</v>
      </c>
      <c r="D571" s="105">
        <v>41281</v>
      </c>
      <c r="E571">
        <v>0.30499999999999999</v>
      </c>
      <c r="F571" s="105">
        <v>41281</v>
      </c>
      <c r="G571">
        <v>0.50024999999999997</v>
      </c>
      <c r="H571" s="105">
        <v>40599</v>
      </c>
      <c r="I571">
        <v>0.62675000000000003</v>
      </c>
      <c r="J571" s="105">
        <v>41281</v>
      </c>
      <c r="K571">
        <v>0.83450000000000002</v>
      </c>
    </row>
    <row r="572" spans="1:11">
      <c r="A572" s="105">
        <v>41101</v>
      </c>
      <c r="B572" s="156">
        <v>0.24875</v>
      </c>
      <c r="D572" s="105">
        <v>41278</v>
      </c>
      <c r="E572">
        <v>0.30499999999999999</v>
      </c>
      <c r="F572" s="105">
        <v>41278</v>
      </c>
      <c r="G572">
        <v>0.50124999999999997</v>
      </c>
      <c r="H572" s="105">
        <v>40598</v>
      </c>
      <c r="I572">
        <v>0.62624999999999997</v>
      </c>
      <c r="J572" s="105">
        <v>41278</v>
      </c>
      <c r="K572">
        <v>0.83850000000000002</v>
      </c>
    </row>
    <row r="573" spans="1:11">
      <c r="A573" s="105">
        <v>41102</v>
      </c>
      <c r="B573" s="156">
        <v>0.24875</v>
      </c>
      <c r="D573" s="105">
        <v>41277</v>
      </c>
      <c r="E573">
        <v>0.30499999999999999</v>
      </c>
      <c r="F573" s="105">
        <v>41277</v>
      </c>
      <c r="G573">
        <v>0.50324999999999998</v>
      </c>
      <c r="H573" s="105">
        <v>40597</v>
      </c>
      <c r="I573">
        <v>0.62724999999999997</v>
      </c>
      <c r="J573" s="105">
        <v>41277</v>
      </c>
      <c r="K573">
        <v>0.83950000000000002</v>
      </c>
    </row>
    <row r="574" spans="1:11">
      <c r="A574" s="105">
        <v>41103</v>
      </c>
      <c r="B574" s="156">
        <v>0.24775</v>
      </c>
      <c r="D574" s="105">
        <v>41276</v>
      </c>
      <c r="E574">
        <v>0.30499999999999999</v>
      </c>
      <c r="F574" s="105">
        <v>41276</v>
      </c>
      <c r="G574">
        <v>0.50624999999999998</v>
      </c>
      <c r="H574" s="105">
        <v>40596</v>
      </c>
      <c r="I574">
        <v>0.62775000000000003</v>
      </c>
      <c r="J574" s="105">
        <v>41276</v>
      </c>
      <c r="K574">
        <v>0.84250000000000003</v>
      </c>
    </row>
    <row r="575" spans="1:11">
      <c r="A575" s="105">
        <v>41106</v>
      </c>
      <c r="B575" s="156">
        <v>0.24775</v>
      </c>
      <c r="D575" s="105">
        <v>41274</v>
      </c>
      <c r="E575">
        <v>0.30599999999999999</v>
      </c>
      <c r="F575" s="105">
        <v>41274</v>
      </c>
      <c r="G575">
        <v>0.50824999999999998</v>
      </c>
      <c r="H575" s="105">
        <v>40595</v>
      </c>
      <c r="I575">
        <v>0.62824999999999998</v>
      </c>
      <c r="J575" s="105">
        <v>41274</v>
      </c>
      <c r="K575">
        <v>0.84350000000000003</v>
      </c>
    </row>
    <row r="576" spans="1:11">
      <c r="A576" s="105">
        <v>41107</v>
      </c>
      <c r="B576" s="156">
        <v>0.24675</v>
      </c>
      <c r="D576" s="105">
        <v>41271</v>
      </c>
      <c r="E576">
        <v>0.308</v>
      </c>
      <c r="F576" s="105">
        <v>41271</v>
      </c>
      <c r="G576">
        <v>0.50824999999999998</v>
      </c>
      <c r="H576" s="105">
        <v>40592</v>
      </c>
      <c r="I576">
        <v>0.62924999999999998</v>
      </c>
      <c r="J576" s="105">
        <v>41271</v>
      </c>
      <c r="K576">
        <v>0.84350000000000003</v>
      </c>
    </row>
    <row r="577" spans="1:11">
      <c r="A577" s="105">
        <v>41108</v>
      </c>
      <c r="B577" s="156">
        <v>0.24675</v>
      </c>
      <c r="D577" s="105">
        <v>41270</v>
      </c>
      <c r="E577">
        <v>0.311</v>
      </c>
      <c r="F577" s="105">
        <v>41270</v>
      </c>
      <c r="G577">
        <v>0.51024999999999998</v>
      </c>
      <c r="H577" s="105">
        <v>40591</v>
      </c>
      <c r="I577">
        <v>0.63024999999999998</v>
      </c>
      <c r="J577" s="105">
        <v>41270</v>
      </c>
      <c r="K577">
        <v>0.84350000000000003</v>
      </c>
    </row>
    <row r="578" spans="1:11">
      <c r="A578" s="105">
        <v>41109</v>
      </c>
      <c r="B578" s="156">
        <v>0.24675</v>
      </c>
      <c r="D578" s="105">
        <v>41267</v>
      </c>
      <c r="E578">
        <v>0.31</v>
      </c>
      <c r="F578" s="105">
        <v>41267</v>
      </c>
      <c r="G578">
        <v>0.51024999999999998</v>
      </c>
      <c r="H578" s="105">
        <v>40590</v>
      </c>
      <c r="I578">
        <v>0.63124999999999998</v>
      </c>
      <c r="J578" s="105">
        <v>41267</v>
      </c>
      <c r="K578">
        <v>0.84299999999999997</v>
      </c>
    </row>
    <row r="579" spans="1:11">
      <c r="A579" s="105">
        <v>41110</v>
      </c>
      <c r="B579" s="156">
        <v>0.24675</v>
      </c>
      <c r="D579" s="105">
        <v>41264</v>
      </c>
      <c r="E579">
        <v>0.31</v>
      </c>
      <c r="F579" s="105">
        <v>41264</v>
      </c>
      <c r="G579">
        <v>0.51024999999999998</v>
      </c>
      <c r="H579" s="105">
        <v>40589</v>
      </c>
      <c r="I579">
        <v>0.63024999999999998</v>
      </c>
      <c r="J579" s="105">
        <v>41264</v>
      </c>
      <c r="K579">
        <v>0.84299999999999997</v>
      </c>
    </row>
    <row r="580" spans="1:11">
      <c r="A580" s="105">
        <v>41113</v>
      </c>
      <c r="B580" s="156">
        <v>0.2462</v>
      </c>
      <c r="D580" s="105">
        <v>41263</v>
      </c>
      <c r="E580">
        <v>0.31</v>
      </c>
      <c r="F580" s="105">
        <v>41263</v>
      </c>
      <c r="G580">
        <v>0.51024999999999998</v>
      </c>
      <c r="H580" s="105">
        <v>40588</v>
      </c>
      <c r="I580">
        <v>0.63024999999999998</v>
      </c>
      <c r="J580" s="105">
        <v>41263</v>
      </c>
      <c r="K580">
        <v>0.84299999999999997</v>
      </c>
    </row>
    <row r="581" spans="1:11">
      <c r="A581" s="105">
        <v>41114</v>
      </c>
      <c r="B581" s="156">
        <v>0.2442</v>
      </c>
      <c r="D581" s="105">
        <v>41262</v>
      </c>
      <c r="E581">
        <v>0.31</v>
      </c>
      <c r="F581" s="105">
        <v>41262</v>
      </c>
      <c r="G581">
        <v>0.50975000000000004</v>
      </c>
      <c r="H581" s="105">
        <v>40585</v>
      </c>
      <c r="I581">
        <v>0.62875000000000003</v>
      </c>
      <c r="J581" s="105">
        <v>41262</v>
      </c>
      <c r="K581">
        <v>0.84299999999999997</v>
      </c>
    </row>
    <row r="582" spans="1:11">
      <c r="A582" s="105">
        <v>41115</v>
      </c>
      <c r="B582" s="156">
        <v>0.2442</v>
      </c>
      <c r="D582" s="105">
        <v>41261</v>
      </c>
      <c r="E582">
        <v>0.309</v>
      </c>
      <c r="F582" s="105">
        <v>41261</v>
      </c>
      <c r="G582">
        <v>0.50849999999999995</v>
      </c>
      <c r="H582" s="105">
        <v>40584</v>
      </c>
      <c r="I582">
        <v>0.62975000000000003</v>
      </c>
      <c r="J582" s="105">
        <v>41261</v>
      </c>
      <c r="K582">
        <v>0.84250000000000003</v>
      </c>
    </row>
    <row r="583" spans="1:11">
      <c r="A583" s="105">
        <v>41116</v>
      </c>
      <c r="B583" s="156">
        <v>0.2452</v>
      </c>
      <c r="D583" s="105">
        <v>41260</v>
      </c>
      <c r="E583">
        <v>0.309</v>
      </c>
      <c r="F583" s="105">
        <v>41260</v>
      </c>
      <c r="G583">
        <v>0.50849999999999995</v>
      </c>
      <c r="H583" s="105">
        <v>40583</v>
      </c>
      <c r="I583">
        <v>0.63024999999999998</v>
      </c>
      <c r="J583" s="105">
        <v>41260</v>
      </c>
      <c r="K583">
        <v>0.84250000000000003</v>
      </c>
    </row>
    <row r="584" spans="1:11">
      <c r="A584" s="105">
        <v>41117</v>
      </c>
      <c r="B584" s="156">
        <v>0.2457</v>
      </c>
      <c r="D584" s="105">
        <v>41257</v>
      </c>
      <c r="E584">
        <v>0.308</v>
      </c>
      <c r="F584" s="105">
        <v>41257</v>
      </c>
      <c r="G584">
        <v>0.51100000000000001</v>
      </c>
      <c r="H584" s="105">
        <v>40582</v>
      </c>
      <c r="I584">
        <v>0.62675000000000003</v>
      </c>
      <c r="J584" s="105">
        <v>41257</v>
      </c>
      <c r="K584">
        <v>0.84399999999999997</v>
      </c>
    </row>
    <row r="585" spans="1:11">
      <c r="A585" s="105">
        <v>41120</v>
      </c>
      <c r="B585" s="156">
        <v>0.2457</v>
      </c>
      <c r="D585" s="105">
        <v>41256</v>
      </c>
      <c r="E585">
        <v>0.308</v>
      </c>
      <c r="F585" s="105">
        <v>41256</v>
      </c>
      <c r="G585">
        <v>0.51300000000000001</v>
      </c>
      <c r="H585" s="105">
        <v>40581</v>
      </c>
      <c r="I585">
        <v>0.62739999999999996</v>
      </c>
      <c r="J585" s="105">
        <v>41256</v>
      </c>
      <c r="K585">
        <v>0.84599999999999997</v>
      </c>
    </row>
    <row r="586" spans="1:11">
      <c r="A586" s="105">
        <v>41121</v>
      </c>
      <c r="B586" s="156">
        <v>0.2457</v>
      </c>
      <c r="D586" s="105">
        <v>41255</v>
      </c>
      <c r="E586">
        <v>0.3095</v>
      </c>
      <c r="F586" s="105">
        <v>41255</v>
      </c>
      <c r="G586">
        <v>0.51449999999999996</v>
      </c>
      <c r="H586" s="105">
        <v>40578</v>
      </c>
      <c r="I586">
        <v>0.623</v>
      </c>
      <c r="J586" s="105">
        <v>41255</v>
      </c>
      <c r="K586">
        <v>0.84950000000000003</v>
      </c>
    </row>
    <row r="587" spans="1:11">
      <c r="A587" s="105">
        <v>41122</v>
      </c>
      <c r="B587" s="156">
        <v>0.2447</v>
      </c>
      <c r="D587" s="105">
        <v>41254</v>
      </c>
      <c r="E587">
        <v>0.3095</v>
      </c>
      <c r="F587" s="105">
        <v>41254</v>
      </c>
      <c r="G587">
        <v>0.51700000000000002</v>
      </c>
      <c r="H587" s="105">
        <v>40577</v>
      </c>
      <c r="I587">
        <v>0.622</v>
      </c>
      <c r="J587" s="105">
        <v>41254</v>
      </c>
      <c r="K587">
        <v>0.85199999999999998</v>
      </c>
    </row>
    <row r="588" spans="1:11">
      <c r="A588" s="105">
        <v>41123</v>
      </c>
      <c r="B588" s="156">
        <v>0.24424999999999999</v>
      </c>
      <c r="D588" s="105">
        <v>41253</v>
      </c>
      <c r="E588">
        <v>0.3105</v>
      </c>
      <c r="F588" s="105">
        <v>41253</v>
      </c>
      <c r="G588">
        <v>0.51800000000000002</v>
      </c>
      <c r="H588" s="105">
        <v>40576</v>
      </c>
      <c r="I588">
        <v>0.62050000000000005</v>
      </c>
      <c r="J588" s="105">
        <v>41253</v>
      </c>
      <c r="K588">
        <v>0.85299999999999998</v>
      </c>
    </row>
    <row r="589" spans="1:11">
      <c r="A589" s="105">
        <v>41124</v>
      </c>
      <c r="B589" s="156">
        <v>0.24374999999999999</v>
      </c>
      <c r="D589" s="105">
        <v>41250</v>
      </c>
      <c r="E589">
        <v>0.3095</v>
      </c>
      <c r="F589" s="105">
        <v>41250</v>
      </c>
      <c r="G589">
        <v>0.51900000000000002</v>
      </c>
      <c r="H589" s="105">
        <v>40575</v>
      </c>
      <c r="I589">
        <v>0.62050000000000005</v>
      </c>
      <c r="J589" s="105">
        <v>41250</v>
      </c>
      <c r="K589">
        <v>0.85299999999999998</v>
      </c>
    </row>
    <row r="590" spans="1:11">
      <c r="A590" s="105">
        <v>41127</v>
      </c>
      <c r="B590" s="156">
        <v>0.24324999999999999</v>
      </c>
      <c r="D590" s="105">
        <v>41249</v>
      </c>
      <c r="E590">
        <v>0.3105</v>
      </c>
      <c r="F590" s="105">
        <v>41249</v>
      </c>
      <c r="G590">
        <v>0.52400000000000002</v>
      </c>
      <c r="H590" s="105">
        <v>40574</v>
      </c>
      <c r="I590">
        <v>0.61438000000000004</v>
      </c>
      <c r="J590" s="105">
        <v>41249</v>
      </c>
      <c r="K590">
        <v>0.85499999999999998</v>
      </c>
    </row>
    <row r="591" spans="1:11">
      <c r="A591" s="105">
        <v>41128</v>
      </c>
      <c r="B591" s="156">
        <v>0.24124999999999999</v>
      </c>
      <c r="D591" s="105">
        <v>41248</v>
      </c>
      <c r="E591">
        <v>0.3105</v>
      </c>
      <c r="F591" s="105">
        <v>41248</v>
      </c>
      <c r="G591">
        <v>0.52500000000000002</v>
      </c>
      <c r="H591" s="105">
        <v>40571</v>
      </c>
      <c r="I591">
        <v>0.61312999999999995</v>
      </c>
      <c r="J591" s="105">
        <v>41248</v>
      </c>
      <c r="K591">
        <v>0.85899999999999999</v>
      </c>
    </row>
    <row r="592" spans="1:11">
      <c r="A592" s="105">
        <v>41129</v>
      </c>
      <c r="B592" s="156">
        <v>0.24024999999999999</v>
      </c>
      <c r="D592" s="105">
        <v>41247</v>
      </c>
      <c r="E592">
        <v>0.3105</v>
      </c>
      <c r="F592" s="105">
        <v>41247</v>
      </c>
      <c r="G592">
        <v>0.52500000000000002</v>
      </c>
      <c r="H592" s="105">
        <v>40570</v>
      </c>
      <c r="I592">
        <v>0.61624999999999996</v>
      </c>
      <c r="J592" s="105">
        <v>41247</v>
      </c>
      <c r="K592">
        <v>0.85899999999999999</v>
      </c>
    </row>
    <row r="593" spans="1:11">
      <c r="A593" s="105">
        <v>41130</v>
      </c>
      <c r="B593" s="156">
        <v>0.23924999999999999</v>
      </c>
      <c r="D593" s="105">
        <v>41246</v>
      </c>
      <c r="E593">
        <v>0.3105</v>
      </c>
      <c r="F593" s="105">
        <v>41246</v>
      </c>
      <c r="G593">
        <v>0.52600000000000002</v>
      </c>
      <c r="H593" s="105">
        <v>40569</v>
      </c>
      <c r="I593">
        <v>0.61750000000000005</v>
      </c>
      <c r="J593" s="105">
        <v>41246</v>
      </c>
      <c r="K593">
        <v>0.86</v>
      </c>
    </row>
    <row r="594" spans="1:11">
      <c r="A594" s="105">
        <v>41131</v>
      </c>
      <c r="B594" s="156">
        <v>0.23974999999999999</v>
      </c>
      <c r="D594" s="105">
        <v>41243</v>
      </c>
      <c r="E594">
        <v>0.3105</v>
      </c>
      <c r="F594" s="105">
        <v>41243</v>
      </c>
      <c r="G594">
        <v>0.52600000000000002</v>
      </c>
      <c r="H594" s="105">
        <v>40568</v>
      </c>
      <c r="I594">
        <v>0.61499999999999999</v>
      </c>
      <c r="J594" s="105">
        <v>41243</v>
      </c>
      <c r="K594">
        <v>0.86</v>
      </c>
    </row>
    <row r="595" spans="1:11">
      <c r="A595" s="105">
        <v>41134</v>
      </c>
      <c r="B595" s="156">
        <v>0.23949999999999999</v>
      </c>
      <c r="D595" s="105">
        <v>41242</v>
      </c>
      <c r="E595">
        <v>0.3105</v>
      </c>
      <c r="F595" s="105">
        <v>41242</v>
      </c>
      <c r="G595">
        <v>0.52700000000000002</v>
      </c>
      <c r="H595" s="105">
        <v>40567</v>
      </c>
      <c r="I595">
        <v>0.61499999999999999</v>
      </c>
      <c r="J595" s="105">
        <v>41242</v>
      </c>
      <c r="K595">
        <v>0.86099999999999999</v>
      </c>
    </row>
    <row r="596" spans="1:11">
      <c r="A596" s="105">
        <v>41135</v>
      </c>
      <c r="B596" s="156">
        <v>0.23849999999999999</v>
      </c>
      <c r="D596" s="105">
        <v>41241</v>
      </c>
      <c r="E596">
        <v>0.3105</v>
      </c>
      <c r="F596" s="105">
        <v>41241</v>
      </c>
      <c r="G596">
        <v>0.52800000000000002</v>
      </c>
      <c r="H596" s="105">
        <v>40564</v>
      </c>
      <c r="I596">
        <v>0.61594000000000004</v>
      </c>
      <c r="J596" s="105">
        <v>41241</v>
      </c>
      <c r="K596">
        <v>0.86</v>
      </c>
    </row>
    <row r="597" spans="1:11">
      <c r="A597" s="105">
        <v>41136</v>
      </c>
      <c r="B597" s="156">
        <v>0.23799999999999999</v>
      </c>
      <c r="D597" s="105">
        <v>41240</v>
      </c>
      <c r="E597">
        <v>0.3115</v>
      </c>
      <c r="F597" s="105">
        <v>41240</v>
      </c>
      <c r="G597">
        <v>0.52800000000000002</v>
      </c>
      <c r="H597" s="105">
        <v>40563</v>
      </c>
      <c r="I597">
        <v>0.61438000000000004</v>
      </c>
      <c r="J597" s="105">
        <v>41240</v>
      </c>
      <c r="K597">
        <v>0.86</v>
      </c>
    </row>
    <row r="598" spans="1:11">
      <c r="A598" s="105">
        <v>41137</v>
      </c>
      <c r="B598" s="156">
        <v>0.23699999999999999</v>
      </c>
      <c r="D598" s="105">
        <v>41239</v>
      </c>
      <c r="E598">
        <v>0.3115</v>
      </c>
      <c r="F598" s="105">
        <v>41239</v>
      </c>
      <c r="G598">
        <v>0.52700000000000002</v>
      </c>
      <c r="H598" s="105">
        <v>40562</v>
      </c>
      <c r="I598">
        <v>0.61563000000000001</v>
      </c>
      <c r="J598" s="105">
        <v>41239</v>
      </c>
      <c r="K598">
        <v>0.86</v>
      </c>
    </row>
    <row r="599" spans="1:11">
      <c r="A599" s="105">
        <v>41138</v>
      </c>
      <c r="B599" s="156">
        <v>0.23699999999999999</v>
      </c>
      <c r="D599" s="105">
        <v>41236</v>
      </c>
      <c r="E599">
        <v>0.3115</v>
      </c>
      <c r="F599" s="105">
        <v>41236</v>
      </c>
      <c r="G599">
        <v>0.52700000000000002</v>
      </c>
      <c r="H599" s="105">
        <v>40561</v>
      </c>
      <c r="I599">
        <v>0.61438000000000004</v>
      </c>
      <c r="J599" s="105">
        <v>41236</v>
      </c>
      <c r="K599">
        <v>0.85899999999999999</v>
      </c>
    </row>
    <row r="600" spans="1:11">
      <c r="A600" s="105">
        <v>41141</v>
      </c>
      <c r="B600" s="156">
        <v>0.23599999999999999</v>
      </c>
      <c r="D600" s="105">
        <v>41235</v>
      </c>
      <c r="E600">
        <v>0.3115</v>
      </c>
      <c r="F600" s="105">
        <v>41235</v>
      </c>
      <c r="G600">
        <v>0.52700000000000002</v>
      </c>
      <c r="H600" s="105">
        <v>40560</v>
      </c>
      <c r="I600">
        <v>0.61312999999999995</v>
      </c>
      <c r="J600" s="105">
        <v>41235</v>
      </c>
      <c r="K600">
        <v>0.86</v>
      </c>
    </row>
    <row r="601" spans="1:11">
      <c r="A601" s="105">
        <v>41142</v>
      </c>
      <c r="B601" s="156">
        <v>0.23749999999999999</v>
      </c>
      <c r="D601" s="105">
        <v>41234</v>
      </c>
      <c r="E601">
        <v>0.3115</v>
      </c>
      <c r="F601" s="105">
        <v>41234</v>
      </c>
      <c r="G601">
        <v>0.52700000000000002</v>
      </c>
      <c r="H601" s="105">
        <v>40557</v>
      </c>
      <c r="I601">
        <v>0.61563000000000001</v>
      </c>
      <c r="J601" s="105">
        <v>41234</v>
      </c>
      <c r="K601">
        <v>0.86099999999999999</v>
      </c>
    </row>
    <row r="602" spans="1:11">
      <c r="A602" s="105">
        <v>41143</v>
      </c>
      <c r="B602" s="156">
        <v>0.23649999999999999</v>
      </c>
      <c r="D602" s="105">
        <v>41233</v>
      </c>
      <c r="E602">
        <v>0.3105</v>
      </c>
      <c r="F602" s="105">
        <v>41233</v>
      </c>
      <c r="G602">
        <v>0.52700000000000002</v>
      </c>
      <c r="H602" s="105">
        <v>40556</v>
      </c>
      <c r="I602">
        <v>0.61656</v>
      </c>
      <c r="J602" s="105">
        <v>41233</v>
      </c>
      <c r="K602">
        <v>0.86</v>
      </c>
    </row>
    <row r="603" spans="1:11">
      <c r="A603" s="105">
        <v>41144</v>
      </c>
      <c r="B603" s="156">
        <v>0.23549999999999999</v>
      </c>
      <c r="D603" s="105">
        <v>41232</v>
      </c>
      <c r="E603">
        <v>0.3115</v>
      </c>
      <c r="F603" s="105">
        <v>41232</v>
      </c>
      <c r="G603">
        <v>0.52800000000000002</v>
      </c>
      <c r="H603" s="105">
        <v>40555</v>
      </c>
      <c r="I603">
        <v>0.61780999999999997</v>
      </c>
      <c r="J603" s="105">
        <v>41232</v>
      </c>
      <c r="K603">
        <v>0.86</v>
      </c>
    </row>
    <row r="604" spans="1:11">
      <c r="A604" s="105">
        <v>41145</v>
      </c>
      <c r="B604" s="156">
        <v>0.23449999999999999</v>
      </c>
      <c r="D604" s="105">
        <v>41229</v>
      </c>
      <c r="E604">
        <v>0.3115</v>
      </c>
      <c r="F604" s="105">
        <v>41229</v>
      </c>
      <c r="G604">
        <v>0.52600000000000002</v>
      </c>
      <c r="H604" s="105">
        <v>40554</v>
      </c>
      <c r="I604">
        <v>0.61780999999999997</v>
      </c>
      <c r="J604" s="105">
        <v>41229</v>
      </c>
      <c r="K604">
        <v>0.86</v>
      </c>
    </row>
    <row r="605" spans="1:11">
      <c r="A605" s="105">
        <v>41149</v>
      </c>
      <c r="B605" s="156">
        <v>0.23350000000000001</v>
      </c>
      <c r="D605" s="105">
        <v>41228</v>
      </c>
      <c r="E605">
        <v>0.311</v>
      </c>
      <c r="F605" s="105">
        <v>41228</v>
      </c>
      <c r="G605">
        <v>0.52300000000000002</v>
      </c>
      <c r="H605" s="105">
        <v>40553</v>
      </c>
      <c r="I605">
        <v>0.61780999999999997</v>
      </c>
      <c r="J605" s="105">
        <v>41228</v>
      </c>
      <c r="K605">
        <v>0.85950000000000004</v>
      </c>
    </row>
    <row r="606" spans="1:11">
      <c r="A606" s="105">
        <v>41150</v>
      </c>
      <c r="B606" s="156">
        <v>0.23150000000000001</v>
      </c>
      <c r="D606" s="105">
        <v>41227</v>
      </c>
      <c r="E606">
        <v>0.31</v>
      </c>
      <c r="F606" s="105">
        <v>41227</v>
      </c>
      <c r="G606">
        <v>0.52300000000000002</v>
      </c>
      <c r="H606" s="105">
        <v>40550</v>
      </c>
      <c r="I606">
        <v>0.61906000000000005</v>
      </c>
      <c r="J606" s="105">
        <v>41227</v>
      </c>
      <c r="K606">
        <v>0.86050000000000004</v>
      </c>
    </row>
    <row r="607" spans="1:11">
      <c r="A607" s="105">
        <v>41151</v>
      </c>
      <c r="B607" s="156">
        <v>0.23050000000000001</v>
      </c>
      <c r="D607" s="105">
        <v>41226</v>
      </c>
      <c r="E607">
        <v>0.31</v>
      </c>
      <c r="F607" s="105">
        <v>41226</v>
      </c>
      <c r="G607">
        <v>0.52400000000000002</v>
      </c>
      <c r="H607" s="105">
        <v>40549</v>
      </c>
      <c r="I607">
        <v>0.61780999999999997</v>
      </c>
      <c r="J607" s="105">
        <v>41226</v>
      </c>
      <c r="K607">
        <v>0.86150000000000004</v>
      </c>
    </row>
    <row r="608" spans="1:11">
      <c r="A608" s="105">
        <v>41152</v>
      </c>
      <c r="B608" s="156">
        <v>0.23050000000000001</v>
      </c>
      <c r="D608" s="105">
        <v>41225</v>
      </c>
      <c r="E608">
        <v>0.31</v>
      </c>
      <c r="F608" s="105">
        <v>41225</v>
      </c>
      <c r="G608">
        <v>0.52649999999999997</v>
      </c>
      <c r="H608" s="105">
        <v>40548</v>
      </c>
      <c r="I608">
        <v>0.61375000000000002</v>
      </c>
      <c r="J608" s="105">
        <v>41225</v>
      </c>
      <c r="K608">
        <v>0.86199999999999999</v>
      </c>
    </row>
    <row r="609" spans="1:11">
      <c r="A609" s="105">
        <v>41155</v>
      </c>
      <c r="B609" s="156">
        <v>0.23050000000000001</v>
      </c>
      <c r="D609" s="105">
        <v>41222</v>
      </c>
      <c r="E609">
        <v>0.31</v>
      </c>
      <c r="F609" s="105">
        <v>41222</v>
      </c>
      <c r="G609">
        <v>0.52649999999999997</v>
      </c>
      <c r="H609" s="105">
        <v>40547</v>
      </c>
      <c r="I609">
        <v>0.61375000000000002</v>
      </c>
      <c r="J609" s="105">
        <v>41222</v>
      </c>
      <c r="K609">
        <v>0.86199999999999999</v>
      </c>
    </row>
    <row r="610" spans="1:11">
      <c r="A610" s="105">
        <v>41156</v>
      </c>
      <c r="B610" s="156">
        <v>0.22825000000000001</v>
      </c>
      <c r="D610" s="105">
        <v>41221</v>
      </c>
      <c r="E610">
        <v>0.31</v>
      </c>
      <c r="F610" s="105">
        <v>41221</v>
      </c>
      <c r="G610">
        <v>0.52649999999999997</v>
      </c>
      <c r="H610" s="105">
        <v>40543</v>
      </c>
      <c r="I610">
        <v>0.61250000000000004</v>
      </c>
      <c r="J610" s="105">
        <v>41221</v>
      </c>
      <c r="K610">
        <v>0.86199999999999999</v>
      </c>
    </row>
    <row r="611" spans="1:11">
      <c r="A611" s="105">
        <v>41157</v>
      </c>
      <c r="B611" s="156">
        <v>0.22800000000000001</v>
      </c>
      <c r="D611" s="105">
        <v>41220</v>
      </c>
      <c r="E611">
        <v>0.31</v>
      </c>
      <c r="F611" s="105">
        <v>41220</v>
      </c>
      <c r="G611">
        <v>0.52949999999999997</v>
      </c>
      <c r="H611" s="105">
        <v>40542</v>
      </c>
      <c r="I611">
        <v>0.61250000000000004</v>
      </c>
      <c r="J611" s="105">
        <v>41220</v>
      </c>
      <c r="K611">
        <v>0.86599999999999999</v>
      </c>
    </row>
    <row r="612" spans="1:11">
      <c r="A612" s="105">
        <v>41158</v>
      </c>
      <c r="B612" s="156">
        <v>0.22750000000000001</v>
      </c>
      <c r="D612" s="105">
        <v>41219</v>
      </c>
      <c r="E612">
        <v>0.31175000000000003</v>
      </c>
      <c r="F612" s="105">
        <v>41219</v>
      </c>
      <c r="G612">
        <v>0.53349999999999997</v>
      </c>
      <c r="H612" s="105">
        <v>40541</v>
      </c>
      <c r="I612">
        <v>0.61563000000000001</v>
      </c>
      <c r="J612" s="105">
        <v>41219</v>
      </c>
      <c r="K612">
        <v>0.87150000000000005</v>
      </c>
    </row>
    <row r="613" spans="1:11">
      <c r="A613" s="105">
        <v>41159</v>
      </c>
      <c r="B613" s="156">
        <v>0.22800000000000001</v>
      </c>
      <c r="D613" s="105">
        <v>41218</v>
      </c>
      <c r="E613">
        <v>0.31175000000000003</v>
      </c>
      <c r="F613" s="105">
        <v>41218</v>
      </c>
      <c r="G613">
        <v>0.53574999999999995</v>
      </c>
      <c r="H613" s="105">
        <v>40536</v>
      </c>
      <c r="I613">
        <v>0.61563000000000001</v>
      </c>
      <c r="J613" s="105">
        <v>41218</v>
      </c>
      <c r="K613">
        <v>0.87375000000000003</v>
      </c>
    </row>
    <row r="614" spans="1:11">
      <c r="A614" s="105">
        <v>41162</v>
      </c>
      <c r="B614" s="156">
        <v>0.22800000000000001</v>
      </c>
      <c r="D614" s="105">
        <v>41215</v>
      </c>
      <c r="E614">
        <v>0.31274999999999997</v>
      </c>
      <c r="F614" s="105">
        <v>41215</v>
      </c>
      <c r="G614">
        <v>0.53800000000000003</v>
      </c>
      <c r="H614" s="105">
        <v>40535</v>
      </c>
      <c r="I614">
        <v>0.61594000000000004</v>
      </c>
      <c r="J614" s="105">
        <v>41215</v>
      </c>
      <c r="K614">
        <v>0.875</v>
      </c>
    </row>
    <row r="615" spans="1:11">
      <c r="A615" s="105">
        <v>41163</v>
      </c>
      <c r="B615" s="156">
        <v>0.22675000000000001</v>
      </c>
      <c r="D615" s="105">
        <v>41214</v>
      </c>
      <c r="E615">
        <v>0.31274999999999997</v>
      </c>
      <c r="F615" s="105">
        <v>41214</v>
      </c>
      <c r="G615">
        <v>0.53939999999999999</v>
      </c>
      <c r="H615" s="105">
        <v>40534</v>
      </c>
      <c r="I615">
        <v>0.61468999999999996</v>
      </c>
      <c r="J615" s="105">
        <v>41214</v>
      </c>
      <c r="K615">
        <v>0.87549999999999994</v>
      </c>
    </row>
    <row r="616" spans="1:11">
      <c r="A616" s="105">
        <v>41164</v>
      </c>
      <c r="B616" s="156">
        <v>0.22375</v>
      </c>
      <c r="D616" s="105">
        <v>41213</v>
      </c>
      <c r="E616">
        <v>0.31274999999999997</v>
      </c>
      <c r="F616" s="105">
        <v>41213</v>
      </c>
      <c r="G616">
        <v>0.53990000000000005</v>
      </c>
      <c r="H616" s="105">
        <v>40533</v>
      </c>
      <c r="I616">
        <v>0.61594000000000004</v>
      </c>
      <c r="J616" s="105">
        <v>41213</v>
      </c>
      <c r="K616">
        <v>0.87549999999999994</v>
      </c>
    </row>
    <row r="617" spans="1:11">
      <c r="A617" s="105">
        <v>41165</v>
      </c>
      <c r="B617" s="156">
        <v>0.22075</v>
      </c>
      <c r="D617" s="105">
        <v>41212</v>
      </c>
      <c r="E617">
        <v>0.31274999999999997</v>
      </c>
      <c r="F617" s="105">
        <v>41212</v>
      </c>
      <c r="G617">
        <v>0.53990000000000005</v>
      </c>
      <c r="H617" s="105">
        <v>40532</v>
      </c>
      <c r="I617">
        <v>0.61594000000000004</v>
      </c>
      <c r="J617" s="105">
        <v>41212</v>
      </c>
      <c r="K617">
        <v>0.87749999999999995</v>
      </c>
    </row>
    <row r="618" spans="1:11">
      <c r="A618" s="105">
        <v>41166</v>
      </c>
      <c r="B618" s="156">
        <v>0.22</v>
      </c>
      <c r="D618" s="105">
        <v>41211</v>
      </c>
      <c r="E618">
        <v>0.31274999999999997</v>
      </c>
      <c r="F618" s="105">
        <v>41211</v>
      </c>
      <c r="G618">
        <v>0.54290000000000005</v>
      </c>
      <c r="H618" s="105">
        <v>40529</v>
      </c>
      <c r="I618">
        <v>0.61499999999999999</v>
      </c>
      <c r="J618" s="105">
        <v>41211</v>
      </c>
      <c r="K618">
        <v>0.87749999999999995</v>
      </c>
    </row>
    <row r="619" spans="1:11">
      <c r="A619" s="105">
        <v>41169</v>
      </c>
      <c r="B619" s="156">
        <v>0.219</v>
      </c>
      <c r="D619" s="105">
        <v>41208</v>
      </c>
      <c r="E619">
        <v>0.31324999999999997</v>
      </c>
      <c r="F619" s="105">
        <v>41208</v>
      </c>
      <c r="G619">
        <v>0.54490000000000005</v>
      </c>
      <c r="H619" s="105">
        <v>40528</v>
      </c>
      <c r="I619">
        <v>0.61750000000000005</v>
      </c>
      <c r="J619" s="105">
        <v>41208</v>
      </c>
      <c r="K619">
        <v>0.88049999999999995</v>
      </c>
    </row>
    <row r="620" spans="1:11">
      <c r="A620" s="105">
        <v>41170</v>
      </c>
      <c r="B620" s="156">
        <v>0.2185</v>
      </c>
      <c r="D620" s="105">
        <v>41207</v>
      </c>
      <c r="E620">
        <v>0.31324999999999997</v>
      </c>
      <c r="F620" s="105">
        <v>41207</v>
      </c>
      <c r="G620">
        <v>0.54690000000000005</v>
      </c>
      <c r="H620" s="105">
        <v>40527</v>
      </c>
      <c r="I620">
        <v>0.61468999999999996</v>
      </c>
      <c r="J620" s="105">
        <v>41207</v>
      </c>
      <c r="K620">
        <v>0.88049999999999995</v>
      </c>
    </row>
    <row r="621" spans="1:11">
      <c r="A621" s="105">
        <v>41171</v>
      </c>
      <c r="B621" s="156">
        <v>0.2185</v>
      </c>
      <c r="D621" s="105">
        <v>41206</v>
      </c>
      <c r="E621">
        <v>0.31424999999999997</v>
      </c>
      <c r="F621" s="105">
        <v>41206</v>
      </c>
      <c r="G621">
        <v>0.54790000000000005</v>
      </c>
      <c r="H621" s="105">
        <v>40526</v>
      </c>
      <c r="I621">
        <v>0.61499999999999999</v>
      </c>
      <c r="J621" s="105">
        <v>41206</v>
      </c>
      <c r="K621">
        <v>0.88149999999999995</v>
      </c>
    </row>
    <row r="622" spans="1:11">
      <c r="A622" s="105">
        <v>41172</v>
      </c>
      <c r="B622" s="156">
        <v>0.2165</v>
      </c>
      <c r="D622" s="105">
        <v>41205</v>
      </c>
      <c r="E622">
        <v>0.31524999999999997</v>
      </c>
      <c r="F622" s="105">
        <v>41205</v>
      </c>
      <c r="G622">
        <v>0.5534</v>
      </c>
      <c r="H622" s="105">
        <v>40525</v>
      </c>
      <c r="I622">
        <v>0.61687999999999998</v>
      </c>
      <c r="J622" s="105">
        <v>41205</v>
      </c>
      <c r="K622">
        <v>0.88800000000000001</v>
      </c>
    </row>
    <row r="623" spans="1:11">
      <c r="A623" s="105">
        <v>41173</v>
      </c>
      <c r="B623" s="156">
        <v>0.2165</v>
      </c>
      <c r="D623" s="105">
        <v>41204</v>
      </c>
      <c r="E623">
        <v>0.31574999999999998</v>
      </c>
      <c r="F623" s="105">
        <v>41204</v>
      </c>
      <c r="G623">
        <v>0.55589999999999995</v>
      </c>
      <c r="H623" s="105">
        <v>40522</v>
      </c>
      <c r="I623">
        <v>0.61531000000000002</v>
      </c>
      <c r="J623" s="105">
        <v>41204</v>
      </c>
      <c r="K623">
        <v>0.89049999999999996</v>
      </c>
    </row>
    <row r="624" spans="1:11">
      <c r="A624" s="105">
        <v>41176</v>
      </c>
      <c r="B624" s="156">
        <v>0.2165</v>
      </c>
      <c r="D624" s="105">
        <v>41201</v>
      </c>
      <c r="E624">
        <v>0.31724999999999998</v>
      </c>
      <c r="F624" s="105">
        <v>41201</v>
      </c>
      <c r="G624">
        <v>0.55940000000000001</v>
      </c>
      <c r="H624" s="105">
        <v>40521</v>
      </c>
      <c r="I624">
        <v>0.61531000000000002</v>
      </c>
      <c r="J624" s="105">
        <v>41201</v>
      </c>
      <c r="K624">
        <v>0.89649999999999996</v>
      </c>
    </row>
    <row r="625" spans="1:11">
      <c r="A625" s="105">
        <v>41177</v>
      </c>
      <c r="B625" s="156">
        <v>0.2155</v>
      </c>
      <c r="D625" s="105">
        <v>41200</v>
      </c>
      <c r="E625">
        <v>0.31874999999999998</v>
      </c>
      <c r="F625" s="105">
        <v>41200</v>
      </c>
      <c r="G625">
        <v>0.56589999999999996</v>
      </c>
      <c r="H625" s="105">
        <v>40520</v>
      </c>
      <c r="I625">
        <v>0.61531000000000002</v>
      </c>
      <c r="J625" s="105">
        <v>41200</v>
      </c>
      <c r="K625">
        <v>0.90100000000000002</v>
      </c>
    </row>
    <row r="626" spans="1:11">
      <c r="A626" s="105">
        <v>41178</v>
      </c>
      <c r="B626" s="156">
        <v>0.2155</v>
      </c>
      <c r="D626" s="105">
        <v>41199</v>
      </c>
      <c r="E626">
        <v>0.32074999999999998</v>
      </c>
      <c r="F626" s="105">
        <v>41199</v>
      </c>
      <c r="G626">
        <v>0.57040000000000002</v>
      </c>
      <c r="H626" s="105">
        <v>40519</v>
      </c>
      <c r="I626">
        <v>0.61531000000000002</v>
      </c>
      <c r="J626" s="105">
        <v>41199</v>
      </c>
      <c r="K626">
        <v>0.90549999999999997</v>
      </c>
    </row>
    <row r="627" spans="1:11">
      <c r="A627" s="105">
        <v>41179</v>
      </c>
      <c r="B627" s="156">
        <v>0.2145</v>
      </c>
      <c r="D627" s="105">
        <v>41198</v>
      </c>
      <c r="E627">
        <v>0.32474999999999998</v>
      </c>
      <c r="F627" s="105">
        <v>41198</v>
      </c>
      <c r="G627">
        <v>0.57840000000000003</v>
      </c>
      <c r="H627" s="105">
        <v>40518</v>
      </c>
      <c r="I627">
        <v>0.61687999999999998</v>
      </c>
      <c r="J627" s="105">
        <v>41198</v>
      </c>
      <c r="K627">
        <v>0.91800000000000004</v>
      </c>
    </row>
    <row r="628" spans="1:11">
      <c r="A628" s="105">
        <v>41180</v>
      </c>
      <c r="B628" s="156">
        <v>0.21425</v>
      </c>
      <c r="D628" s="105">
        <v>41197</v>
      </c>
      <c r="E628">
        <v>0.33024999999999999</v>
      </c>
      <c r="F628" s="105">
        <v>41197</v>
      </c>
      <c r="G628">
        <v>0.58989999999999998</v>
      </c>
      <c r="H628" s="105">
        <v>40515</v>
      </c>
      <c r="I628">
        <v>0.62075999999999998</v>
      </c>
      <c r="J628" s="105">
        <v>41197</v>
      </c>
      <c r="K628">
        <v>0.92900000000000005</v>
      </c>
    </row>
    <row r="629" spans="1:11">
      <c r="A629" s="105">
        <v>41183</v>
      </c>
      <c r="B629" s="156">
        <v>0.2135</v>
      </c>
      <c r="D629" s="105">
        <v>41194</v>
      </c>
      <c r="E629">
        <v>0.33424999999999999</v>
      </c>
      <c r="F629" s="105">
        <v>41194</v>
      </c>
      <c r="G629">
        <v>0.59589999999999999</v>
      </c>
      <c r="H629" s="105">
        <v>40514</v>
      </c>
      <c r="I629">
        <v>0.62124999999999997</v>
      </c>
      <c r="J629" s="105">
        <v>41194</v>
      </c>
      <c r="K629">
        <v>0.93600000000000005</v>
      </c>
    </row>
    <row r="630" spans="1:11">
      <c r="A630" s="105">
        <v>41184</v>
      </c>
      <c r="B630" s="156">
        <v>0.2145</v>
      </c>
      <c r="D630" s="105">
        <v>41193</v>
      </c>
      <c r="E630">
        <v>0.34025</v>
      </c>
      <c r="F630" s="105">
        <v>41193</v>
      </c>
      <c r="G630">
        <v>0.60389999999999999</v>
      </c>
      <c r="H630" s="105">
        <v>40513</v>
      </c>
      <c r="I630">
        <v>0.62156</v>
      </c>
      <c r="J630" s="105">
        <v>41193</v>
      </c>
      <c r="K630">
        <v>0.9415</v>
      </c>
    </row>
    <row r="631" spans="1:11">
      <c r="A631" s="105">
        <v>41185</v>
      </c>
      <c r="B631" s="156">
        <v>0.2185</v>
      </c>
      <c r="D631" s="105">
        <v>41192</v>
      </c>
      <c r="E631">
        <v>0.34275</v>
      </c>
      <c r="F631" s="105">
        <v>41192</v>
      </c>
      <c r="G631">
        <v>0.6079</v>
      </c>
      <c r="H631" s="105">
        <v>40512</v>
      </c>
      <c r="I631">
        <v>0.61624999999999996</v>
      </c>
      <c r="J631" s="105">
        <v>41192</v>
      </c>
      <c r="K631">
        <v>0.94450000000000001</v>
      </c>
    </row>
    <row r="632" spans="1:11">
      <c r="A632" s="105">
        <v>41186</v>
      </c>
      <c r="B632" s="156">
        <v>0.2185</v>
      </c>
      <c r="D632" s="105">
        <v>41191</v>
      </c>
      <c r="E632">
        <v>0.34675</v>
      </c>
      <c r="F632" s="105">
        <v>41191</v>
      </c>
      <c r="G632">
        <v>0.61539999999999995</v>
      </c>
      <c r="H632" s="105">
        <v>40511</v>
      </c>
      <c r="I632">
        <v>0.61499999999999999</v>
      </c>
      <c r="J632" s="105">
        <v>41191</v>
      </c>
      <c r="K632">
        <v>0.95199999999999996</v>
      </c>
    </row>
    <row r="633" spans="1:11">
      <c r="A633" s="105">
        <v>41187</v>
      </c>
      <c r="B633" s="156">
        <v>0.2185</v>
      </c>
      <c r="D633" s="105">
        <v>41190</v>
      </c>
      <c r="E633">
        <v>0.35025000000000001</v>
      </c>
      <c r="F633" s="105">
        <v>41190</v>
      </c>
      <c r="G633">
        <v>0.6169</v>
      </c>
      <c r="H633" s="105">
        <v>40508</v>
      </c>
      <c r="I633">
        <v>0.61468999999999996</v>
      </c>
      <c r="J633" s="105">
        <v>41190</v>
      </c>
      <c r="K633">
        <v>0.95350000000000001</v>
      </c>
    </row>
    <row r="634" spans="1:11">
      <c r="A634" s="105">
        <v>41190</v>
      </c>
      <c r="B634" s="156">
        <v>0.2175</v>
      </c>
      <c r="D634" s="105">
        <v>41187</v>
      </c>
      <c r="E634">
        <v>0.35125000000000001</v>
      </c>
      <c r="F634" s="105">
        <v>41187</v>
      </c>
      <c r="G634">
        <v>0.6179</v>
      </c>
      <c r="H634" s="105">
        <v>40507</v>
      </c>
      <c r="I634">
        <v>0.60968999999999995</v>
      </c>
      <c r="J634" s="105">
        <v>41187</v>
      </c>
      <c r="K634">
        <v>0.95450000000000002</v>
      </c>
    </row>
    <row r="635" spans="1:11">
      <c r="A635" s="105">
        <v>41191</v>
      </c>
      <c r="B635" s="156">
        <v>0.2155</v>
      </c>
      <c r="D635" s="105">
        <v>41186</v>
      </c>
      <c r="E635">
        <v>0.35225000000000001</v>
      </c>
      <c r="F635" s="105">
        <v>41186</v>
      </c>
      <c r="G635">
        <v>0.62039999999999995</v>
      </c>
      <c r="H635" s="105">
        <v>40506</v>
      </c>
      <c r="I635">
        <v>0.60063</v>
      </c>
      <c r="J635" s="105">
        <v>41186</v>
      </c>
      <c r="K635">
        <v>0.95650000000000002</v>
      </c>
    </row>
    <row r="636" spans="1:11">
      <c r="A636" s="105">
        <v>41192</v>
      </c>
      <c r="B636" s="156">
        <v>0.214</v>
      </c>
      <c r="D636" s="105">
        <v>41185</v>
      </c>
      <c r="E636">
        <v>0.35249999999999998</v>
      </c>
      <c r="F636" s="105">
        <v>41185</v>
      </c>
      <c r="G636">
        <v>0.62239999999999995</v>
      </c>
      <c r="H636" s="105">
        <v>40505</v>
      </c>
      <c r="I636">
        <v>0.59624999999999995</v>
      </c>
      <c r="J636" s="105">
        <v>41185</v>
      </c>
      <c r="K636">
        <v>0.95899999999999996</v>
      </c>
    </row>
    <row r="637" spans="1:11">
      <c r="A637" s="105">
        <v>41193</v>
      </c>
      <c r="B637" s="156">
        <v>0.214</v>
      </c>
      <c r="D637" s="105">
        <v>41184</v>
      </c>
      <c r="E637">
        <v>0.35399999999999998</v>
      </c>
      <c r="F637" s="105">
        <v>41184</v>
      </c>
      <c r="G637">
        <v>0.62590000000000001</v>
      </c>
      <c r="H637" s="105">
        <v>40504</v>
      </c>
      <c r="I637">
        <v>0.59624999999999995</v>
      </c>
      <c r="J637" s="105">
        <v>41184</v>
      </c>
      <c r="K637">
        <v>0.96150000000000002</v>
      </c>
    </row>
    <row r="638" spans="1:11">
      <c r="A638" s="105">
        <v>41194</v>
      </c>
      <c r="B638" s="156">
        <v>0.214</v>
      </c>
      <c r="D638" s="105">
        <v>41183</v>
      </c>
      <c r="E638">
        <v>0.35525000000000001</v>
      </c>
      <c r="F638" s="105">
        <v>41183</v>
      </c>
      <c r="G638">
        <v>0.63065000000000004</v>
      </c>
      <c r="H638" s="105">
        <v>40501</v>
      </c>
      <c r="I638">
        <v>0.59624999999999995</v>
      </c>
      <c r="J638" s="105">
        <v>41183</v>
      </c>
      <c r="K638">
        <v>0.96675</v>
      </c>
    </row>
    <row r="639" spans="1:11">
      <c r="A639" s="105">
        <v>41197</v>
      </c>
      <c r="B639" s="156">
        <v>0.214</v>
      </c>
      <c r="D639" s="105">
        <v>41180</v>
      </c>
      <c r="E639">
        <v>0.35849999999999999</v>
      </c>
      <c r="F639" s="105">
        <v>41180</v>
      </c>
      <c r="G639">
        <v>0.63590000000000002</v>
      </c>
      <c r="H639" s="105">
        <v>40500</v>
      </c>
      <c r="I639">
        <v>0.59624999999999995</v>
      </c>
      <c r="J639" s="105">
        <v>41180</v>
      </c>
      <c r="K639">
        <v>0.97299999999999998</v>
      </c>
    </row>
    <row r="640" spans="1:11">
      <c r="A640" s="105">
        <v>41198</v>
      </c>
      <c r="B640" s="156">
        <v>0.2132</v>
      </c>
      <c r="D640" s="105">
        <v>41179</v>
      </c>
      <c r="E640">
        <v>0.36025000000000001</v>
      </c>
      <c r="F640" s="105">
        <v>41179</v>
      </c>
      <c r="G640">
        <v>0.64065000000000005</v>
      </c>
      <c r="H640" s="105">
        <v>40499</v>
      </c>
      <c r="I640">
        <v>0.59624999999999995</v>
      </c>
      <c r="J640" s="105">
        <v>41179</v>
      </c>
      <c r="K640">
        <v>0.97575000000000001</v>
      </c>
    </row>
    <row r="641" spans="1:11">
      <c r="A641" s="105">
        <v>41199</v>
      </c>
      <c r="B641" s="156">
        <v>0.2117</v>
      </c>
      <c r="D641" s="105">
        <v>41178</v>
      </c>
      <c r="E641">
        <v>0.36225000000000002</v>
      </c>
      <c r="F641" s="105">
        <v>41178</v>
      </c>
      <c r="G641">
        <v>0.64290000000000003</v>
      </c>
      <c r="H641" s="105">
        <v>40498</v>
      </c>
      <c r="I641">
        <v>0.59624999999999995</v>
      </c>
      <c r="J641" s="105">
        <v>41178</v>
      </c>
      <c r="K641">
        <v>0.97499999999999998</v>
      </c>
    </row>
    <row r="642" spans="1:11">
      <c r="A642" s="105">
        <v>41200</v>
      </c>
      <c r="B642" s="156">
        <v>0.2107</v>
      </c>
      <c r="D642" s="105">
        <v>41177</v>
      </c>
      <c r="E642">
        <v>0.36349999999999999</v>
      </c>
      <c r="F642" s="105">
        <v>41177</v>
      </c>
      <c r="G642">
        <v>0.64564999999999995</v>
      </c>
      <c r="H642" s="105">
        <v>40497</v>
      </c>
      <c r="I642">
        <v>0.59843999999999997</v>
      </c>
      <c r="J642" s="105">
        <v>41177</v>
      </c>
      <c r="K642">
        <v>0.97824999999999995</v>
      </c>
    </row>
    <row r="643" spans="1:11">
      <c r="A643" s="105">
        <v>41201</v>
      </c>
      <c r="B643" s="156">
        <v>0.2107</v>
      </c>
      <c r="D643" s="105">
        <v>41176</v>
      </c>
      <c r="E643">
        <v>0.36725000000000002</v>
      </c>
      <c r="F643" s="105">
        <v>41176</v>
      </c>
      <c r="G643">
        <v>0.65115000000000001</v>
      </c>
      <c r="H643" s="105">
        <v>40494</v>
      </c>
      <c r="I643">
        <v>0.59906000000000004</v>
      </c>
      <c r="J643" s="105">
        <v>41176</v>
      </c>
      <c r="K643">
        <v>0.98224999999999996</v>
      </c>
    </row>
    <row r="644" spans="1:11">
      <c r="A644" s="105">
        <v>41204</v>
      </c>
      <c r="B644" s="156">
        <v>0.2107</v>
      </c>
      <c r="D644" s="105">
        <v>41173</v>
      </c>
      <c r="E644">
        <v>0.36925000000000002</v>
      </c>
      <c r="F644" s="105">
        <v>41173</v>
      </c>
      <c r="G644">
        <v>0.65539999999999998</v>
      </c>
      <c r="H644" s="105">
        <v>40493</v>
      </c>
      <c r="I644">
        <v>0.59406000000000003</v>
      </c>
      <c r="J644" s="105">
        <v>41173</v>
      </c>
      <c r="K644">
        <v>0.98450000000000004</v>
      </c>
    </row>
    <row r="645" spans="1:11">
      <c r="A645" s="105">
        <v>41205</v>
      </c>
      <c r="B645" s="156">
        <v>0.2107</v>
      </c>
      <c r="D645" s="105">
        <v>41172</v>
      </c>
      <c r="E645">
        <v>0.373</v>
      </c>
      <c r="F645" s="105">
        <v>41172</v>
      </c>
      <c r="G645">
        <v>0.65764999999999996</v>
      </c>
      <c r="H645" s="105">
        <v>40492</v>
      </c>
      <c r="I645">
        <v>0.59280999999999995</v>
      </c>
      <c r="J645" s="105">
        <v>41172</v>
      </c>
      <c r="K645">
        <v>0.98524999999999996</v>
      </c>
    </row>
    <row r="646" spans="1:11">
      <c r="A646" s="105">
        <v>41206</v>
      </c>
      <c r="B646" s="156">
        <v>0.21049999999999999</v>
      </c>
      <c r="D646" s="105">
        <v>41171</v>
      </c>
      <c r="E646">
        <v>0.37574999999999997</v>
      </c>
      <c r="F646" s="105">
        <v>41171</v>
      </c>
      <c r="G646">
        <v>0.65939999999999999</v>
      </c>
      <c r="H646" s="105">
        <v>40491</v>
      </c>
      <c r="I646">
        <v>0.59438000000000002</v>
      </c>
      <c r="J646" s="105">
        <v>41171</v>
      </c>
      <c r="K646">
        <v>0.98750000000000004</v>
      </c>
    </row>
    <row r="647" spans="1:11">
      <c r="A647" s="105">
        <v>41207</v>
      </c>
      <c r="B647" s="156">
        <v>0.21099999999999999</v>
      </c>
      <c r="D647" s="105">
        <v>41170</v>
      </c>
      <c r="E647">
        <v>0.37874999999999998</v>
      </c>
      <c r="F647" s="105">
        <v>41170</v>
      </c>
      <c r="G647">
        <v>0.66439999999999999</v>
      </c>
      <c r="H647" s="105">
        <v>40490</v>
      </c>
      <c r="I647">
        <v>0.58906000000000003</v>
      </c>
      <c r="J647" s="105">
        <v>41170</v>
      </c>
      <c r="K647">
        <v>0.98950000000000005</v>
      </c>
    </row>
    <row r="648" spans="1:11">
      <c r="A648" s="105">
        <v>41208</v>
      </c>
      <c r="B648" s="156">
        <v>0.21199999999999999</v>
      </c>
      <c r="D648" s="105">
        <v>41169</v>
      </c>
      <c r="E648">
        <v>0.38074999999999998</v>
      </c>
      <c r="F648" s="105">
        <v>41169</v>
      </c>
      <c r="G648">
        <v>0.66690000000000005</v>
      </c>
      <c r="H648" s="105">
        <v>40487</v>
      </c>
      <c r="I648">
        <v>0.58750000000000002</v>
      </c>
      <c r="J648" s="105">
        <v>41169</v>
      </c>
      <c r="K648">
        <v>0.99199999999999999</v>
      </c>
    </row>
    <row r="649" spans="1:11">
      <c r="A649" s="105">
        <v>41211</v>
      </c>
      <c r="B649" s="156">
        <v>0.21199999999999999</v>
      </c>
      <c r="D649" s="105">
        <v>41166</v>
      </c>
      <c r="E649">
        <v>0.38524999999999998</v>
      </c>
      <c r="F649" s="105">
        <v>41166</v>
      </c>
      <c r="G649">
        <v>0.67290000000000005</v>
      </c>
      <c r="H649" s="105">
        <v>40486</v>
      </c>
      <c r="I649">
        <v>0.58687999999999996</v>
      </c>
      <c r="J649" s="105">
        <v>41166</v>
      </c>
      <c r="K649">
        <v>0.997</v>
      </c>
    </row>
    <row r="650" spans="1:11">
      <c r="A650" s="105">
        <v>41212</v>
      </c>
      <c r="B650" s="156">
        <v>0.21199999999999999</v>
      </c>
      <c r="D650" s="105">
        <v>41165</v>
      </c>
      <c r="E650">
        <v>0.38874999999999998</v>
      </c>
      <c r="F650" s="105">
        <v>41165</v>
      </c>
      <c r="G650">
        <v>0.6794</v>
      </c>
      <c r="H650" s="105">
        <v>40485</v>
      </c>
      <c r="I650">
        <v>0.59313000000000005</v>
      </c>
      <c r="J650" s="105">
        <v>41165</v>
      </c>
      <c r="K650">
        <v>1.004</v>
      </c>
    </row>
    <row r="651" spans="1:11">
      <c r="A651" s="105">
        <v>41213</v>
      </c>
      <c r="B651" s="156">
        <v>0.21199999999999999</v>
      </c>
      <c r="D651" s="105">
        <v>41164</v>
      </c>
      <c r="E651">
        <v>0.39424999999999999</v>
      </c>
      <c r="F651" s="105">
        <v>41164</v>
      </c>
      <c r="G651">
        <v>0.68340000000000001</v>
      </c>
      <c r="H651" s="105">
        <v>40484</v>
      </c>
      <c r="I651">
        <v>0.59313000000000005</v>
      </c>
      <c r="J651" s="105">
        <v>41164</v>
      </c>
      <c r="K651">
        <v>1.008</v>
      </c>
    </row>
    <row r="652" spans="1:11">
      <c r="A652" s="105">
        <v>41214</v>
      </c>
      <c r="B652" s="156">
        <v>0.21</v>
      </c>
      <c r="D652" s="105">
        <v>41163</v>
      </c>
      <c r="E652">
        <v>0.39874999999999999</v>
      </c>
      <c r="F652" s="105">
        <v>41163</v>
      </c>
      <c r="G652">
        <v>0.68689999999999996</v>
      </c>
      <c r="H652" s="105">
        <v>40483</v>
      </c>
      <c r="I652">
        <v>0.59313000000000005</v>
      </c>
      <c r="J652" s="105">
        <v>41163</v>
      </c>
      <c r="K652">
        <v>1.0145</v>
      </c>
    </row>
    <row r="653" spans="1:11">
      <c r="A653" s="105">
        <v>41215</v>
      </c>
      <c r="B653" s="156">
        <v>0.20899999999999999</v>
      </c>
      <c r="D653" s="105">
        <v>41162</v>
      </c>
      <c r="E653">
        <v>0.40425</v>
      </c>
      <c r="F653" s="105">
        <v>41162</v>
      </c>
      <c r="G653">
        <v>0.69064999999999999</v>
      </c>
      <c r="H653" s="105">
        <v>40480</v>
      </c>
      <c r="I653">
        <v>0.59687999999999997</v>
      </c>
      <c r="J653" s="105">
        <v>41162</v>
      </c>
      <c r="K653">
        <v>1.0175000000000001</v>
      </c>
    </row>
    <row r="654" spans="1:11">
      <c r="A654" s="105">
        <v>41218</v>
      </c>
      <c r="B654" s="156">
        <v>0.20799999999999999</v>
      </c>
      <c r="D654" s="105">
        <v>41159</v>
      </c>
      <c r="E654">
        <v>0.40775</v>
      </c>
      <c r="F654" s="105">
        <v>41159</v>
      </c>
      <c r="G654">
        <v>0.69464999999999999</v>
      </c>
      <c r="H654" s="105">
        <v>40479</v>
      </c>
      <c r="I654">
        <v>0.60063</v>
      </c>
      <c r="J654" s="105">
        <v>41159</v>
      </c>
      <c r="K654">
        <v>1.024</v>
      </c>
    </row>
    <row r="655" spans="1:11">
      <c r="A655" s="105">
        <v>41219</v>
      </c>
      <c r="B655" s="156">
        <v>0.20899999999999999</v>
      </c>
      <c r="D655" s="105">
        <v>41158</v>
      </c>
      <c r="E655">
        <v>0.40834999999999999</v>
      </c>
      <c r="F655" s="105">
        <v>41158</v>
      </c>
      <c r="G655">
        <v>0.69815000000000005</v>
      </c>
      <c r="H655" s="105">
        <v>40478</v>
      </c>
      <c r="I655">
        <v>0.60063</v>
      </c>
      <c r="J655" s="105">
        <v>41158</v>
      </c>
      <c r="K655">
        <v>1.0245</v>
      </c>
    </row>
    <row r="656" spans="1:11">
      <c r="A656" s="105">
        <v>41220</v>
      </c>
      <c r="B656" s="156">
        <v>0.20899999999999999</v>
      </c>
      <c r="D656" s="105">
        <v>41157</v>
      </c>
      <c r="E656">
        <v>0.40984999999999999</v>
      </c>
      <c r="F656" s="105">
        <v>41157</v>
      </c>
      <c r="G656">
        <v>0.70065</v>
      </c>
      <c r="H656" s="105">
        <v>40477</v>
      </c>
      <c r="I656">
        <v>0.60063</v>
      </c>
      <c r="J656" s="105">
        <v>41157</v>
      </c>
      <c r="K656">
        <v>1.0265</v>
      </c>
    </row>
    <row r="657" spans="1:11">
      <c r="A657" s="105">
        <v>41221</v>
      </c>
      <c r="B657" s="156">
        <v>0.20899999999999999</v>
      </c>
      <c r="D657" s="105">
        <v>41156</v>
      </c>
      <c r="E657">
        <v>0.41184999999999999</v>
      </c>
      <c r="F657" s="105">
        <v>41156</v>
      </c>
      <c r="G657">
        <v>0.70165</v>
      </c>
      <c r="H657" s="105">
        <v>40476</v>
      </c>
      <c r="I657">
        <v>0.60063</v>
      </c>
      <c r="J657" s="105">
        <v>41156</v>
      </c>
      <c r="K657">
        <v>1.0269999999999999</v>
      </c>
    </row>
    <row r="658" spans="1:11">
      <c r="A658" s="105">
        <v>41222</v>
      </c>
      <c r="B658" s="156">
        <v>0.20899999999999999</v>
      </c>
      <c r="D658" s="105">
        <v>41155</v>
      </c>
      <c r="E658">
        <v>0.41435</v>
      </c>
      <c r="F658" s="105">
        <v>41155</v>
      </c>
      <c r="G658">
        <v>0.70515000000000005</v>
      </c>
      <c r="H658" s="105">
        <v>40473</v>
      </c>
      <c r="I658">
        <v>0.60063</v>
      </c>
      <c r="J658" s="105">
        <v>41155</v>
      </c>
      <c r="K658">
        <v>1.0295000000000001</v>
      </c>
    </row>
    <row r="659" spans="1:11">
      <c r="A659" s="105">
        <v>41225</v>
      </c>
      <c r="B659" s="156">
        <v>0.20849999999999999</v>
      </c>
      <c r="D659" s="105">
        <v>41152</v>
      </c>
      <c r="E659">
        <v>0.41825000000000001</v>
      </c>
      <c r="F659" s="105">
        <v>41152</v>
      </c>
      <c r="G659">
        <v>0.70765</v>
      </c>
      <c r="H659" s="105">
        <v>40472</v>
      </c>
      <c r="I659">
        <v>0.60063</v>
      </c>
      <c r="J659" s="105">
        <v>41152</v>
      </c>
      <c r="K659">
        <v>1.032</v>
      </c>
    </row>
    <row r="660" spans="1:11">
      <c r="A660" s="105">
        <v>41226</v>
      </c>
      <c r="B660" s="156">
        <v>0.20799999999999999</v>
      </c>
      <c r="D660" s="105">
        <v>41151</v>
      </c>
      <c r="E660">
        <v>0.42075000000000001</v>
      </c>
      <c r="F660" s="105">
        <v>41151</v>
      </c>
      <c r="G660">
        <v>0.70914999999999995</v>
      </c>
      <c r="H660" s="105">
        <v>40471</v>
      </c>
      <c r="I660">
        <v>0.60063</v>
      </c>
      <c r="J660" s="105">
        <v>41151</v>
      </c>
      <c r="K660">
        <v>1.0329999999999999</v>
      </c>
    </row>
    <row r="661" spans="1:11">
      <c r="A661" s="105">
        <v>41227</v>
      </c>
      <c r="B661" s="156">
        <v>0.20749999999999999</v>
      </c>
      <c r="D661" s="105">
        <v>41150</v>
      </c>
      <c r="E661">
        <v>0.42175000000000001</v>
      </c>
      <c r="F661" s="105">
        <v>41150</v>
      </c>
      <c r="G661">
        <v>0.70914999999999995</v>
      </c>
      <c r="H661" s="105">
        <v>40470</v>
      </c>
      <c r="I661">
        <v>0.60063</v>
      </c>
      <c r="J661" s="105">
        <v>41150</v>
      </c>
      <c r="K661">
        <v>1.034</v>
      </c>
    </row>
    <row r="662" spans="1:11">
      <c r="A662" s="105">
        <v>41228</v>
      </c>
      <c r="B662" s="156">
        <v>0.20749999999999999</v>
      </c>
      <c r="D662" s="105">
        <v>41149</v>
      </c>
      <c r="E662">
        <v>0.42275000000000001</v>
      </c>
      <c r="F662" s="105">
        <v>41149</v>
      </c>
      <c r="G662">
        <v>0.71065</v>
      </c>
      <c r="H662" s="105">
        <v>40469</v>
      </c>
      <c r="I662">
        <v>0.60063</v>
      </c>
      <c r="J662" s="105">
        <v>41149</v>
      </c>
      <c r="K662">
        <v>1.0349999999999999</v>
      </c>
    </row>
    <row r="663" spans="1:11">
      <c r="A663" s="105">
        <v>41229</v>
      </c>
      <c r="B663" s="156">
        <v>0.20749999999999999</v>
      </c>
      <c r="D663" s="105">
        <v>41145</v>
      </c>
      <c r="E663">
        <v>0.42485000000000001</v>
      </c>
      <c r="F663" s="105">
        <v>41145</v>
      </c>
      <c r="G663">
        <v>0.71214999999999995</v>
      </c>
      <c r="H663" s="105">
        <v>40466</v>
      </c>
      <c r="I663">
        <v>0.60187999999999997</v>
      </c>
      <c r="J663" s="105">
        <v>41145</v>
      </c>
      <c r="K663">
        <v>1.0365</v>
      </c>
    </row>
    <row r="664" spans="1:11">
      <c r="A664" s="105">
        <v>41232</v>
      </c>
      <c r="B664" s="156">
        <v>0.20749999999999999</v>
      </c>
      <c r="D664" s="105">
        <v>41144</v>
      </c>
      <c r="E664">
        <v>0.42685000000000001</v>
      </c>
      <c r="F664" s="105">
        <v>41144</v>
      </c>
      <c r="G664">
        <v>0.71365000000000001</v>
      </c>
      <c r="H664" s="105">
        <v>40465</v>
      </c>
      <c r="I664">
        <v>0.60187999999999997</v>
      </c>
      <c r="J664" s="105">
        <v>41144</v>
      </c>
      <c r="K664">
        <v>1.04</v>
      </c>
    </row>
    <row r="665" spans="1:11">
      <c r="A665" s="105">
        <v>41233</v>
      </c>
      <c r="B665" s="156">
        <v>0.20749999999999999</v>
      </c>
      <c r="D665" s="105">
        <v>41143</v>
      </c>
      <c r="E665">
        <v>0.43075000000000002</v>
      </c>
      <c r="F665" s="105">
        <v>41143</v>
      </c>
      <c r="G665">
        <v>0.71614999999999995</v>
      </c>
      <c r="H665" s="105">
        <v>40464</v>
      </c>
      <c r="I665">
        <v>0.60187999999999997</v>
      </c>
      <c r="J665" s="105">
        <v>41143</v>
      </c>
      <c r="K665">
        <v>1.0409999999999999</v>
      </c>
    </row>
    <row r="666" spans="1:11">
      <c r="A666" s="105">
        <v>41234</v>
      </c>
      <c r="B666" s="156">
        <v>0.20749999999999999</v>
      </c>
      <c r="D666" s="105">
        <v>41142</v>
      </c>
      <c r="E666">
        <v>0.4335</v>
      </c>
      <c r="F666" s="105">
        <v>41142</v>
      </c>
      <c r="G666">
        <v>0.71814999999999996</v>
      </c>
      <c r="H666" s="105">
        <v>40463</v>
      </c>
      <c r="I666">
        <v>0.60187999999999997</v>
      </c>
      <c r="J666" s="105">
        <v>41142</v>
      </c>
      <c r="K666">
        <v>1.042</v>
      </c>
    </row>
    <row r="667" spans="1:11">
      <c r="A667" s="105">
        <v>41235</v>
      </c>
      <c r="B667" s="156">
        <v>0.20749999999999999</v>
      </c>
      <c r="D667" s="105">
        <v>41141</v>
      </c>
      <c r="E667">
        <v>0.4335</v>
      </c>
      <c r="F667" s="105">
        <v>41141</v>
      </c>
      <c r="G667">
        <v>0.71814999999999996</v>
      </c>
      <c r="H667" s="105">
        <v>40462</v>
      </c>
      <c r="I667">
        <v>0.60343999999999998</v>
      </c>
      <c r="J667" s="105">
        <v>41141</v>
      </c>
      <c r="K667">
        <v>1.044</v>
      </c>
    </row>
    <row r="668" spans="1:11">
      <c r="A668" s="105">
        <v>41236</v>
      </c>
      <c r="B668" s="156">
        <v>0.20849999999999999</v>
      </c>
      <c r="D668" s="105">
        <v>41138</v>
      </c>
      <c r="E668">
        <v>0.4345</v>
      </c>
      <c r="F668" s="105">
        <v>41138</v>
      </c>
      <c r="G668">
        <v>0.71814999999999996</v>
      </c>
      <c r="H668" s="105">
        <v>40459</v>
      </c>
      <c r="I668">
        <v>0.60594000000000003</v>
      </c>
      <c r="J668" s="105">
        <v>41138</v>
      </c>
      <c r="K668">
        <v>1.044</v>
      </c>
    </row>
    <row r="669" spans="1:11">
      <c r="A669" s="105">
        <v>41239</v>
      </c>
      <c r="B669" s="156">
        <v>0.20899999999999999</v>
      </c>
      <c r="D669" s="105">
        <v>41137</v>
      </c>
      <c r="E669">
        <v>0.4335</v>
      </c>
      <c r="F669" s="105">
        <v>41137</v>
      </c>
      <c r="G669">
        <v>0.71814999999999996</v>
      </c>
      <c r="H669" s="105">
        <v>40458</v>
      </c>
      <c r="I669">
        <v>0.60687999999999998</v>
      </c>
      <c r="J669" s="105">
        <v>41137</v>
      </c>
      <c r="K669">
        <v>1.044</v>
      </c>
    </row>
    <row r="670" spans="1:11">
      <c r="A670" s="105">
        <v>41240</v>
      </c>
      <c r="B670" s="156">
        <v>0.20899999999999999</v>
      </c>
      <c r="D670" s="105">
        <v>41136</v>
      </c>
      <c r="E670">
        <v>0.4345</v>
      </c>
      <c r="F670" s="105">
        <v>41136</v>
      </c>
      <c r="G670">
        <v>0.71814999999999996</v>
      </c>
      <c r="H670" s="105">
        <v>40457</v>
      </c>
      <c r="I670">
        <v>0.61155999999999999</v>
      </c>
      <c r="J670" s="105">
        <v>41136</v>
      </c>
      <c r="K670">
        <v>1.0449999999999999</v>
      </c>
    </row>
    <row r="671" spans="1:11">
      <c r="A671" s="105">
        <v>41241</v>
      </c>
      <c r="B671" s="156">
        <v>0.20899999999999999</v>
      </c>
      <c r="D671" s="105">
        <v>41135</v>
      </c>
      <c r="E671">
        <v>0.4365</v>
      </c>
      <c r="F671" s="105">
        <v>41135</v>
      </c>
      <c r="G671">
        <v>0.71914999999999996</v>
      </c>
      <c r="H671" s="105">
        <v>40456</v>
      </c>
      <c r="I671">
        <v>0.61202999999999996</v>
      </c>
      <c r="J671" s="105">
        <v>41135</v>
      </c>
      <c r="K671">
        <v>1.046</v>
      </c>
    </row>
    <row r="672" spans="1:11">
      <c r="A672" s="105">
        <v>41242</v>
      </c>
      <c r="B672" s="156">
        <v>0.2135</v>
      </c>
      <c r="D672" s="105">
        <v>41134</v>
      </c>
      <c r="E672">
        <v>0.4345</v>
      </c>
      <c r="F672" s="105">
        <v>41134</v>
      </c>
      <c r="G672">
        <v>0.71914999999999996</v>
      </c>
      <c r="H672" s="105">
        <v>40455</v>
      </c>
      <c r="I672">
        <v>0.61202999999999996</v>
      </c>
      <c r="J672" s="105">
        <v>41134</v>
      </c>
      <c r="K672">
        <v>1.046</v>
      </c>
    </row>
    <row r="673" spans="1:11">
      <c r="A673" s="105">
        <v>41243</v>
      </c>
      <c r="B673" s="156">
        <v>0.2145</v>
      </c>
      <c r="D673" s="105">
        <v>41131</v>
      </c>
      <c r="E673">
        <v>0.437</v>
      </c>
      <c r="F673" s="105">
        <v>41131</v>
      </c>
      <c r="G673">
        <v>0.72014999999999996</v>
      </c>
      <c r="H673" s="105">
        <v>40452</v>
      </c>
      <c r="I673">
        <v>0.61202999999999996</v>
      </c>
      <c r="J673" s="105">
        <v>41131</v>
      </c>
      <c r="K673">
        <v>1.0465</v>
      </c>
    </row>
    <row r="674" spans="1:11">
      <c r="A674" s="105">
        <v>41246</v>
      </c>
      <c r="B674" s="156">
        <v>0.215</v>
      </c>
      <c r="D674" s="105">
        <v>41130</v>
      </c>
      <c r="E674">
        <v>0.4375</v>
      </c>
      <c r="F674" s="105">
        <v>41130</v>
      </c>
      <c r="G674">
        <v>0.72165000000000001</v>
      </c>
      <c r="H674" s="105">
        <v>40451</v>
      </c>
      <c r="I674">
        <v>0.61141000000000001</v>
      </c>
      <c r="J674" s="105">
        <v>41130</v>
      </c>
      <c r="K674">
        <v>1.0465</v>
      </c>
    </row>
    <row r="675" spans="1:11">
      <c r="A675" s="105">
        <v>41247</v>
      </c>
      <c r="B675" s="156">
        <v>0.21299999999999999</v>
      </c>
      <c r="D675" s="105">
        <v>41129</v>
      </c>
      <c r="E675">
        <v>0.43675000000000003</v>
      </c>
      <c r="F675" s="105">
        <v>41129</v>
      </c>
      <c r="G675">
        <v>0.72065000000000001</v>
      </c>
      <c r="H675" s="105">
        <v>40450</v>
      </c>
      <c r="I675">
        <v>0.61265999999999998</v>
      </c>
      <c r="J675" s="105">
        <v>41129</v>
      </c>
      <c r="K675">
        <v>1.0465</v>
      </c>
    </row>
    <row r="676" spans="1:11">
      <c r="A676" s="105">
        <v>41248</v>
      </c>
      <c r="B676" s="156">
        <v>0.21299999999999999</v>
      </c>
      <c r="D676" s="105">
        <v>41128</v>
      </c>
      <c r="E676">
        <v>0.43785000000000002</v>
      </c>
      <c r="F676" s="105">
        <v>41128</v>
      </c>
      <c r="G676">
        <v>0.72314999999999996</v>
      </c>
      <c r="H676" s="105">
        <v>40449</v>
      </c>
      <c r="I676">
        <v>0.61265999999999998</v>
      </c>
      <c r="J676" s="105">
        <v>41128</v>
      </c>
      <c r="K676">
        <v>1.0471999999999999</v>
      </c>
    </row>
    <row r="677" spans="1:11">
      <c r="A677" s="105">
        <v>41249</v>
      </c>
      <c r="B677" s="156">
        <v>0.21299999999999999</v>
      </c>
      <c r="D677" s="105">
        <v>41127</v>
      </c>
      <c r="E677">
        <v>0.43885000000000002</v>
      </c>
      <c r="F677" s="105">
        <v>41127</v>
      </c>
      <c r="G677">
        <v>0.72414999999999996</v>
      </c>
      <c r="H677" s="105">
        <v>40448</v>
      </c>
      <c r="I677">
        <v>0.61265999999999998</v>
      </c>
      <c r="J677" s="105">
        <v>41127</v>
      </c>
      <c r="K677">
        <v>1.0471999999999999</v>
      </c>
    </row>
    <row r="678" spans="1:11">
      <c r="A678" s="105">
        <v>41250</v>
      </c>
      <c r="B678" s="156">
        <v>0.21199999999999999</v>
      </c>
      <c r="D678" s="105">
        <v>41124</v>
      </c>
      <c r="E678">
        <v>0.43935000000000002</v>
      </c>
      <c r="F678" s="105">
        <v>41124</v>
      </c>
      <c r="G678">
        <v>0.72365000000000002</v>
      </c>
      <c r="H678" s="105">
        <v>40445</v>
      </c>
      <c r="I678">
        <v>0.61421999999999999</v>
      </c>
      <c r="J678" s="105">
        <v>41124</v>
      </c>
      <c r="K678">
        <v>1.0462</v>
      </c>
    </row>
    <row r="679" spans="1:11">
      <c r="A679" s="105">
        <v>41253</v>
      </c>
      <c r="B679" s="156">
        <v>0.21199999999999999</v>
      </c>
      <c r="D679" s="105">
        <v>41123</v>
      </c>
      <c r="E679">
        <v>0.44185000000000002</v>
      </c>
      <c r="F679" s="105">
        <v>41123</v>
      </c>
      <c r="G679">
        <v>0.72514999999999996</v>
      </c>
      <c r="H679" s="105">
        <v>40444</v>
      </c>
      <c r="I679">
        <v>0.61468999999999996</v>
      </c>
      <c r="J679" s="105">
        <v>41123</v>
      </c>
      <c r="K679">
        <v>1.0482</v>
      </c>
    </row>
    <row r="680" spans="1:11">
      <c r="A680" s="105">
        <v>41254</v>
      </c>
      <c r="B680" s="156">
        <v>0.21099999999999999</v>
      </c>
      <c r="D680" s="105">
        <v>41122</v>
      </c>
      <c r="E680">
        <v>0.44159999999999999</v>
      </c>
      <c r="F680" s="105">
        <v>41122</v>
      </c>
      <c r="G680">
        <v>0.72489999999999999</v>
      </c>
      <c r="H680" s="105">
        <v>40443</v>
      </c>
      <c r="I680">
        <v>0.61499999999999999</v>
      </c>
      <c r="J680" s="105">
        <v>41122</v>
      </c>
      <c r="K680">
        <v>1.0469999999999999</v>
      </c>
    </row>
    <row r="681" spans="1:11">
      <c r="A681" s="105">
        <v>41255</v>
      </c>
      <c r="B681" s="156">
        <v>0.20899999999999999</v>
      </c>
      <c r="D681" s="105">
        <v>41121</v>
      </c>
      <c r="E681">
        <v>0.44259999999999999</v>
      </c>
      <c r="F681" s="105">
        <v>41121</v>
      </c>
      <c r="G681">
        <v>0.72589999999999999</v>
      </c>
      <c r="H681" s="105">
        <v>40442</v>
      </c>
      <c r="I681">
        <v>0.62531000000000003</v>
      </c>
      <c r="J681" s="105">
        <v>41121</v>
      </c>
      <c r="K681">
        <v>1.0535000000000001</v>
      </c>
    </row>
    <row r="682" spans="1:11">
      <c r="A682" s="105">
        <v>41256</v>
      </c>
      <c r="B682" s="156">
        <v>0.20899999999999999</v>
      </c>
      <c r="D682" s="105">
        <v>41120</v>
      </c>
      <c r="E682">
        <v>0.4446</v>
      </c>
      <c r="F682" s="105">
        <v>41120</v>
      </c>
      <c r="G682">
        <v>0.72640000000000005</v>
      </c>
      <c r="H682" s="105">
        <v>40441</v>
      </c>
      <c r="I682">
        <v>0.62531000000000003</v>
      </c>
      <c r="J682" s="105">
        <v>41120</v>
      </c>
      <c r="K682">
        <v>1.0585</v>
      </c>
    </row>
    <row r="683" spans="1:11">
      <c r="A683" s="105">
        <v>41257</v>
      </c>
      <c r="B683" s="156">
        <v>0.20899999999999999</v>
      </c>
      <c r="D683" s="105">
        <v>41117</v>
      </c>
      <c r="E683">
        <v>0.4466</v>
      </c>
      <c r="F683" s="105">
        <v>41117</v>
      </c>
      <c r="G683">
        <v>0.72440000000000004</v>
      </c>
      <c r="H683" s="105">
        <v>40438</v>
      </c>
      <c r="I683">
        <v>0.62531000000000003</v>
      </c>
      <c r="J683" s="105">
        <v>41117</v>
      </c>
      <c r="K683">
        <v>1.0605</v>
      </c>
    </row>
    <row r="684" spans="1:11">
      <c r="A684" s="105">
        <v>41260</v>
      </c>
      <c r="B684" s="156">
        <v>0.21</v>
      </c>
      <c r="D684" s="105">
        <v>41116</v>
      </c>
      <c r="E684">
        <v>0.4471</v>
      </c>
      <c r="F684" s="105">
        <v>41116</v>
      </c>
      <c r="G684">
        <v>0.72440000000000004</v>
      </c>
      <c r="H684" s="105">
        <v>40437</v>
      </c>
      <c r="I684">
        <v>0.62531000000000003</v>
      </c>
      <c r="J684" s="105">
        <v>41116</v>
      </c>
      <c r="K684">
        <v>1.0605</v>
      </c>
    </row>
    <row r="685" spans="1:11">
      <c r="A685" s="105">
        <v>41261</v>
      </c>
      <c r="B685" s="156">
        <v>0.2107</v>
      </c>
      <c r="D685" s="105">
        <v>41115</v>
      </c>
      <c r="E685">
        <v>0.4481</v>
      </c>
      <c r="F685" s="105">
        <v>41115</v>
      </c>
      <c r="G685">
        <v>0.72640000000000005</v>
      </c>
      <c r="H685" s="105">
        <v>40436</v>
      </c>
      <c r="I685">
        <v>0.62719000000000003</v>
      </c>
      <c r="J685" s="105">
        <v>41115</v>
      </c>
      <c r="K685">
        <v>1.0615000000000001</v>
      </c>
    </row>
    <row r="686" spans="1:11">
      <c r="A686" s="105">
        <v>41262</v>
      </c>
      <c r="B686" s="156">
        <v>0.2107</v>
      </c>
      <c r="D686" s="105">
        <v>41114</v>
      </c>
      <c r="E686">
        <v>0.4481</v>
      </c>
      <c r="F686" s="105">
        <v>41114</v>
      </c>
      <c r="G686">
        <v>0.72640000000000005</v>
      </c>
      <c r="H686" s="105">
        <v>40435</v>
      </c>
      <c r="I686">
        <v>0.63280999999999998</v>
      </c>
      <c r="J686" s="105">
        <v>41114</v>
      </c>
      <c r="K686">
        <v>1.0615000000000001</v>
      </c>
    </row>
    <row r="687" spans="1:11">
      <c r="A687" s="105">
        <v>41263</v>
      </c>
      <c r="B687" s="156">
        <v>0.2107</v>
      </c>
      <c r="D687" s="105">
        <v>41113</v>
      </c>
      <c r="E687">
        <v>0.4511</v>
      </c>
      <c r="F687" s="105">
        <v>41113</v>
      </c>
      <c r="G687">
        <v>0.72740000000000005</v>
      </c>
      <c r="H687" s="105">
        <v>40434</v>
      </c>
      <c r="I687">
        <v>0.64249999999999996</v>
      </c>
      <c r="J687" s="105">
        <v>41113</v>
      </c>
      <c r="K687">
        <v>1.0629999999999999</v>
      </c>
    </row>
    <row r="688" spans="1:11">
      <c r="A688" s="105">
        <v>41264</v>
      </c>
      <c r="B688" s="156">
        <v>0.2097</v>
      </c>
      <c r="D688" s="105">
        <v>41110</v>
      </c>
      <c r="E688">
        <v>0.4521</v>
      </c>
      <c r="F688" s="105">
        <v>41110</v>
      </c>
      <c r="G688">
        <v>0.72740000000000005</v>
      </c>
      <c r="H688" s="105">
        <v>40431</v>
      </c>
      <c r="I688">
        <v>0.64344000000000001</v>
      </c>
      <c r="J688" s="105">
        <v>41110</v>
      </c>
      <c r="K688">
        <v>1.0640000000000001</v>
      </c>
    </row>
    <row r="689" spans="1:11">
      <c r="A689" s="105">
        <v>41267</v>
      </c>
      <c r="B689" s="156">
        <v>0.2097</v>
      </c>
      <c r="D689" s="105">
        <v>41109</v>
      </c>
      <c r="E689">
        <v>0.4531</v>
      </c>
      <c r="F689" s="105">
        <v>41109</v>
      </c>
      <c r="G689">
        <v>0.72789999999999999</v>
      </c>
      <c r="H689" s="105">
        <v>40430</v>
      </c>
      <c r="I689">
        <v>0.64688000000000001</v>
      </c>
      <c r="J689" s="105">
        <v>41109</v>
      </c>
      <c r="K689">
        <v>1.0645</v>
      </c>
    </row>
    <row r="690" spans="1:11">
      <c r="A690" s="105">
        <v>41270</v>
      </c>
      <c r="B690" s="156">
        <v>0.2117</v>
      </c>
      <c r="D690" s="105">
        <v>41108</v>
      </c>
      <c r="E690">
        <v>0.4551</v>
      </c>
      <c r="F690" s="105">
        <v>41108</v>
      </c>
      <c r="G690">
        <v>0.72840000000000005</v>
      </c>
      <c r="H690" s="105">
        <v>40429</v>
      </c>
      <c r="I690">
        <v>0.64688000000000001</v>
      </c>
      <c r="J690" s="105">
        <v>41108</v>
      </c>
      <c r="K690">
        <v>1.0660000000000001</v>
      </c>
    </row>
    <row r="691" spans="1:11">
      <c r="A691" s="105">
        <v>41271</v>
      </c>
      <c r="B691" s="156">
        <v>0.2097</v>
      </c>
      <c r="D691" s="105">
        <v>41107</v>
      </c>
      <c r="E691">
        <v>0.4551</v>
      </c>
      <c r="F691" s="105">
        <v>41107</v>
      </c>
      <c r="G691">
        <v>0.72840000000000005</v>
      </c>
      <c r="H691" s="105">
        <v>40428</v>
      </c>
      <c r="I691">
        <v>0.64624999999999999</v>
      </c>
      <c r="J691" s="105">
        <v>41107</v>
      </c>
      <c r="K691">
        <v>1.0660000000000001</v>
      </c>
    </row>
    <row r="692" spans="1:11">
      <c r="A692" s="105">
        <v>41274</v>
      </c>
      <c r="B692" s="156">
        <v>0.2087</v>
      </c>
      <c r="D692" s="105">
        <v>41106</v>
      </c>
      <c r="E692">
        <v>0.4551</v>
      </c>
      <c r="F692" s="105">
        <v>41106</v>
      </c>
      <c r="G692">
        <v>0.72840000000000005</v>
      </c>
      <c r="H692" s="105">
        <v>40427</v>
      </c>
      <c r="I692">
        <v>0.65063000000000004</v>
      </c>
      <c r="J692" s="105">
        <v>41106</v>
      </c>
      <c r="K692">
        <v>1.0660000000000001</v>
      </c>
    </row>
    <row r="693" spans="1:11">
      <c r="A693" s="105">
        <v>41276</v>
      </c>
      <c r="B693" s="156">
        <v>0.2077</v>
      </c>
      <c r="D693" s="105">
        <v>41103</v>
      </c>
      <c r="E693">
        <v>0.4551</v>
      </c>
      <c r="F693" s="105">
        <v>41103</v>
      </c>
      <c r="G693">
        <v>0.72840000000000005</v>
      </c>
      <c r="H693" s="105">
        <v>40424</v>
      </c>
      <c r="I693">
        <v>0.65625</v>
      </c>
      <c r="J693" s="105">
        <v>41103</v>
      </c>
      <c r="K693">
        <v>1.0669999999999999</v>
      </c>
    </row>
    <row r="694" spans="1:11">
      <c r="A694" s="105">
        <v>41277</v>
      </c>
      <c r="B694" s="156">
        <v>0.2077</v>
      </c>
      <c r="D694" s="105">
        <v>41102</v>
      </c>
      <c r="E694">
        <v>0.4551</v>
      </c>
      <c r="F694" s="105">
        <v>41102</v>
      </c>
      <c r="G694">
        <v>0.72940000000000005</v>
      </c>
      <c r="H694" s="105">
        <v>40423</v>
      </c>
      <c r="I694">
        <v>0.65749999999999997</v>
      </c>
      <c r="J694" s="105">
        <v>41102</v>
      </c>
      <c r="K694">
        <v>1.0685</v>
      </c>
    </row>
    <row r="695" spans="1:11">
      <c r="A695" s="105">
        <v>41278</v>
      </c>
      <c r="B695" s="156">
        <v>0.2077</v>
      </c>
      <c r="D695" s="105">
        <v>41101</v>
      </c>
      <c r="E695">
        <v>0.45610000000000001</v>
      </c>
      <c r="F695" s="105">
        <v>41101</v>
      </c>
      <c r="G695">
        <v>0.73440000000000005</v>
      </c>
      <c r="H695" s="105">
        <v>40422</v>
      </c>
      <c r="I695">
        <v>0.65812999999999999</v>
      </c>
      <c r="J695" s="105">
        <v>41101</v>
      </c>
      <c r="K695">
        <v>1.0694999999999999</v>
      </c>
    </row>
    <row r="696" spans="1:11">
      <c r="A696" s="105">
        <v>41281</v>
      </c>
      <c r="B696" s="156">
        <v>0.2077</v>
      </c>
      <c r="D696" s="105">
        <v>41100</v>
      </c>
      <c r="E696">
        <v>0.45760000000000001</v>
      </c>
      <c r="F696" s="105">
        <v>41100</v>
      </c>
      <c r="G696">
        <v>0.73640000000000005</v>
      </c>
      <c r="H696" s="105">
        <v>40421</v>
      </c>
      <c r="I696">
        <v>0.66063000000000005</v>
      </c>
      <c r="J696" s="105">
        <v>41100</v>
      </c>
      <c r="K696">
        <v>1.0694999999999999</v>
      </c>
    </row>
    <row r="697" spans="1:11">
      <c r="A697" s="105">
        <v>41282</v>
      </c>
      <c r="B697" s="156">
        <v>0.2077</v>
      </c>
      <c r="D697" s="105">
        <v>41099</v>
      </c>
      <c r="E697">
        <v>0.45760000000000001</v>
      </c>
      <c r="F697" s="105">
        <v>41099</v>
      </c>
      <c r="G697">
        <v>0.73640000000000005</v>
      </c>
      <c r="H697" s="105">
        <v>40417</v>
      </c>
      <c r="I697">
        <v>0.67249999999999999</v>
      </c>
      <c r="J697" s="105">
        <v>41099</v>
      </c>
      <c r="K697">
        <v>1.0694999999999999</v>
      </c>
    </row>
    <row r="698" spans="1:11">
      <c r="A698" s="105">
        <v>41283</v>
      </c>
      <c r="B698" s="156">
        <v>0.20669999999999999</v>
      </c>
      <c r="D698" s="105">
        <v>41096</v>
      </c>
      <c r="E698">
        <v>0.45760000000000001</v>
      </c>
      <c r="F698" s="105">
        <v>41096</v>
      </c>
      <c r="G698">
        <v>0.73640000000000005</v>
      </c>
      <c r="H698" s="105">
        <v>40416</v>
      </c>
      <c r="I698">
        <v>0.68</v>
      </c>
      <c r="J698" s="105">
        <v>41096</v>
      </c>
      <c r="K698">
        <v>1.0694999999999999</v>
      </c>
    </row>
    <row r="699" spans="1:11">
      <c r="A699" s="105">
        <v>41284</v>
      </c>
      <c r="B699" s="156">
        <v>0.20569999999999999</v>
      </c>
      <c r="D699" s="105">
        <v>41095</v>
      </c>
      <c r="E699">
        <v>0.45960000000000001</v>
      </c>
      <c r="F699" s="105">
        <v>41095</v>
      </c>
      <c r="G699">
        <v>0.73640000000000005</v>
      </c>
      <c r="H699" s="105">
        <v>40415</v>
      </c>
      <c r="I699">
        <v>0.68188000000000004</v>
      </c>
      <c r="J699" s="105">
        <v>41095</v>
      </c>
      <c r="K699">
        <v>1.0694999999999999</v>
      </c>
    </row>
    <row r="700" spans="1:11">
      <c r="A700" s="105">
        <v>41285</v>
      </c>
      <c r="B700" s="156">
        <v>0.20569999999999999</v>
      </c>
      <c r="D700" s="105">
        <v>41094</v>
      </c>
      <c r="E700">
        <v>0.45960000000000001</v>
      </c>
      <c r="F700" s="105">
        <v>41094</v>
      </c>
      <c r="G700">
        <v>0.73640000000000005</v>
      </c>
      <c r="H700" s="105">
        <v>40414</v>
      </c>
      <c r="I700">
        <v>0.68406</v>
      </c>
      <c r="J700" s="105">
        <v>41094</v>
      </c>
      <c r="K700">
        <v>1.0694999999999999</v>
      </c>
    </row>
    <row r="701" spans="1:11">
      <c r="A701" s="105">
        <v>41288</v>
      </c>
      <c r="B701" s="156">
        <v>0.20569999999999999</v>
      </c>
      <c r="D701" s="105">
        <v>41093</v>
      </c>
      <c r="E701">
        <v>0.46060000000000001</v>
      </c>
      <c r="F701" s="105">
        <v>41093</v>
      </c>
      <c r="G701">
        <v>0.73440000000000005</v>
      </c>
      <c r="H701" s="105">
        <v>40413</v>
      </c>
      <c r="I701">
        <v>0.70250000000000001</v>
      </c>
      <c r="J701" s="105">
        <v>41093</v>
      </c>
      <c r="K701">
        <v>1.0694999999999999</v>
      </c>
    </row>
    <row r="702" spans="1:11">
      <c r="A702" s="105">
        <v>41289</v>
      </c>
      <c r="B702" s="156">
        <v>0.20569999999999999</v>
      </c>
      <c r="D702" s="105">
        <v>41092</v>
      </c>
      <c r="E702">
        <v>0.46060000000000001</v>
      </c>
      <c r="F702" s="105">
        <v>41092</v>
      </c>
      <c r="G702">
        <v>0.73440000000000005</v>
      </c>
      <c r="H702" s="105">
        <v>40410</v>
      </c>
      <c r="I702">
        <v>0.71687999999999996</v>
      </c>
      <c r="J702" s="105">
        <v>41092</v>
      </c>
      <c r="K702">
        <v>1.0694999999999999</v>
      </c>
    </row>
    <row r="703" spans="1:11">
      <c r="A703" s="105">
        <v>41290</v>
      </c>
      <c r="B703" s="156">
        <v>0.20569999999999999</v>
      </c>
      <c r="D703" s="105">
        <v>41089</v>
      </c>
      <c r="E703">
        <v>0.46060000000000001</v>
      </c>
      <c r="F703" s="105">
        <v>41089</v>
      </c>
      <c r="G703">
        <v>0.73440000000000005</v>
      </c>
      <c r="H703" s="105">
        <v>40409</v>
      </c>
      <c r="I703">
        <v>0.72499999999999998</v>
      </c>
      <c r="J703" s="105">
        <v>41089</v>
      </c>
      <c r="K703">
        <v>1.0680000000000001</v>
      </c>
    </row>
    <row r="704" spans="1:11">
      <c r="A704" s="105">
        <v>41291</v>
      </c>
      <c r="B704" s="156">
        <v>0.20469999999999999</v>
      </c>
      <c r="D704" s="105">
        <v>41088</v>
      </c>
      <c r="E704">
        <v>0.46060000000000001</v>
      </c>
      <c r="F704" s="105">
        <v>41088</v>
      </c>
      <c r="G704">
        <v>0.73440000000000005</v>
      </c>
      <c r="H704" s="105">
        <v>40408</v>
      </c>
      <c r="I704">
        <v>0.73750000000000004</v>
      </c>
      <c r="J704" s="105">
        <v>41088</v>
      </c>
      <c r="K704">
        <v>1.0680000000000001</v>
      </c>
    </row>
    <row r="705" spans="1:11">
      <c r="A705" s="105">
        <v>41292</v>
      </c>
      <c r="B705" s="156">
        <v>0.20469999999999999</v>
      </c>
      <c r="D705" s="105">
        <v>41087</v>
      </c>
      <c r="E705">
        <v>0.46060000000000001</v>
      </c>
      <c r="F705" s="105">
        <v>41087</v>
      </c>
      <c r="G705">
        <v>0.73440000000000005</v>
      </c>
      <c r="H705" s="105">
        <v>40407</v>
      </c>
      <c r="I705">
        <v>0.75031000000000003</v>
      </c>
      <c r="J705" s="105">
        <v>41087</v>
      </c>
      <c r="K705">
        <v>1.0674999999999999</v>
      </c>
    </row>
    <row r="706" spans="1:11">
      <c r="A706" s="105">
        <v>41295</v>
      </c>
      <c r="B706" s="156">
        <v>0.20469999999999999</v>
      </c>
      <c r="D706" s="105">
        <v>41086</v>
      </c>
      <c r="E706">
        <v>0.46060000000000001</v>
      </c>
      <c r="F706" s="105">
        <v>41086</v>
      </c>
      <c r="G706">
        <v>0.73440000000000005</v>
      </c>
      <c r="H706" s="105">
        <v>40406</v>
      </c>
      <c r="I706">
        <v>0.76405999999999996</v>
      </c>
      <c r="J706" s="105">
        <v>41086</v>
      </c>
      <c r="K706">
        <v>1.0669999999999999</v>
      </c>
    </row>
    <row r="707" spans="1:11">
      <c r="A707" s="105">
        <v>41296</v>
      </c>
      <c r="B707" s="156">
        <v>0.20469999999999999</v>
      </c>
      <c r="D707" s="105">
        <v>41085</v>
      </c>
      <c r="E707">
        <v>0.46060000000000001</v>
      </c>
      <c r="F707" s="105">
        <v>41085</v>
      </c>
      <c r="G707">
        <v>0.7339</v>
      </c>
      <c r="H707" s="105">
        <v>40403</v>
      </c>
      <c r="I707">
        <v>0.77124999999999999</v>
      </c>
      <c r="J707" s="105">
        <v>41085</v>
      </c>
      <c r="K707">
        <v>1.0660000000000001</v>
      </c>
    </row>
    <row r="708" spans="1:11">
      <c r="A708" s="105">
        <v>41297</v>
      </c>
      <c r="B708" s="156">
        <v>0.20369999999999999</v>
      </c>
      <c r="D708" s="105">
        <v>41082</v>
      </c>
      <c r="E708">
        <v>0.46160000000000001</v>
      </c>
      <c r="F708" s="105">
        <v>41082</v>
      </c>
      <c r="G708">
        <v>0.73440000000000005</v>
      </c>
      <c r="H708" s="105">
        <v>40402</v>
      </c>
      <c r="I708">
        <v>0.77031000000000005</v>
      </c>
      <c r="J708" s="105">
        <v>41082</v>
      </c>
      <c r="K708">
        <v>1.0685</v>
      </c>
    </row>
    <row r="709" spans="1:11">
      <c r="A709" s="105">
        <v>41298</v>
      </c>
      <c r="B709" s="156">
        <v>0.20369999999999999</v>
      </c>
      <c r="D709" s="105">
        <v>41081</v>
      </c>
      <c r="E709">
        <v>0.46760000000000002</v>
      </c>
      <c r="F709" s="105">
        <v>41081</v>
      </c>
      <c r="G709">
        <v>0.73740000000000006</v>
      </c>
      <c r="H709" s="105">
        <v>40401</v>
      </c>
      <c r="I709">
        <v>0.77531000000000005</v>
      </c>
      <c r="J709" s="105">
        <v>41081</v>
      </c>
      <c r="K709">
        <v>1.0685</v>
      </c>
    </row>
    <row r="710" spans="1:11">
      <c r="A710" s="105">
        <v>41299</v>
      </c>
      <c r="B710" s="156">
        <v>0.20369999999999999</v>
      </c>
      <c r="D710" s="105">
        <v>41080</v>
      </c>
      <c r="E710">
        <v>0.46760000000000002</v>
      </c>
      <c r="F710" s="105">
        <v>41080</v>
      </c>
      <c r="G710">
        <v>0.73740000000000006</v>
      </c>
      <c r="H710" s="105">
        <v>40400</v>
      </c>
      <c r="I710">
        <v>0.79313</v>
      </c>
      <c r="J710" s="105">
        <v>41080</v>
      </c>
      <c r="K710">
        <v>1.0685</v>
      </c>
    </row>
    <row r="711" spans="1:11">
      <c r="A711" s="105">
        <v>41302</v>
      </c>
      <c r="B711" s="156">
        <v>0.20269999999999999</v>
      </c>
      <c r="D711" s="105">
        <v>41079</v>
      </c>
      <c r="E711">
        <v>0.46784999999999999</v>
      </c>
      <c r="F711" s="105">
        <v>41079</v>
      </c>
      <c r="G711">
        <v>0.73740000000000006</v>
      </c>
      <c r="H711" s="105">
        <v>40399</v>
      </c>
      <c r="I711">
        <v>0.79718999999999995</v>
      </c>
      <c r="J711" s="105">
        <v>41079</v>
      </c>
      <c r="K711">
        <v>1.0694999999999999</v>
      </c>
    </row>
    <row r="712" spans="1:11">
      <c r="A712" s="105">
        <v>41303</v>
      </c>
      <c r="B712" s="156">
        <v>0.20169999999999999</v>
      </c>
      <c r="D712" s="105">
        <v>41078</v>
      </c>
      <c r="E712">
        <v>0.46784999999999999</v>
      </c>
      <c r="F712" s="105">
        <v>41078</v>
      </c>
      <c r="G712">
        <v>0.7369</v>
      </c>
      <c r="H712" s="105">
        <v>40396</v>
      </c>
      <c r="I712">
        <v>0.80469000000000002</v>
      </c>
      <c r="J712" s="105">
        <v>41078</v>
      </c>
      <c r="K712">
        <v>1.0694999999999999</v>
      </c>
    </row>
    <row r="713" spans="1:11">
      <c r="A713" s="105">
        <v>41304</v>
      </c>
      <c r="B713" s="156">
        <v>0.20169999999999999</v>
      </c>
      <c r="D713" s="105">
        <v>41075</v>
      </c>
      <c r="E713">
        <v>0.46784999999999999</v>
      </c>
      <c r="F713" s="105">
        <v>41075</v>
      </c>
      <c r="G713">
        <v>0.73740000000000006</v>
      </c>
      <c r="H713" s="105">
        <v>40395</v>
      </c>
      <c r="I713">
        <v>0.81030999999999997</v>
      </c>
      <c r="J713" s="105">
        <v>41075</v>
      </c>
      <c r="K713">
        <v>1.0694999999999999</v>
      </c>
    </row>
    <row r="714" spans="1:11">
      <c r="A714" s="105">
        <v>41305</v>
      </c>
      <c r="B714" s="156">
        <v>0.19969999999999999</v>
      </c>
      <c r="D714" s="105">
        <v>41074</v>
      </c>
      <c r="E714">
        <v>0.46784999999999999</v>
      </c>
      <c r="F714" s="105">
        <v>41074</v>
      </c>
      <c r="G714">
        <v>0.7379</v>
      </c>
      <c r="H714" s="105">
        <v>40394</v>
      </c>
      <c r="I714">
        <v>0.80469000000000002</v>
      </c>
      <c r="J714" s="105">
        <v>41074</v>
      </c>
      <c r="K714">
        <v>1.0711999999999999</v>
      </c>
    </row>
    <row r="715" spans="1:11">
      <c r="A715" s="105">
        <v>41306</v>
      </c>
      <c r="B715" s="156">
        <v>0.19919999999999999</v>
      </c>
      <c r="D715" s="105">
        <v>41073</v>
      </c>
      <c r="E715">
        <v>0.46784999999999999</v>
      </c>
      <c r="F715" s="105">
        <v>41073</v>
      </c>
      <c r="G715">
        <v>0.7379</v>
      </c>
      <c r="H715" s="105">
        <v>40393</v>
      </c>
      <c r="I715">
        <v>0.81655999999999995</v>
      </c>
      <c r="J715" s="105">
        <v>41073</v>
      </c>
      <c r="K715">
        <v>1.0707</v>
      </c>
    </row>
    <row r="716" spans="1:11">
      <c r="A716" s="105">
        <v>41309</v>
      </c>
      <c r="B716" s="156">
        <v>0.19819999999999999</v>
      </c>
      <c r="D716" s="105">
        <v>41072</v>
      </c>
      <c r="E716">
        <v>0.46784999999999999</v>
      </c>
      <c r="F716" s="105">
        <v>41072</v>
      </c>
      <c r="G716">
        <v>0.7369</v>
      </c>
      <c r="H716" s="105">
        <v>40392</v>
      </c>
      <c r="I716">
        <v>0.82781000000000005</v>
      </c>
      <c r="J716" s="105">
        <v>41072</v>
      </c>
      <c r="K716">
        <v>1.0707</v>
      </c>
    </row>
    <row r="717" spans="1:11">
      <c r="A717" s="105">
        <v>41310</v>
      </c>
      <c r="B717" s="156">
        <v>0.19919999999999999</v>
      </c>
      <c r="D717" s="105">
        <v>41071</v>
      </c>
      <c r="E717">
        <v>0.46784999999999999</v>
      </c>
      <c r="F717" s="105">
        <v>41071</v>
      </c>
      <c r="G717">
        <v>0.7369</v>
      </c>
      <c r="H717" s="105">
        <v>40389</v>
      </c>
      <c r="I717">
        <v>0.83374999999999999</v>
      </c>
      <c r="J717" s="105">
        <v>41071</v>
      </c>
      <c r="K717">
        <v>1.0702</v>
      </c>
    </row>
    <row r="718" spans="1:11">
      <c r="A718" s="105">
        <v>41311</v>
      </c>
      <c r="B718" s="156">
        <v>0.19919999999999999</v>
      </c>
      <c r="D718" s="105">
        <v>41068</v>
      </c>
      <c r="E718">
        <v>0.46784999999999999</v>
      </c>
      <c r="F718" s="105">
        <v>41068</v>
      </c>
      <c r="G718">
        <v>0.7369</v>
      </c>
      <c r="H718" s="105">
        <v>40388</v>
      </c>
      <c r="I718">
        <v>0.84938000000000002</v>
      </c>
      <c r="J718" s="105">
        <v>41068</v>
      </c>
      <c r="K718">
        <v>1.0702</v>
      </c>
    </row>
    <row r="719" spans="1:11">
      <c r="A719" s="105">
        <v>41312</v>
      </c>
      <c r="B719" s="156">
        <v>0.19919999999999999</v>
      </c>
      <c r="D719" s="105">
        <v>41067</v>
      </c>
      <c r="E719">
        <v>0.46784999999999999</v>
      </c>
      <c r="F719" s="105">
        <v>41067</v>
      </c>
      <c r="G719">
        <v>0.7369</v>
      </c>
      <c r="H719" s="105">
        <v>40387</v>
      </c>
      <c r="I719">
        <v>0.86124999999999996</v>
      </c>
      <c r="J719" s="105">
        <v>41067</v>
      </c>
      <c r="K719">
        <v>1.0697000000000001</v>
      </c>
    </row>
    <row r="720" spans="1:11">
      <c r="A720" s="105">
        <v>41313</v>
      </c>
      <c r="B720" s="156">
        <v>0.20019999999999999</v>
      </c>
      <c r="D720" s="105">
        <v>41066</v>
      </c>
      <c r="E720">
        <v>0.46784999999999999</v>
      </c>
      <c r="F720" s="105">
        <v>41066</v>
      </c>
      <c r="G720">
        <v>0.7379</v>
      </c>
      <c r="H720" s="105">
        <v>40386</v>
      </c>
      <c r="I720">
        <v>0.87031000000000003</v>
      </c>
      <c r="J720" s="105">
        <v>41066</v>
      </c>
      <c r="K720">
        <v>1.0707</v>
      </c>
    </row>
    <row r="721" spans="1:11">
      <c r="A721" s="105">
        <v>41316</v>
      </c>
      <c r="B721" s="156">
        <v>0.20219999999999999</v>
      </c>
      <c r="D721" s="105">
        <v>41061</v>
      </c>
      <c r="E721">
        <v>0.46784999999999999</v>
      </c>
      <c r="F721" s="105">
        <v>41061</v>
      </c>
      <c r="G721">
        <v>0.7379</v>
      </c>
      <c r="H721" s="105">
        <v>40385</v>
      </c>
      <c r="I721">
        <v>0.87468999999999997</v>
      </c>
      <c r="J721" s="105">
        <v>41061</v>
      </c>
      <c r="K721">
        <v>1.0707</v>
      </c>
    </row>
    <row r="722" spans="1:11">
      <c r="A722" s="105">
        <v>41317</v>
      </c>
      <c r="B722" s="156">
        <v>0.20119999999999999</v>
      </c>
      <c r="D722" s="105">
        <v>41060</v>
      </c>
      <c r="E722">
        <v>0.46684999999999999</v>
      </c>
      <c r="F722" s="105">
        <v>41060</v>
      </c>
      <c r="G722">
        <v>0.73640000000000005</v>
      </c>
      <c r="H722" s="105">
        <v>40382</v>
      </c>
      <c r="I722">
        <v>0.87124999999999997</v>
      </c>
      <c r="J722" s="105">
        <v>41060</v>
      </c>
      <c r="K722">
        <v>1.0691999999999999</v>
      </c>
    </row>
    <row r="723" spans="1:11">
      <c r="A723" s="105">
        <v>41318</v>
      </c>
      <c r="B723" s="156">
        <v>0.20119999999999999</v>
      </c>
      <c r="D723" s="105">
        <v>41059</v>
      </c>
      <c r="E723">
        <v>0.46684999999999999</v>
      </c>
      <c r="F723" s="105">
        <v>41059</v>
      </c>
      <c r="G723">
        <v>0.73640000000000005</v>
      </c>
      <c r="H723" s="105">
        <v>40381</v>
      </c>
      <c r="I723">
        <v>0.875</v>
      </c>
      <c r="J723" s="105">
        <v>41059</v>
      </c>
      <c r="K723">
        <v>1.0691999999999999</v>
      </c>
    </row>
    <row r="724" spans="1:11">
      <c r="A724" s="105">
        <v>41319</v>
      </c>
      <c r="B724" s="156">
        <v>0.20169999999999999</v>
      </c>
      <c r="D724" s="105">
        <v>41058</v>
      </c>
      <c r="E724">
        <v>0.46684999999999999</v>
      </c>
      <c r="F724" s="105">
        <v>41058</v>
      </c>
      <c r="G724">
        <v>0.73640000000000005</v>
      </c>
      <c r="H724" s="105">
        <v>40380</v>
      </c>
      <c r="I724">
        <v>0.88124999999999998</v>
      </c>
      <c r="J724" s="105">
        <v>41058</v>
      </c>
      <c r="K724">
        <v>1.0691999999999999</v>
      </c>
    </row>
    <row r="725" spans="1:11">
      <c r="A725" s="105">
        <v>41320</v>
      </c>
      <c r="B725" s="156">
        <v>0.20219999999999999</v>
      </c>
      <c r="D725" s="105">
        <v>41057</v>
      </c>
      <c r="E725">
        <v>0.46684999999999999</v>
      </c>
      <c r="F725" s="105">
        <v>41057</v>
      </c>
      <c r="G725">
        <v>0.73640000000000005</v>
      </c>
      <c r="H725" s="105">
        <v>40379</v>
      </c>
      <c r="I725">
        <v>0.89312999999999998</v>
      </c>
      <c r="J725" s="105">
        <v>41057</v>
      </c>
      <c r="K725">
        <v>1.0691999999999999</v>
      </c>
    </row>
    <row r="726" spans="1:11">
      <c r="A726" s="105">
        <v>41323</v>
      </c>
      <c r="B726" s="156">
        <v>0.20069999999999999</v>
      </c>
      <c r="D726" s="105">
        <v>41054</v>
      </c>
      <c r="E726">
        <v>0.46684999999999999</v>
      </c>
      <c r="F726" s="105">
        <v>41054</v>
      </c>
      <c r="G726">
        <v>0.73640000000000005</v>
      </c>
      <c r="H726" s="105">
        <v>40378</v>
      </c>
      <c r="I726">
        <v>0.90625</v>
      </c>
      <c r="J726" s="105">
        <v>41054</v>
      </c>
      <c r="K726">
        <v>1.0691999999999999</v>
      </c>
    </row>
    <row r="727" spans="1:11">
      <c r="A727" s="105">
        <v>41324</v>
      </c>
      <c r="B727" s="156">
        <v>0.20169999999999999</v>
      </c>
      <c r="D727" s="105">
        <v>41053</v>
      </c>
      <c r="E727">
        <v>0.46684999999999999</v>
      </c>
      <c r="F727" s="105">
        <v>41053</v>
      </c>
      <c r="G727">
        <v>0.73640000000000005</v>
      </c>
      <c r="H727" s="105">
        <v>40375</v>
      </c>
      <c r="I727">
        <v>0.91515999999999997</v>
      </c>
      <c r="J727" s="105">
        <v>41053</v>
      </c>
      <c r="K727">
        <v>1.0691999999999999</v>
      </c>
    </row>
    <row r="728" spans="1:11">
      <c r="A728" s="105">
        <v>41325</v>
      </c>
      <c r="B728" s="156">
        <v>0.20169999999999999</v>
      </c>
      <c r="D728" s="105">
        <v>41052</v>
      </c>
      <c r="E728">
        <v>0.46684999999999999</v>
      </c>
      <c r="F728" s="105">
        <v>41052</v>
      </c>
      <c r="G728">
        <v>0.73640000000000005</v>
      </c>
      <c r="H728" s="105">
        <v>40374</v>
      </c>
      <c r="I728">
        <v>0.92062999999999995</v>
      </c>
      <c r="J728" s="105">
        <v>41052</v>
      </c>
      <c r="K728">
        <v>1.0691999999999999</v>
      </c>
    </row>
    <row r="729" spans="1:11">
      <c r="A729" s="105">
        <v>41326</v>
      </c>
      <c r="B729" s="156">
        <v>0.20169999999999999</v>
      </c>
      <c r="D729" s="105">
        <v>41051</v>
      </c>
      <c r="E729">
        <v>0.46684999999999999</v>
      </c>
      <c r="F729" s="105">
        <v>41051</v>
      </c>
      <c r="G729">
        <v>0.73640000000000005</v>
      </c>
      <c r="H729" s="105">
        <v>40373</v>
      </c>
      <c r="I729">
        <v>0.92437999999999998</v>
      </c>
      <c r="J729" s="105">
        <v>41051</v>
      </c>
      <c r="K729">
        <v>1.0691999999999999</v>
      </c>
    </row>
    <row r="730" spans="1:11">
      <c r="A730" s="105">
        <v>41327</v>
      </c>
      <c r="B730" s="156">
        <v>0.20269999999999999</v>
      </c>
      <c r="D730" s="105">
        <v>41050</v>
      </c>
      <c r="E730">
        <v>0.46684999999999999</v>
      </c>
      <c r="F730" s="105">
        <v>41050</v>
      </c>
      <c r="G730">
        <v>0.73640000000000005</v>
      </c>
      <c r="H730" s="105">
        <v>40372</v>
      </c>
      <c r="I730">
        <v>0.92688000000000004</v>
      </c>
      <c r="J730" s="105">
        <v>41050</v>
      </c>
      <c r="K730">
        <v>1.0691999999999999</v>
      </c>
    </row>
    <row r="731" spans="1:11">
      <c r="A731" s="105">
        <v>41330</v>
      </c>
      <c r="B731" s="156">
        <v>0.20269999999999999</v>
      </c>
      <c r="D731" s="105">
        <v>41047</v>
      </c>
      <c r="E731">
        <v>0.46684999999999999</v>
      </c>
      <c r="F731" s="105">
        <v>41047</v>
      </c>
      <c r="G731">
        <v>0.73640000000000005</v>
      </c>
      <c r="H731" s="105">
        <v>40371</v>
      </c>
      <c r="I731">
        <v>0.92562999999999995</v>
      </c>
      <c r="J731" s="105">
        <v>41047</v>
      </c>
      <c r="K731">
        <v>1.0689500000000001</v>
      </c>
    </row>
    <row r="732" spans="1:11">
      <c r="A732" s="105">
        <v>41331</v>
      </c>
      <c r="B732" s="156">
        <v>0.20369999999999999</v>
      </c>
      <c r="D732" s="105">
        <v>41046</v>
      </c>
      <c r="E732">
        <v>0.46684999999999999</v>
      </c>
      <c r="F732" s="105">
        <v>41046</v>
      </c>
      <c r="G732">
        <v>0.73540000000000005</v>
      </c>
      <c r="H732" s="105">
        <v>40368</v>
      </c>
      <c r="I732">
        <v>0.93</v>
      </c>
      <c r="J732" s="105">
        <v>41046</v>
      </c>
      <c r="K732">
        <v>1.06795</v>
      </c>
    </row>
    <row r="733" spans="1:11">
      <c r="A733" s="105">
        <v>41332</v>
      </c>
      <c r="B733" s="156">
        <v>0.20369999999999999</v>
      </c>
      <c r="D733" s="105">
        <v>41045</v>
      </c>
      <c r="E733">
        <v>0.46684999999999999</v>
      </c>
      <c r="F733" s="105">
        <v>41045</v>
      </c>
      <c r="G733">
        <v>0.7349</v>
      </c>
      <c r="H733" s="105">
        <v>40367</v>
      </c>
      <c r="I733">
        <v>0.93562999999999996</v>
      </c>
      <c r="J733" s="105">
        <v>41045</v>
      </c>
      <c r="K733">
        <v>1.06795</v>
      </c>
    </row>
    <row r="734" spans="1:11">
      <c r="A734" s="105">
        <v>41333</v>
      </c>
      <c r="B734" s="156">
        <v>0.20369999999999999</v>
      </c>
      <c r="D734" s="105">
        <v>41044</v>
      </c>
      <c r="E734">
        <v>0.46584999999999999</v>
      </c>
      <c r="F734" s="105">
        <v>41044</v>
      </c>
      <c r="G734">
        <v>0.7319</v>
      </c>
      <c r="H734" s="105">
        <v>40366</v>
      </c>
      <c r="I734">
        <v>0.94094</v>
      </c>
      <c r="J734" s="105">
        <v>41044</v>
      </c>
      <c r="K734">
        <v>1.06145</v>
      </c>
    </row>
    <row r="735" spans="1:11">
      <c r="A735" s="105">
        <v>41334</v>
      </c>
      <c r="B735" s="156">
        <v>0.20369999999999999</v>
      </c>
      <c r="D735" s="105">
        <v>41043</v>
      </c>
      <c r="E735">
        <v>0.46584999999999999</v>
      </c>
      <c r="F735" s="105">
        <v>41043</v>
      </c>
      <c r="G735">
        <v>0.73089999999999999</v>
      </c>
      <c r="H735" s="105">
        <v>40365</v>
      </c>
      <c r="I735">
        <v>0.94218999999999997</v>
      </c>
      <c r="J735" s="105">
        <v>41043</v>
      </c>
      <c r="K735">
        <v>1.0589500000000001</v>
      </c>
    </row>
    <row r="736" spans="1:11">
      <c r="A736" s="105">
        <v>41337</v>
      </c>
      <c r="B736" s="156">
        <v>0.20519999999999999</v>
      </c>
      <c r="D736" s="105">
        <v>41040</v>
      </c>
      <c r="E736">
        <v>0.46684999999999999</v>
      </c>
      <c r="F736" s="105">
        <v>41040</v>
      </c>
      <c r="G736">
        <v>0.72989999999999999</v>
      </c>
      <c r="H736" s="105">
        <v>40364</v>
      </c>
      <c r="I736">
        <v>0.94562999999999997</v>
      </c>
      <c r="J736" s="105">
        <v>41040</v>
      </c>
      <c r="K736">
        <v>1.0557000000000001</v>
      </c>
    </row>
    <row r="737" spans="1:11">
      <c r="A737" s="105">
        <v>41338</v>
      </c>
      <c r="B737" s="156">
        <v>0.20319999999999999</v>
      </c>
      <c r="D737" s="105">
        <v>41039</v>
      </c>
      <c r="E737">
        <v>0.46684999999999999</v>
      </c>
      <c r="F737" s="105">
        <v>41039</v>
      </c>
      <c r="G737">
        <v>0.72989999999999999</v>
      </c>
      <c r="H737" s="105">
        <v>40361</v>
      </c>
      <c r="I737">
        <v>0.95250000000000001</v>
      </c>
      <c r="J737" s="105">
        <v>41039</v>
      </c>
      <c r="K737">
        <v>1.0547</v>
      </c>
    </row>
    <row r="738" spans="1:11">
      <c r="A738" s="105">
        <v>41339</v>
      </c>
      <c r="B738" s="156">
        <v>0.20219999999999999</v>
      </c>
      <c r="D738" s="105">
        <v>41038</v>
      </c>
      <c r="E738">
        <v>0.46684999999999999</v>
      </c>
      <c r="F738" s="105">
        <v>41038</v>
      </c>
      <c r="G738">
        <v>0.72989999999999999</v>
      </c>
      <c r="H738" s="105">
        <v>40360</v>
      </c>
      <c r="I738">
        <v>0.95374999999999999</v>
      </c>
      <c r="J738" s="105">
        <v>41038</v>
      </c>
      <c r="K738">
        <v>1.0527</v>
      </c>
    </row>
    <row r="739" spans="1:11">
      <c r="A739" s="105">
        <v>41340</v>
      </c>
      <c r="B739" s="156">
        <v>0.20219999999999999</v>
      </c>
      <c r="D739" s="105">
        <v>41037</v>
      </c>
      <c r="E739">
        <v>0.46584999999999999</v>
      </c>
      <c r="F739" s="105">
        <v>41037</v>
      </c>
      <c r="G739">
        <v>0.72840000000000005</v>
      </c>
      <c r="H739" s="105">
        <v>40359</v>
      </c>
      <c r="I739">
        <v>0.95250000000000001</v>
      </c>
      <c r="J739" s="105">
        <v>41037</v>
      </c>
      <c r="K739">
        <v>1.0491999999999999</v>
      </c>
    </row>
    <row r="740" spans="1:11">
      <c r="A740" s="105">
        <v>41341</v>
      </c>
      <c r="B740" s="156">
        <v>0.20219999999999999</v>
      </c>
      <c r="D740" s="105">
        <v>41033</v>
      </c>
      <c r="E740">
        <v>0.46584999999999999</v>
      </c>
      <c r="F740" s="105">
        <v>41033</v>
      </c>
      <c r="G740">
        <v>0.72840000000000005</v>
      </c>
      <c r="H740" s="105">
        <v>40358</v>
      </c>
      <c r="I740">
        <v>0.95313000000000003</v>
      </c>
      <c r="J740" s="105">
        <v>41033</v>
      </c>
      <c r="K740">
        <v>1.0491999999999999</v>
      </c>
    </row>
    <row r="741" spans="1:11">
      <c r="A741" s="105">
        <v>41344</v>
      </c>
      <c r="B741" s="156">
        <v>0.20219999999999999</v>
      </c>
      <c r="D741" s="105">
        <v>41032</v>
      </c>
      <c r="E741">
        <v>0.46584999999999999</v>
      </c>
      <c r="F741" s="105">
        <v>41032</v>
      </c>
      <c r="G741">
        <v>0.72740000000000005</v>
      </c>
      <c r="H741" s="105">
        <v>40357</v>
      </c>
      <c r="I741">
        <v>0.95313000000000003</v>
      </c>
      <c r="J741" s="105">
        <v>41032</v>
      </c>
      <c r="K741">
        <v>1.0491999999999999</v>
      </c>
    </row>
    <row r="742" spans="1:11">
      <c r="A742" s="105">
        <v>41345</v>
      </c>
      <c r="B742" s="156">
        <v>0.20319999999999999</v>
      </c>
      <c r="D742" s="105">
        <v>41031</v>
      </c>
      <c r="E742">
        <v>0.46584999999999999</v>
      </c>
      <c r="F742" s="105">
        <v>41031</v>
      </c>
      <c r="G742">
        <v>0.72740000000000005</v>
      </c>
      <c r="H742" s="105">
        <v>40354</v>
      </c>
      <c r="I742">
        <v>0.96087999999999996</v>
      </c>
      <c r="J742" s="105">
        <v>41031</v>
      </c>
      <c r="K742">
        <v>1.0471999999999999</v>
      </c>
    </row>
    <row r="743" spans="1:11">
      <c r="A743" s="105">
        <v>41346</v>
      </c>
      <c r="B743" s="156">
        <v>0.20319999999999999</v>
      </c>
      <c r="D743" s="105">
        <v>41030</v>
      </c>
      <c r="E743">
        <v>0.46584999999999999</v>
      </c>
      <c r="F743" s="105">
        <v>41030</v>
      </c>
      <c r="G743">
        <v>0.72740000000000005</v>
      </c>
      <c r="H743" s="105">
        <v>40353</v>
      </c>
      <c r="I743">
        <v>0.95825000000000005</v>
      </c>
      <c r="J743" s="105">
        <v>41030</v>
      </c>
      <c r="K743">
        <v>1.0471999999999999</v>
      </c>
    </row>
    <row r="744" spans="1:11">
      <c r="A744" s="105">
        <v>41347</v>
      </c>
      <c r="B744" s="156">
        <v>0.20319999999999999</v>
      </c>
      <c r="D744" s="105">
        <v>41029</v>
      </c>
      <c r="E744">
        <v>0.46584999999999999</v>
      </c>
      <c r="F744" s="105">
        <v>41029</v>
      </c>
      <c r="G744">
        <v>0.72840000000000005</v>
      </c>
      <c r="H744" s="105">
        <v>40352</v>
      </c>
      <c r="I744">
        <v>0.95687999999999995</v>
      </c>
      <c r="J744" s="105">
        <v>41029</v>
      </c>
      <c r="K744">
        <v>1.0471999999999999</v>
      </c>
    </row>
    <row r="745" spans="1:11">
      <c r="A745" s="105">
        <v>41348</v>
      </c>
      <c r="B745" s="156">
        <v>0.20319999999999999</v>
      </c>
      <c r="D745" s="105">
        <v>41026</v>
      </c>
      <c r="E745">
        <v>0.46584999999999999</v>
      </c>
      <c r="F745" s="105">
        <v>41026</v>
      </c>
      <c r="G745">
        <v>0.72840000000000005</v>
      </c>
      <c r="H745" s="105">
        <v>40351</v>
      </c>
      <c r="I745">
        <v>0.95343999999999995</v>
      </c>
      <c r="J745" s="105">
        <v>41026</v>
      </c>
      <c r="K745">
        <v>1.0471999999999999</v>
      </c>
    </row>
    <row r="746" spans="1:11">
      <c r="A746" s="105">
        <v>41351</v>
      </c>
      <c r="B746" s="156">
        <v>0.20319999999999999</v>
      </c>
      <c r="D746" s="105">
        <v>41025</v>
      </c>
      <c r="E746">
        <v>0.46584999999999999</v>
      </c>
      <c r="F746" s="105">
        <v>41025</v>
      </c>
      <c r="G746">
        <v>0.72840000000000005</v>
      </c>
      <c r="H746" s="105">
        <v>40350</v>
      </c>
      <c r="I746">
        <v>0.96013000000000004</v>
      </c>
      <c r="J746" s="105">
        <v>41025</v>
      </c>
      <c r="K746">
        <v>1.0471999999999999</v>
      </c>
    </row>
    <row r="747" spans="1:11">
      <c r="A747" s="105">
        <v>41352</v>
      </c>
      <c r="B747" s="156">
        <v>0.20369999999999999</v>
      </c>
      <c r="D747" s="105">
        <v>41024</v>
      </c>
      <c r="E747">
        <v>0.46584999999999999</v>
      </c>
      <c r="F747" s="105">
        <v>41024</v>
      </c>
      <c r="G747">
        <v>0.72940000000000005</v>
      </c>
      <c r="H747" s="105">
        <v>40347</v>
      </c>
      <c r="I747">
        <v>0.96055999999999997</v>
      </c>
      <c r="J747" s="105">
        <v>41024</v>
      </c>
      <c r="K747">
        <v>1.0471999999999999</v>
      </c>
    </row>
    <row r="748" spans="1:11">
      <c r="A748" s="105">
        <v>41353</v>
      </c>
      <c r="B748" s="156">
        <v>0.20469999999999999</v>
      </c>
      <c r="D748" s="105">
        <v>41023</v>
      </c>
      <c r="E748">
        <v>0.46584999999999999</v>
      </c>
      <c r="F748" s="105">
        <v>41023</v>
      </c>
      <c r="G748">
        <v>0.73040000000000005</v>
      </c>
      <c r="H748" s="105">
        <v>40346</v>
      </c>
      <c r="I748">
        <v>0.96594000000000002</v>
      </c>
      <c r="J748" s="105">
        <v>41023</v>
      </c>
      <c r="K748">
        <v>1.0477000000000001</v>
      </c>
    </row>
    <row r="749" spans="1:11">
      <c r="A749" s="105">
        <v>41354</v>
      </c>
      <c r="B749" s="156">
        <v>0.20419999999999999</v>
      </c>
      <c r="D749" s="105">
        <v>41022</v>
      </c>
      <c r="E749">
        <v>0.46565000000000001</v>
      </c>
      <c r="F749" s="105">
        <v>41022</v>
      </c>
      <c r="G749">
        <v>0.73040000000000005</v>
      </c>
      <c r="H749" s="105">
        <v>40345</v>
      </c>
      <c r="I749">
        <v>0.96455999999999997</v>
      </c>
      <c r="J749" s="105">
        <v>41022</v>
      </c>
      <c r="K749">
        <v>1.0477000000000001</v>
      </c>
    </row>
    <row r="750" spans="1:11">
      <c r="A750" s="105">
        <v>41355</v>
      </c>
      <c r="B750" s="156">
        <v>0.20419999999999999</v>
      </c>
      <c r="D750" s="105">
        <v>41019</v>
      </c>
      <c r="E750">
        <v>0.46565000000000001</v>
      </c>
      <c r="F750" s="105">
        <v>41019</v>
      </c>
      <c r="G750">
        <v>0.73040000000000005</v>
      </c>
      <c r="H750" s="105">
        <v>40344</v>
      </c>
      <c r="I750">
        <v>0.96699999999999997</v>
      </c>
      <c r="J750" s="105">
        <v>41019</v>
      </c>
      <c r="K750">
        <v>1.0477000000000001</v>
      </c>
    </row>
    <row r="751" spans="1:11">
      <c r="A751" s="105">
        <v>41358</v>
      </c>
      <c r="B751" s="156">
        <v>0.20419999999999999</v>
      </c>
      <c r="D751" s="105">
        <v>41018</v>
      </c>
      <c r="E751">
        <v>0.46565000000000001</v>
      </c>
      <c r="F751" s="105">
        <v>41018</v>
      </c>
      <c r="G751">
        <v>0.73040000000000005</v>
      </c>
      <c r="H751" s="105">
        <v>40343</v>
      </c>
      <c r="I751">
        <v>0.96181000000000005</v>
      </c>
      <c r="J751" s="105">
        <v>41018</v>
      </c>
      <c r="K751">
        <v>1.0471999999999999</v>
      </c>
    </row>
    <row r="752" spans="1:11">
      <c r="A752" s="105">
        <v>41359</v>
      </c>
      <c r="B752" s="156">
        <v>0.20369999999999999</v>
      </c>
      <c r="D752" s="105">
        <v>41017</v>
      </c>
      <c r="E752">
        <v>0.46565000000000001</v>
      </c>
      <c r="F752" s="105">
        <v>41017</v>
      </c>
      <c r="G752">
        <v>0.73089999999999999</v>
      </c>
      <c r="H752" s="105">
        <v>40340</v>
      </c>
      <c r="I752">
        <v>0.95543999999999996</v>
      </c>
      <c r="J752" s="105">
        <v>41017</v>
      </c>
      <c r="K752">
        <v>1.0471999999999999</v>
      </c>
    </row>
    <row r="753" spans="1:11">
      <c r="A753" s="105">
        <v>41360</v>
      </c>
      <c r="B753" s="156">
        <v>0.20369999999999999</v>
      </c>
      <c r="D753" s="105">
        <v>41016</v>
      </c>
      <c r="E753">
        <v>0.46565000000000001</v>
      </c>
      <c r="F753" s="105">
        <v>41016</v>
      </c>
      <c r="G753">
        <v>0.73089999999999999</v>
      </c>
      <c r="H753" s="105">
        <v>40339</v>
      </c>
      <c r="I753">
        <v>0.95938000000000001</v>
      </c>
      <c r="J753" s="105">
        <v>41016</v>
      </c>
      <c r="K753">
        <v>1.0482</v>
      </c>
    </row>
    <row r="754" spans="1:11">
      <c r="A754" s="105">
        <v>41361</v>
      </c>
      <c r="B754" s="156">
        <v>0.20369999999999999</v>
      </c>
      <c r="D754" s="105">
        <v>41015</v>
      </c>
      <c r="E754">
        <v>0.46565000000000001</v>
      </c>
      <c r="F754" s="105">
        <v>41015</v>
      </c>
      <c r="G754">
        <v>0.7319</v>
      </c>
      <c r="H754" s="105">
        <v>40338</v>
      </c>
      <c r="I754">
        <v>0.96780999999999995</v>
      </c>
      <c r="J754" s="105">
        <v>41015</v>
      </c>
      <c r="K754">
        <v>1.0502</v>
      </c>
    </row>
    <row r="755" spans="1:11">
      <c r="A755" s="105">
        <v>41366</v>
      </c>
      <c r="B755" s="156">
        <v>0.20269999999999999</v>
      </c>
      <c r="D755" s="105">
        <v>41012</v>
      </c>
      <c r="E755">
        <v>0.46615000000000001</v>
      </c>
      <c r="F755" s="105">
        <v>41012</v>
      </c>
      <c r="G755">
        <v>0.7319</v>
      </c>
      <c r="H755" s="105">
        <v>40337</v>
      </c>
      <c r="I755">
        <v>0.97250000000000003</v>
      </c>
      <c r="J755" s="105">
        <v>41012</v>
      </c>
      <c r="K755">
        <v>1.0487</v>
      </c>
    </row>
    <row r="756" spans="1:11">
      <c r="A756" s="105">
        <v>41367</v>
      </c>
      <c r="B756" s="156">
        <v>0.20169999999999999</v>
      </c>
      <c r="D756" s="105">
        <v>41011</v>
      </c>
      <c r="E756">
        <v>0.46665000000000001</v>
      </c>
      <c r="F756" s="105">
        <v>41011</v>
      </c>
      <c r="G756">
        <v>0.73240000000000005</v>
      </c>
      <c r="H756" s="105">
        <v>40336</v>
      </c>
      <c r="I756">
        <v>0.97894000000000003</v>
      </c>
      <c r="J756" s="105">
        <v>41011</v>
      </c>
      <c r="K756">
        <v>1.0491999999999999</v>
      </c>
    </row>
    <row r="757" spans="1:11">
      <c r="A757" s="105">
        <v>41368</v>
      </c>
      <c r="B757" s="156">
        <v>0.20030000000000001</v>
      </c>
      <c r="D757" s="105">
        <v>41010</v>
      </c>
      <c r="E757">
        <v>0.46865000000000001</v>
      </c>
      <c r="F757" s="105">
        <v>41010</v>
      </c>
      <c r="G757">
        <v>0.73340000000000005</v>
      </c>
      <c r="H757" s="105">
        <v>40333</v>
      </c>
      <c r="I757">
        <v>0.96924999999999994</v>
      </c>
      <c r="J757" s="105">
        <v>41010</v>
      </c>
      <c r="K757">
        <v>1.0507</v>
      </c>
    </row>
    <row r="758" spans="1:11">
      <c r="A758" s="105">
        <v>41369</v>
      </c>
      <c r="B758" s="156">
        <v>0.20030000000000001</v>
      </c>
      <c r="D758" s="105">
        <v>41009</v>
      </c>
      <c r="E758">
        <v>0.46915000000000001</v>
      </c>
      <c r="F758" s="105">
        <v>41009</v>
      </c>
      <c r="G758">
        <v>0.73340000000000005</v>
      </c>
      <c r="H758" s="105">
        <v>40332</v>
      </c>
      <c r="I758">
        <v>0.97868999999999995</v>
      </c>
      <c r="J758" s="105">
        <v>41009</v>
      </c>
      <c r="K758">
        <v>1.0507</v>
      </c>
    </row>
    <row r="759" spans="1:11">
      <c r="A759" s="105">
        <v>41372</v>
      </c>
      <c r="B759" s="156">
        <v>0.20030000000000001</v>
      </c>
      <c r="D759" s="105">
        <v>41004</v>
      </c>
      <c r="E759">
        <v>0.46915000000000001</v>
      </c>
      <c r="F759" s="105">
        <v>41004</v>
      </c>
      <c r="G759">
        <v>0.73340000000000005</v>
      </c>
      <c r="H759" s="105">
        <v>40331</v>
      </c>
      <c r="I759">
        <v>0.97968999999999995</v>
      </c>
      <c r="J759" s="105">
        <v>41004</v>
      </c>
      <c r="K759">
        <v>1.0507</v>
      </c>
    </row>
    <row r="760" spans="1:11">
      <c r="A760" s="105">
        <v>41373</v>
      </c>
      <c r="B760" s="156">
        <v>0.1993</v>
      </c>
      <c r="D760" s="105">
        <v>41003</v>
      </c>
      <c r="E760">
        <v>0.46915000000000001</v>
      </c>
      <c r="F760" s="105">
        <v>41003</v>
      </c>
      <c r="G760">
        <v>0.73440000000000005</v>
      </c>
      <c r="H760" s="105">
        <v>40330</v>
      </c>
      <c r="I760">
        <v>0.98719000000000001</v>
      </c>
      <c r="J760" s="105">
        <v>41003</v>
      </c>
      <c r="K760">
        <v>1.0497000000000001</v>
      </c>
    </row>
    <row r="761" spans="1:11">
      <c r="A761" s="105">
        <v>41374</v>
      </c>
      <c r="B761" s="156">
        <v>0.1993</v>
      </c>
      <c r="D761" s="105">
        <v>41002</v>
      </c>
      <c r="E761">
        <v>0.46915000000000001</v>
      </c>
      <c r="F761" s="105">
        <v>41002</v>
      </c>
      <c r="G761">
        <v>0.73440000000000005</v>
      </c>
      <c r="H761" s="105">
        <v>40326</v>
      </c>
      <c r="I761">
        <v>0.98012999999999995</v>
      </c>
      <c r="J761" s="105">
        <v>41002</v>
      </c>
      <c r="K761">
        <v>1.0497000000000001</v>
      </c>
    </row>
    <row r="762" spans="1:11">
      <c r="A762" s="105">
        <v>41375</v>
      </c>
      <c r="B762" s="156">
        <v>0.19869999999999999</v>
      </c>
      <c r="D762" s="105">
        <v>41001</v>
      </c>
      <c r="E762">
        <v>0.46815000000000001</v>
      </c>
      <c r="F762" s="105">
        <v>41001</v>
      </c>
      <c r="G762">
        <v>0.73340000000000005</v>
      </c>
      <c r="H762" s="105">
        <v>40325</v>
      </c>
      <c r="I762">
        <v>0.99368999999999996</v>
      </c>
      <c r="J762" s="105">
        <v>41001</v>
      </c>
      <c r="K762">
        <v>1.0497000000000001</v>
      </c>
    </row>
    <row r="763" spans="1:11">
      <c r="A763" s="105">
        <v>41376</v>
      </c>
      <c r="B763" s="156">
        <v>0.19969999999999999</v>
      </c>
      <c r="D763" s="105">
        <v>40998</v>
      </c>
      <c r="E763">
        <v>0.46815000000000001</v>
      </c>
      <c r="F763" s="105">
        <v>40998</v>
      </c>
      <c r="G763">
        <v>0.73340000000000005</v>
      </c>
      <c r="H763" s="105">
        <v>40324</v>
      </c>
      <c r="I763">
        <v>0.99663000000000002</v>
      </c>
      <c r="J763" s="105">
        <v>40998</v>
      </c>
      <c r="K763">
        <v>1.0485</v>
      </c>
    </row>
    <row r="764" spans="1:11">
      <c r="A764" s="105">
        <v>41379</v>
      </c>
      <c r="B764" s="156">
        <v>0.19969999999999999</v>
      </c>
      <c r="D764" s="105">
        <v>40997</v>
      </c>
      <c r="E764">
        <v>0.46815000000000001</v>
      </c>
      <c r="F764" s="105">
        <v>40997</v>
      </c>
      <c r="G764">
        <v>0.73429999999999995</v>
      </c>
      <c r="H764" s="105">
        <v>40323</v>
      </c>
      <c r="I764">
        <v>0.99824999999999997</v>
      </c>
      <c r="J764" s="105">
        <v>40997</v>
      </c>
      <c r="K764">
        <v>1.0475000000000001</v>
      </c>
    </row>
    <row r="765" spans="1:11">
      <c r="A765" s="105">
        <v>41380</v>
      </c>
      <c r="B765" s="156">
        <v>0.20019999999999999</v>
      </c>
      <c r="D765" s="105">
        <v>40996</v>
      </c>
      <c r="E765">
        <v>0.46965000000000001</v>
      </c>
      <c r="F765" s="105">
        <v>40996</v>
      </c>
      <c r="G765">
        <v>0.73580000000000001</v>
      </c>
      <c r="H765" s="105">
        <v>40322</v>
      </c>
      <c r="I765">
        <v>0.95374999999999999</v>
      </c>
      <c r="J765" s="105">
        <v>40996</v>
      </c>
      <c r="K765">
        <v>1.048</v>
      </c>
    </row>
    <row r="766" spans="1:11">
      <c r="A766" s="105">
        <v>41381</v>
      </c>
      <c r="B766" s="156">
        <v>0.19919999999999999</v>
      </c>
      <c r="D766" s="105">
        <v>40995</v>
      </c>
      <c r="E766">
        <v>0.47065000000000001</v>
      </c>
      <c r="F766" s="105">
        <v>40995</v>
      </c>
      <c r="G766">
        <v>0.73680000000000001</v>
      </c>
      <c r="H766" s="105">
        <v>40319</v>
      </c>
      <c r="I766">
        <v>0.92874999999999996</v>
      </c>
      <c r="J766" s="105">
        <v>40995</v>
      </c>
      <c r="K766">
        <v>1.05</v>
      </c>
    </row>
    <row r="767" spans="1:11">
      <c r="A767" s="105">
        <v>41382</v>
      </c>
      <c r="B767" s="156">
        <v>0.19919999999999999</v>
      </c>
      <c r="D767" s="105">
        <v>40994</v>
      </c>
      <c r="E767">
        <v>0.47265000000000001</v>
      </c>
      <c r="F767" s="105">
        <v>40994</v>
      </c>
      <c r="G767">
        <v>0.73929999999999996</v>
      </c>
      <c r="H767" s="105">
        <v>40318</v>
      </c>
      <c r="I767">
        <v>0.91374999999999995</v>
      </c>
      <c r="J767" s="105">
        <v>40994</v>
      </c>
      <c r="K767">
        <v>1.0515000000000001</v>
      </c>
    </row>
    <row r="768" spans="1:11">
      <c r="A768" s="105">
        <v>41383</v>
      </c>
      <c r="B768" s="156">
        <v>0.19919999999999999</v>
      </c>
      <c r="D768" s="105">
        <v>40991</v>
      </c>
      <c r="E768">
        <v>0.47315000000000002</v>
      </c>
      <c r="F768" s="105">
        <v>40991</v>
      </c>
      <c r="G768">
        <v>0.7409</v>
      </c>
      <c r="H768" s="105">
        <v>40317</v>
      </c>
      <c r="I768">
        <v>0.91125</v>
      </c>
      <c r="J768" s="105">
        <v>40991</v>
      </c>
      <c r="K768">
        <v>1.0521</v>
      </c>
    </row>
    <row r="769" spans="1:11">
      <c r="A769" s="105">
        <v>41386</v>
      </c>
      <c r="B769" s="156">
        <v>0.19919999999999999</v>
      </c>
      <c r="D769" s="105">
        <v>40990</v>
      </c>
      <c r="E769">
        <v>0.47365000000000002</v>
      </c>
      <c r="F769" s="105">
        <v>40990</v>
      </c>
      <c r="G769">
        <v>0.7399</v>
      </c>
      <c r="H769" s="105">
        <v>40316</v>
      </c>
      <c r="I769">
        <v>0.89249999999999996</v>
      </c>
      <c r="J769" s="105">
        <v>40990</v>
      </c>
      <c r="K769">
        <v>1.0530999999999999</v>
      </c>
    </row>
    <row r="770" spans="1:11">
      <c r="A770" s="105">
        <v>41387</v>
      </c>
      <c r="B770" s="156">
        <v>0.20019999999999999</v>
      </c>
      <c r="D770" s="105">
        <v>40989</v>
      </c>
      <c r="E770">
        <v>0.47415000000000002</v>
      </c>
      <c r="F770" s="105">
        <v>40989</v>
      </c>
      <c r="G770">
        <v>0.7399</v>
      </c>
      <c r="H770" s="105">
        <v>40315</v>
      </c>
      <c r="I770">
        <v>0.89500000000000002</v>
      </c>
      <c r="J770" s="105">
        <v>40989</v>
      </c>
      <c r="K770">
        <v>1.0530999999999999</v>
      </c>
    </row>
    <row r="771" spans="1:11">
      <c r="A771" s="105">
        <v>41388</v>
      </c>
      <c r="B771" s="156">
        <v>0.19819999999999999</v>
      </c>
      <c r="D771" s="105">
        <v>40988</v>
      </c>
      <c r="E771">
        <v>0.47415000000000002</v>
      </c>
      <c r="F771" s="105">
        <v>40988</v>
      </c>
      <c r="G771">
        <v>0.7399</v>
      </c>
      <c r="H771" s="105">
        <v>40312</v>
      </c>
      <c r="I771">
        <v>0.87687999999999999</v>
      </c>
      <c r="J771" s="105">
        <v>40988</v>
      </c>
      <c r="K771">
        <v>1.0530999999999999</v>
      </c>
    </row>
    <row r="772" spans="1:11">
      <c r="A772" s="105">
        <v>41389</v>
      </c>
      <c r="B772" s="156">
        <v>0.19819999999999999</v>
      </c>
      <c r="D772" s="105">
        <v>40987</v>
      </c>
      <c r="E772">
        <v>0.47365000000000002</v>
      </c>
      <c r="F772" s="105">
        <v>40987</v>
      </c>
      <c r="G772">
        <v>0.7399</v>
      </c>
      <c r="H772" s="105">
        <v>40311</v>
      </c>
      <c r="I772">
        <v>0.85875000000000001</v>
      </c>
      <c r="J772" s="105">
        <v>40987</v>
      </c>
      <c r="K772">
        <v>1.0530999999999999</v>
      </c>
    </row>
    <row r="773" spans="1:11">
      <c r="A773" s="105">
        <v>41390</v>
      </c>
      <c r="B773" s="156">
        <v>0.19819999999999999</v>
      </c>
      <c r="D773" s="105">
        <v>40984</v>
      </c>
      <c r="E773">
        <v>0.47365000000000002</v>
      </c>
      <c r="F773" s="105">
        <v>40984</v>
      </c>
      <c r="G773">
        <v>0.7409</v>
      </c>
      <c r="H773" s="105">
        <v>40310</v>
      </c>
      <c r="I773">
        <v>0.85812999999999995</v>
      </c>
      <c r="J773" s="105">
        <v>40984</v>
      </c>
      <c r="K773">
        <v>1.0530999999999999</v>
      </c>
    </row>
    <row r="774" spans="1:11">
      <c r="A774" s="105">
        <v>41393</v>
      </c>
      <c r="B774" s="156">
        <v>0.19819999999999999</v>
      </c>
      <c r="D774" s="105">
        <v>40983</v>
      </c>
      <c r="E774">
        <v>0.47365000000000002</v>
      </c>
      <c r="F774" s="105">
        <v>40983</v>
      </c>
      <c r="G774">
        <v>0.74250000000000005</v>
      </c>
      <c r="H774" s="105">
        <v>40309</v>
      </c>
      <c r="I774">
        <v>0.85280999999999996</v>
      </c>
      <c r="J774" s="105">
        <v>40983</v>
      </c>
      <c r="K774">
        <v>1.0537000000000001</v>
      </c>
    </row>
    <row r="775" spans="1:11">
      <c r="A775" s="105">
        <v>41394</v>
      </c>
      <c r="B775" s="156">
        <v>0.19819999999999999</v>
      </c>
      <c r="D775" s="105">
        <v>40982</v>
      </c>
      <c r="E775">
        <v>0.47365000000000002</v>
      </c>
      <c r="F775" s="105">
        <v>40982</v>
      </c>
      <c r="G775">
        <v>0.74350000000000005</v>
      </c>
      <c r="H775" s="105">
        <v>40308</v>
      </c>
      <c r="I775">
        <v>0.85063</v>
      </c>
      <c r="J775" s="105">
        <v>40982</v>
      </c>
      <c r="K775">
        <v>1.0567</v>
      </c>
    </row>
    <row r="776" spans="1:11">
      <c r="A776" s="105">
        <v>41395</v>
      </c>
      <c r="B776" s="156">
        <v>0.19819999999999999</v>
      </c>
      <c r="D776" s="105">
        <v>40981</v>
      </c>
      <c r="E776">
        <v>0.47365000000000002</v>
      </c>
      <c r="F776" s="105">
        <v>40981</v>
      </c>
      <c r="G776">
        <v>0.74439999999999995</v>
      </c>
      <c r="H776" s="105">
        <v>40305</v>
      </c>
      <c r="I776">
        <v>0.88</v>
      </c>
      <c r="J776" s="105">
        <v>40981</v>
      </c>
      <c r="K776">
        <v>1.0566</v>
      </c>
    </row>
    <row r="777" spans="1:11">
      <c r="A777" s="105">
        <v>41396</v>
      </c>
      <c r="B777" s="156">
        <v>0.19819999999999999</v>
      </c>
      <c r="D777" s="105">
        <v>40980</v>
      </c>
      <c r="E777">
        <v>0.47355000000000003</v>
      </c>
      <c r="F777" s="105">
        <v>40980</v>
      </c>
      <c r="G777">
        <v>0.74419999999999997</v>
      </c>
      <c r="H777" s="105">
        <v>40304</v>
      </c>
      <c r="I777">
        <v>0.81313000000000002</v>
      </c>
      <c r="J777" s="105">
        <v>40980</v>
      </c>
      <c r="K777">
        <v>1.0564</v>
      </c>
    </row>
    <row r="778" spans="1:11">
      <c r="A778" s="105">
        <v>41397</v>
      </c>
      <c r="B778" s="156">
        <v>0.19819999999999999</v>
      </c>
      <c r="D778" s="105">
        <v>40977</v>
      </c>
      <c r="E778">
        <v>0.47355000000000003</v>
      </c>
      <c r="F778" s="105">
        <v>40977</v>
      </c>
      <c r="G778">
        <v>0.74419999999999997</v>
      </c>
      <c r="H778" s="105">
        <v>40303</v>
      </c>
      <c r="I778">
        <v>0.79905999999999999</v>
      </c>
      <c r="J778" s="105">
        <v>40977</v>
      </c>
      <c r="K778">
        <v>1.0553999999999999</v>
      </c>
    </row>
    <row r="779" spans="1:11">
      <c r="A779" s="105">
        <v>41401</v>
      </c>
      <c r="B779" s="156">
        <v>0.19919999999999999</v>
      </c>
      <c r="D779" s="105">
        <v>40976</v>
      </c>
      <c r="E779">
        <v>0.47355000000000003</v>
      </c>
      <c r="F779" s="105">
        <v>40976</v>
      </c>
      <c r="G779">
        <v>0.74419999999999997</v>
      </c>
      <c r="H779" s="105">
        <v>40302</v>
      </c>
      <c r="I779">
        <v>0.78688000000000002</v>
      </c>
      <c r="J779" s="105">
        <v>40976</v>
      </c>
      <c r="K779">
        <v>1.0553999999999999</v>
      </c>
    </row>
    <row r="780" spans="1:11">
      <c r="A780" s="105">
        <v>41402</v>
      </c>
      <c r="B780" s="156">
        <v>0.19919999999999999</v>
      </c>
      <c r="D780" s="105">
        <v>40975</v>
      </c>
      <c r="E780">
        <v>0.47455000000000003</v>
      </c>
      <c r="F780" s="105">
        <v>40975</v>
      </c>
      <c r="G780">
        <v>0.74419999999999997</v>
      </c>
      <c r="H780" s="105">
        <v>40298</v>
      </c>
      <c r="I780">
        <v>0.76249999999999996</v>
      </c>
      <c r="J780" s="105">
        <v>40975</v>
      </c>
      <c r="K780">
        <v>1.0553999999999999</v>
      </c>
    </row>
    <row r="781" spans="1:11">
      <c r="A781" s="105">
        <v>41403</v>
      </c>
      <c r="B781" s="156">
        <v>0.19919999999999999</v>
      </c>
      <c r="D781" s="105">
        <v>40974</v>
      </c>
      <c r="E781">
        <v>0.47455000000000003</v>
      </c>
      <c r="F781" s="105">
        <v>40974</v>
      </c>
      <c r="G781">
        <v>0.74319999999999997</v>
      </c>
      <c r="H781" s="105">
        <v>40297</v>
      </c>
      <c r="I781">
        <v>0.76124999999999998</v>
      </c>
      <c r="J781" s="105">
        <v>40974</v>
      </c>
      <c r="K781">
        <v>1.0544</v>
      </c>
    </row>
    <row r="782" spans="1:11">
      <c r="A782" s="105">
        <v>41404</v>
      </c>
      <c r="B782" s="156">
        <v>0.19919999999999999</v>
      </c>
      <c r="D782" s="105">
        <v>40973</v>
      </c>
      <c r="E782">
        <v>0.47455000000000003</v>
      </c>
      <c r="F782" s="105">
        <v>40973</v>
      </c>
      <c r="G782">
        <v>0.74319999999999997</v>
      </c>
      <c r="H782" s="105">
        <v>40296</v>
      </c>
      <c r="I782">
        <v>0.76188</v>
      </c>
      <c r="J782" s="105">
        <v>40973</v>
      </c>
      <c r="K782">
        <v>1.0544</v>
      </c>
    </row>
    <row r="783" spans="1:11">
      <c r="A783" s="105">
        <v>41407</v>
      </c>
      <c r="B783" s="156">
        <v>0.19919999999999999</v>
      </c>
      <c r="D783" s="105">
        <v>40970</v>
      </c>
      <c r="E783">
        <v>0.47575000000000001</v>
      </c>
      <c r="F783" s="105">
        <v>40970</v>
      </c>
      <c r="G783">
        <v>0.74524999999999997</v>
      </c>
      <c r="H783" s="105">
        <v>40295</v>
      </c>
      <c r="I783">
        <v>0.74438000000000004</v>
      </c>
      <c r="J783" s="105">
        <v>40970</v>
      </c>
      <c r="K783">
        <v>1.0551999999999999</v>
      </c>
    </row>
    <row r="784" spans="1:11">
      <c r="A784" s="105">
        <v>41408</v>
      </c>
      <c r="B784" s="156">
        <v>0.19819999999999999</v>
      </c>
      <c r="D784" s="105">
        <v>40969</v>
      </c>
      <c r="E784">
        <v>0.47970000000000002</v>
      </c>
      <c r="F784" s="105">
        <v>40969</v>
      </c>
      <c r="G784">
        <v>0.74819999999999998</v>
      </c>
      <c r="H784" s="105">
        <v>40294</v>
      </c>
      <c r="I784">
        <v>0.73812999999999995</v>
      </c>
      <c r="J784" s="105">
        <v>40969</v>
      </c>
      <c r="K784">
        <v>1.05915</v>
      </c>
    </row>
    <row r="785" spans="1:11">
      <c r="A785" s="105">
        <v>41409</v>
      </c>
      <c r="B785" s="156">
        <v>0.19819999999999999</v>
      </c>
      <c r="D785" s="105">
        <v>40968</v>
      </c>
      <c r="E785">
        <v>0.48425000000000001</v>
      </c>
      <c r="F785" s="105">
        <v>40968</v>
      </c>
      <c r="G785">
        <v>0.74875000000000003</v>
      </c>
      <c r="H785" s="105">
        <v>40291</v>
      </c>
      <c r="I785">
        <v>0.72468999999999995</v>
      </c>
      <c r="J785" s="105">
        <v>40968</v>
      </c>
      <c r="K785">
        <v>1.0598000000000001</v>
      </c>
    </row>
    <row r="786" spans="1:11">
      <c r="A786" s="105">
        <v>41410</v>
      </c>
      <c r="B786" s="156">
        <v>0.19819999999999999</v>
      </c>
      <c r="D786" s="105">
        <v>40967</v>
      </c>
      <c r="E786">
        <v>0.48749999999999999</v>
      </c>
      <c r="F786" s="105">
        <v>40967</v>
      </c>
      <c r="G786">
        <v>0.75049999999999994</v>
      </c>
      <c r="H786" s="105">
        <v>40290</v>
      </c>
      <c r="I786">
        <v>0.71187999999999996</v>
      </c>
      <c r="J786" s="105">
        <v>40967</v>
      </c>
      <c r="K786">
        <v>1.0630500000000001</v>
      </c>
    </row>
    <row r="787" spans="1:11">
      <c r="A787" s="105">
        <v>41411</v>
      </c>
      <c r="B787" s="156">
        <v>0.19678000000000001</v>
      </c>
      <c r="D787" s="105">
        <v>40966</v>
      </c>
      <c r="E787">
        <v>0.48909999999999998</v>
      </c>
      <c r="F787" s="105">
        <v>40966</v>
      </c>
      <c r="G787">
        <v>0.75209999999999999</v>
      </c>
      <c r="H787" s="105">
        <v>40289</v>
      </c>
      <c r="I787">
        <v>0.70218999999999998</v>
      </c>
      <c r="J787" s="105">
        <v>40966</v>
      </c>
      <c r="K787">
        <v>1.0661499999999999</v>
      </c>
    </row>
    <row r="788" spans="1:11">
      <c r="A788" s="105">
        <v>41414</v>
      </c>
      <c r="B788" s="156">
        <v>0.19617999999999999</v>
      </c>
      <c r="D788" s="105">
        <v>40963</v>
      </c>
      <c r="E788">
        <v>0.49059999999999998</v>
      </c>
      <c r="F788" s="105">
        <v>40963</v>
      </c>
      <c r="G788">
        <v>0.75309999999999999</v>
      </c>
      <c r="H788" s="105">
        <v>40288</v>
      </c>
      <c r="I788">
        <v>0.69062999999999997</v>
      </c>
      <c r="J788" s="105">
        <v>40963</v>
      </c>
      <c r="K788">
        <v>1.0660499999999999</v>
      </c>
    </row>
    <row r="789" spans="1:11">
      <c r="A789" s="105">
        <v>41415</v>
      </c>
      <c r="B789" s="156">
        <v>0.19628000000000001</v>
      </c>
      <c r="D789" s="105">
        <v>40962</v>
      </c>
      <c r="E789">
        <v>0.49059999999999998</v>
      </c>
      <c r="F789" s="105">
        <v>40962</v>
      </c>
      <c r="G789">
        <v>0.75309999999999999</v>
      </c>
      <c r="H789" s="105">
        <v>40287</v>
      </c>
      <c r="I789">
        <v>0.68313000000000001</v>
      </c>
      <c r="J789" s="105">
        <v>40962</v>
      </c>
      <c r="K789">
        <v>1.0660499999999999</v>
      </c>
    </row>
    <row r="790" spans="1:11">
      <c r="A790" s="105">
        <v>41416</v>
      </c>
      <c r="B790" s="156">
        <v>0.19528000000000001</v>
      </c>
      <c r="D790" s="105">
        <v>40961</v>
      </c>
      <c r="E790">
        <v>0.49159999999999998</v>
      </c>
      <c r="F790" s="105">
        <v>40961</v>
      </c>
      <c r="G790">
        <v>0.75309999999999999</v>
      </c>
      <c r="H790" s="105">
        <v>40284</v>
      </c>
      <c r="I790">
        <v>0.69188000000000005</v>
      </c>
      <c r="J790" s="105">
        <v>40961</v>
      </c>
      <c r="K790">
        <v>1.0660499999999999</v>
      </c>
    </row>
    <row r="791" spans="1:11">
      <c r="A791" s="105">
        <v>41417</v>
      </c>
      <c r="B791" s="156">
        <v>0.19328000000000001</v>
      </c>
      <c r="D791" s="105">
        <v>40960</v>
      </c>
      <c r="E791">
        <v>0.49259999999999998</v>
      </c>
      <c r="F791" s="105">
        <v>40960</v>
      </c>
      <c r="G791">
        <v>0.75209999999999999</v>
      </c>
      <c r="H791" s="105">
        <v>40283</v>
      </c>
      <c r="I791">
        <v>0.69438</v>
      </c>
      <c r="J791" s="105">
        <v>40960</v>
      </c>
      <c r="K791">
        <v>1.0660499999999999</v>
      </c>
    </row>
    <row r="792" spans="1:11">
      <c r="A792" s="105">
        <v>41418</v>
      </c>
      <c r="B792" s="156">
        <v>0.19328000000000001</v>
      </c>
      <c r="D792" s="105">
        <v>40959</v>
      </c>
      <c r="E792">
        <v>0.49309999999999998</v>
      </c>
      <c r="F792" s="105">
        <v>40959</v>
      </c>
      <c r="G792">
        <v>0.75109999999999999</v>
      </c>
      <c r="H792" s="105">
        <v>40282</v>
      </c>
      <c r="I792">
        <v>0.69530999999999998</v>
      </c>
      <c r="J792" s="105">
        <v>40959</v>
      </c>
      <c r="K792">
        <v>1.0660499999999999</v>
      </c>
    </row>
    <row r="793" spans="1:11">
      <c r="A793" s="105">
        <v>41422</v>
      </c>
      <c r="B793" s="156">
        <v>0.19278000000000001</v>
      </c>
      <c r="D793" s="105">
        <v>40956</v>
      </c>
      <c r="E793">
        <v>0.49309999999999998</v>
      </c>
      <c r="F793" s="105">
        <v>40956</v>
      </c>
      <c r="G793">
        <v>0.75109999999999999</v>
      </c>
      <c r="H793" s="105">
        <v>40281</v>
      </c>
      <c r="I793">
        <v>0.68813000000000002</v>
      </c>
      <c r="J793" s="105">
        <v>40956</v>
      </c>
      <c r="K793">
        <v>1.0660499999999999</v>
      </c>
    </row>
    <row r="794" spans="1:11">
      <c r="A794" s="105">
        <v>41423</v>
      </c>
      <c r="B794" s="156">
        <v>0.19378000000000001</v>
      </c>
      <c r="D794" s="105">
        <v>40955</v>
      </c>
      <c r="E794">
        <v>0.49309999999999998</v>
      </c>
      <c r="F794" s="105">
        <v>40955</v>
      </c>
      <c r="G794">
        <v>0.75209999999999999</v>
      </c>
      <c r="H794" s="105">
        <v>40280</v>
      </c>
      <c r="I794">
        <v>0.69</v>
      </c>
      <c r="J794" s="105">
        <v>40955</v>
      </c>
      <c r="K794">
        <v>1.0660499999999999</v>
      </c>
    </row>
    <row r="795" spans="1:11">
      <c r="A795" s="105">
        <v>41424</v>
      </c>
      <c r="B795" s="156">
        <v>0.19378000000000001</v>
      </c>
      <c r="D795" s="105">
        <v>40954</v>
      </c>
      <c r="E795">
        <v>0.49509999999999998</v>
      </c>
      <c r="F795" s="105">
        <v>40954</v>
      </c>
      <c r="G795">
        <v>0.75209999999999999</v>
      </c>
      <c r="H795" s="105">
        <v>40277</v>
      </c>
      <c r="I795">
        <v>0.6875</v>
      </c>
      <c r="J795" s="105">
        <v>40954</v>
      </c>
      <c r="K795">
        <v>1.06555</v>
      </c>
    </row>
    <row r="796" spans="1:11">
      <c r="A796" s="105">
        <v>41425</v>
      </c>
      <c r="B796" s="156">
        <v>0.19428000000000001</v>
      </c>
      <c r="D796" s="105">
        <v>40953</v>
      </c>
      <c r="E796">
        <v>0.49759999999999999</v>
      </c>
      <c r="F796" s="105">
        <v>40953</v>
      </c>
      <c r="G796">
        <v>0.75360000000000005</v>
      </c>
      <c r="J796" s="105">
        <v>40953</v>
      </c>
      <c r="K796">
        <v>1.06755</v>
      </c>
    </row>
    <row r="797" spans="1:11">
      <c r="A797" s="105">
        <v>41428</v>
      </c>
      <c r="B797" s="156">
        <v>0.19398000000000001</v>
      </c>
      <c r="D797" s="105">
        <v>40952</v>
      </c>
      <c r="E797">
        <v>0.50260000000000005</v>
      </c>
      <c r="F797" s="105">
        <v>40952</v>
      </c>
      <c r="G797">
        <v>0.75560000000000005</v>
      </c>
      <c r="J797" s="105">
        <v>40952</v>
      </c>
      <c r="K797">
        <v>1.0678000000000001</v>
      </c>
    </row>
    <row r="798" spans="1:11">
      <c r="A798" s="105">
        <v>41429</v>
      </c>
      <c r="B798" s="156">
        <v>0.19328000000000001</v>
      </c>
      <c r="D798" s="105">
        <v>40949</v>
      </c>
      <c r="E798">
        <v>0.50600000000000001</v>
      </c>
      <c r="F798" s="105">
        <v>40949</v>
      </c>
      <c r="G798">
        <v>0.7581</v>
      </c>
      <c r="J798" s="105">
        <v>40949</v>
      </c>
      <c r="K798">
        <v>1.0698000000000001</v>
      </c>
    </row>
    <row r="799" spans="1:11">
      <c r="A799" s="105">
        <v>41430</v>
      </c>
      <c r="B799" s="156">
        <v>0.19328000000000001</v>
      </c>
      <c r="D799" s="105">
        <v>40948</v>
      </c>
      <c r="E799">
        <v>0.51</v>
      </c>
      <c r="F799" s="105">
        <v>40948</v>
      </c>
      <c r="G799">
        <v>0.75860000000000005</v>
      </c>
      <c r="J799" s="105">
        <v>40948</v>
      </c>
      <c r="K799">
        <v>1.0725</v>
      </c>
    </row>
    <row r="800" spans="1:11">
      <c r="A800" s="105">
        <v>41431</v>
      </c>
      <c r="B800" s="156">
        <v>0.19288</v>
      </c>
      <c r="D800" s="105">
        <v>40947</v>
      </c>
      <c r="E800">
        <v>0.51324999999999998</v>
      </c>
      <c r="F800" s="105">
        <v>40947</v>
      </c>
      <c r="G800">
        <v>0.76224999999999998</v>
      </c>
      <c r="J800" s="105">
        <v>40947</v>
      </c>
      <c r="K800">
        <v>1.0762499999999999</v>
      </c>
    </row>
    <row r="801" spans="1:11">
      <c r="A801" s="105">
        <v>41432</v>
      </c>
      <c r="B801" s="156">
        <v>0.19238</v>
      </c>
      <c r="D801" s="105">
        <v>40946</v>
      </c>
      <c r="E801">
        <v>0.52</v>
      </c>
      <c r="F801" s="105">
        <v>40946</v>
      </c>
      <c r="G801">
        <v>0.76600000000000001</v>
      </c>
      <c r="J801" s="105">
        <v>40946</v>
      </c>
      <c r="K801">
        <v>1.0802</v>
      </c>
    </row>
    <row r="802" spans="1:11">
      <c r="A802" s="105">
        <v>41435</v>
      </c>
      <c r="B802" s="156">
        <v>0.1925</v>
      </c>
      <c r="D802" s="105">
        <v>40945</v>
      </c>
      <c r="E802">
        <v>0.52324999999999999</v>
      </c>
      <c r="F802" s="105">
        <v>40945</v>
      </c>
      <c r="G802">
        <v>0.76875000000000004</v>
      </c>
      <c r="J802" s="105">
        <v>40945</v>
      </c>
      <c r="K802">
        <v>1.0827500000000001</v>
      </c>
    </row>
    <row r="803" spans="1:11">
      <c r="A803" s="105">
        <v>41436</v>
      </c>
      <c r="B803" s="156">
        <v>0.1925</v>
      </c>
      <c r="D803" s="105">
        <v>40942</v>
      </c>
      <c r="E803">
        <v>0.52700000000000002</v>
      </c>
      <c r="F803" s="105">
        <v>40942</v>
      </c>
      <c r="G803">
        <v>0.76849999999999996</v>
      </c>
      <c r="J803" s="105">
        <v>40942</v>
      </c>
      <c r="K803">
        <v>1.0840000000000001</v>
      </c>
    </row>
    <row r="804" spans="1:11">
      <c r="A804" s="105">
        <v>41437</v>
      </c>
      <c r="B804" s="156">
        <v>0.1925</v>
      </c>
      <c r="D804" s="105">
        <v>40941</v>
      </c>
      <c r="E804">
        <v>0.53059999999999996</v>
      </c>
      <c r="F804" s="105">
        <v>40941</v>
      </c>
      <c r="G804">
        <v>0.77</v>
      </c>
      <c r="J804" s="105">
        <v>40941</v>
      </c>
      <c r="K804">
        <v>1.0865</v>
      </c>
    </row>
    <row r="805" spans="1:11">
      <c r="A805" s="105">
        <v>41438</v>
      </c>
      <c r="B805" s="156">
        <v>0.1925</v>
      </c>
      <c r="D805" s="105">
        <v>40940</v>
      </c>
      <c r="E805">
        <v>0.53710000000000002</v>
      </c>
      <c r="F805" s="105">
        <v>40940</v>
      </c>
      <c r="G805">
        <v>0.77249999999999996</v>
      </c>
      <c r="J805" s="105">
        <v>40940</v>
      </c>
      <c r="K805">
        <v>1.0907</v>
      </c>
    </row>
    <row r="806" spans="1:11">
      <c r="A806" s="105">
        <v>41439</v>
      </c>
      <c r="B806" s="156">
        <v>0.1925</v>
      </c>
      <c r="D806" s="105">
        <v>40939</v>
      </c>
      <c r="E806">
        <v>0.54235</v>
      </c>
      <c r="F806" s="105">
        <v>40939</v>
      </c>
      <c r="G806">
        <v>0.77825</v>
      </c>
      <c r="J806" s="105">
        <v>40939</v>
      </c>
      <c r="K806">
        <v>1.0956999999999999</v>
      </c>
    </row>
    <row r="807" spans="1:11">
      <c r="A807" s="105">
        <v>41442</v>
      </c>
      <c r="B807" s="156">
        <v>0.19159999999999999</v>
      </c>
      <c r="D807" s="105">
        <v>40938</v>
      </c>
      <c r="E807">
        <v>0.54684999999999995</v>
      </c>
      <c r="F807" s="105">
        <v>40938</v>
      </c>
      <c r="G807">
        <v>0.78149999999999997</v>
      </c>
      <c r="J807" s="105">
        <v>40938</v>
      </c>
      <c r="K807">
        <v>1.09745</v>
      </c>
    </row>
    <row r="808" spans="1:11">
      <c r="A808" s="105">
        <v>41443</v>
      </c>
      <c r="B808" s="156">
        <v>0.19159999999999999</v>
      </c>
      <c r="D808" s="105">
        <v>40935</v>
      </c>
      <c r="E808">
        <v>0.55110000000000003</v>
      </c>
      <c r="F808" s="105">
        <v>40935</v>
      </c>
      <c r="G808">
        <v>0.78525</v>
      </c>
      <c r="J808" s="105">
        <v>40935</v>
      </c>
      <c r="K808">
        <v>1.0992</v>
      </c>
    </row>
    <row r="809" spans="1:11">
      <c r="A809" s="105">
        <v>41444</v>
      </c>
      <c r="B809" s="156">
        <v>0.19159999999999999</v>
      </c>
      <c r="D809" s="105">
        <v>40934</v>
      </c>
      <c r="E809">
        <v>0.55310000000000004</v>
      </c>
      <c r="F809" s="105">
        <v>40934</v>
      </c>
      <c r="G809">
        <v>0.78674999999999995</v>
      </c>
      <c r="J809" s="105">
        <v>40934</v>
      </c>
      <c r="K809">
        <v>1.1016999999999999</v>
      </c>
    </row>
    <row r="810" spans="1:11">
      <c r="A810" s="105">
        <v>41445</v>
      </c>
      <c r="B810" s="156">
        <v>0.193</v>
      </c>
      <c r="D810" s="105">
        <v>40933</v>
      </c>
      <c r="E810">
        <v>0.55659999999999998</v>
      </c>
      <c r="F810" s="105">
        <v>40933</v>
      </c>
      <c r="G810">
        <v>0.79174999999999995</v>
      </c>
      <c r="J810" s="105">
        <v>40933</v>
      </c>
      <c r="K810">
        <v>1.10795</v>
      </c>
    </row>
    <row r="811" spans="1:11">
      <c r="A811" s="105">
        <v>41446</v>
      </c>
      <c r="B811" s="156">
        <v>0.193</v>
      </c>
      <c r="D811" s="105">
        <v>40932</v>
      </c>
      <c r="E811">
        <v>0.55910000000000004</v>
      </c>
      <c r="F811" s="105">
        <v>40932</v>
      </c>
      <c r="G811">
        <v>0.79125000000000001</v>
      </c>
      <c r="J811" s="105">
        <v>40932</v>
      </c>
      <c r="K811">
        <v>1.1084499999999999</v>
      </c>
    </row>
    <row r="812" spans="1:11">
      <c r="A812" s="105">
        <v>41449</v>
      </c>
      <c r="B812" s="156">
        <v>0.19535</v>
      </c>
      <c r="D812" s="105">
        <v>40931</v>
      </c>
      <c r="E812">
        <v>0.56010000000000004</v>
      </c>
      <c r="F812" s="105">
        <v>40931</v>
      </c>
      <c r="G812">
        <v>0.79274999999999995</v>
      </c>
      <c r="J812" s="105">
        <v>40931</v>
      </c>
      <c r="K812">
        <v>1.10995</v>
      </c>
    </row>
    <row r="813" spans="1:11">
      <c r="A813" s="105">
        <v>41450</v>
      </c>
      <c r="B813" s="156">
        <v>0.19434999999999999</v>
      </c>
      <c r="D813" s="105">
        <v>40928</v>
      </c>
      <c r="E813">
        <v>0.56110000000000004</v>
      </c>
      <c r="F813" s="105">
        <v>40928</v>
      </c>
      <c r="G813">
        <v>0.79174999999999995</v>
      </c>
      <c r="J813" s="105">
        <v>40928</v>
      </c>
      <c r="K813">
        <v>1.10995</v>
      </c>
    </row>
    <row r="814" spans="1:11">
      <c r="A814" s="105">
        <v>41451</v>
      </c>
      <c r="B814" s="156">
        <v>0.19535</v>
      </c>
      <c r="D814" s="105">
        <v>40927</v>
      </c>
      <c r="E814">
        <v>0.56120000000000003</v>
      </c>
      <c r="F814" s="105">
        <v>40927</v>
      </c>
      <c r="G814">
        <v>0.79174999999999995</v>
      </c>
      <c r="J814" s="105">
        <v>40927</v>
      </c>
      <c r="K814">
        <v>1.11005</v>
      </c>
    </row>
    <row r="815" spans="1:11">
      <c r="A815" s="105">
        <v>41452</v>
      </c>
      <c r="B815" s="156">
        <v>0.19505</v>
      </c>
      <c r="D815" s="105">
        <v>40926</v>
      </c>
      <c r="E815">
        <v>0.56120000000000003</v>
      </c>
      <c r="F815" s="105">
        <v>40926</v>
      </c>
      <c r="G815">
        <v>0.79174999999999995</v>
      </c>
      <c r="J815" s="105">
        <v>40926</v>
      </c>
      <c r="K815">
        <v>1.11005</v>
      </c>
    </row>
    <row r="816" spans="1:11">
      <c r="A816" s="105">
        <v>41453</v>
      </c>
      <c r="B816" s="156">
        <v>0.19464999999999999</v>
      </c>
      <c r="D816" s="105">
        <v>40925</v>
      </c>
      <c r="E816">
        <v>0.56230000000000002</v>
      </c>
      <c r="F816" s="105">
        <v>40925</v>
      </c>
      <c r="G816">
        <v>0.79274999999999995</v>
      </c>
      <c r="J816" s="105">
        <v>40925</v>
      </c>
      <c r="K816">
        <v>1.11015</v>
      </c>
    </row>
    <row r="817" spans="1:11">
      <c r="A817" s="105">
        <v>41456</v>
      </c>
      <c r="B817" s="156">
        <v>0.1958</v>
      </c>
      <c r="D817" s="105">
        <v>40924</v>
      </c>
      <c r="E817">
        <v>0.56489999999999996</v>
      </c>
      <c r="F817" s="105">
        <v>40924</v>
      </c>
      <c r="G817">
        <v>0.79325000000000001</v>
      </c>
      <c r="J817" s="105">
        <v>40924</v>
      </c>
      <c r="K817">
        <v>1.11175</v>
      </c>
    </row>
    <row r="818" spans="1:11">
      <c r="A818" s="105">
        <v>41457</v>
      </c>
      <c r="B818" s="156">
        <v>0.19528000000000001</v>
      </c>
      <c r="D818" s="105">
        <v>40921</v>
      </c>
      <c r="E818">
        <v>0.56699999999999995</v>
      </c>
      <c r="F818" s="105">
        <v>40921</v>
      </c>
      <c r="G818">
        <v>0.79425000000000001</v>
      </c>
      <c r="J818" s="105">
        <v>40921</v>
      </c>
      <c r="K818">
        <v>1.11395</v>
      </c>
    </row>
    <row r="819" spans="1:11">
      <c r="A819" s="105">
        <v>41458</v>
      </c>
      <c r="B819" s="156">
        <v>0.19478000000000001</v>
      </c>
      <c r="D819" s="105">
        <v>40920</v>
      </c>
      <c r="E819">
        <v>0.57150000000000001</v>
      </c>
      <c r="F819" s="105">
        <v>40920</v>
      </c>
      <c r="G819">
        <v>0.80225000000000002</v>
      </c>
      <c r="J819" s="105">
        <v>40920</v>
      </c>
      <c r="K819">
        <v>1.1194500000000001</v>
      </c>
    </row>
    <row r="820" spans="1:11">
      <c r="A820" s="105">
        <v>41459</v>
      </c>
      <c r="B820" s="156">
        <v>0.19478000000000001</v>
      </c>
      <c r="D820" s="105">
        <v>40919</v>
      </c>
      <c r="E820">
        <v>0.57650000000000001</v>
      </c>
      <c r="F820" s="105">
        <v>40919</v>
      </c>
      <c r="G820">
        <v>0.80674999999999997</v>
      </c>
      <c r="J820" s="105">
        <v>40919</v>
      </c>
      <c r="K820">
        <v>1.12435</v>
      </c>
    </row>
    <row r="821" spans="1:11">
      <c r="A821" s="105">
        <v>41460</v>
      </c>
      <c r="B821" s="156">
        <v>0.19478000000000001</v>
      </c>
      <c r="D821" s="105">
        <v>40918</v>
      </c>
      <c r="E821">
        <v>0.57950000000000002</v>
      </c>
      <c r="F821" s="105">
        <v>40918</v>
      </c>
      <c r="G821">
        <v>0.8085</v>
      </c>
      <c r="J821" s="105">
        <v>40918</v>
      </c>
      <c r="K821">
        <v>1.12605</v>
      </c>
    </row>
    <row r="822" spans="1:11">
      <c r="A822" s="105">
        <v>41463</v>
      </c>
      <c r="B822" s="156">
        <v>0.19278000000000001</v>
      </c>
      <c r="D822" s="105">
        <v>40917</v>
      </c>
      <c r="E822">
        <v>0.58050000000000002</v>
      </c>
      <c r="F822" s="105">
        <v>40917</v>
      </c>
      <c r="G822">
        <v>0.81</v>
      </c>
      <c r="J822" s="105">
        <v>40917</v>
      </c>
      <c r="K822">
        <v>1.12825</v>
      </c>
    </row>
    <row r="823" spans="1:11">
      <c r="A823" s="105">
        <v>41464</v>
      </c>
      <c r="B823" s="156">
        <v>0.19275999999999999</v>
      </c>
      <c r="D823" s="105">
        <v>40914</v>
      </c>
      <c r="E823">
        <v>0.58150000000000002</v>
      </c>
      <c r="F823" s="105">
        <v>40914</v>
      </c>
      <c r="G823">
        <v>0.81200000000000006</v>
      </c>
      <c r="J823" s="105">
        <v>40914</v>
      </c>
      <c r="K823">
        <v>1.13035</v>
      </c>
    </row>
    <row r="824" spans="1:11">
      <c r="A824" s="105">
        <v>41465</v>
      </c>
      <c r="B824" s="156">
        <v>0.19213</v>
      </c>
      <c r="D824" s="105">
        <v>40913</v>
      </c>
      <c r="E824">
        <v>0.58250000000000002</v>
      </c>
      <c r="F824" s="105">
        <v>40913</v>
      </c>
      <c r="G824">
        <v>0.81200000000000006</v>
      </c>
      <c r="J824" s="105">
        <v>40913</v>
      </c>
      <c r="K824">
        <v>1.13035</v>
      </c>
    </row>
    <row r="825" spans="1:11">
      <c r="A825" s="105">
        <v>41466</v>
      </c>
      <c r="B825" s="156">
        <v>0.19103000000000001</v>
      </c>
      <c r="D825" s="105">
        <v>40912</v>
      </c>
      <c r="E825">
        <v>0.58250000000000002</v>
      </c>
      <c r="F825" s="105">
        <v>40912</v>
      </c>
      <c r="G825">
        <v>0.81100000000000005</v>
      </c>
      <c r="J825" s="105">
        <v>40912</v>
      </c>
      <c r="K825">
        <v>1.13035</v>
      </c>
    </row>
    <row r="826" spans="1:11">
      <c r="A826" s="105">
        <v>41467</v>
      </c>
      <c r="B826" s="156">
        <v>0.19192999999999999</v>
      </c>
      <c r="D826" s="105">
        <v>40911</v>
      </c>
      <c r="E826">
        <v>0.58250000000000002</v>
      </c>
      <c r="F826" s="105">
        <v>40911</v>
      </c>
      <c r="G826">
        <v>0.81100000000000005</v>
      </c>
      <c r="J826" s="105">
        <v>40911</v>
      </c>
      <c r="K826">
        <v>1.13005</v>
      </c>
    </row>
    <row r="827" spans="1:11">
      <c r="A827" s="105">
        <v>41470</v>
      </c>
      <c r="B827" s="156">
        <v>0.19192999999999999</v>
      </c>
      <c r="D827" s="105">
        <v>40907</v>
      </c>
      <c r="E827">
        <v>0.58099999999999996</v>
      </c>
      <c r="F827" s="105">
        <v>40907</v>
      </c>
      <c r="G827">
        <v>0.8085</v>
      </c>
      <c r="J827" s="105">
        <v>40907</v>
      </c>
      <c r="K827">
        <v>1.12805</v>
      </c>
    </row>
    <row r="828" spans="1:11">
      <c r="A828" s="105">
        <v>41471</v>
      </c>
      <c r="B828" s="156">
        <v>0.19053</v>
      </c>
      <c r="D828" s="105">
        <v>40906</v>
      </c>
      <c r="E828">
        <v>0.58099999999999996</v>
      </c>
      <c r="F828" s="105">
        <v>40906</v>
      </c>
      <c r="G828">
        <v>0.8085</v>
      </c>
      <c r="J828" s="105">
        <v>40906</v>
      </c>
      <c r="K828">
        <v>1.12805</v>
      </c>
    </row>
    <row r="829" spans="1:11">
      <c r="A829" s="105">
        <v>41472</v>
      </c>
      <c r="B829" s="156">
        <v>0.19153000000000001</v>
      </c>
      <c r="D829" s="105">
        <v>40905</v>
      </c>
      <c r="E829">
        <v>0.57925000000000004</v>
      </c>
      <c r="F829" s="105">
        <v>40905</v>
      </c>
      <c r="G829">
        <v>0.80800000000000005</v>
      </c>
      <c r="J829" s="105">
        <v>40905</v>
      </c>
      <c r="K829">
        <v>1.1269</v>
      </c>
    </row>
    <row r="830" spans="1:11">
      <c r="A830" s="105">
        <v>41473</v>
      </c>
      <c r="B830" s="156">
        <v>0.19153000000000001</v>
      </c>
      <c r="D830" s="105">
        <v>40900</v>
      </c>
      <c r="E830">
        <v>0.57574999999999998</v>
      </c>
      <c r="F830" s="105">
        <v>40900</v>
      </c>
      <c r="G830">
        <v>0.80400000000000005</v>
      </c>
      <c r="J830" s="105">
        <v>40900</v>
      </c>
      <c r="K830">
        <v>1.1231</v>
      </c>
    </row>
    <row r="831" spans="1:11">
      <c r="A831" s="105">
        <v>41474</v>
      </c>
      <c r="B831" s="156">
        <v>0.19103000000000001</v>
      </c>
      <c r="D831" s="105">
        <v>40899</v>
      </c>
      <c r="E831">
        <v>0.57374999999999998</v>
      </c>
      <c r="F831" s="105">
        <v>40899</v>
      </c>
      <c r="G831">
        <v>0.80100000000000005</v>
      </c>
      <c r="J831" s="105">
        <v>40899</v>
      </c>
      <c r="K831">
        <v>1.1213500000000001</v>
      </c>
    </row>
    <row r="832" spans="1:11">
      <c r="A832" s="105">
        <v>41477</v>
      </c>
      <c r="B832" s="156">
        <v>0.19053</v>
      </c>
      <c r="D832" s="105">
        <v>40898</v>
      </c>
      <c r="E832">
        <v>0.57125000000000004</v>
      </c>
      <c r="F832" s="105">
        <v>40898</v>
      </c>
      <c r="G832">
        <v>0.79949999999999999</v>
      </c>
      <c r="J832" s="105">
        <v>40898</v>
      </c>
      <c r="K832">
        <v>1.1191</v>
      </c>
    </row>
    <row r="833" spans="1:11">
      <c r="A833" s="105">
        <v>41478</v>
      </c>
      <c r="B833" s="156">
        <v>0.19003</v>
      </c>
      <c r="D833" s="105">
        <v>40897</v>
      </c>
      <c r="E833">
        <v>0.56974999999999998</v>
      </c>
      <c r="F833" s="105">
        <v>40897</v>
      </c>
      <c r="G833">
        <v>0.79849999999999999</v>
      </c>
      <c r="J833" s="105">
        <v>40897</v>
      </c>
      <c r="K833">
        <v>1.1188499999999999</v>
      </c>
    </row>
    <row r="834" spans="1:11">
      <c r="A834" s="105">
        <v>41479</v>
      </c>
      <c r="B834" s="156">
        <v>0.18933</v>
      </c>
      <c r="D834" s="105">
        <v>40896</v>
      </c>
      <c r="E834">
        <v>0.56694999999999995</v>
      </c>
      <c r="F834" s="105">
        <v>40896</v>
      </c>
      <c r="G834">
        <v>0.79449999999999998</v>
      </c>
      <c r="J834" s="105">
        <v>40896</v>
      </c>
      <c r="K834">
        <v>1.11435</v>
      </c>
    </row>
    <row r="835" spans="1:11">
      <c r="A835" s="105">
        <v>41480</v>
      </c>
      <c r="B835" s="156">
        <v>0.18643000000000001</v>
      </c>
      <c r="D835" s="105">
        <v>40893</v>
      </c>
      <c r="E835">
        <v>0.56315000000000004</v>
      </c>
      <c r="F835" s="105">
        <v>40893</v>
      </c>
      <c r="G835">
        <v>0.78800000000000003</v>
      </c>
      <c r="J835" s="105">
        <v>40893</v>
      </c>
      <c r="K835">
        <v>1.1103499999999999</v>
      </c>
    </row>
    <row r="836" spans="1:11">
      <c r="A836" s="105">
        <v>41481</v>
      </c>
      <c r="B836" s="156">
        <v>0.18643000000000001</v>
      </c>
      <c r="D836" s="105">
        <v>40892</v>
      </c>
      <c r="E836">
        <v>0.55915000000000004</v>
      </c>
      <c r="F836" s="105">
        <v>40892</v>
      </c>
      <c r="G836">
        <v>0.78300000000000003</v>
      </c>
      <c r="J836" s="105">
        <v>40892</v>
      </c>
      <c r="K836">
        <v>1.10585</v>
      </c>
    </row>
    <row r="837" spans="1:11">
      <c r="A837" s="105">
        <v>41484</v>
      </c>
      <c r="B837" s="156">
        <v>0.18643000000000001</v>
      </c>
      <c r="D837" s="105">
        <v>40891</v>
      </c>
      <c r="E837">
        <v>0.55505000000000004</v>
      </c>
      <c r="F837" s="105">
        <v>40891</v>
      </c>
      <c r="G837">
        <v>0.77849999999999997</v>
      </c>
      <c r="J837" s="105">
        <v>40891</v>
      </c>
      <c r="K837">
        <v>1.0991500000000001</v>
      </c>
    </row>
    <row r="838" spans="1:11">
      <c r="A838" s="105">
        <v>41485</v>
      </c>
      <c r="B838" s="156">
        <v>0.18723000000000001</v>
      </c>
      <c r="D838" s="105">
        <v>40890</v>
      </c>
      <c r="E838">
        <v>0.54625000000000001</v>
      </c>
      <c r="F838" s="105">
        <v>40890</v>
      </c>
      <c r="G838">
        <v>0.77049999999999996</v>
      </c>
      <c r="J838" s="105">
        <v>40890</v>
      </c>
      <c r="K838">
        <v>1.0933999999999999</v>
      </c>
    </row>
    <row r="839" spans="1:11">
      <c r="A839" s="105">
        <v>41486</v>
      </c>
      <c r="B839" s="156">
        <v>0.18673000000000001</v>
      </c>
      <c r="D839" s="105">
        <v>40889</v>
      </c>
      <c r="E839">
        <v>0.54349999999999998</v>
      </c>
      <c r="F839" s="105">
        <v>40889</v>
      </c>
      <c r="G839">
        <v>0.76449999999999996</v>
      </c>
      <c r="J839" s="105">
        <v>40889</v>
      </c>
      <c r="K839">
        <v>1.0873999999999999</v>
      </c>
    </row>
    <row r="840" spans="1:11">
      <c r="A840" s="105">
        <v>41487</v>
      </c>
      <c r="B840" s="156">
        <v>0.18593000000000001</v>
      </c>
      <c r="D840" s="105">
        <v>40886</v>
      </c>
      <c r="E840">
        <v>0.54174999999999995</v>
      </c>
      <c r="F840" s="105">
        <v>40886</v>
      </c>
      <c r="G840">
        <v>0.76200000000000001</v>
      </c>
      <c r="J840" s="105">
        <v>40886</v>
      </c>
      <c r="K840">
        <v>1.0849</v>
      </c>
    </row>
    <row r="841" spans="1:11">
      <c r="A841" s="105">
        <v>41488</v>
      </c>
      <c r="B841" s="156">
        <v>0.18593000000000001</v>
      </c>
      <c r="D841" s="105">
        <v>40885</v>
      </c>
      <c r="E841">
        <v>0.54</v>
      </c>
      <c r="F841" s="105">
        <v>40885</v>
      </c>
      <c r="G841">
        <v>0.76049999999999995</v>
      </c>
      <c r="J841" s="105">
        <v>40885</v>
      </c>
      <c r="K841">
        <v>1.0821499999999999</v>
      </c>
    </row>
    <row r="842" spans="1:11">
      <c r="A842" s="105">
        <v>41491</v>
      </c>
      <c r="B842" s="156">
        <v>0.18603</v>
      </c>
      <c r="D842" s="105">
        <v>40884</v>
      </c>
      <c r="E842">
        <v>0.54</v>
      </c>
      <c r="F842" s="105">
        <v>40884</v>
      </c>
      <c r="G842">
        <v>0.76</v>
      </c>
      <c r="J842" s="105">
        <v>40884</v>
      </c>
      <c r="K842">
        <v>1.0811500000000001</v>
      </c>
    </row>
    <row r="843" spans="1:11">
      <c r="A843" s="105">
        <v>41492</v>
      </c>
      <c r="B843" s="156">
        <v>0.18503</v>
      </c>
      <c r="D843" s="105">
        <v>40883</v>
      </c>
      <c r="E843">
        <v>0.53774999999999995</v>
      </c>
      <c r="F843" s="105">
        <v>40883</v>
      </c>
      <c r="G843">
        <v>0.75824999999999998</v>
      </c>
      <c r="J843" s="105">
        <v>40883</v>
      </c>
      <c r="K843">
        <v>1.0789</v>
      </c>
    </row>
    <row r="844" spans="1:11">
      <c r="A844" s="105">
        <v>41493</v>
      </c>
      <c r="B844" s="156">
        <v>0.18503</v>
      </c>
      <c r="D844" s="105">
        <v>40882</v>
      </c>
      <c r="E844">
        <v>0.53390000000000004</v>
      </c>
      <c r="F844" s="105">
        <v>40882</v>
      </c>
      <c r="G844">
        <v>0.75424999999999998</v>
      </c>
      <c r="J844" s="105">
        <v>40882</v>
      </c>
      <c r="K844">
        <v>1.0740000000000001</v>
      </c>
    </row>
    <row r="845" spans="1:11">
      <c r="A845" s="105">
        <v>41494</v>
      </c>
      <c r="B845" s="156">
        <v>0.18503</v>
      </c>
      <c r="D845" s="105">
        <v>40879</v>
      </c>
      <c r="E845">
        <v>0.52832999999999997</v>
      </c>
      <c r="F845" s="105">
        <v>40879</v>
      </c>
      <c r="G845">
        <v>0.74833000000000005</v>
      </c>
      <c r="J845" s="105">
        <v>40879</v>
      </c>
      <c r="K845">
        <v>1.06517</v>
      </c>
    </row>
    <row r="846" spans="1:11">
      <c r="A846" s="105">
        <v>41495</v>
      </c>
      <c r="B846" s="156">
        <v>0.18456</v>
      </c>
      <c r="D846" s="105">
        <v>40878</v>
      </c>
      <c r="E846">
        <v>0.52722000000000002</v>
      </c>
      <c r="F846" s="105">
        <v>40878</v>
      </c>
      <c r="G846">
        <v>0.74722</v>
      </c>
      <c r="J846" s="105">
        <v>40878</v>
      </c>
      <c r="K846">
        <v>1.06494</v>
      </c>
    </row>
    <row r="847" spans="1:11">
      <c r="A847" s="105">
        <v>41498</v>
      </c>
      <c r="B847" s="156">
        <v>0.18456</v>
      </c>
      <c r="D847" s="105">
        <v>40877</v>
      </c>
      <c r="E847">
        <v>0.52888999999999997</v>
      </c>
      <c r="F847" s="105">
        <v>40877</v>
      </c>
      <c r="G847">
        <v>0.74833000000000005</v>
      </c>
      <c r="J847" s="105">
        <v>40877</v>
      </c>
      <c r="K847">
        <v>1.0710599999999999</v>
      </c>
    </row>
    <row r="848" spans="1:11">
      <c r="A848" s="105">
        <v>41499</v>
      </c>
      <c r="B848" s="156">
        <v>0.18406</v>
      </c>
      <c r="D848" s="105">
        <v>40876</v>
      </c>
      <c r="E848">
        <v>0.52693999999999996</v>
      </c>
      <c r="F848" s="105">
        <v>40876</v>
      </c>
      <c r="G848">
        <v>0.74582999999999999</v>
      </c>
      <c r="J848" s="105">
        <v>40876</v>
      </c>
      <c r="K848">
        <v>1.0660000000000001</v>
      </c>
    </row>
    <row r="849" spans="1:11">
      <c r="A849" s="105">
        <v>41500</v>
      </c>
      <c r="B849" s="156">
        <v>0.18406</v>
      </c>
      <c r="D849" s="105">
        <v>40875</v>
      </c>
      <c r="E849">
        <v>0.52305999999999997</v>
      </c>
      <c r="F849" s="105">
        <v>40875</v>
      </c>
      <c r="G849">
        <v>0.73972000000000004</v>
      </c>
      <c r="J849" s="105">
        <v>40875</v>
      </c>
      <c r="K849">
        <v>1.06044</v>
      </c>
    </row>
    <row r="850" spans="1:11">
      <c r="A850" s="105">
        <v>41501</v>
      </c>
      <c r="B850" s="156">
        <v>0.18406</v>
      </c>
      <c r="D850" s="105">
        <v>40872</v>
      </c>
      <c r="E850">
        <v>0.51805999999999996</v>
      </c>
      <c r="F850" s="105">
        <v>40872</v>
      </c>
      <c r="G850">
        <v>0.73416999999999999</v>
      </c>
      <c r="J850" s="105">
        <v>40872</v>
      </c>
      <c r="K850">
        <v>1.0515600000000001</v>
      </c>
    </row>
    <row r="851" spans="1:11">
      <c r="A851" s="105">
        <v>41502</v>
      </c>
      <c r="B851" s="156">
        <v>0.18406</v>
      </c>
      <c r="D851" s="105">
        <v>40871</v>
      </c>
      <c r="E851">
        <v>0.51166999999999996</v>
      </c>
      <c r="F851" s="105">
        <v>40871</v>
      </c>
      <c r="G851">
        <v>0.72611000000000003</v>
      </c>
      <c r="J851" s="105">
        <v>40871</v>
      </c>
      <c r="K851">
        <v>1.0465599999999999</v>
      </c>
    </row>
    <row r="852" spans="1:11">
      <c r="A852" s="105">
        <v>41505</v>
      </c>
      <c r="B852" s="156">
        <v>0.18356</v>
      </c>
      <c r="D852" s="105">
        <v>40870</v>
      </c>
      <c r="E852">
        <v>0.50610999999999995</v>
      </c>
      <c r="F852" s="105">
        <v>40870</v>
      </c>
      <c r="G852">
        <v>0.71889000000000003</v>
      </c>
      <c r="J852" s="105">
        <v>40870</v>
      </c>
      <c r="K852">
        <v>1.0414399999999999</v>
      </c>
    </row>
    <row r="853" spans="1:11">
      <c r="A853" s="105">
        <v>41506</v>
      </c>
      <c r="B853" s="156">
        <v>0.18285999999999999</v>
      </c>
      <c r="D853" s="105">
        <v>40869</v>
      </c>
      <c r="E853">
        <v>0.50027999999999995</v>
      </c>
      <c r="F853" s="105">
        <v>40869</v>
      </c>
      <c r="G853">
        <v>0.71221999999999996</v>
      </c>
      <c r="J853" s="105">
        <v>40869</v>
      </c>
      <c r="K853">
        <v>1.0342199999999999</v>
      </c>
    </row>
    <row r="854" spans="1:11">
      <c r="A854" s="105">
        <v>41507</v>
      </c>
      <c r="B854" s="156">
        <v>0.18336</v>
      </c>
      <c r="D854" s="105">
        <v>40868</v>
      </c>
      <c r="E854">
        <v>0.495</v>
      </c>
      <c r="F854" s="105">
        <v>40868</v>
      </c>
      <c r="G854">
        <v>0.70611000000000002</v>
      </c>
      <c r="J854" s="105">
        <v>40868</v>
      </c>
      <c r="K854">
        <v>1.02589</v>
      </c>
    </row>
    <row r="855" spans="1:11">
      <c r="A855" s="105">
        <v>41508</v>
      </c>
      <c r="B855" s="156">
        <v>0.18406</v>
      </c>
      <c r="D855" s="105">
        <v>40865</v>
      </c>
      <c r="E855">
        <v>0.48777999999999999</v>
      </c>
      <c r="F855" s="105">
        <v>40865</v>
      </c>
      <c r="G855">
        <v>0.69860999999999995</v>
      </c>
      <c r="J855" s="105">
        <v>40865</v>
      </c>
      <c r="K855">
        <v>1.0181100000000001</v>
      </c>
    </row>
    <row r="856" spans="1:11">
      <c r="A856" s="105">
        <v>41509</v>
      </c>
      <c r="B856" s="156">
        <v>0.18406</v>
      </c>
      <c r="D856" s="105">
        <v>40864</v>
      </c>
      <c r="E856">
        <v>0.47943999999999998</v>
      </c>
      <c r="F856" s="105">
        <v>40864</v>
      </c>
      <c r="G856">
        <v>0.68916999999999995</v>
      </c>
      <c r="J856" s="105">
        <v>40864</v>
      </c>
      <c r="K856">
        <v>1.00756</v>
      </c>
    </row>
    <row r="857" spans="1:11">
      <c r="A857" s="105">
        <v>41513</v>
      </c>
      <c r="B857" s="156">
        <v>0.18256</v>
      </c>
      <c r="D857" s="105">
        <v>40863</v>
      </c>
      <c r="E857">
        <v>0.47110999999999997</v>
      </c>
      <c r="F857" s="105">
        <v>40863</v>
      </c>
      <c r="G857">
        <v>0.67693999999999999</v>
      </c>
      <c r="J857" s="105">
        <v>40863</v>
      </c>
      <c r="K857">
        <v>0.997</v>
      </c>
    </row>
    <row r="858" spans="1:11">
      <c r="A858" s="105">
        <v>41514</v>
      </c>
      <c r="B858" s="156">
        <v>0.18206</v>
      </c>
      <c r="D858" s="105">
        <v>40862</v>
      </c>
      <c r="E858">
        <v>0.46555999999999997</v>
      </c>
      <c r="F858" s="105">
        <v>40862</v>
      </c>
      <c r="G858">
        <v>0.66971999999999998</v>
      </c>
      <c r="J858" s="105">
        <v>40862</v>
      </c>
      <c r="K858">
        <v>0.99189000000000005</v>
      </c>
    </row>
    <row r="859" spans="1:11">
      <c r="A859" s="105">
        <v>41515</v>
      </c>
      <c r="B859" s="156">
        <v>0.18256</v>
      </c>
      <c r="D859" s="105">
        <v>40861</v>
      </c>
      <c r="E859">
        <v>0.46056000000000002</v>
      </c>
      <c r="F859" s="105">
        <v>40861</v>
      </c>
      <c r="G859">
        <v>0.66222000000000003</v>
      </c>
      <c r="J859" s="105">
        <v>40861</v>
      </c>
      <c r="K859">
        <v>0.98521999999999998</v>
      </c>
    </row>
    <row r="860" spans="1:11">
      <c r="A860" s="105">
        <v>41516</v>
      </c>
      <c r="B860" s="156">
        <v>0.18206</v>
      </c>
      <c r="D860" s="105">
        <v>40858</v>
      </c>
      <c r="E860">
        <v>0.45722000000000002</v>
      </c>
      <c r="F860" s="105">
        <v>40858</v>
      </c>
      <c r="G860">
        <v>0.65861000000000003</v>
      </c>
      <c r="J860" s="105">
        <v>40858</v>
      </c>
      <c r="K860">
        <v>0.98143999999999998</v>
      </c>
    </row>
    <row r="861" spans="1:11">
      <c r="A861" s="105">
        <v>41519</v>
      </c>
      <c r="B861" s="156">
        <v>0.18256</v>
      </c>
      <c r="D861" s="105">
        <v>40857</v>
      </c>
      <c r="E861">
        <v>0.45278000000000002</v>
      </c>
      <c r="F861" s="105">
        <v>40857</v>
      </c>
      <c r="G861">
        <v>0.65417000000000003</v>
      </c>
      <c r="J861" s="105">
        <v>40857</v>
      </c>
      <c r="K861">
        <v>0.97643999999999997</v>
      </c>
    </row>
    <row r="862" spans="1:11">
      <c r="A862" s="105">
        <v>41520</v>
      </c>
      <c r="B862" s="156">
        <v>0.18206</v>
      </c>
      <c r="D862" s="105">
        <v>40856</v>
      </c>
      <c r="E862">
        <v>0.44917000000000001</v>
      </c>
      <c r="F862" s="105">
        <v>40856</v>
      </c>
      <c r="G862">
        <v>0.64832999999999996</v>
      </c>
      <c r="J862" s="105">
        <v>40856</v>
      </c>
      <c r="K862">
        <v>0.96450000000000002</v>
      </c>
    </row>
    <row r="863" spans="1:11">
      <c r="A863" s="105">
        <v>41521</v>
      </c>
      <c r="B863" s="156">
        <v>0.1817</v>
      </c>
      <c r="D863" s="105">
        <v>40855</v>
      </c>
      <c r="E863">
        <v>0.44417000000000001</v>
      </c>
      <c r="F863" s="105">
        <v>40855</v>
      </c>
      <c r="G863">
        <v>0.64166999999999996</v>
      </c>
      <c r="J863" s="105">
        <v>40855</v>
      </c>
      <c r="K863">
        <v>0.95860999999999996</v>
      </c>
    </row>
    <row r="864" spans="1:11">
      <c r="A864" s="105">
        <v>41522</v>
      </c>
      <c r="B864" s="156">
        <v>0.18190000000000001</v>
      </c>
      <c r="D864" s="105">
        <v>40854</v>
      </c>
      <c r="E864">
        <v>0.44139</v>
      </c>
      <c r="F864" s="105">
        <v>40854</v>
      </c>
      <c r="G864">
        <v>0.63666999999999996</v>
      </c>
      <c r="J864" s="105">
        <v>40854</v>
      </c>
      <c r="K864">
        <v>0.95372000000000001</v>
      </c>
    </row>
    <row r="865" spans="1:11">
      <c r="A865" s="105">
        <v>41523</v>
      </c>
      <c r="B865" s="156">
        <v>0.18190000000000001</v>
      </c>
      <c r="D865" s="105">
        <v>40851</v>
      </c>
      <c r="E865">
        <v>0.4375</v>
      </c>
      <c r="F865" s="105">
        <v>40851</v>
      </c>
      <c r="G865">
        <v>0.63110999999999995</v>
      </c>
      <c r="J865" s="105">
        <v>40851</v>
      </c>
      <c r="K865">
        <v>0.94882999999999995</v>
      </c>
    </row>
    <row r="866" spans="1:11">
      <c r="A866" s="105">
        <v>41526</v>
      </c>
      <c r="B866" s="156">
        <v>0.18190000000000001</v>
      </c>
      <c r="D866" s="105">
        <v>40850</v>
      </c>
      <c r="E866">
        <v>0.435</v>
      </c>
      <c r="F866" s="105">
        <v>40850</v>
      </c>
      <c r="G866">
        <v>0.62694000000000005</v>
      </c>
      <c r="J866" s="105">
        <v>40850</v>
      </c>
      <c r="K866">
        <v>0.94489000000000001</v>
      </c>
    </row>
    <row r="867" spans="1:11">
      <c r="A867" s="105">
        <v>41527</v>
      </c>
      <c r="B867" s="156">
        <v>0.18140000000000001</v>
      </c>
      <c r="D867" s="105">
        <v>40849</v>
      </c>
      <c r="E867">
        <v>0.43306</v>
      </c>
      <c r="F867" s="105">
        <v>40849</v>
      </c>
      <c r="G867">
        <v>0.62388999999999994</v>
      </c>
      <c r="J867" s="105">
        <v>40849</v>
      </c>
      <c r="K867">
        <v>0.94160999999999995</v>
      </c>
    </row>
    <row r="868" spans="1:11">
      <c r="A868" s="105">
        <v>41528</v>
      </c>
      <c r="B868" s="156">
        <v>0.18240000000000001</v>
      </c>
      <c r="D868" s="105">
        <v>40848</v>
      </c>
      <c r="E868">
        <v>0.43167</v>
      </c>
      <c r="F868" s="105">
        <v>40848</v>
      </c>
      <c r="G868">
        <v>0.62250000000000005</v>
      </c>
      <c r="J868" s="105">
        <v>40848</v>
      </c>
      <c r="K868">
        <v>0.93972</v>
      </c>
    </row>
    <row r="869" spans="1:11">
      <c r="A869" s="105">
        <v>41529</v>
      </c>
      <c r="B869" s="156">
        <v>0.18229999999999999</v>
      </c>
      <c r="D869" s="105">
        <v>40847</v>
      </c>
      <c r="E869">
        <v>0.42943999999999999</v>
      </c>
      <c r="F869" s="105">
        <v>40847</v>
      </c>
      <c r="G869">
        <v>0.61943999999999999</v>
      </c>
      <c r="J869" s="105">
        <v>40847</v>
      </c>
      <c r="K869">
        <v>0.93561000000000005</v>
      </c>
    </row>
    <row r="870" spans="1:11">
      <c r="A870" s="105">
        <v>41530</v>
      </c>
      <c r="B870" s="156">
        <v>0.1802</v>
      </c>
      <c r="D870" s="105">
        <v>40844</v>
      </c>
      <c r="E870">
        <v>0.42943999999999999</v>
      </c>
      <c r="F870" s="105">
        <v>40844</v>
      </c>
      <c r="G870">
        <v>0.61972000000000005</v>
      </c>
      <c r="J870" s="105">
        <v>40844</v>
      </c>
      <c r="K870">
        <v>0.93371999999999999</v>
      </c>
    </row>
    <row r="871" spans="1:11">
      <c r="A871" s="105">
        <v>41533</v>
      </c>
      <c r="B871" s="156">
        <v>0.17924999999999999</v>
      </c>
      <c r="D871" s="105">
        <v>40843</v>
      </c>
      <c r="E871">
        <v>0.42806</v>
      </c>
      <c r="F871" s="105">
        <v>40843</v>
      </c>
      <c r="G871">
        <v>0.61889000000000005</v>
      </c>
      <c r="J871" s="105">
        <v>40843</v>
      </c>
      <c r="K871">
        <v>0.93128</v>
      </c>
    </row>
    <row r="872" spans="1:11">
      <c r="A872" s="105">
        <v>41534</v>
      </c>
      <c r="B872" s="156">
        <v>0.18049999999999999</v>
      </c>
      <c r="D872" s="105">
        <v>40842</v>
      </c>
      <c r="E872">
        <v>0.42471999999999999</v>
      </c>
      <c r="F872" s="105">
        <v>40842</v>
      </c>
      <c r="G872">
        <v>0.61556</v>
      </c>
      <c r="J872" s="105">
        <v>40842</v>
      </c>
      <c r="K872">
        <v>0.92717000000000005</v>
      </c>
    </row>
    <row r="873" spans="1:11">
      <c r="A873" s="105">
        <v>41535</v>
      </c>
      <c r="B873" s="156">
        <v>0.18</v>
      </c>
      <c r="D873" s="105">
        <v>40841</v>
      </c>
      <c r="E873">
        <v>0.42221999999999998</v>
      </c>
      <c r="F873" s="105">
        <v>40841</v>
      </c>
      <c r="G873">
        <v>0.61221999999999999</v>
      </c>
      <c r="J873" s="105">
        <v>40841</v>
      </c>
      <c r="K873">
        <v>0.92556000000000005</v>
      </c>
    </row>
    <row r="874" spans="1:11">
      <c r="A874" s="105">
        <v>41536</v>
      </c>
      <c r="B874" s="156">
        <v>0.17924999999999999</v>
      </c>
      <c r="D874" s="105">
        <v>40840</v>
      </c>
      <c r="E874">
        <v>0.42027999999999999</v>
      </c>
      <c r="F874" s="105">
        <v>40840</v>
      </c>
      <c r="G874">
        <v>0.61</v>
      </c>
      <c r="J874" s="105">
        <v>40840</v>
      </c>
      <c r="K874">
        <v>0.92393999999999998</v>
      </c>
    </row>
    <row r="875" spans="1:11">
      <c r="A875" s="105">
        <v>41537</v>
      </c>
      <c r="B875" s="156">
        <v>0.17949999999999999</v>
      </c>
      <c r="D875" s="105">
        <v>40837</v>
      </c>
      <c r="E875">
        <v>0.41832999999999998</v>
      </c>
      <c r="F875" s="105">
        <v>40837</v>
      </c>
      <c r="G875">
        <v>0.60667000000000004</v>
      </c>
      <c r="J875" s="105">
        <v>40837</v>
      </c>
      <c r="K875">
        <v>0.92139000000000004</v>
      </c>
    </row>
    <row r="876" spans="1:11">
      <c r="A876" s="105">
        <v>41540</v>
      </c>
      <c r="B876" s="156">
        <v>0.17885000000000001</v>
      </c>
      <c r="D876" s="105">
        <v>40836</v>
      </c>
      <c r="E876">
        <v>0.41555999999999998</v>
      </c>
      <c r="F876" s="105">
        <v>40836</v>
      </c>
      <c r="G876">
        <v>0.60250000000000004</v>
      </c>
      <c r="J876" s="105">
        <v>40836</v>
      </c>
      <c r="K876">
        <v>0.91861000000000004</v>
      </c>
    </row>
    <row r="877" spans="1:11">
      <c r="A877" s="105">
        <v>41541</v>
      </c>
      <c r="B877" s="156">
        <v>0.17979999999999999</v>
      </c>
      <c r="D877" s="105">
        <v>40835</v>
      </c>
      <c r="E877">
        <v>0.41166999999999998</v>
      </c>
      <c r="F877" s="105">
        <v>40835</v>
      </c>
      <c r="G877">
        <v>0.60028000000000004</v>
      </c>
      <c r="J877" s="105">
        <v>40835</v>
      </c>
      <c r="K877">
        <v>0.91561000000000003</v>
      </c>
    </row>
    <row r="878" spans="1:11">
      <c r="A878" s="105">
        <v>41542</v>
      </c>
      <c r="B878" s="156">
        <v>0.17904999999999999</v>
      </c>
      <c r="D878" s="105">
        <v>40834</v>
      </c>
      <c r="E878">
        <v>0.40916999999999998</v>
      </c>
      <c r="F878" s="105">
        <v>40834</v>
      </c>
      <c r="G878">
        <v>0.59777999999999998</v>
      </c>
      <c r="J878" s="105">
        <v>40834</v>
      </c>
      <c r="K878">
        <v>0.91317000000000004</v>
      </c>
    </row>
    <row r="879" spans="1:11">
      <c r="A879" s="105">
        <v>41543</v>
      </c>
      <c r="B879" s="156">
        <v>0.17904999999999999</v>
      </c>
      <c r="D879" s="105">
        <v>40833</v>
      </c>
      <c r="E879">
        <v>0.40583000000000002</v>
      </c>
      <c r="F879" s="105">
        <v>40833</v>
      </c>
      <c r="G879">
        <v>0.59555999999999998</v>
      </c>
      <c r="J879" s="105">
        <v>40833</v>
      </c>
      <c r="K879">
        <v>0.91093999999999997</v>
      </c>
    </row>
    <row r="880" spans="1:11">
      <c r="A880" s="105">
        <v>41544</v>
      </c>
      <c r="B880" s="156">
        <v>0.17965</v>
      </c>
      <c r="D880" s="105">
        <v>40830</v>
      </c>
      <c r="E880">
        <v>0.40472000000000002</v>
      </c>
      <c r="F880" s="105">
        <v>40830</v>
      </c>
      <c r="G880">
        <v>0.59306000000000003</v>
      </c>
      <c r="J880" s="105">
        <v>40830</v>
      </c>
      <c r="K880">
        <v>0.90949999999999998</v>
      </c>
    </row>
    <row r="881" spans="1:11">
      <c r="A881" s="105">
        <v>41547</v>
      </c>
      <c r="B881" s="156">
        <v>0.17885000000000001</v>
      </c>
      <c r="D881" s="105">
        <v>40829</v>
      </c>
      <c r="E881">
        <v>0.40305999999999997</v>
      </c>
      <c r="F881" s="105">
        <v>40829</v>
      </c>
      <c r="G881">
        <v>0.59167000000000003</v>
      </c>
      <c r="J881" s="105">
        <v>40829</v>
      </c>
      <c r="K881">
        <v>0.90617000000000003</v>
      </c>
    </row>
    <row r="882" spans="1:11">
      <c r="A882" s="105">
        <v>41548</v>
      </c>
      <c r="B882" s="156">
        <v>0.17799999999999999</v>
      </c>
      <c r="D882" s="105">
        <v>40828</v>
      </c>
      <c r="E882">
        <v>0.40083000000000002</v>
      </c>
      <c r="F882" s="105">
        <v>40828</v>
      </c>
      <c r="G882">
        <v>0.58806000000000003</v>
      </c>
      <c r="J882" s="105">
        <v>40828</v>
      </c>
      <c r="K882">
        <v>0.90400000000000003</v>
      </c>
    </row>
    <row r="883" spans="1:11">
      <c r="A883" s="105">
        <v>41549</v>
      </c>
      <c r="B883" s="156">
        <v>0.17574999999999999</v>
      </c>
      <c r="D883" s="105">
        <v>40827</v>
      </c>
      <c r="E883">
        <v>0.39750000000000002</v>
      </c>
      <c r="F883" s="105">
        <v>40827</v>
      </c>
      <c r="G883">
        <v>0.58694000000000002</v>
      </c>
      <c r="J883" s="105">
        <v>40827</v>
      </c>
      <c r="K883">
        <v>0.90132999999999996</v>
      </c>
    </row>
    <row r="884" spans="1:11">
      <c r="A884" s="105">
        <v>41550</v>
      </c>
      <c r="B884" s="156">
        <v>0.17430000000000001</v>
      </c>
      <c r="D884" s="105">
        <v>40826</v>
      </c>
      <c r="E884">
        <v>0.39417000000000002</v>
      </c>
      <c r="F884" s="105">
        <v>40826</v>
      </c>
      <c r="G884">
        <v>0.58250000000000002</v>
      </c>
      <c r="J884" s="105">
        <v>40826</v>
      </c>
      <c r="K884">
        <v>0.89600000000000002</v>
      </c>
    </row>
    <row r="885" spans="1:11">
      <c r="A885" s="105">
        <v>41551</v>
      </c>
      <c r="B885" s="156">
        <v>0.17330000000000001</v>
      </c>
      <c r="D885" s="105">
        <v>40823</v>
      </c>
      <c r="E885">
        <v>0.39111000000000001</v>
      </c>
      <c r="F885" s="105">
        <v>40823</v>
      </c>
      <c r="G885">
        <v>0.58055999999999996</v>
      </c>
      <c r="J885" s="105">
        <v>40823</v>
      </c>
      <c r="K885">
        <v>0.89266999999999996</v>
      </c>
    </row>
    <row r="886" spans="1:11">
      <c r="A886" s="105">
        <v>41554</v>
      </c>
      <c r="B886" s="156">
        <v>0.17380000000000001</v>
      </c>
      <c r="D886" s="105">
        <v>40822</v>
      </c>
      <c r="E886">
        <v>0.38778000000000001</v>
      </c>
      <c r="F886" s="105">
        <v>40822</v>
      </c>
      <c r="G886">
        <v>0.57799999999999996</v>
      </c>
      <c r="J886" s="105">
        <v>40822</v>
      </c>
      <c r="K886">
        <v>0.88849999999999996</v>
      </c>
    </row>
    <row r="887" spans="1:11">
      <c r="A887" s="105">
        <v>41555</v>
      </c>
      <c r="B887" s="156">
        <v>0.17399999999999999</v>
      </c>
      <c r="D887" s="105">
        <v>40821</v>
      </c>
      <c r="E887">
        <v>0.38361000000000001</v>
      </c>
      <c r="F887" s="105">
        <v>40821</v>
      </c>
      <c r="G887">
        <v>0.57160999999999995</v>
      </c>
      <c r="J887" s="105">
        <v>40821</v>
      </c>
      <c r="K887">
        <v>0.88249999999999995</v>
      </c>
    </row>
    <row r="888" spans="1:11">
      <c r="A888" s="105">
        <v>41556</v>
      </c>
      <c r="B888" s="156">
        <v>0.17724999999999999</v>
      </c>
      <c r="D888" s="105">
        <v>40820</v>
      </c>
      <c r="E888">
        <v>0.38094</v>
      </c>
      <c r="F888" s="105">
        <v>40820</v>
      </c>
      <c r="G888">
        <v>0.56699999999999995</v>
      </c>
      <c r="J888" s="105">
        <v>40820</v>
      </c>
      <c r="K888">
        <v>0.875</v>
      </c>
    </row>
    <row r="889" spans="1:11">
      <c r="A889" s="105">
        <v>41557</v>
      </c>
      <c r="B889" s="156">
        <v>0.17399999999999999</v>
      </c>
      <c r="D889" s="105">
        <v>40819</v>
      </c>
      <c r="E889">
        <v>0.37761</v>
      </c>
      <c r="F889" s="105">
        <v>40819</v>
      </c>
      <c r="G889">
        <v>0.56138999999999994</v>
      </c>
      <c r="J889" s="105">
        <v>40819</v>
      </c>
      <c r="K889">
        <v>0.86882999999999999</v>
      </c>
    </row>
    <row r="890" spans="1:11">
      <c r="A890" s="105">
        <v>41558</v>
      </c>
      <c r="B890" s="156">
        <v>0.17399999999999999</v>
      </c>
      <c r="D890" s="105">
        <v>40816</v>
      </c>
      <c r="E890">
        <v>0.37433</v>
      </c>
      <c r="F890" s="105">
        <v>40816</v>
      </c>
      <c r="G890">
        <v>0.55783000000000005</v>
      </c>
      <c r="J890" s="105">
        <v>40816</v>
      </c>
      <c r="K890">
        <v>0.86489000000000005</v>
      </c>
    </row>
    <row r="891" spans="1:11">
      <c r="A891" s="105">
        <v>41561</v>
      </c>
      <c r="B891" s="156">
        <v>0.17549999999999999</v>
      </c>
      <c r="D891" s="105">
        <v>40815</v>
      </c>
      <c r="E891">
        <v>0.37211</v>
      </c>
      <c r="F891" s="105">
        <v>40815</v>
      </c>
      <c r="G891">
        <v>0.55393999999999999</v>
      </c>
      <c r="J891" s="105">
        <v>40815</v>
      </c>
      <c r="K891">
        <v>0.85967000000000005</v>
      </c>
    </row>
    <row r="892" spans="1:11">
      <c r="A892" s="105">
        <v>41562</v>
      </c>
      <c r="B892" s="156">
        <v>0.17374999999999999</v>
      </c>
      <c r="D892" s="105">
        <v>40814</v>
      </c>
      <c r="E892">
        <v>0.36856</v>
      </c>
      <c r="F892" s="105">
        <v>40814</v>
      </c>
      <c r="G892">
        <v>0.54839000000000004</v>
      </c>
      <c r="J892" s="105">
        <v>40814</v>
      </c>
      <c r="K892">
        <v>0.85489000000000004</v>
      </c>
    </row>
    <row r="893" spans="1:11">
      <c r="A893" s="105">
        <v>41563</v>
      </c>
      <c r="B893" s="156">
        <v>0.17549999999999999</v>
      </c>
      <c r="D893" s="105">
        <v>40813</v>
      </c>
      <c r="E893">
        <v>0.36521999999999999</v>
      </c>
      <c r="F893" s="105">
        <v>40813</v>
      </c>
      <c r="G893">
        <v>0.54449999999999998</v>
      </c>
      <c r="J893" s="105">
        <v>40813</v>
      </c>
      <c r="K893">
        <v>0.85155999999999998</v>
      </c>
    </row>
    <row r="894" spans="1:11">
      <c r="A894" s="105">
        <v>41564</v>
      </c>
      <c r="B894" s="156">
        <v>0.17249999999999999</v>
      </c>
      <c r="D894" s="105">
        <v>40812</v>
      </c>
      <c r="E894">
        <v>0.36277999999999999</v>
      </c>
      <c r="F894" s="105">
        <v>40812</v>
      </c>
      <c r="G894">
        <v>0.54171999999999998</v>
      </c>
      <c r="J894" s="105">
        <v>40812</v>
      </c>
      <c r="K894">
        <v>0.85011000000000003</v>
      </c>
    </row>
    <row r="895" spans="1:11">
      <c r="A895" s="105">
        <v>41565</v>
      </c>
      <c r="B895" s="156">
        <v>0.17199999999999999</v>
      </c>
      <c r="D895" s="105">
        <v>40809</v>
      </c>
      <c r="E895">
        <v>0.36021999999999998</v>
      </c>
      <c r="F895" s="105">
        <v>40809</v>
      </c>
      <c r="G895">
        <v>0.53956000000000004</v>
      </c>
      <c r="J895" s="105">
        <v>40809</v>
      </c>
      <c r="K895">
        <v>0.84750000000000003</v>
      </c>
    </row>
    <row r="896" spans="1:11">
      <c r="A896" s="105">
        <v>41568</v>
      </c>
      <c r="B896" s="156">
        <v>0.17</v>
      </c>
      <c r="D896" s="105">
        <v>40808</v>
      </c>
      <c r="E896">
        <v>0.35805999999999999</v>
      </c>
      <c r="F896" s="105">
        <v>40808</v>
      </c>
      <c r="G896">
        <v>0.53700000000000003</v>
      </c>
      <c r="J896" s="105">
        <v>40808</v>
      </c>
      <c r="K896">
        <v>0.84494000000000002</v>
      </c>
    </row>
    <row r="897" spans="1:11">
      <c r="A897" s="105">
        <v>41569</v>
      </c>
      <c r="B897" s="156">
        <v>0.17</v>
      </c>
      <c r="D897" s="105">
        <v>40807</v>
      </c>
      <c r="E897">
        <v>0.35555999999999999</v>
      </c>
      <c r="F897" s="105">
        <v>40807</v>
      </c>
      <c r="G897">
        <v>0.52922000000000002</v>
      </c>
      <c r="J897" s="105">
        <v>40807</v>
      </c>
      <c r="K897">
        <v>0.83855999999999997</v>
      </c>
    </row>
    <row r="898" spans="1:11">
      <c r="A898" s="105">
        <v>41570</v>
      </c>
      <c r="B898" s="156">
        <v>0.17019999999999999</v>
      </c>
      <c r="D898" s="105">
        <v>40806</v>
      </c>
      <c r="E898">
        <v>0.35499999999999998</v>
      </c>
      <c r="F898" s="105">
        <v>40806</v>
      </c>
      <c r="G898">
        <v>0.52700000000000002</v>
      </c>
      <c r="J898" s="105">
        <v>40806</v>
      </c>
      <c r="K898">
        <v>0.83743999999999996</v>
      </c>
    </row>
    <row r="899" spans="1:11">
      <c r="A899" s="105">
        <v>41571</v>
      </c>
      <c r="B899" s="156">
        <v>0.17100000000000001</v>
      </c>
      <c r="D899" s="105">
        <v>40805</v>
      </c>
      <c r="E899">
        <v>0.35249999999999998</v>
      </c>
      <c r="F899" s="105">
        <v>40805</v>
      </c>
      <c r="G899">
        <v>0.52478000000000002</v>
      </c>
      <c r="J899" s="105">
        <v>40805</v>
      </c>
      <c r="K899">
        <v>0.83577999999999997</v>
      </c>
    </row>
    <row r="900" spans="1:11">
      <c r="A900" s="105">
        <v>41572</v>
      </c>
      <c r="B900" s="156">
        <v>0.1686</v>
      </c>
      <c r="D900" s="105">
        <v>40802</v>
      </c>
      <c r="E900">
        <v>0.35132999999999998</v>
      </c>
      <c r="F900" s="105">
        <v>40802</v>
      </c>
      <c r="G900">
        <v>0.52283000000000002</v>
      </c>
      <c r="J900" s="105">
        <v>40802</v>
      </c>
      <c r="K900">
        <v>0.83494000000000002</v>
      </c>
    </row>
    <row r="901" spans="1:11">
      <c r="A901" s="105">
        <v>41575</v>
      </c>
      <c r="B901" s="156">
        <v>0.1681</v>
      </c>
      <c r="D901" s="105">
        <v>40801</v>
      </c>
      <c r="E901">
        <v>0.35021999999999998</v>
      </c>
      <c r="F901" s="105">
        <v>40801</v>
      </c>
      <c r="G901">
        <v>0.52227999999999997</v>
      </c>
      <c r="J901" s="105">
        <v>40801</v>
      </c>
      <c r="K901">
        <v>0.83550000000000002</v>
      </c>
    </row>
    <row r="902" spans="1:11">
      <c r="A902" s="105">
        <v>41576</v>
      </c>
      <c r="B902" s="156">
        <v>0.16800000000000001</v>
      </c>
      <c r="D902" s="105">
        <v>40800</v>
      </c>
      <c r="E902">
        <v>0.34910999999999998</v>
      </c>
      <c r="F902" s="105">
        <v>40800</v>
      </c>
      <c r="G902">
        <v>0.52088999999999996</v>
      </c>
      <c r="J902" s="105">
        <v>40800</v>
      </c>
      <c r="K902">
        <v>0.83411000000000002</v>
      </c>
    </row>
    <row r="903" spans="1:11">
      <c r="A903" s="105">
        <v>41577</v>
      </c>
      <c r="B903" s="156">
        <v>0.16800000000000001</v>
      </c>
      <c r="D903" s="105">
        <v>40799</v>
      </c>
      <c r="E903">
        <v>0.34710999999999997</v>
      </c>
      <c r="F903" s="105">
        <v>40799</v>
      </c>
      <c r="G903">
        <v>0.51693999999999996</v>
      </c>
      <c r="J903" s="105">
        <v>40799</v>
      </c>
      <c r="K903">
        <v>0.83082999999999996</v>
      </c>
    </row>
    <row r="904" spans="1:11">
      <c r="A904" s="105">
        <v>41578</v>
      </c>
      <c r="B904" s="156">
        <v>0.16800000000000001</v>
      </c>
      <c r="D904" s="105">
        <v>40798</v>
      </c>
      <c r="E904">
        <v>0.34288999999999997</v>
      </c>
      <c r="F904" s="105">
        <v>40798</v>
      </c>
      <c r="G904">
        <v>0.51327999999999996</v>
      </c>
      <c r="J904" s="105">
        <v>40798</v>
      </c>
      <c r="K904">
        <v>0.82799999999999996</v>
      </c>
    </row>
    <row r="905" spans="1:11">
      <c r="A905" s="105">
        <v>41579</v>
      </c>
      <c r="B905" s="156">
        <v>0.16850000000000001</v>
      </c>
      <c r="D905" s="105">
        <v>40795</v>
      </c>
      <c r="E905">
        <v>0.33794000000000002</v>
      </c>
      <c r="F905" s="105">
        <v>40795</v>
      </c>
      <c r="G905">
        <v>0.50439000000000001</v>
      </c>
      <c r="J905" s="105">
        <v>40795</v>
      </c>
      <c r="K905">
        <v>0.82133</v>
      </c>
    </row>
    <row r="906" spans="1:11">
      <c r="A906" s="105">
        <v>41582</v>
      </c>
      <c r="B906" s="156">
        <v>0.16850000000000001</v>
      </c>
      <c r="D906" s="105">
        <v>40794</v>
      </c>
      <c r="E906">
        <v>0.33683000000000002</v>
      </c>
      <c r="F906" s="105">
        <v>40794</v>
      </c>
      <c r="G906">
        <v>0.50410999999999995</v>
      </c>
      <c r="J906" s="105">
        <v>40794</v>
      </c>
      <c r="K906">
        <v>0.81843999999999995</v>
      </c>
    </row>
    <row r="907" spans="1:11">
      <c r="A907" s="105">
        <v>41583</v>
      </c>
      <c r="B907" s="156">
        <v>0.16850000000000001</v>
      </c>
      <c r="D907" s="105">
        <v>40793</v>
      </c>
      <c r="E907">
        <v>0.33683000000000002</v>
      </c>
      <c r="F907" s="105">
        <v>40793</v>
      </c>
      <c r="G907">
        <v>0.50294000000000005</v>
      </c>
      <c r="J907" s="105">
        <v>40793</v>
      </c>
      <c r="K907">
        <v>0.81538999999999995</v>
      </c>
    </row>
    <row r="908" spans="1:11">
      <c r="A908" s="105">
        <v>41584</v>
      </c>
      <c r="B908" s="156">
        <v>0.16850000000000001</v>
      </c>
      <c r="D908" s="105">
        <v>40792</v>
      </c>
      <c r="E908">
        <v>0.33561000000000002</v>
      </c>
      <c r="F908" s="105">
        <v>40792</v>
      </c>
      <c r="G908">
        <v>0.50161</v>
      </c>
      <c r="J908" s="105">
        <v>40792</v>
      </c>
      <c r="K908">
        <v>0.81416999999999995</v>
      </c>
    </row>
    <row r="909" spans="1:11">
      <c r="A909" s="105">
        <v>41585</v>
      </c>
      <c r="B909" s="156">
        <v>0.16750000000000001</v>
      </c>
      <c r="D909" s="105">
        <v>40791</v>
      </c>
      <c r="E909">
        <v>0.33278000000000002</v>
      </c>
      <c r="F909" s="105">
        <v>40791</v>
      </c>
      <c r="G909">
        <v>0.49606</v>
      </c>
      <c r="J909" s="105">
        <v>40791</v>
      </c>
      <c r="K909">
        <v>0.80706</v>
      </c>
    </row>
    <row r="910" spans="1:11">
      <c r="A910" s="105">
        <v>41586</v>
      </c>
      <c r="B910" s="156">
        <v>0.16850000000000001</v>
      </c>
      <c r="D910" s="105">
        <v>40788</v>
      </c>
      <c r="E910">
        <v>0.33056000000000002</v>
      </c>
      <c r="F910" s="105">
        <v>40788</v>
      </c>
      <c r="G910">
        <v>0.49038999999999999</v>
      </c>
      <c r="J910" s="105">
        <v>40788</v>
      </c>
      <c r="K910">
        <v>0.80322000000000005</v>
      </c>
    </row>
    <row r="911" spans="1:11">
      <c r="A911" s="105">
        <v>41589</v>
      </c>
      <c r="B911" s="156">
        <v>0.16850000000000001</v>
      </c>
      <c r="D911" s="105">
        <v>40787</v>
      </c>
      <c r="E911">
        <v>0.32944000000000001</v>
      </c>
      <c r="F911" s="105">
        <v>40787</v>
      </c>
      <c r="G911">
        <v>0.48877999999999999</v>
      </c>
      <c r="J911" s="105">
        <v>40787</v>
      </c>
      <c r="K911">
        <v>0.80217000000000005</v>
      </c>
    </row>
    <row r="912" spans="1:11">
      <c r="A912" s="105">
        <v>41590</v>
      </c>
      <c r="B912" s="156">
        <v>0.16850000000000001</v>
      </c>
      <c r="D912" s="105">
        <v>40786</v>
      </c>
      <c r="E912">
        <v>0.32722000000000001</v>
      </c>
      <c r="F912" s="105">
        <v>40786</v>
      </c>
      <c r="G912">
        <v>0.48577999999999999</v>
      </c>
      <c r="J912" s="105">
        <v>40786</v>
      </c>
      <c r="K912">
        <v>0.8</v>
      </c>
    </row>
    <row r="913" spans="1:11">
      <c r="A913" s="105">
        <v>41591</v>
      </c>
      <c r="B913" s="156">
        <v>0.16769999999999999</v>
      </c>
      <c r="D913" s="105">
        <v>40785</v>
      </c>
      <c r="E913">
        <v>0.32556000000000002</v>
      </c>
      <c r="F913" s="105">
        <v>40785</v>
      </c>
      <c r="G913">
        <v>0.48332999999999998</v>
      </c>
      <c r="J913" s="105">
        <v>40785</v>
      </c>
      <c r="K913">
        <v>0.79810999999999999</v>
      </c>
    </row>
    <row r="914" spans="1:11">
      <c r="A914" s="105">
        <v>41592</v>
      </c>
      <c r="B914" s="156">
        <v>0.16750000000000001</v>
      </c>
      <c r="D914" s="105">
        <v>40781</v>
      </c>
      <c r="E914">
        <v>0.32278000000000001</v>
      </c>
      <c r="F914" s="105">
        <v>40781</v>
      </c>
      <c r="G914">
        <v>0.47993999999999998</v>
      </c>
      <c r="J914" s="105">
        <v>40781</v>
      </c>
      <c r="K914">
        <v>0.79588999999999999</v>
      </c>
    </row>
    <row r="915" spans="1:11">
      <c r="A915" s="105">
        <v>41593</v>
      </c>
      <c r="B915" s="156">
        <v>0.16750000000000001</v>
      </c>
      <c r="D915" s="105">
        <v>40780</v>
      </c>
      <c r="E915">
        <v>0.31900000000000001</v>
      </c>
      <c r="F915" s="105">
        <v>40780</v>
      </c>
      <c r="G915">
        <v>0.48027999999999998</v>
      </c>
      <c r="J915" s="105">
        <v>40780</v>
      </c>
      <c r="K915">
        <v>0.79788999999999999</v>
      </c>
    </row>
    <row r="916" spans="1:11">
      <c r="A916" s="105">
        <v>41596</v>
      </c>
      <c r="B916" s="156">
        <v>0.16800000000000001</v>
      </c>
      <c r="D916" s="105">
        <v>40779</v>
      </c>
      <c r="E916">
        <v>0.31428</v>
      </c>
      <c r="F916" s="105">
        <v>40779</v>
      </c>
      <c r="G916">
        <v>0.47638999999999998</v>
      </c>
      <c r="J916" s="105">
        <v>40779</v>
      </c>
      <c r="K916">
        <v>0.79456000000000004</v>
      </c>
    </row>
    <row r="917" spans="1:11">
      <c r="A917" s="105">
        <v>41597</v>
      </c>
      <c r="B917" s="156">
        <v>0.16700000000000001</v>
      </c>
      <c r="D917" s="105">
        <v>40778</v>
      </c>
      <c r="E917">
        <v>0.31178</v>
      </c>
      <c r="F917" s="105">
        <v>40778</v>
      </c>
      <c r="G917">
        <v>0.47527999999999998</v>
      </c>
      <c r="J917" s="105">
        <v>40778</v>
      </c>
      <c r="K917">
        <v>0.79232999999999998</v>
      </c>
    </row>
    <row r="918" spans="1:11">
      <c r="A918" s="105">
        <v>41598</v>
      </c>
      <c r="B918" s="156">
        <v>0.16650000000000001</v>
      </c>
      <c r="D918" s="105">
        <v>40777</v>
      </c>
      <c r="E918">
        <v>0.30843999999999999</v>
      </c>
      <c r="F918" s="105">
        <v>40777</v>
      </c>
      <c r="G918">
        <v>0.47110999999999997</v>
      </c>
      <c r="J918" s="105">
        <v>40777</v>
      </c>
      <c r="K918">
        <v>0.78817000000000004</v>
      </c>
    </row>
    <row r="919" spans="1:11">
      <c r="A919" s="105">
        <v>41599</v>
      </c>
      <c r="B919" s="156">
        <v>0.16600000000000001</v>
      </c>
      <c r="D919" s="105">
        <v>40774</v>
      </c>
      <c r="E919">
        <v>0.30299999999999999</v>
      </c>
      <c r="F919" s="105">
        <v>40774</v>
      </c>
      <c r="G919">
        <v>0.46705999999999998</v>
      </c>
      <c r="J919" s="105">
        <v>40774</v>
      </c>
      <c r="K919">
        <v>0.78439000000000003</v>
      </c>
    </row>
    <row r="920" spans="1:11">
      <c r="A920" s="105">
        <v>41600</v>
      </c>
      <c r="B920" s="156">
        <v>0.16550000000000001</v>
      </c>
      <c r="D920" s="105">
        <v>40773</v>
      </c>
      <c r="E920">
        <v>0.29777999999999999</v>
      </c>
      <c r="F920" s="105">
        <v>40773</v>
      </c>
      <c r="G920">
        <v>0.46294000000000002</v>
      </c>
      <c r="J920" s="105">
        <v>40773</v>
      </c>
      <c r="K920">
        <v>0.78017000000000003</v>
      </c>
    </row>
    <row r="921" spans="1:11">
      <c r="A921" s="105">
        <v>41603</v>
      </c>
      <c r="B921" s="156">
        <v>0.16400000000000001</v>
      </c>
      <c r="D921" s="105">
        <v>40772</v>
      </c>
      <c r="E921">
        <v>0.29588999999999999</v>
      </c>
      <c r="F921" s="105">
        <v>40772</v>
      </c>
      <c r="G921">
        <v>0.45983000000000002</v>
      </c>
      <c r="J921" s="105">
        <v>40772</v>
      </c>
      <c r="K921">
        <v>0.77761000000000002</v>
      </c>
    </row>
    <row r="922" spans="1:11">
      <c r="A922" s="105">
        <v>41604</v>
      </c>
      <c r="B922" s="156">
        <v>0.16400000000000001</v>
      </c>
      <c r="D922" s="105">
        <v>40771</v>
      </c>
      <c r="E922">
        <v>0.29282999999999998</v>
      </c>
      <c r="F922" s="105">
        <v>40771</v>
      </c>
      <c r="G922">
        <v>0.45983000000000002</v>
      </c>
      <c r="J922" s="105">
        <v>40771</v>
      </c>
      <c r="K922">
        <v>0.77593999999999996</v>
      </c>
    </row>
    <row r="923" spans="1:11">
      <c r="A923" s="105">
        <v>41605</v>
      </c>
      <c r="B923" s="156">
        <v>0.16500000000000001</v>
      </c>
      <c r="D923" s="105">
        <v>40770</v>
      </c>
      <c r="E923">
        <v>0.29171999999999998</v>
      </c>
      <c r="F923" s="105">
        <v>40770</v>
      </c>
      <c r="G923">
        <v>0.45928000000000002</v>
      </c>
      <c r="J923" s="105">
        <v>40770</v>
      </c>
      <c r="K923">
        <v>0.77483000000000002</v>
      </c>
    </row>
    <row r="924" spans="1:11">
      <c r="A924" s="105">
        <v>41606</v>
      </c>
      <c r="B924" s="156">
        <v>0.16875000000000001</v>
      </c>
      <c r="D924" s="105">
        <v>40767</v>
      </c>
      <c r="E924">
        <v>0.29005999999999998</v>
      </c>
      <c r="F924" s="105">
        <v>40767</v>
      </c>
      <c r="G924">
        <v>0.45672000000000001</v>
      </c>
      <c r="J924" s="105">
        <v>40767</v>
      </c>
      <c r="K924">
        <v>0.77283000000000002</v>
      </c>
    </row>
    <row r="925" spans="1:11">
      <c r="A925" s="105">
        <v>41607</v>
      </c>
      <c r="B925" s="156">
        <v>0.16825000000000001</v>
      </c>
      <c r="D925" s="105">
        <v>40766</v>
      </c>
      <c r="E925">
        <v>0.28616999999999998</v>
      </c>
      <c r="F925" s="105">
        <v>40766</v>
      </c>
      <c r="G925">
        <v>0.45183000000000001</v>
      </c>
      <c r="J925" s="105">
        <v>40766</v>
      </c>
      <c r="K925">
        <v>0.76961000000000002</v>
      </c>
    </row>
    <row r="926" spans="1:11">
      <c r="A926" s="105">
        <v>41610</v>
      </c>
      <c r="B926" s="156">
        <v>0.16825000000000001</v>
      </c>
      <c r="D926" s="105">
        <v>40765</v>
      </c>
      <c r="E926">
        <v>0.28061000000000003</v>
      </c>
      <c r="F926" s="105">
        <v>40765</v>
      </c>
      <c r="G926">
        <v>0.44828000000000001</v>
      </c>
      <c r="J926" s="105">
        <v>40765</v>
      </c>
      <c r="K926">
        <v>0.76661000000000001</v>
      </c>
    </row>
    <row r="927" spans="1:11">
      <c r="A927" s="105">
        <v>41611</v>
      </c>
      <c r="B927" s="156">
        <v>0.16750000000000001</v>
      </c>
      <c r="D927" s="105">
        <v>40764</v>
      </c>
      <c r="E927">
        <v>0.27839000000000003</v>
      </c>
      <c r="F927" s="105">
        <v>40764</v>
      </c>
      <c r="G927">
        <v>0.44828000000000001</v>
      </c>
      <c r="J927" s="105">
        <v>40764</v>
      </c>
      <c r="K927">
        <v>0.76993999999999996</v>
      </c>
    </row>
    <row r="928" spans="1:11">
      <c r="A928" s="105">
        <v>41612</v>
      </c>
      <c r="B928" s="156">
        <v>0.16850000000000001</v>
      </c>
      <c r="D928" s="105">
        <v>40763</v>
      </c>
      <c r="E928">
        <v>0.27478000000000002</v>
      </c>
      <c r="F928" s="105">
        <v>40763</v>
      </c>
      <c r="G928">
        <v>0.44333</v>
      </c>
      <c r="J928" s="105">
        <v>40763</v>
      </c>
      <c r="K928">
        <v>0.76666999999999996</v>
      </c>
    </row>
    <row r="929" spans="1:11">
      <c r="A929" s="105">
        <v>41613</v>
      </c>
      <c r="B929" s="156">
        <v>0.16785</v>
      </c>
      <c r="D929" s="105">
        <v>40760</v>
      </c>
      <c r="E929">
        <v>0.27161000000000002</v>
      </c>
      <c r="F929" s="105">
        <v>40760</v>
      </c>
      <c r="G929">
        <v>0.44278000000000001</v>
      </c>
      <c r="J929" s="105">
        <v>40760</v>
      </c>
      <c r="K929">
        <v>0.76471999999999996</v>
      </c>
    </row>
    <row r="930" spans="1:11">
      <c r="A930" s="105">
        <v>41614</v>
      </c>
      <c r="B930" s="156">
        <v>0.16950000000000001</v>
      </c>
      <c r="D930" s="105">
        <v>40759</v>
      </c>
      <c r="E930">
        <v>0.26939000000000002</v>
      </c>
      <c r="F930" s="105">
        <v>40759</v>
      </c>
      <c r="G930">
        <v>0.44056000000000001</v>
      </c>
      <c r="J930" s="105">
        <v>40759</v>
      </c>
      <c r="K930">
        <v>0.76610999999999996</v>
      </c>
    </row>
    <row r="931" spans="1:11">
      <c r="A931" s="105">
        <v>41617</v>
      </c>
      <c r="B931" s="156">
        <v>0.1706</v>
      </c>
      <c r="D931" s="105">
        <v>40758</v>
      </c>
      <c r="E931">
        <v>0.26828000000000002</v>
      </c>
      <c r="F931" s="105">
        <v>40758</v>
      </c>
      <c r="G931">
        <v>0.44028</v>
      </c>
      <c r="J931" s="105">
        <v>40758</v>
      </c>
      <c r="K931">
        <v>0.76500000000000001</v>
      </c>
    </row>
    <row r="932" spans="1:11">
      <c r="A932" s="105">
        <v>41618</v>
      </c>
      <c r="B932" s="156">
        <v>0.16935</v>
      </c>
      <c r="D932" s="105">
        <v>40757</v>
      </c>
      <c r="E932">
        <v>0.26444000000000001</v>
      </c>
      <c r="F932" s="105">
        <v>40757</v>
      </c>
      <c r="G932">
        <v>0.4375</v>
      </c>
      <c r="J932" s="105">
        <v>40757</v>
      </c>
      <c r="K932">
        <v>0.76305999999999996</v>
      </c>
    </row>
    <row r="933" spans="1:11">
      <c r="A933" s="105">
        <v>41619</v>
      </c>
      <c r="B933" s="156">
        <v>0.16735</v>
      </c>
      <c r="D933" s="105">
        <v>40756</v>
      </c>
      <c r="E933">
        <v>0.25722</v>
      </c>
      <c r="F933" s="105">
        <v>40756</v>
      </c>
      <c r="G933">
        <v>0.43167</v>
      </c>
      <c r="J933" s="105">
        <v>40756</v>
      </c>
      <c r="K933">
        <v>0.75944</v>
      </c>
    </row>
    <row r="934" spans="1:11">
      <c r="A934" s="105">
        <v>41620</v>
      </c>
      <c r="B934" s="156">
        <v>0.1666</v>
      </c>
      <c r="D934" s="105">
        <v>40753</v>
      </c>
      <c r="E934">
        <v>0.2555</v>
      </c>
      <c r="F934" s="105">
        <v>40753</v>
      </c>
      <c r="G934">
        <v>0.43025000000000002</v>
      </c>
      <c r="J934" s="105">
        <v>40753</v>
      </c>
      <c r="K934">
        <v>0.76024999999999998</v>
      </c>
    </row>
    <row r="935" spans="1:11">
      <c r="A935" s="105">
        <v>41621</v>
      </c>
      <c r="B935" s="156">
        <v>0.16400000000000001</v>
      </c>
      <c r="D935" s="105">
        <v>40752</v>
      </c>
      <c r="E935">
        <v>0.25395000000000001</v>
      </c>
      <c r="F935" s="105">
        <v>40752</v>
      </c>
      <c r="G935">
        <v>0.42849999999999999</v>
      </c>
      <c r="J935" s="105">
        <v>40752</v>
      </c>
      <c r="K935">
        <v>0.75775000000000003</v>
      </c>
    </row>
    <row r="936" spans="1:11">
      <c r="A936" s="105">
        <v>41624</v>
      </c>
      <c r="B936" s="156">
        <v>0.16500000000000001</v>
      </c>
      <c r="D936" s="105">
        <v>40751</v>
      </c>
      <c r="E936">
        <v>0.25285000000000002</v>
      </c>
      <c r="F936" s="105">
        <v>40751</v>
      </c>
      <c r="G936">
        <v>0.42625000000000002</v>
      </c>
      <c r="J936" s="105">
        <v>40751</v>
      </c>
      <c r="K936">
        <v>0.75600000000000001</v>
      </c>
    </row>
    <row r="937" spans="1:11">
      <c r="A937" s="105">
        <v>41625</v>
      </c>
      <c r="B937" s="156">
        <v>0.1663</v>
      </c>
      <c r="D937" s="105">
        <v>40750</v>
      </c>
      <c r="E937">
        <v>0.25259999999999999</v>
      </c>
      <c r="F937" s="105">
        <v>40750</v>
      </c>
      <c r="G937">
        <v>0.42499999999999999</v>
      </c>
      <c r="J937" s="105">
        <v>40750</v>
      </c>
      <c r="K937">
        <v>0.75475000000000003</v>
      </c>
    </row>
    <row r="938" spans="1:11">
      <c r="A938" s="105">
        <v>41626</v>
      </c>
      <c r="B938" s="156">
        <v>0.1668</v>
      </c>
      <c r="D938" s="105">
        <v>40749</v>
      </c>
      <c r="E938">
        <v>0.25209999999999999</v>
      </c>
      <c r="F938" s="105">
        <v>40749</v>
      </c>
      <c r="G938">
        <v>0.42449999999999999</v>
      </c>
      <c r="J938" s="105">
        <v>40749</v>
      </c>
      <c r="K938">
        <v>0.75424999999999998</v>
      </c>
    </row>
    <row r="939" spans="1:11">
      <c r="A939" s="105">
        <v>41627</v>
      </c>
      <c r="B939" s="156">
        <v>0.16450000000000001</v>
      </c>
      <c r="D939" s="105">
        <v>40746</v>
      </c>
      <c r="E939">
        <v>0.253</v>
      </c>
      <c r="F939" s="105">
        <v>40746</v>
      </c>
      <c r="G939">
        <v>0.42249999999999999</v>
      </c>
      <c r="J939" s="105">
        <v>40746</v>
      </c>
      <c r="K939">
        <v>0.75224999999999997</v>
      </c>
    </row>
    <row r="940" spans="1:11">
      <c r="A940" s="105">
        <v>41628</v>
      </c>
      <c r="B940" s="156">
        <v>0.16400000000000001</v>
      </c>
      <c r="D940" s="105">
        <v>40745</v>
      </c>
      <c r="E940">
        <v>0.253</v>
      </c>
      <c r="F940" s="105">
        <v>40745</v>
      </c>
      <c r="G940">
        <v>0.42349999999999999</v>
      </c>
      <c r="J940" s="105">
        <v>40745</v>
      </c>
      <c r="K940">
        <v>0.75175000000000003</v>
      </c>
    </row>
    <row r="941" spans="1:11">
      <c r="A941" s="105">
        <v>41631</v>
      </c>
      <c r="B941" s="156">
        <v>0.1646</v>
      </c>
      <c r="D941" s="105">
        <v>40744</v>
      </c>
      <c r="E941">
        <v>0.253</v>
      </c>
      <c r="F941" s="105">
        <v>40744</v>
      </c>
      <c r="G941">
        <v>0.42299999999999999</v>
      </c>
      <c r="J941" s="105">
        <v>40744</v>
      </c>
      <c r="K941">
        <v>0.75124999999999997</v>
      </c>
    </row>
    <row r="942" spans="1:11">
      <c r="A942" s="105">
        <v>41632</v>
      </c>
      <c r="B942" s="156">
        <v>0.16700000000000001</v>
      </c>
      <c r="D942" s="105">
        <v>40743</v>
      </c>
      <c r="E942">
        <v>0.252</v>
      </c>
      <c r="F942" s="105">
        <v>40743</v>
      </c>
      <c r="G942">
        <v>0.42299999999999999</v>
      </c>
      <c r="J942" s="105">
        <v>40743</v>
      </c>
      <c r="K942">
        <v>0.74975000000000003</v>
      </c>
    </row>
    <row r="943" spans="1:11">
      <c r="A943" s="105">
        <v>41635</v>
      </c>
      <c r="B943" s="156">
        <v>0.16900000000000001</v>
      </c>
      <c r="D943" s="105">
        <v>40742</v>
      </c>
      <c r="E943">
        <v>0.25124999999999997</v>
      </c>
      <c r="F943" s="105">
        <v>40742</v>
      </c>
      <c r="G943">
        <v>0.42</v>
      </c>
      <c r="J943" s="105">
        <v>40742</v>
      </c>
      <c r="K943">
        <v>0.74850000000000005</v>
      </c>
    </row>
    <row r="944" spans="1:11">
      <c r="A944" s="105">
        <v>41638</v>
      </c>
      <c r="B944" s="156">
        <v>0.17019999999999999</v>
      </c>
      <c r="D944" s="105">
        <v>40739</v>
      </c>
      <c r="E944">
        <v>0.24975</v>
      </c>
      <c r="F944" s="105">
        <v>40739</v>
      </c>
      <c r="G944">
        <v>0.41649999999999998</v>
      </c>
      <c r="J944" s="105">
        <v>40739</v>
      </c>
      <c r="K944">
        <v>0.74350000000000005</v>
      </c>
    </row>
    <row r="945" spans="1:11">
      <c r="A945" s="105">
        <v>41639</v>
      </c>
      <c r="B945" s="156">
        <v>0.16769999999999999</v>
      </c>
      <c r="D945" s="105">
        <v>40738</v>
      </c>
      <c r="E945">
        <v>0.24975</v>
      </c>
      <c r="F945" s="105">
        <v>40738</v>
      </c>
      <c r="G945">
        <v>0.41575000000000001</v>
      </c>
      <c r="J945" s="105">
        <v>40738</v>
      </c>
      <c r="K945">
        <v>0.74299999999999999</v>
      </c>
    </row>
    <row r="946" spans="1:11">
      <c r="A946" s="105">
        <v>41641</v>
      </c>
      <c r="B946" s="156">
        <v>0.16830000000000001</v>
      </c>
      <c r="D946" s="105">
        <v>40737</v>
      </c>
      <c r="E946">
        <v>0.24925</v>
      </c>
      <c r="F946" s="105">
        <v>40737</v>
      </c>
      <c r="G946">
        <v>0.41325000000000001</v>
      </c>
      <c r="J946" s="105">
        <v>40737</v>
      </c>
      <c r="K946">
        <v>0.74250000000000005</v>
      </c>
    </row>
    <row r="947" spans="1:11">
      <c r="A947" s="105">
        <v>41642</v>
      </c>
      <c r="B947" s="156">
        <v>0.16470000000000001</v>
      </c>
      <c r="D947" s="105">
        <v>40736</v>
      </c>
      <c r="E947">
        <v>0.249</v>
      </c>
      <c r="F947" s="105">
        <v>40736</v>
      </c>
      <c r="G947">
        <v>0.40975</v>
      </c>
      <c r="J947" s="105">
        <v>40736</v>
      </c>
      <c r="K947">
        <v>0.74050000000000005</v>
      </c>
    </row>
    <row r="948" spans="1:11">
      <c r="A948" s="105">
        <v>41645</v>
      </c>
      <c r="B948" s="156">
        <v>0.16250000000000001</v>
      </c>
      <c r="D948" s="105">
        <v>40735</v>
      </c>
      <c r="E948">
        <v>0.24604999999999999</v>
      </c>
      <c r="F948" s="105">
        <v>40735</v>
      </c>
      <c r="G948">
        <v>0.40275</v>
      </c>
      <c r="J948" s="105">
        <v>40735</v>
      </c>
      <c r="K948">
        <v>0.73475000000000001</v>
      </c>
    </row>
    <row r="949" spans="1:11">
      <c r="A949" s="105">
        <v>41646</v>
      </c>
      <c r="B949" s="156">
        <v>0.1615</v>
      </c>
      <c r="D949" s="105">
        <v>40732</v>
      </c>
      <c r="E949">
        <v>0.24604999999999999</v>
      </c>
      <c r="F949" s="105">
        <v>40732</v>
      </c>
      <c r="G949">
        <v>0.39874999999999999</v>
      </c>
      <c r="J949" s="105">
        <v>40732</v>
      </c>
      <c r="K949">
        <v>0.73575000000000002</v>
      </c>
    </row>
    <row r="950" spans="1:11">
      <c r="A950" s="105">
        <v>41647</v>
      </c>
      <c r="B950" s="156">
        <v>0.161</v>
      </c>
      <c r="D950" s="105">
        <v>40731</v>
      </c>
      <c r="E950">
        <v>0.24604999999999999</v>
      </c>
      <c r="F950" s="105">
        <v>40731</v>
      </c>
      <c r="G950">
        <v>0.39874999999999999</v>
      </c>
      <c r="J950" s="105">
        <v>40731</v>
      </c>
      <c r="K950">
        <v>0.73524999999999996</v>
      </c>
    </row>
    <row r="951" spans="1:11">
      <c r="A951" s="105">
        <v>41648</v>
      </c>
      <c r="B951" s="156">
        <v>0.1603</v>
      </c>
      <c r="D951" s="105">
        <v>40730</v>
      </c>
      <c r="E951">
        <v>0.24575</v>
      </c>
      <c r="F951" s="105">
        <v>40730</v>
      </c>
      <c r="G951">
        <v>0.39874999999999999</v>
      </c>
      <c r="J951" s="105">
        <v>40730</v>
      </c>
      <c r="K951">
        <v>0.73499999999999999</v>
      </c>
    </row>
    <row r="952" spans="1:11">
      <c r="A952" s="105">
        <v>41649</v>
      </c>
      <c r="B952" s="156">
        <v>0.16039999999999999</v>
      </c>
      <c r="D952" s="105">
        <v>40729</v>
      </c>
      <c r="E952">
        <v>0.24575</v>
      </c>
      <c r="F952" s="105">
        <v>40729</v>
      </c>
      <c r="G952">
        <v>0.39724999999999999</v>
      </c>
      <c r="J952" s="105">
        <v>40729</v>
      </c>
      <c r="K952">
        <v>0.73450000000000004</v>
      </c>
    </row>
    <row r="953" spans="1:11">
      <c r="A953" s="105">
        <v>41652</v>
      </c>
      <c r="B953" s="156">
        <v>0.16</v>
      </c>
      <c r="D953" s="105">
        <v>40728</v>
      </c>
      <c r="E953">
        <v>0.24575</v>
      </c>
      <c r="F953" s="105">
        <v>40728</v>
      </c>
      <c r="G953">
        <v>0.39724999999999999</v>
      </c>
      <c r="J953" s="105">
        <v>40728</v>
      </c>
      <c r="K953">
        <v>0.73450000000000004</v>
      </c>
    </row>
    <row r="954" spans="1:11">
      <c r="A954" s="105">
        <v>41653</v>
      </c>
      <c r="B954" s="156">
        <v>0.159</v>
      </c>
      <c r="D954" s="105">
        <v>40725</v>
      </c>
      <c r="E954">
        <v>0.24575</v>
      </c>
      <c r="F954" s="105">
        <v>40725</v>
      </c>
      <c r="G954">
        <v>0.39724999999999999</v>
      </c>
      <c r="J954" s="105">
        <v>40725</v>
      </c>
      <c r="K954">
        <v>0.73399999999999999</v>
      </c>
    </row>
    <row r="955" spans="1:11">
      <c r="A955" s="105">
        <v>41654</v>
      </c>
      <c r="B955" s="156">
        <v>0.15870000000000001</v>
      </c>
      <c r="D955" s="105">
        <v>40724</v>
      </c>
      <c r="E955">
        <v>0.24575</v>
      </c>
      <c r="F955" s="105">
        <v>40724</v>
      </c>
      <c r="G955">
        <v>0.39774999999999999</v>
      </c>
      <c r="J955" s="105">
        <v>40724</v>
      </c>
      <c r="K955">
        <v>0.73350000000000004</v>
      </c>
    </row>
    <row r="956" spans="1:11">
      <c r="A956" s="105">
        <v>41655</v>
      </c>
      <c r="B956" s="156">
        <v>0.157</v>
      </c>
      <c r="D956" s="105">
        <v>40723</v>
      </c>
      <c r="E956">
        <v>0.24575</v>
      </c>
      <c r="F956" s="105">
        <v>40723</v>
      </c>
      <c r="G956">
        <v>0.40024999999999999</v>
      </c>
      <c r="J956" s="105">
        <v>40723</v>
      </c>
      <c r="K956">
        <v>0.73499999999999999</v>
      </c>
    </row>
    <row r="957" spans="1:11">
      <c r="A957" s="105">
        <v>41656</v>
      </c>
      <c r="B957" s="156">
        <v>0.157</v>
      </c>
      <c r="D957" s="105">
        <v>40722</v>
      </c>
      <c r="E957">
        <v>0.24575</v>
      </c>
      <c r="F957" s="105">
        <v>40722</v>
      </c>
      <c r="G957">
        <v>0.40075</v>
      </c>
      <c r="J957" s="105">
        <v>40722</v>
      </c>
      <c r="K957">
        <v>0.73499999999999999</v>
      </c>
    </row>
    <row r="958" spans="1:11">
      <c r="A958" s="105">
        <v>41659</v>
      </c>
      <c r="B958" s="156">
        <v>0.157</v>
      </c>
      <c r="D958" s="105">
        <v>40721</v>
      </c>
      <c r="E958">
        <v>0.24575</v>
      </c>
      <c r="F958" s="105">
        <v>40721</v>
      </c>
      <c r="G958">
        <v>0.40275</v>
      </c>
      <c r="J958" s="105">
        <v>40721</v>
      </c>
      <c r="K958">
        <v>0.73250000000000004</v>
      </c>
    </row>
    <row r="959" spans="1:11">
      <c r="A959" s="105">
        <v>41660</v>
      </c>
      <c r="B959" s="156">
        <v>0.157</v>
      </c>
      <c r="D959" s="105">
        <v>40718</v>
      </c>
      <c r="E959">
        <v>0.24625</v>
      </c>
      <c r="F959" s="105">
        <v>40718</v>
      </c>
      <c r="G959">
        <v>0.39674999999999999</v>
      </c>
      <c r="J959" s="105">
        <v>40718</v>
      </c>
      <c r="K959">
        <v>0.72875000000000001</v>
      </c>
    </row>
    <row r="960" spans="1:11">
      <c r="A960" s="105">
        <v>41661</v>
      </c>
      <c r="B960" s="156">
        <v>0.158</v>
      </c>
      <c r="D960" s="105">
        <v>40717</v>
      </c>
      <c r="E960">
        <v>0.2465</v>
      </c>
      <c r="F960" s="105">
        <v>40717</v>
      </c>
      <c r="G960">
        <v>0.39574999999999999</v>
      </c>
      <c r="J960" s="105">
        <v>40717</v>
      </c>
      <c r="K960">
        <v>0.72724999999999995</v>
      </c>
    </row>
    <row r="961" spans="1:11">
      <c r="A961" s="105">
        <v>41662</v>
      </c>
      <c r="B961" s="156">
        <v>0.158</v>
      </c>
      <c r="D961" s="105">
        <v>40716</v>
      </c>
      <c r="E961">
        <v>0.2455</v>
      </c>
      <c r="F961" s="105">
        <v>40716</v>
      </c>
      <c r="G961">
        <v>0.39474999999999999</v>
      </c>
      <c r="J961" s="105">
        <v>40716</v>
      </c>
      <c r="K961">
        <v>0.72624999999999995</v>
      </c>
    </row>
    <row r="962" spans="1:11">
      <c r="A962" s="105">
        <v>41663</v>
      </c>
      <c r="B962" s="156">
        <v>0.16120000000000001</v>
      </c>
      <c r="D962" s="105">
        <v>40715</v>
      </c>
      <c r="E962">
        <v>0.2455</v>
      </c>
      <c r="F962" s="105">
        <v>40715</v>
      </c>
      <c r="G962">
        <v>0.39474999999999999</v>
      </c>
      <c r="J962" s="105">
        <v>40715</v>
      </c>
      <c r="K962">
        <v>0.72775000000000001</v>
      </c>
    </row>
    <row r="963" spans="1:11">
      <c r="A963" s="105">
        <v>41666</v>
      </c>
      <c r="B963" s="156">
        <v>0.1585</v>
      </c>
      <c r="D963" s="105">
        <v>40714</v>
      </c>
      <c r="E963">
        <v>0.2465</v>
      </c>
      <c r="F963" s="105">
        <v>40714</v>
      </c>
      <c r="G963">
        <v>0.39474999999999999</v>
      </c>
      <c r="J963" s="105">
        <v>40714</v>
      </c>
      <c r="K963">
        <v>0.72775000000000001</v>
      </c>
    </row>
    <row r="964" spans="1:11">
      <c r="A964" s="105">
        <v>41667</v>
      </c>
      <c r="B964" s="156">
        <v>0.159</v>
      </c>
      <c r="D964" s="105">
        <v>40711</v>
      </c>
      <c r="E964">
        <v>0.2465</v>
      </c>
      <c r="F964" s="105">
        <v>40711</v>
      </c>
      <c r="G964">
        <v>0.39500000000000002</v>
      </c>
      <c r="J964" s="105">
        <v>40711</v>
      </c>
      <c r="K964">
        <v>0.72775000000000001</v>
      </c>
    </row>
    <row r="965" spans="1:11">
      <c r="A965" s="105">
        <v>41668</v>
      </c>
      <c r="B965" s="156">
        <v>0.1595</v>
      </c>
      <c r="D965" s="105">
        <v>40710</v>
      </c>
      <c r="E965">
        <v>0.2465</v>
      </c>
      <c r="F965" s="105">
        <v>40710</v>
      </c>
      <c r="G965">
        <v>0.39500000000000002</v>
      </c>
      <c r="J965" s="105">
        <v>40710</v>
      </c>
      <c r="K965">
        <v>0.72724999999999995</v>
      </c>
    </row>
    <row r="966" spans="1:11">
      <c r="A966" s="105">
        <v>41669</v>
      </c>
      <c r="B966" s="156">
        <v>0.1585</v>
      </c>
      <c r="D966" s="105">
        <v>40709</v>
      </c>
      <c r="E966">
        <v>0.245</v>
      </c>
      <c r="F966" s="105">
        <v>40709</v>
      </c>
      <c r="G966">
        <v>0.39324999999999999</v>
      </c>
      <c r="J966" s="105">
        <v>40709</v>
      </c>
      <c r="K966">
        <v>0.72124999999999995</v>
      </c>
    </row>
    <row r="967" spans="1:11">
      <c r="A967" s="105">
        <v>41670</v>
      </c>
      <c r="B967" s="156">
        <v>0.1565</v>
      </c>
      <c r="D967" s="105">
        <v>40708</v>
      </c>
      <c r="E967">
        <v>0.24525</v>
      </c>
      <c r="F967" s="105">
        <v>40708</v>
      </c>
      <c r="G967">
        <v>0.39350000000000002</v>
      </c>
      <c r="J967" s="105">
        <v>40708</v>
      </c>
      <c r="K967">
        <v>0.72024999999999995</v>
      </c>
    </row>
    <row r="968" spans="1:11">
      <c r="A968" s="105">
        <v>41673</v>
      </c>
      <c r="B968" s="156">
        <v>0.15709999999999999</v>
      </c>
      <c r="D968" s="105">
        <v>40707</v>
      </c>
      <c r="E968">
        <v>0.247</v>
      </c>
      <c r="F968" s="105">
        <v>40707</v>
      </c>
      <c r="G968">
        <v>0.39450000000000002</v>
      </c>
      <c r="J968" s="105">
        <v>40707</v>
      </c>
      <c r="K968">
        <v>0.72024999999999995</v>
      </c>
    </row>
    <row r="969" spans="1:11">
      <c r="A969" s="105">
        <v>41674</v>
      </c>
      <c r="B969" s="156">
        <v>0.1575</v>
      </c>
      <c r="D969" s="105">
        <v>40704</v>
      </c>
      <c r="E969">
        <v>0.2485</v>
      </c>
      <c r="F969" s="105">
        <v>40704</v>
      </c>
      <c r="G969">
        <v>0.39674999999999999</v>
      </c>
      <c r="J969" s="105">
        <v>40704</v>
      </c>
      <c r="K969">
        <v>0.72250000000000003</v>
      </c>
    </row>
    <row r="970" spans="1:11">
      <c r="A970" s="105">
        <v>41675</v>
      </c>
      <c r="B970" s="156">
        <v>0.1575</v>
      </c>
      <c r="D970" s="105">
        <v>40703</v>
      </c>
      <c r="E970">
        <v>0.2495</v>
      </c>
      <c r="F970" s="105">
        <v>40703</v>
      </c>
      <c r="G970">
        <v>0.39674999999999999</v>
      </c>
      <c r="J970" s="105">
        <v>40703</v>
      </c>
      <c r="K970">
        <v>0.72250000000000003</v>
      </c>
    </row>
    <row r="971" spans="1:11">
      <c r="A971" s="105">
        <v>41676</v>
      </c>
      <c r="B971" s="156">
        <v>0.1565</v>
      </c>
      <c r="D971" s="105">
        <v>40702</v>
      </c>
      <c r="E971">
        <v>0.25024999999999997</v>
      </c>
      <c r="F971" s="105">
        <v>40702</v>
      </c>
      <c r="G971">
        <v>0.39774999999999999</v>
      </c>
      <c r="J971" s="105">
        <v>40702</v>
      </c>
      <c r="K971">
        <v>0.72175</v>
      </c>
    </row>
    <row r="972" spans="1:11">
      <c r="A972" s="105">
        <v>41677</v>
      </c>
      <c r="B972" s="156">
        <v>0.1555</v>
      </c>
      <c r="D972" s="105">
        <v>40701</v>
      </c>
      <c r="E972">
        <v>0.25174999999999997</v>
      </c>
      <c r="F972" s="105">
        <v>40701</v>
      </c>
      <c r="G972">
        <v>0.4</v>
      </c>
      <c r="J972" s="105">
        <v>40701</v>
      </c>
      <c r="K972">
        <v>0.72499999999999998</v>
      </c>
    </row>
    <row r="973" spans="1:11">
      <c r="A973" s="105">
        <v>41680</v>
      </c>
      <c r="B973" s="156">
        <v>0.15475</v>
      </c>
      <c r="D973" s="105">
        <v>40700</v>
      </c>
      <c r="E973">
        <v>0.25174999999999997</v>
      </c>
      <c r="F973" s="105">
        <v>40700</v>
      </c>
      <c r="G973">
        <v>0.40100000000000002</v>
      </c>
      <c r="J973" s="105">
        <v>40700</v>
      </c>
      <c r="K973">
        <v>0.72499999999999998</v>
      </c>
    </row>
    <row r="974" spans="1:11">
      <c r="A974" s="105">
        <v>41681</v>
      </c>
      <c r="B974" s="156">
        <v>0.15425</v>
      </c>
      <c r="D974" s="105">
        <v>40697</v>
      </c>
      <c r="E974">
        <v>0.252</v>
      </c>
      <c r="F974" s="105">
        <v>40697</v>
      </c>
      <c r="G974">
        <v>0.40100000000000002</v>
      </c>
      <c r="J974" s="105">
        <v>40697</v>
      </c>
      <c r="K974">
        <v>0.72724999999999995</v>
      </c>
    </row>
    <row r="975" spans="1:11">
      <c r="A975" s="105">
        <v>41682</v>
      </c>
      <c r="B975" s="156">
        <v>0.1535</v>
      </c>
      <c r="D975" s="105">
        <v>40696</v>
      </c>
      <c r="E975">
        <v>0.252</v>
      </c>
      <c r="F975" s="105">
        <v>40696</v>
      </c>
      <c r="G975">
        <v>0.40138000000000001</v>
      </c>
      <c r="J975" s="105">
        <v>40696</v>
      </c>
      <c r="K975">
        <v>0.72724999999999995</v>
      </c>
    </row>
    <row r="976" spans="1:11">
      <c r="A976" s="105">
        <v>41683</v>
      </c>
      <c r="B976" s="156">
        <v>0.1545</v>
      </c>
      <c r="D976" s="105">
        <v>40695</v>
      </c>
      <c r="E976">
        <v>0.25287999999999999</v>
      </c>
      <c r="F976" s="105">
        <v>40695</v>
      </c>
      <c r="G976">
        <v>0.40262999999999999</v>
      </c>
      <c r="J976" s="105">
        <v>40695</v>
      </c>
      <c r="K976">
        <v>0.72950000000000004</v>
      </c>
    </row>
    <row r="977" spans="1:11">
      <c r="A977" s="105">
        <v>41684</v>
      </c>
      <c r="B977" s="156">
        <v>0.1545</v>
      </c>
      <c r="D977" s="105">
        <v>40694</v>
      </c>
      <c r="E977">
        <v>0.25287999999999999</v>
      </c>
      <c r="F977" s="105">
        <v>40694</v>
      </c>
      <c r="G977">
        <v>0.40312999999999999</v>
      </c>
      <c r="J977" s="105">
        <v>40694</v>
      </c>
      <c r="K977">
        <v>0.72950000000000004</v>
      </c>
    </row>
    <row r="978" spans="1:11">
      <c r="A978" s="105">
        <v>41687</v>
      </c>
      <c r="B978" s="156">
        <v>0.1535</v>
      </c>
      <c r="D978" s="105">
        <v>40690</v>
      </c>
      <c r="E978">
        <v>0.25387999999999999</v>
      </c>
      <c r="F978" s="105">
        <v>40690</v>
      </c>
      <c r="G978">
        <v>0.40262999999999999</v>
      </c>
      <c r="J978" s="105">
        <v>40690</v>
      </c>
      <c r="K978">
        <v>0.72950000000000004</v>
      </c>
    </row>
    <row r="979" spans="1:11">
      <c r="A979" s="105">
        <v>41688</v>
      </c>
      <c r="B979" s="156">
        <v>0.154</v>
      </c>
      <c r="D979" s="105">
        <v>40689</v>
      </c>
      <c r="E979">
        <v>0.254</v>
      </c>
      <c r="F979" s="105">
        <v>40689</v>
      </c>
      <c r="G979">
        <v>0.40375</v>
      </c>
      <c r="J979" s="105">
        <v>40689</v>
      </c>
      <c r="K979">
        <v>0.73124999999999996</v>
      </c>
    </row>
    <row r="980" spans="1:11">
      <c r="A980" s="105">
        <v>41689</v>
      </c>
      <c r="B980" s="156">
        <v>0.1545</v>
      </c>
      <c r="D980" s="105">
        <v>40688</v>
      </c>
      <c r="E980">
        <v>0.2545</v>
      </c>
      <c r="F980" s="105">
        <v>40688</v>
      </c>
      <c r="G980">
        <v>0.40375</v>
      </c>
      <c r="J980" s="105">
        <v>40688</v>
      </c>
      <c r="K980">
        <v>0.73124999999999996</v>
      </c>
    </row>
    <row r="981" spans="1:11">
      <c r="A981" s="105">
        <v>41690</v>
      </c>
      <c r="B981" s="156">
        <v>0.1555</v>
      </c>
      <c r="D981" s="105">
        <v>40687</v>
      </c>
      <c r="E981">
        <v>0.255</v>
      </c>
      <c r="F981" s="105">
        <v>40687</v>
      </c>
      <c r="G981">
        <v>0.40450000000000003</v>
      </c>
      <c r="J981" s="105">
        <v>40687</v>
      </c>
      <c r="K981">
        <v>0.73175000000000001</v>
      </c>
    </row>
    <row r="982" spans="1:11">
      <c r="A982" s="105">
        <v>41691</v>
      </c>
      <c r="B982" s="156">
        <v>0.1555</v>
      </c>
      <c r="D982" s="105">
        <v>40686</v>
      </c>
      <c r="E982">
        <v>0.25674999999999998</v>
      </c>
      <c r="F982" s="105">
        <v>40686</v>
      </c>
      <c r="G982">
        <v>0.40550000000000003</v>
      </c>
      <c r="J982" s="105">
        <v>40686</v>
      </c>
      <c r="K982">
        <v>0.73050000000000004</v>
      </c>
    </row>
    <row r="983" spans="1:11">
      <c r="A983" s="105">
        <v>41694</v>
      </c>
      <c r="B983" s="156">
        <v>0.1545</v>
      </c>
      <c r="D983" s="105">
        <v>40683</v>
      </c>
      <c r="E983">
        <v>0.25750000000000001</v>
      </c>
      <c r="F983" s="105">
        <v>40683</v>
      </c>
      <c r="G983">
        <v>0.40725</v>
      </c>
      <c r="J983" s="105">
        <v>40683</v>
      </c>
      <c r="K983">
        <v>0.73299999999999998</v>
      </c>
    </row>
    <row r="984" spans="1:11">
      <c r="A984" s="105">
        <v>41695</v>
      </c>
      <c r="B984" s="156">
        <v>0.1545</v>
      </c>
      <c r="D984" s="105">
        <v>40682</v>
      </c>
      <c r="E984">
        <v>0.25850000000000001</v>
      </c>
      <c r="F984" s="105">
        <v>40682</v>
      </c>
      <c r="G984">
        <v>0.40875</v>
      </c>
      <c r="J984" s="105">
        <v>40682</v>
      </c>
      <c r="K984">
        <v>0.73699999999999999</v>
      </c>
    </row>
    <row r="985" spans="1:11">
      <c r="A985" s="105">
        <v>41696</v>
      </c>
      <c r="B985" s="156">
        <v>0.1545</v>
      </c>
      <c r="D985" s="105">
        <v>40681</v>
      </c>
      <c r="E985">
        <v>0.26</v>
      </c>
      <c r="F985" s="105">
        <v>40681</v>
      </c>
      <c r="G985">
        <v>0.41</v>
      </c>
      <c r="J985" s="105">
        <v>40681</v>
      </c>
      <c r="K985">
        <v>0.73475000000000001</v>
      </c>
    </row>
    <row r="986" spans="1:11">
      <c r="A986" s="105">
        <v>41697</v>
      </c>
      <c r="B986" s="156">
        <v>0.1545</v>
      </c>
      <c r="D986" s="105">
        <v>40680</v>
      </c>
      <c r="E986">
        <v>0.25974999999999998</v>
      </c>
      <c r="F986" s="105">
        <v>40680</v>
      </c>
      <c r="G986">
        <v>0.41199999999999998</v>
      </c>
      <c r="J986" s="105">
        <v>40680</v>
      </c>
      <c r="K986">
        <v>0.73550000000000004</v>
      </c>
    </row>
    <row r="987" spans="1:11">
      <c r="A987" s="105">
        <v>41698</v>
      </c>
      <c r="B987" s="156">
        <v>0.1555</v>
      </c>
      <c r="D987" s="105">
        <v>40679</v>
      </c>
      <c r="E987">
        <v>0.26050000000000001</v>
      </c>
      <c r="F987" s="105">
        <v>40679</v>
      </c>
      <c r="G987">
        <v>0.41249999999999998</v>
      </c>
      <c r="J987" s="105">
        <v>40679</v>
      </c>
      <c r="K987">
        <v>0.73550000000000004</v>
      </c>
    </row>
    <row r="988" spans="1:11">
      <c r="A988" s="105">
        <v>41701</v>
      </c>
      <c r="B988" s="156">
        <v>0.15529999999999999</v>
      </c>
      <c r="D988" s="105">
        <v>40676</v>
      </c>
      <c r="E988">
        <v>0.26050000000000001</v>
      </c>
      <c r="F988" s="105">
        <v>40676</v>
      </c>
      <c r="G988">
        <v>0.41499999999999998</v>
      </c>
      <c r="J988" s="105">
        <v>40676</v>
      </c>
      <c r="K988">
        <v>0.73799999999999999</v>
      </c>
    </row>
    <row r="989" spans="1:11">
      <c r="A989" s="105">
        <v>41702</v>
      </c>
      <c r="B989" s="156">
        <v>0.1565</v>
      </c>
      <c r="D989" s="105">
        <v>40675</v>
      </c>
      <c r="E989">
        <v>0.26074999999999998</v>
      </c>
      <c r="F989" s="105">
        <v>40675</v>
      </c>
      <c r="G989">
        <v>0.41699999999999998</v>
      </c>
      <c r="J989" s="105">
        <v>40675</v>
      </c>
      <c r="K989">
        <v>0.73799999999999999</v>
      </c>
    </row>
    <row r="990" spans="1:11">
      <c r="A990" s="105">
        <v>41703</v>
      </c>
      <c r="B990" s="156">
        <v>0.15559999999999999</v>
      </c>
      <c r="D990" s="105">
        <v>40674</v>
      </c>
      <c r="E990">
        <v>0.26224999999999998</v>
      </c>
      <c r="F990" s="105">
        <v>40674</v>
      </c>
      <c r="G990">
        <v>0.42049999999999998</v>
      </c>
      <c r="J990" s="105">
        <v>40674</v>
      </c>
      <c r="K990">
        <v>0.74250000000000005</v>
      </c>
    </row>
    <row r="991" spans="1:11">
      <c r="A991" s="105">
        <v>41704</v>
      </c>
      <c r="B991" s="156">
        <v>0.15440000000000001</v>
      </c>
      <c r="D991" s="105">
        <v>40673</v>
      </c>
      <c r="E991">
        <v>0.26400000000000001</v>
      </c>
      <c r="F991" s="105">
        <v>40673</v>
      </c>
      <c r="G991">
        <v>0.42125000000000001</v>
      </c>
      <c r="J991" s="105">
        <v>40673</v>
      </c>
      <c r="K991">
        <v>0.74350000000000005</v>
      </c>
    </row>
    <row r="992" spans="1:11">
      <c r="A992" s="105">
        <v>41705</v>
      </c>
      <c r="B992" s="156">
        <v>0.1565</v>
      </c>
      <c r="D992" s="105">
        <v>40672</v>
      </c>
      <c r="E992">
        <v>0.26574999999999999</v>
      </c>
      <c r="F992" s="105">
        <v>40672</v>
      </c>
      <c r="G992">
        <v>0.42325000000000002</v>
      </c>
      <c r="J992" s="105">
        <v>40672</v>
      </c>
      <c r="K992">
        <v>0.74650000000000005</v>
      </c>
    </row>
    <row r="993" spans="1:11">
      <c r="A993" s="105">
        <v>41708</v>
      </c>
      <c r="B993" s="156">
        <v>0.155</v>
      </c>
      <c r="D993" s="105">
        <v>40669</v>
      </c>
      <c r="E993">
        <v>0.26700000000000002</v>
      </c>
      <c r="F993" s="105">
        <v>40669</v>
      </c>
      <c r="G993">
        <v>0.42499999999999999</v>
      </c>
      <c r="J993" s="105">
        <v>40669</v>
      </c>
      <c r="K993">
        <v>0.749</v>
      </c>
    </row>
    <row r="994" spans="1:11">
      <c r="A994" s="105">
        <v>41709</v>
      </c>
      <c r="B994" s="156">
        <v>0.15579999999999999</v>
      </c>
      <c r="D994" s="105">
        <v>40668</v>
      </c>
      <c r="E994">
        <v>0.26824999999999999</v>
      </c>
      <c r="F994" s="105">
        <v>40668</v>
      </c>
      <c r="G994">
        <v>0.42699999999999999</v>
      </c>
      <c r="J994" s="105">
        <v>40668</v>
      </c>
      <c r="K994">
        <v>0.752</v>
      </c>
    </row>
    <row r="995" spans="1:11">
      <c r="A995" s="105">
        <v>41710</v>
      </c>
      <c r="B995" s="156">
        <v>0.1555</v>
      </c>
      <c r="D995" s="105">
        <v>40667</v>
      </c>
      <c r="E995">
        <v>0.27024999999999999</v>
      </c>
      <c r="F995" s="105">
        <v>40667</v>
      </c>
      <c r="G995">
        <v>0.42849999999999999</v>
      </c>
      <c r="J995" s="105">
        <v>40667</v>
      </c>
      <c r="K995">
        <v>0.75624999999999998</v>
      </c>
    </row>
    <row r="996" spans="1:11">
      <c r="A996" s="105">
        <v>41711</v>
      </c>
      <c r="B996" s="156">
        <v>0.155</v>
      </c>
      <c r="D996" s="105">
        <v>40666</v>
      </c>
      <c r="E996">
        <v>0.27224999999999999</v>
      </c>
      <c r="F996" s="105">
        <v>40666</v>
      </c>
      <c r="G996">
        <v>0.43025000000000002</v>
      </c>
      <c r="J996" s="105">
        <v>40666</v>
      </c>
      <c r="K996">
        <v>0.75775000000000003</v>
      </c>
    </row>
    <row r="997" spans="1:11">
      <c r="A997" s="105">
        <v>41712</v>
      </c>
      <c r="B997" s="156">
        <v>0.15645000000000001</v>
      </c>
      <c r="D997" s="105">
        <v>40661</v>
      </c>
      <c r="E997">
        <v>0.27300000000000002</v>
      </c>
      <c r="F997" s="105">
        <v>40661</v>
      </c>
      <c r="G997">
        <v>0.43049999999999999</v>
      </c>
      <c r="J997" s="105">
        <v>40661</v>
      </c>
      <c r="K997">
        <v>0.76100000000000001</v>
      </c>
    </row>
    <row r="998" spans="1:11">
      <c r="A998" s="105">
        <v>41715</v>
      </c>
      <c r="B998" s="156">
        <v>0.15620000000000001</v>
      </c>
      <c r="D998" s="105">
        <v>40660</v>
      </c>
      <c r="E998">
        <v>0.27324999999999999</v>
      </c>
      <c r="F998" s="105">
        <v>40660</v>
      </c>
      <c r="G998">
        <v>0.43175000000000002</v>
      </c>
      <c r="J998" s="105">
        <v>40660</v>
      </c>
      <c r="K998">
        <v>0.76249999999999996</v>
      </c>
    </row>
    <row r="999" spans="1:11">
      <c r="A999" s="105">
        <v>41716</v>
      </c>
      <c r="B999" s="156">
        <v>0.15675</v>
      </c>
      <c r="D999" s="105">
        <v>40659</v>
      </c>
      <c r="E999">
        <v>0.27274999999999999</v>
      </c>
      <c r="F999" s="105">
        <v>40659</v>
      </c>
      <c r="G999">
        <v>0.43225000000000002</v>
      </c>
      <c r="J999" s="105">
        <v>40659</v>
      </c>
      <c r="K999">
        <v>0.76200000000000001</v>
      </c>
    </row>
    <row r="1000" spans="1:11">
      <c r="A1000" s="105">
        <v>41717</v>
      </c>
      <c r="B1000" s="156">
        <v>0.15755</v>
      </c>
      <c r="D1000" s="105">
        <v>40654</v>
      </c>
      <c r="E1000">
        <v>0.27374999999999999</v>
      </c>
      <c r="F1000" s="105">
        <v>40654</v>
      </c>
      <c r="G1000">
        <v>0.43325000000000002</v>
      </c>
      <c r="J1000" s="105">
        <v>40654</v>
      </c>
      <c r="K1000">
        <v>0.76200000000000001</v>
      </c>
    </row>
    <row r="1001" spans="1:11">
      <c r="A1001" s="105">
        <v>41718</v>
      </c>
      <c r="B1001" s="156">
        <v>0.1545</v>
      </c>
      <c r="D1001" s="105">
        <v>40653</v>
      </c>
      <c r="E1001">
        <v>0.27374999999999999</v>
      </c>
      <c r="F1001" s="105">
        <v>40653</v>
      </c>
      <c r="G1001">
        <v>0.43325000000000002</v>
      </c>
      <c r="J1001" s="105">
        <v>40653</v>
      </c>
      <c r="K1001">
        <v>0.76300000000000001</v>
      </c>
    </row>
    <row r="1002" spans="1:11">
      <c r="A1002" s="105">
        <v>41719</v>
      </c>
      <c r="B1002" s="156">
        <v>0.15425</v>
      </c>
      <c r="D1002" s="105">
        <v>40652</v>
      </c>
      <c r="E1002">
        <v>0.27374999999999999</v>
      </c>
      <c r="F1002" s="105">
        <v>40652</v>
      </c>
      <c r="G1002">
        <v>0.43375000000000002</v>
      </c>
      <c r="J1002" s="105">
        <v>40652</v>
      </c>
      <c r="K1002">
        <v>0.76249999999999996</v>
      </c>
    </row>
    <row r="1003" spans="1:11">
      <c r="A1003" s="105">
        <v>41722</v>
      </c>
      <c r="B1003" s="156">
        <v>0.15425</v>
      </c>
      <c r="D1003" s="105">
        <v>40651</v>
      </c>
      <c r="E1003">
        <v>0.27400000000000002</v>
      </c>
      <c r="F1003" s="105">
        <v>40651</v>
      </c>
      <c r="G1003">
        <v>0.435</v>
      </c>
      <c r="J1003" s="105">
        <v>40651</v>
      </c>
      <c r="K1003">
        <v>0.76275000000000004</v>
      </c>
    </row>
    <row r="1004" spans="1:11">
      <c r="A1004" s="105">
        <v>41723</v>
      </c>
      <c r="B1004" s="156">
        <v>0.15375</v>
      </c>
      <c r="D1004" s="105">
        <v>40648</v>
      </c>
      <c r="E1004">
        <v>0.27474999999999999</v>
      </c>
      <c r="F1004" s="105">
        <v>40648</v>
      </c>
      <c r="G1004">
        <v>0.437</v>
      </c>
      <c r="J1004" s="105">
        <v>40648</v>
      </c>
      <c r="K1004">
        <v>0.76500000000000001</v>
      </c>
    </row>
    <row r="1005" spans="1:11">
      <c r="A1005" s="105">
        <v>41724</v>
      </c>
      <c r="B1005" s="156">
        <v>0.153</v>
      </c>
      <c r="D1005" s="105">
        <v>40647</v>
      </c>
      <c r="E1005">
        <v>0.27550000000000002</v>
      </c>
      <c r="F1005" s="105">
        <v>40647</v>
      </c>
      <c r="G1005">
        <v>0.4385</v>
      </c>
      <c r="J1005" s="105">
        <v>40647</v>
      </c>
      <c r="K1005">
        <v>0.76500000000000001</v>
      </c>
    </row>
    <row r="1006" spans="1:11">
      <c r="A1006" s="105">
        <v>41725</v>
      </c>
      <c r="B1006" s="156">
        <v>0.1525</v>
      </c>
      <c r="D1006" s="105">
        <v>40646</v>
      </c>
      <c r="E1006">
        <v>0.27800000000000002</v>
      </c>
      <c r="F1006" s="105">
        <v>40646</v>
      </c>
      <c r="G1006">
        <v>0.4415</v>
      </c>
      <c r="J1006" s="105">
        <v>40646</v>
      </c>
      <c r="K1006">
        <v>0.77149999999999996</v>
      </c>
    </row>
    <row r="1007" spans="1:11">
      <c r="A1007" s="105">
        <v>41726</v>
      </c>
      <c r="B1007" s="156">
        <v>0.15175</v>
      </c>
      <c r="D1007" s="105">
        <v>40645</v>
      </c>
      <c r="E1007">
        <v>0.28075</v>
      </c>
      <c r="F1007" s="105">
        <v>40645</v>
      </c>
      <c r="G1007">
        <v>0.4425</v>
      </c>
      <c r="J1007" s="105">
        <v>40645</v>
      </c>
      <c r="K1007">
        <v>0.77249999999999996</v>
      </c>
    </row>
    <row r="1008" spans="1:11">
      <c r="A1008" s="105">
        <v>41729</v>
      </c>
      <c r="B1008" s="156">
        <v>0.152</v>
      </c>
      <c r="D1008" s="105">
        <v>40644</v>
      </c>
      <c r="E1008">
        <v>0.28275</v>
      </c>
      <c r="F1008" s="105">
        <v>40644</v>
      </c>
      <c r="G1008">
        <v>0.44450000000000001</v>
      </c>
      <c r="J1008" s="105">
        <v>40644</v>
      </c>
      <c r="K1008">
        <v>0.77400000000000002</v>
      </c>
    </row>
    <row r="1009" spans="1:11">
      <c r="A1009" s="105">
        <v>41730</v>
      </c>
      <c r="B1009" s="156">
        <v>0.151</v>
      </c>
      <c r="D1009" s="105">
        <v>40641</v>
      </c>
      <c r="E1009">
        <v>0.28525</v>
      </c>
      <c r="F1009" s="105">
        <v>40641</v>
      </c>
      <c r="G1009">
        <v>0.44750000000000001</v>
      </c>
      <c r="J1009" s="105">
        <v>40641</v>
      </c>
      <c r="K1009">
        <v>0.77725</v>
      </c>
    </row>
    <row r="1010" spans="1:11">
      <c r="A1010" s="105">
        <v>41731</v>
      </c>
      <c r="B1010" s="156">
        <v>0.152</v>
      </c>
      <c r="D1010" s="105">
        <v>40640</v>
      </c>
      <c r="E1010">
        <v>0.28949999999999998</v>
      </c>
      <c r="F1010" s="105">
        <v>40640</v>
      </c>
      <c r="G1010">
        <v>0.45088</v>
      </c>
      <c r="J1010" s="105">
        <v>40640</v>
      </c>
      <c r="K1010">
        <v>0.77775000000000005</v>
      </c>
    </row>
    <row r="1011" spans="1:11">
      <c r="A1011" s="105">
        <v>41732</v>
      </c>
      <c r="B1011" s="156">
        <v>0.1525</v>
      </c>
      <c r="D1011" s="105">
        <v>40639</v>
      </c>
      <c r="E1011">
        <v>0.29263</v>
      </c>
      <c r="F1011" s="105">
        <v>40639</v>
      </c>
      <c r="G1011">
        <v>0.45450000000000002</v>
      </c>
      <c r="J1011" s="105">
        <v>40639</v>
      </c>
      <c r="K1011">
        <v>0.77825</v>
      </c>
    </row>
    <row r="1012" spans="1:11">
      <c r="A1012" s="105">
        <v>41733</v>
      </c>
      <c r="B1012" s="156">
        <v>0.1525</v>
      </c>
      <c r="D1012" s="105">
        <v>40638</v>
      </c>
      <c r="E1012">
        <v>0.29375000000000001</v>
      </c>
      <c r="F1012" s="105">
        <v>40638</v>
      </c>
      <c r="G1012">
        <v>0.45650000000000002</v>
      </c>
      <c r="J1012" s="105">
        <v>40638</v>
      </c>
      <c r="K1012">
        <v>0.77775000000000005</v>
      </c>
    </row>
    <row r="1013" spans="1:11">
      <c r="A1013" s="105">
        <v>41736</v>
      </c>
      <c r="B1013" s="156">
        <v>0.152</v>
      </c>
      <c r="D1013" s="105">
        <v>40637</v>
      </c>
      <c r="E1013">
        <v>0.29675000000000001</v>
      </c>
      <c r="F1013" s="105">
        <v>40637</v>
      </c>
      <c r="G1013">
        <v>0.45874999999999999</v>
      </c>
      <c r="J1013" s="105">
        <v>40637</v>
      </c>
      <c r="K1013">
        <v>0.78100000000000003</v>
      </c>
    </row>
    <row r="1014" spans="1:11">
      <c r="A1014" s="105">
        <v>41737</v>
      </c>
      <c r="B1014" s="156">
        <v>0.15040000000000001</v>
      </c>
      <c r="D1014" s="105">
        <v>40634</v>
      </c>
      <c r="E1014">
        <v>0.30099999999999999</v>
      </c>
      <c r="F1014" s="105">
        <v>40634</v>
      </c>
      <c r="G1014">
        <v>0.45950000000000002</v>
      </c>
      <c r="J1014" s="105">
        <v>40634</v>
      </c>
      <c r="K1014">
        <v>0.78525</v>
      </c>
    </row>
    <row r="1015" spans="1:11">
      <c r="A1015" s="105">
        <v>41738</v>
      </c>
      <c r="B1015" s="156">
        <v>0.15090000000000001</v>
      </c>
      <c r="D1015" s="105">
        <v>40633</v>
      </c>
      <c r="E1015">
        <v>0.30299999999999999</v>
      </c>
      <c r="F1015" s="105">
        <v>40633</v>
      </c>
      <c r="G1015">
        <v>0.45950000000000002</v>
      </c>
      <c r="J1015" s="105">
        <v>40633</v>
      </c>
      <c r="K1015">
        <v>0.78249999999999997</v>
      </c>
    </row>
    <row r="1016" spans="1:11">
      <c r="A1016" s="105">
        <v>41739</v>
      </c>
      <c r="B1016" s="156">
        <v>0.1525</v>
      </c>
      <c r="D1016" s="105">
        <v>40632</v>
      </c>
      <c r="E1016">
        <v>0.30449999999999999</v>
      </c>
      <c r="F1016" s="105">
        <v>40632</v>
      </c>
      <c r="G1016">
        <v>0.46050000000000002</v>
      </c>
      <c r="J1016" s="105">
        <v>40632</v>
      </c>
      <c r="K1016">
        <v>0.78200000000000003</v>
      </c>
    </row>
    <row r="1017" spans="1:11">
      <c r="A1017" s="105">
        <v>41740</v>
      </c>
      <c r="B1017" s="156">
        <v>0.1522</v>
      </c>
      <c r="D1017" s="105">
        <v>40631</v>
      </c>
      <c r="E1017">
        <v>0.307</v>
      </c>
      <c r="F1017" s="105">
        <v>40631</v>
      </c>
      <c r="G1017">
        <v>0.46050000000000002</v>
      </c>
      <c r="J1017" s="105">
        <v>40631</v>
      </c>
      <c r="K1017">
        <v>0.77949999999999997</v>
      </c>
    </row>
    <row r="1018" spans="1:11">
      <c r="A1018" s="105">
        <v>41743</v>
      </c>
      <c r="B1018" s="156">
        <v>0.1517</v>
      </c>
      <c r="D1018" s="105">
        <v>40630</v>
      </c>
      <c r="E1018">
        <v>0.307</v>
      </c>
      <c r="F1018" s="105">
        <v>40630</v>
      </c>
      <c r="G1018">
        <v>0.46050000000000002</v>
      </c>
      <c r="J1018" s="105">
        <v>40630</v>
      </c>
      <c r="K1018">
        <v>0.77949999999999997</v>
      </c>
    </row>
    <row r="1019" spans="1:11">
      <c r="A1019" s="105">
        <v>41744</v>
      </c>
      <c r="B1019" s="156">
        <v>0.15140000000000001</v>
      </c>
      <c r="D1019" s="105">
        <v>40627</v>
      </c>
      <c r="E1019">
        <v>0.3075</v>
      </c>
      <c r="F1019" s="105">
        <v>40627</v>
      </c>
      <c r="G1019">
        <v>0.46</v>
      </c>
      <c r="J1019" s="105">
        <v>40627</v>
      </c>
      <c r="K1019">
        <v>0.77649999999999997</v>
      </c>
    </row>
    <row r="1020" spans="1:11">
      <c r="A1020" s="105">
        <v>41745</v>
      </c>
      <c r="B1020" s="156">
        <v>0.152</v>
      </c>
      <c r="D1020" s="105">
        <v>40626</v>
      </c>
      <c r="E1020">
        <v>0.3085</v>
      </c>
      <c r="F1020" s="105">
        <v>40626</v>
      </c>
      <c r="G1020">
        <v>0.46</v>
      </c>
      <c r="J1020" s="105">
        <v>40626</v>
      </c>
      <c r="K1020">
        <v>0.77549999999999997</v>
      </c>
    </row>
    <row r="1021" spans="1:11">
      <c r="A1021" s="105">
        <v>41746</v>
      </c>
      <c r="B1021" s="156">
        <v>0.1522</v>
      </c>
      <c r="D1021" s="105">
        <v>40625</v>
      </c>
      <c r="E1021">
        <v>0.308</v>
      </c>
      <c r="F1021" s="105">
        <v>40625</v>
      </c>
      <c r="G1021">
        <v>0.46</v>
      </c>
      <c r="J1021" s="105">
        <v>40625</v>
      </c>
      <c r="K1021">
        <v>0.77449999999999997</v>
      </c>
    </row>
    <row r="1022" spans="1:11">
      <c r="A1022" s="105">
        <v>41751</v>
      </c>
      <c r="B1022" s="156">
        <v>0.15229999999999999</v>
      </c>
      <c r="D1022" s="105">
        <v>40624</v>
      </c>
      <c r="E1022">
        <v>0.309</v>
      </c>
      <c r="F1022" s="105">
        <v>40624</v>
      </c>
      <c r="G1022">
        <v>0.46</v>
      </c>
      <c r="J1022" s="105">
        <v>40624</v>
      </c>
      <c r="K1022">
        <v>0.77449999999999997</v>
      </c>
    </row>
    <row r="1023" spans="1:11">
      <c r="A1023" s="105">
        <v>41752</v>
      </c>
      <c r="B1023" s="156">
        <v>0.15229999999999999</v>
      </c>
      <c r="D1023" s="105">
        <v>40623</v>
      </c>
      <c r="E1023">
        <v>0.309</v>
      </c>
      <c r="F1023" s="105">
        <v>40623</v>
      </c>
      <c r="G1023">
        <v>0.46</v>
      </c>
      <c r="J1023" s="105">
        <v>40623</v>
      </c>
      <c r="K1023">
        <v>0.77200000000000002</v>
      </c>
    </row>
    <row r="1024" spans="1:11">
      <c r="A1024" s="105">
        <v>41753</v>
      </c>
      <c r="B1024" s="156">
        <v>0.15179999999999999</v>
      </c>
      <c r="D1024" s="105">
        <v>40620</v>
      </c>
      <c r="E1024">
        <v>0.309</v>
      </c>
      <c r="F1024" s="105">
        <v>40620</v>
      </c>
      <c r="G1024">
        <v>0.46</v>
      </c>
      <c r="J1024" s="105">
        <v>40620</v>
      </c>
      <c r="K1024">
        <v>0.77049999999999996</v>
      </c>
    </row>
    <row r="1025" spans="1:11">
      <c r="A1025" s="105">
        <v>41754</v>
      </c>
      <c r="B1025" s="156">
        <v>0.152</v>
      </c>
      <c r="D1025" s="105">
        <v>40619</v>
      </c>
      <c r="E1025">
        <v>0.309</v>
      </c>
      <c r="F1025" s="105">
        <v>40619</v>
      </c>
      <c r="G1025">
        <v>0.46</v>
      </c>
      <c r="J1025" s="105">
        <v>40619</v>
      </c>
      <c r="K1025">
        <v>0.77249999999999996</v>
      </c>
    </row>
    <row r="1026" spans="1:11">
      <c r="A1026" s="105">
        <v>41757</v>
      </c>
      <c r="B1026" s="156">
        <v>0.15029999999999999</v>
      </c>
      <c r="D1026" s="105">
        <v>40618</v>
      </c>
      <c r="E1026">
        <v>0.309</v>
      </c>
      <c r="F1026" s="105">
        <v>40618</v>
      </c>
      <c r="G1026">
        <v>0.46</v>
      </c>
      <c r="J1026" s="105">
        <v>40618</v>
      </c>
      <c r="K1026">
        <v>0.77149999999999996</v>
      </c>
    </row>
    <row r="1027" spans="1:11">
      <c r="A1027" s="105">
        <v>41758</v>
      </c>
      <c r="B1027" s="156">
        <v>0.1515</v>
      </c>
      <c r="D1027" s="105">
        <v>40617</v>
      </c>
      <c r="E1027">
        <v>0.309</v>
      </c>
      <c r="F1027" s="105">
        <v>40617</v>
      </c>
      <c r="G1027">
        <v>0.46</v>
      </c>
      <c r="J1027" s="105">
        <v>40617</v>
      </c>
      <c r="K1027">
        <v>0.76849999999999996</v>
      </c>
    </row>
    <row r="1028" spans="1:11">
      <c r="A1028" s="105">
        <v>41759</v>
      </c>
      <c r="B1028" s="156">
        <v>0.15049999999999999</v>
      </c>
      <c r="D1028" s="105">
        <v>40616</v>
      </c>
      <c r="E1028">
        <v>0.309</v>
      </c>
      <c r="F1028" s="105">
        <v>40616</v>
      </c>
      <c r="G1028">
        <v>0.46100000000000002</v>
      </c>
      <c r="J1028" s="105">
        <v>40616</v>
      </c>
      <c r="K1028">
        <v>0.77749999999999997</v>
      </c>
    </row>
    <row r="1029" spans="1:11">
      <c r="A1029" s="105">
        <v>41760</v>
      </c>
      <c r="B1029" s="156">
        <v>0.15049999999999999</v>
      </c>
      <c r="D1029" s="105">
        <v>40613</v>
      </c>
      <c r="E1029">
        <v>0.3095</v>
      </c>
      <c r="F1029" s="105">
        <v>40613</v>
      </c>
      <c r="G1029">
        <v>0.46100000000000002</v>
      </c>
      <c r="J1029" s="105">
        <v>40613</v>
      </c>
      <c r="K1029">
        <v>0.78</v>
      </c>
    </row>
    <row r="1030" spans="1:11">
      <c r="A1030" s="105">
        <v>41761</v>
      </c>
      <c r="B1030" s="156">
        <v>0.1515</v>
      </c>
      <c r="D1030" s="105">
        <v>40612</v>
      </c>
      <c r="E1030">
        <v>0.3095</v>
      </c>
      <c r="F1030" s="105">
        <v>40612</v>
      </c>
      <c r="G1030">
        <v>0.46150000000000002</v>
      </c>
      <c r="J1030" s="105">
        <v>40612</v>
      </c>
      <c r="K1030">
        <v>0.78549999999999998</v>
      </c>
    </row>
    <row r="1031" spans="1:11">
      <c r="A1031" s="105">
        <v>41765</v>
      </c>
      <c r="B1031" s="156">
        <v>0.15049999999999999</v>
      </c>
      <c r="D1031" s="105">
        <v>40611</v>
      </c>
      <c r="E1031">
        <v>0.3095</v>
      </c>
      <c r="F1031" s="105">
        <v>40611</v>
      </c>
      <c r="G1031">
        <v>0.46150000000000002</v>
      </c>
      <c r="J1031" s="105">
        <v>40611</v>
      </c>
      <c r="K1031">
        <v>0.78549999999999998</v>
      </c>
    </row>
    <row r="1032" spans="1:11">
      <c r="A1032" s="105">
        <v>41766</v>
      </c>
      <c r="B1032" s="156">
        <v>0.1515</v>
      </c>
      <c r="D1032" s="105">
        <v>40610</v>
      </c>
      <c r="E1032">
        <v>0.3095</v>
      </c>
      <c r="F1032" s="105">
        <v>40610</v>
      </c>
      <c r="G1032">
        <v>0.46150000000000002</v>
      </c>
      <c r="J1032" s="105">
        <v>40610</v>
      </c>
      <c r="K1032">
        <v>0.78449999999999998</v>
      </c>
    </row>
    <row r="1033" spans="1:11">
      <c r="A1033" s="105">
        <v>41767</v>
      </c>
      <c r="B1033" s="156">
        <v>0.15024999999999999</v>
      </c>
      <c r="D1033" s="105">
        <v>40609</v>
      </c>
      <c r="E1033">
        <v>0.3095</v>
      </c>
      <c r="F1033" s="105">
        <v>40609</v>
      </c>
      <c r="G1033">
        <v>0.46250000000000002</v>
      </c>
      <c r="J1033" s="105">
        <v>40609</v>
      </c>
      <c r="K1033">
        <v>0.78649999999999998</v>
      </c>
    </row>
    <row r="1034" spans="1:11">
      <c r="A1034" s="105">
        <v>41768</v>
      </c>
      <c r="B1034" s="156">
        <v>0.15160000000000001</v>
      </c>
      <c r="D1034" s="105">
        <v>40606</v>
      </c>
      <c r="E1034">
        <v>0.3095</v>
      </c>
      <c r="F1034" s="105">
        <v>40606</v>
      </c>
      <c r="G1034">
        <v>0.46250000000000002</v>
      </c>
      <c r="J1034" s="105">
        <v>40606</v>
      </c>
      <c r="K1034">
        <v>0.79200000000000004</v>
      </c>
    </row>
    <row r="1035" spans="1:11">
      <c r="A1035" s="105">
        <v>41771</v>
      </c>
      <c r="B1035" s="156">
        <v>0.15110000000000001</v>
      </c>
      <c r="D1035" s="105">
        <v>40605</v>
      </c>
      <c r="E1035">
        <v>0.3095</v>
      </c>
      <c r="F1035" s="105">
        <v>40605</v>
      </c>
      <c r="G1035">
        <v>0.46150000000000002</v>
      </c>
      <c r="J1035" s="105">
        <v>40605</v>
      </c>
      <c r="K1035">
        <v>0.78725000000000001</v>
      </c>
    </row>
    <row r="1036" spans="1:11">
      <c r="A1036" s="105">
        <v>41772</v>
      </c>
      <c r="B1036" s="156">
        <v>0.15110000000000001</v>
      </c>
      <c r="D1036" s="105">
        <v>40604</v>
      </c>
      <c r="E1036">
        <v>0.3095</v>
      </c>
      <c r="F1036" s="105">
        <v>40604</v>
      </c>
      <c r="G1036">
        <v>0.46150000000000002</v>
      </c>
      <c r="J1036" s="105">
        <v>40604</v>
      </c>
      <c r="K1036">
        <v>0.78625</v>
      </c>
    </row>
    <row r="1037" spans="1:11">
      <c r="A1037" s="105">
        <v>41773</v>
      </c>
      <c r="B1037" s="156">
        <v>0.15110000000000001</v>
      </c>
      <c r="D1037" s="105">
        <v>40603</v>
      </c>
      <c r="E1037">
        <v>0.3095</v>
      </c>
      <c r="F1037" s="105">
        <v>40603</v>
      </c>
      <c r="G1037">
        <v>0.46250000000000002</v>
      </c>
      <c r="J1037" s="105">
        <v>40603</v>
      </c>
      <c r="K1037">
        <v>0.78874999999999995</v>
      </c>
    </row>
    <row r="1038" spans="1:11">
      <c r="A1038" s="105">
        <v>41774</v>
      </c>
      <c r="B1038" s="156">
        <v>0.151</v>
      </c>
      <c r="D1038" s="105">
        <v>40602</v>
      </c>
      <c r="E1038">
        <v>0.3095</v>
      </c>
      <c r="F1038" s="105">
        <v>40602</v>
      </c>
      <c r="G1038">
        <v>0.46400000000000002</v>
      </c>
      <c r="J1038" s="105">
        <v>40602</v>
      </c>
      <c r="K1038">
        <v>0.79025000000000001</v>
      </c>
    </row>
    <row r="1039" spans="1:11">
      <c r="A1039" s="105">
        <v>41775</v>
      </c>
      <c r="B1039" s="156">
        <v>0.14924999999999999</v>
      </c>
      <c r="D1039" s="105">
        <v>40599</v>
      </c>
      <c r="E1039">
        <v>0.3105</v>
      </c>
      <c r="F1039" s="105">
        <v>40599</v>
      </c>
      <c r="G1039">
        <v>0.46400000000000002</v>
      </c>
      <c r="J1039" s="105">
        <v>40599</v>
      </c>
      <c r="K1039">
        <v>0.79225000000000001</v>
      </c>
    </row>
    <row r="1040" spans="1:11">
      <c r="A1040" s="105">
        <v>41778</v>
      </c>
      <c r="B1040" s="156">
        <v>0.14849999999999999</v>
      </c>
      <c r="D1040" s="105">
        <v>40598</v>
      </c>
      <c r="E1040">
        <v>0.3105</v>
      </c>
      <c r="F1040" s="105">
        <v>40598</v>
      </c>
      <c r="G1040">
        <v>0.46400000000000002</v>
      </c>
      <c r="J1040" s="105">
        <v>40598</v>
      </c>
      <c r="K1040">
        <v>0.79125000000000001</v>
      </c>
    </row>
    <row r="1041" spans="1:11">
      <c r="A1041" s="105">
        <v>41779</v>
      </c>
      <c r="B1041" s="156">
        <v>0.14774999999999999</v>
      </c>
      <c r="D1041" s="105">
        <v>40597</v>
      </c>
      <c r="E1041">
        <v>0.3115</v>
      </c>
      <c r="F1041" s="105">
        <v>40597</v>
      </c>
      <c r="G1041">
        <v>0.46500000000000002</v>
      </c>
      <c r="J1041" s="105">
        <v>40597</v>
      </c>
      <c r="K1041">
        <v>0.79374999999999996</v>
      </c>
    </row>
    <row r="1042" spans="1:11">
      <c r="A1042" s="105">
        <v>41780</v>
      </c>
      <c r="B1042" s="156">
        <v>0.14849999999999999</v>
      </c>
      <c r="D1042" s="105">
        <v>40596</v>
      </c>
      <c r="E1042">
        <v>0.3125</v>
      </c>
      <c r="F1042" s="105">
        <v>40596</v>
      </c>
      <c r="G1042">
        <v>0.46500000000000002</v>
      </c>
      <c r="J1042" s="105">
        <v>40596</v>
      </c>
      <c r="K1042">
        <v>0.79274999999999995</v>
      </c>
    </row>
    <row r="1043" spans="1:11">
      <c r="A1043" s="105">
        <v>41781</v>
      </c>
      <c r="B1043" s="156">
        <v>0.15</v>
      </c>
      <c r="D1043" s="105">
        <v>40595</v>
      </c>
      <c r="E1043">
        <v>0.3125</v>
      </c>
      <c r="F1043" s="105">
        <v>40595</v>
      </c>
      <c r="G1043">
        <v>0.46500000000000002</v>
      </c>
      <c r="J1043" s="105">
        <v>40595</v>
      </c>
      <c r="K1043">
        <v>0.79300000000000004</v>
      </c>
    </row>
    <row r="1044" spans="1:11">
      <c r="A1044" s="105">
        <v>41782</v>
      </c>
      <c r="B1044" s="156">
        <v>0.15049999999999999</v>
      </c>
      <c r="D1044" s="105">
        <v>40592</v>
      </c>
      <c r="E1044">
        <v>0.3125</v>
      </c>
      <c r="F1044" s="105">
        <v>40592</v>
      </c>
      <c r="G1044">
        <v>0.46550000000000002</v>
      </c>
      <c r="J1044" s="105">
        <v>40592</v>
      </c>
      <c r="K1044">
        <v>0.79500000000000004</v>
      </c>
    </row>
    <row r="1045" spans="1:11">
      <c r="A1045" s="105">
        <v>41786</v>
      </c>
      <c r="B1045" s="156">
        <v>0.15049999999999999</v>
      </c>
      <c r="D1045" s="105">
        <v>40591</v>
      </c>
      <c r="E1045">
        <v>0.3135</v>
      </c>
      <c r="F1045" s="105">
        <v>40591</v>
      </c>
      <c r="G1045">
        <v>0.46550000000000002</v>
      </c>
      <c r="J1045" s="105">
        <v>40591</v>
      </c>
      <c r="K1045">
        <v>0.79574999999999996</v>
      </c>
    </row>
    <row r="1046" spans="1:11">
      <c r="A1046" s="105">
        <v>41787</v>
      </c>
      <c r="B1046" s="156">
        <v>0.15</v>
      </c>
      <c r="D1046" s="105">
        <v>40590</v>
      </c>
      <c r="E1046">
        <v>0.3135</v>
      </c>
      <c r="F1046" s="105">
        <v>40590</v>
      </c>
      <c r="G1046">
        <v>0.4652</v>
      </c>
      <c r="J1046" s="105">
        <v>40590</v>
      </c>
      <c r="K1046">
        <v>0.79774999999999996</v>
      </c>
    </row>
    <row r="1047" spans="1:11">
      <c r="A1047" s="105">
        <v>41788</v>
      </c>
      <c r="B1047" s="156">
        <v>0.151</v>
      </c>
      <c r="D1047" s="105">
        <v>40589</v>
      </c>
      <c r="E1047">
        <v>0.3135</v>
      </c>
      <c r="F1047" s="105">
        <v>40589</v>
      </c>
      <c r="G1047">
        <v>0.4657</v>
      </c>
      <c r="J1047" s="105">
        <v>40589</v>
      </c>
      <c r="K1047">
        <v>0.79874999999999996</v>
      </c>
    </row>
    <row r="1048" spans="1:11">
      <c r="A1048" s="105">
        <v>41789</v>
      </c>
      <c r="B1048" s="156">
        <v>0.151</v>
      </c>
      <c r="D1048" s="105">
        <v>40588</v>
      </c>
      <c r="E1048">
        <v>0.314</v>
      </c>
      <c r="F1048" s="105">
        <v>40588</v>
      </c>
      <c r="G1048">
        <v>0.4657</v>
      </c>
      <c r="J1048" s="105">
        <v>40588</v>
      </c>
      <c r="K1048">
        <v>0.79749999999999999</v>
      </c>
    </row>
    <row r="1049" spans="1:11">
      <c r="A1049" s="105">
        <v>41792</v>
      </c>
      <c r="B1049" s="156">
        <v>0.151</v>
      </c>
      <c r="D1049" s="105">
        <v>40585</v>
      </c>
      <c r="E1049">
        <v>0.313</v>
      </c>
      <c r="F1049" s="105">
        <v>40585</v>
      </c>
      <c r="G1049">
        <v>0.4652</v>
      </c>
      <c r="J1049" s="105">
        <v>40585</v>
      </c>
      <c r="K1049">
        <v>0.79649999999999999</v>
      </c>
    </row>
    <row r="1050" spans="1:11">
      <c r="A1050" s="105">
        <v>41793</v>
      </c>
      <c r="B1050" s="156">
        <v>0.15090000000000001</v>
      </c>
      <c r="D1050" s="105">
        <v>40584</v>
      </c>
      <c r="E1050">
        <v>0.312</v>
      </c>
      <c r="F1050" s="105">
        <v>40584</v>
      </c>
      <c r="G1050">
        <v>0.4647</v>
      </c>
      <c r="J1050" s="105">
        <v>40584</v>
      </c>
      <c r="K1050">
        <v>0.79700000000000004</v>
      </c>
    </row>
    <row r="1051" spans="1:11">
      <c r="A1051" s="105">
        <v>41794</v>
      </c>
      <c r="B1051" s="156">
        <v>0.152</v>
      </c>
      <c r="D1051" s="105">
        <v>40583</v>
      </c>
      <c r="E1051">
        <v>0.312</v>
      </c>
      <c r="F1051" s="105">
        <v>40583</v>
      </c>
      <c r="G1051">
        <v>0.4652</v>
      </c>
      <c r="J1051" s="105">
        <v>40583</v>
      </c>
      <c r="K1051">
        <v>0.79900000000000004</v>
      </c>
    </row>
    <row r="1052" spans="1:11">
      <c r="A1052" s="105">
        <v>41795</v>
      </c>
      <c r="B1052" s="156">
        <v>0.151</v>
      </c>
      <c r="D1052" s="105">
        <v>40582</v>
      </c>
      <c r="E1052">
        <v>0.312</v>
      </c>
      <c r="F1052" s="105">
        <v>40582</v>
      </c>
      <c r="G1052">
        <v>0.46434999999999998</v>
      </c>
      <c r="J1052" s="105">
        <v>40582</v>
      </c>
      <c r="K1052">
        <v>0.79325000000000001</v>
      </c>
    </row>
    <row r="1053" spans="1:11">
      <c r="A1053" s="105">
        <v>41796</v>
      </c>
      <c r="B1053" s="156">
        <v>0.1535</v>
      </c>
      <c r="D1053" s="105">
        <v>40581</v>
      </c>
      <c r="E1053">
        <v>0.312</v>
      </c>
      <c r="F1053" s="105">
        <v>40581</v>
      </c>
      <c r="G1053">
        <v>0.46284999999999998</v>
      </c>
      <c r="J1053" s="105">
        <v>40581</v>
      </c>
      <c r="K1053">
        <v>0.79274999999999995</v>
      </c>
    </row>
    <row r="1054" spans="1:11">
      <c r="A1054" s="105">
        <v>41799</v>
      </c>
      <c r="B1054" s="156">
        <v>0.15225</v>
      </c>
      <c r="D1054" s="105">
        <v>40578</v>
      </c>
      <c r="E1054">
        <v>0.3115</v>
      </c>
      <c r="F1054" s="105">
        <v>40578</v>
      </c>
      <c r="G1054">
        <v>0.46124999999999999</v>
      </c>
      <c r="J1054" s="105">
        <v>40578</v>
      </c>
      <c r="K1054">
        <v>0.79125000000000001</v>
      </c>
    </row>
    <row r="1055" spans="1:11">
      <c r="A1055" s="105">
        <v>41800</v>
      </c>
      <c r="B1055" s="156">
        <v>0.152</v>
      </c>
      <c r="D1055" s="105">
        <v>40577</v>
      </c>
      <c r="E1055">
        <v>0.3105</v>
      </c>
      <c r="F1055" s="105">
        <v>40577</v>
      </c>
      <c r="G1055">
        <v>0.46124999999999999</v>
      </c>
      <c r="J1055" s="105">
        <v>40577</v>
      </c>
      <c r="K1055">
        <v>0.78859999999999997</v>
      </c>
    </row>
    <row r="1056" spans="1:11">
      <c r="A1056" s="105">
        <v>41801</v>
      </c>
      <c r="B1056" s="156">
        <v>0.15125</v>
      </c>
      <c r="D1056" s="105">
        <v>40576</v>
      </c>
      <c r="E1056">
        <v>0.3105</v>
      </c>
      <c r="F1056" s="105">
        <v>40576</v>
      </c>
      <c r="G1056">
        <v>0.46074999999999999</v>
      </c>
      <c r="J1056" s="105">
        <v>40576</v>
      </c>
      <c r="K1056">
        <v>0.78605000000000003</v>
      </c>
    </row>
    <row r="1057" spans="1:11">
      <c r="A1057" s="105">
        <v>41802</v>
      </c>
      <c r="B1057" s="156">
        <v>0.15175</v>
      </c>
      <c r="D1057" s="105">
        <v>40575</v>
      </c>
      <c r="E1057">
        <v>0.3105</v>
      </c>
      <c r="F1057" s="105">
        <v>40575</v>
      </c>
      <c r="G1057">
        <v>0.46074999999999999</v>
      </c>
      <c r="J1057" s="105">
        <v>40575</v>
      </c>
      <c r="K1057">
        <v>0.78549999999999998</v>
      </c>
    </row>
    <row r="1058" spans="1:11">
      <c r="A1058" s="105">
        <v>41803</v>
      </c>
      <c r="B1058" s="156">
        <v>0.15425</v>
      </c>
      <c r="D1058" s="105">
        <v>40574</v>
      </c>
      <c r="E1058">
        <v>0.30437999999999998</v>
      </c>
      <c r="F1058" s="105">
        <v>40574</v>
      </c>
      <c r="G1058">
        <v>0.45380999999999999</v>
      </c>
      <c r="J1058" s="105">
        <v>40574</v>
      </c>
      <c r="K1058">
        <v>0.78125</v>
      </c>
    </row>
    <row r="1059" spans="1:11">
      <c r="A1059" s="105">
        <v>41806</v>
      </c>
      <c r="B1059" s="156">
        <v>0.154</v>
      </c>
      <c r="D1059" s="105">
        <v>40571</v>
      </c>
      <c r="E1059">
        <v>0.30437999999999998</v>
      </c>
      <c r="F1059" s="105">
        <v>40571</v>
      </c>
      <c r="G1059">
        <v>0.45380999999999999</v>
      </c>
      <c r="J1059" s="105">
        <v>40571</v>
      </c>
      <c r="K1059">
        <v>0.78063000000000005</v>
      </c>
    </row>
    <row r="1060" spans="1:11">
      <c r="A1060" s="105">
        <v>41807</v>
      </c>
      <c r="B1060" s="156">
        <v>0.155</v>
      </c>
      <c r="D1060" s="105">
        <v>40570</v>
      </c>
      <c r="E1060">
        <v>0.30437999999999998</v>
      </c>
      <c r="F1060" s="105">
        <v>40570</v>
      </c>
      <c r="G1060">
        <v>0.45468999999999998</v>
      </c>
      <c r="J1060" s="105">
        <v>40570</v>
      </c>
      <c r="K1060">
        <v>0.78125</v>
      </c>
    </row>
    <row r="1061" spans="1:11">
      <c r="A1061" s="105">
        <v>41808</v>
      </c>
      <c r="B1061" s="156">
        <v>0.153</v>
      </c>
      <c r="D1061" s="105">
        <v>40569</v>
      </c>
      <c r="E1061">
        <v>0.30437999999999998</v>
      </c>
      <c r="F1061" s="105">
        <v>40569</v>
      </c>
      <c r="G1061">
        <v>0.45468999999999998</v>
      </c>
      <c r="J1061" s="105">
        <v>40569</v>
      </c>
      <c r="K1061">
        <v>0.78125</v>
      </c>
    </row>
    <row r="1062" spans="1:11">
      <c r="A1062" s="105">
        <v>41809</v>
      </c>
      <c r="B1062" s="156">
        <v>0.15325</v>
      </c>
      <c r="D1062" s="105">
        <v>40568</v>
      </c>
      <c r="E1062">
        <v>0.30437999999999998</v>
      </c>
      <c r="F1062" s="105">
        <v>40568</v>
      </c>
      <c r="G1062">
        <v>0.45468999999999998</v>
      </c>
      <c r="J1062" s="105">
        <v>40568</v>
      </c>
      <c r="K1062">
        <v>0.78093999999999997</v>
      </c>
    </row>
    <row r="1063" spans="1:11">
      <c r="A1063" s="105">
        <v>41810</v>
      </c>
      <c r="B1063" s="156">
        <v>0.154</v>
      </c>
      <c r="D1063" s="105">
        <v>40567</v>
      </c>
      <c r="E1063">
        <v>0.30313000000000001</v>
      </c>
      <c r="F1063" s="105">
        <v>40567</v>
      </c>
      <c r="G1063">
        <v>0.45468999999999998</v>
      </c>
      <c r="J1063" s="105">
        <v>40567</v>
      </c>
      <c r="K1063">
        <v>0.78093999999999997</v>
      </c>
    </row>
    <row r="1064" spans="1:11">
      <c r="A1064" s="105">
        <v>41813</v>
      </c>
      <c r="B1064" s="156">
        <v>0.152</v>
      </c>
      <c r="D1064" s="105">
        <v>40564</v>
      </c>
      <c r="E1064">
        <v>0.30313000000000001</v>
      </c>
      <c r="F1064" s="105">
        <v>40564</v>
      </c>
      <c r="G1064">
        <v>0.45468999999999998</v>
      </c>
      <c r="J1064" s="105">
        <v>40564</v>
      </c>
      <c r="K1064">
        <v>0.78063000000000005</v>
      </c>
    </row>
    <row r="1065" spans="1:11">
      <c r="A1065" s="105">
        <v>41814</v>
      </c>
      <c r="B1065" s="156">
        <v>0.1515</v>
      </c>
      <c r="D1065" s="105">
        <v>40563</v>
      </c>
      <c r="E1065">
        <v>0.30313000000000001</v>
      </c>
      <c r="F1065" s="105">
        <v>40563</v>
      </c>
      <c r="G1065">
        <v>0.45468999999999998</v>
      </c>
      <c r="J1065" s="105">
        <v>40563</v>
      </c>
      <c r="K1065">
        <v>0.78030999999999995</v>
      </c>
    </row>
    <row r="1066" spans="1:11">
      <c r="A1066" s="105">
        <v>41815</v>
      </c>
      <c r="B1066" s="156">
        <v>0.151</v>
      </c>
      <c r="D1066" s="105">
        <v>40562</v>
      </c>
      <c r="E1066">
        <v>0.30313000000000001</v>
      </c>
      <c r="F1066" s="105">
        <v>40562</v>
      </c>
      <c r="G1066">
        <v>0.45468999999999998</v>
      </c>
      <c r="J1066" s="105">
        <v>40562</v>
      </c>
      <c r="K1066">
        <v>0.78030999999999995</v>
      </c>
    </row>
    <row r="1067" spans="1:11">
      <c r="A1067" s="105">
        <v>41816</v>
      </c>
      <c r="B1067" s="156">
        <v>0.14949999999999999</v>
      </c>
      <c r="D1067" s="105">
        <v>40561</v>
      </c>
      <c r="E1067">
        <v>0.30313000000000001</v>
      </c>
      <c r="F1067" s="105">
        <v>40561</v>
      </c>
      <c r="G1067">
        <v>0.45468999999999998</v>
      </c>
      <c r="J1067" s="105">
        <v>40561</v>
      </c>
      <c r="K1067">
        <v>0.77905999999999997</v>
      </c>
    </row>
    <row r="1068" spans="1:11">
      <c r="A1068" s="105">
        <v>41817</v>
      </c>
      <c r="B1068" s="156">
        <v>0.1515</v>
      </c>
      <c r="D1068" s="105">
        <v>40560</v>
      </c>
      <c r="E1068">
        <v>0.30313000000000001</v>
      </c>
      <c r="F1068" s="105">
        <v>40560</v>
      </c>
      <c r="G1068">
        <v>0.45468999999999998</v>
      </c>
      <c r="J1068" s="105">
        <v>40560</v>
      </c>
      <c r="K1068">
        <v>0.77968999999999999</v>
      </c>
    </row>
    <row r="1069" spans="1:11">
      <c r="A1069" s="105">
        <v>41820</v>
      </c>
      <c r="B1069" s="156">
        <v>0.1552</v>
      </c>
      <c r="D1069" s="105">
        <v>40557</v>
      </c>
      <c r="E1069">
        <v>0.30313000000000001</v>
      </c>
      <c r="F1069" s="105">
        <v>40557</v>
      </c>
      <c r="G1069">
        <v>0.45594000000000001</v>
      </c>
      <c r="J1069" s="105">
        <v>40557</v>
      </c>
      <c r="K1069">
        <v>0.78219000000000005</v>
      </c>
    </row>
    <row r="1070" spans="1:11">
      <c r="A1070" s="105">
        <v>41821</v>
      </c>
      <c r="B1070" s="156">
        <v>0.1552</v>
      </c>
      <c r="D1070" s="105">
        <v>40556</v>
      </c>
      <c r="E1070">
        <v>0.30313000000000001</v>
      </c>
      <c r="F1070" s="105">
        <v>40556</v>
      </c>
      <c r="G1070">
        <v>0.45656000000000002</v>
      </c>
      <c r="J1070" s="105">
        <v>40556</v>
      </c>
      <c r="K1070">
        <v>0.78374999999999995</v>
      </c>
    </row>
    <row r="1071" spans="1:11">
      <c r="A1071" s="105">
        <v>41822</v>
      </c>
      <c r="B1071" s="156">
        <v>0.1555</v>
      </c>
      <c r="D1071" s="105">
        <v>40555</v>
      </c>
      <c r="E1071">
        <v>0.30313000000000001</v>
      </c>
      <c r="F1071" s="105">
        <v>40555</v>
      </c>
      <c r="G1071">
        <v>0.45680999999999999</v>
      </c>
      <c r="J1071" s="105">
        <v>40555</v>
      </c>
      <c r="K1071">
        <v>0.78374999999999995</v>
      </c>
    </row>
    <row r="1072" spans="1:11">
      <c r="A1072" s="105">
        <v>41823</v>
      </c>
      <c r="B1072" s="156">
        <v>0.1555</v>
      </c>
      <c r="D1072" s="105">
        <v>40554</v>
      </c>
      <c r="E1072">
        <v>0.30313000000000001</v>
      </c>
      <c r="F1072" s="105">
        <v>40554</v>
      </c>
      <c r="G1072">
        <v>0.45694000000000001</v>
      </c>
      <c r="J1072" s="105">
        <v>40554</v>
      </c>
      <c r="K1072">
        <v>0.78388000000000002</v>
      </c>
    </row>
    <row r="1073" spans="1:11">
      <c r="A1073" s="105">
        <v>41824</v>
      </c>
      <c r="B1073" s="156">
        <v>0.15340000000000001</v>
      </c>
      <c r="D1073" s="105">
        <v>40553</v>
      </c>
      <c r="E1073">
        <v>0.30313000000000001</v>
      </c>
      <c r="F1073" s="105">
        <v>40553</v>
      </c>
      <c r="G1073">
        <v>0.45706000000000002</v>
      </c>
      <c r="J1073" s="105">
        <v>40553</v>
      </c>
      <c r="K1073">
        <v>0.78400000000000003</v>
      </c>
    </row>
    <row r="1074" spans="1:11">
      <c r="A1074" s="105">
        <v>41827</v>
      </c>
      <c r="B1074" s="156">
        <v>0.15340000000000001</v>
      </c>
      <c r="D1074" s="105">
        <v>40550</v>
      </c>
      <c r="E1074">
        <v>0.30313000000000001</v>
      </c>
      <c r="F1074" s="105">
        <v>40550</v>
      </c>
      <c r="G1074">
        <v>0.45730999999999999</v>
      </c>
      <c r="J1074" s="105">
        <v>40550</v>
      </c>
      <c r="K1074">
        <v>0.78549999999999998</v>
      </c>
    </row>
    <row r="1075" spans="1:11">
      <c r="A1075" s="105">
        <v>41828</v>
      </c>
      <c r="B1075" s="156">
        <v>0.1525</v>
      </c>
      <c r="D1075" s="105">
        <v>40549</v>
      </c>
      <c r="E1075">
        <v>0.30313000000000001</v>
      </c>
      <c r="F1075" s="105">
        <v>40549</v>
      </c>
      <c r="G1075">
        <v>0.45718999999999999</v>
      </c>
      <c r="J1075" s="105">
        <v>40549</v>
      </c>
      <c r="K1075">
        <v>0.78525</v>
      </c>
    </row>
    <row r="1076" spans="1:11">
      <c r="A1076" s="105">
        <v>41829</v>
      </c>
      <c r="B1076" s="156">
        <v>0.15275</v>
      </c>
      <c r="D1076" s="105">
        <v>40548</v>
      </c>
      <c r="E1076">
        <v>0.30281000000000002</v>
      </c>
      <c r="F1076" s="105">
        <v>40548</v>
      </c>
      <c r="G1076">
        <v>0.45456000000000002</v>
      </c>
      <c r="J1076" s="105">
        <v>40548</v>
      </c>
      <c r="K1076">
        <v>0.78093999999999997</v>
      </c>
    </row>
    <row r="1077" spans="1:11">
      <c r="A1077" s="105">
        <v>41830</v>
      </c>
      <c r="B1077" s="156">
        <v>0.1515</v>
      </c>
      <c r="D1077" s="105">
        <v>40547</v>
      </c>
      <c r="E1077">
        <v>0.30281000000000002</v>
      </c>
      <c r="F1077" s="105">
        <v>40547</v>
      </c>
      <c r="G1077">
        <v>0.45580999999999999</v>
      </c>
      <c r="J1077" s="105">
        <v>40547</v>
      </c>
      <c r="K1077">
        <v>0.78093999999999997</v>
      </c>
    </row>
    <row r="1078" spans="1:11">
      <c r="A1078" s="105">
        <v>41831</v>
      </c>
      <c r="B1078" s="156">
        <v>0.152</v>
      </c>
      <c r="D1078" s="105">
        <v>40543</v>
      </c>
      <c r="E1078">
        <v>0.30281000000000002</v>
      </c>
      <c r="F1078" s="105">
        <v>40543</v>
      </c>
      <c r="G1078">
        <v>0.45594000000000001</v>
      </c>
      <c r="J1078" s="105">
        <v>40543</v>
      </c>
      <c r="K1078">
        <v>0.78093999999999997</v>
      </c>
    </row>
    <row r="1079" spans="1:11">
      <c r="A1079" s="105">
        <v>41834</v>
      </c>
      <c r="B1079" s="156">
        <v>0.152</v>
      </c>
      <c r="D1079" s="105">
        <v>40542</v>
      </c>
      <c r="E1079">
        <v>0.30281000000000002</v>
      </c>
      <c r="F1079" s="105">
        <v>40542</v>
      </c>
      <c r="G1079">
        <v>0.45656000000000002</v>
      </c>
      <c r="J1079" s="105">
        <v>40542</v>
      </c>
      <c r="K1079">
        <v>0.78156000000000003</v>
      </c>
    </row>
    <row r="1080" spans="1:11">
      <c r="A1080" s="105">
        <v>41835</v>
      </c>
      <c r="B1080" s="156">
        <v>0.1542</v>
      </c>
      <c r="D1080" s="105">
        <v>40541</v>
      </c>
      <c r="E1080">
        <v>0.30281000000000002</v>
      </c>
      <c r="F1080" s="105">
        <v>40541</v>
      </c>
      <c r="G1080">
        <v>0.45688000000000001</v>
      </c>
      <c r="J1080" s="105">
        <v>40541</v>
      </c>
      <c r="K1080">
        <v>0.78312999999999999</v>
      </c>
    </row>
    <row r="1081" spans="1:11">
      <c r="A1081" s="105">
        <v>41836</v>
      </c>
      <c r="B1081" s="156">
        <v>0.15545</v>
      </c>
      <c r="D1081" s="105">
        <v>40536</v>
      </c>
      <c r="E1081">
        <v>0.30281000000000002</v>
      </c>
      <c r="F1081" s="105">
        <v>40536</v>
      </c>
      <c r="G1081">
        <v>0.45718999999999999</v>
      </c>
      <c r="J1081" s="105">
        <v>40536</v>
      </c>
      <c r="K1081">
        <v>0.78312999999999999</v>
      </c>
    </row>
    <row r="1082" spans="1:11">
      <c r="A1082" s="105">
        <v>41837</v>
      </c>
      <c r="B1082" s="156">
        <v>0.15620000000000001</v>
      </c>
      <c r="D1082" s="105">
        <v>40535</v>
      </c>
      <c r="E1082">
        <v>0.30281000000000002</v>
      </c>
      <c r="F1082" s="105">
        <v>40535</v>
      </c>
      <c r="G1082">
        <v>0.45718999999999999</v>
      </c>
      <c r="J1082" s="105">
        <v>40535</v>
      </c>
      <c r="K1082">
        <v>0.78312999999999999</v>
      </c>
    </row>
    <row r="1083" spans="1:11">
      <c r="A1083" s="105">
        <v>41838</v>
      </c>
      <c r="B1083" s="156">
        <v>0.15425</v>
      </c>
      <c r="D1083" s="105">
        <v>40534</v>
      </c>
      <c r="E1083">
        <v>0.30281000000000002</v>
      </c>
      <c r="F1083" s="105">
        <v>40534</v>
      </c>
      <c r="G1083">
        <v>0.45718999999999999</v>
      </c>
      <c r="J1083" s="105">
        <v>40534</v>
      </c>
      <c r="K1083">
        <v>0.78312999999999999</v>
      </c>
    </row>
    <row r="1084" spans="1:11">
      <c r="A1084" s="105">
        <v>41841</v>
      </c>
      <c r="B1084" s="156">
        <v>0.15475</v>
      </c>
      <c r="D1084" s="105">
        <v>40533</v>
      </c>
      <c r="E1084">
        <v>0.30281000000000002</v>
      </c>
      <c r="F1084" s="105">
        <v>40533</v>
      </c>
      <c r="G1084">
        <v>0.45718999999999999</v>
      </c>
      <c r="J1084" s="105">
        <v>40533</v>
      </c>
      <c r="K1084">
        <v>0.78325</v>
      </c>
    </row>
    <row r="1085" spans="1:11">
      <c r="A1085" s="105">
        <v>41842</v>
      </c>
      <c r="B1085" s="156">
        <v>0.15525</v>
      </c>
      <c r="D1085" s="105">
        <v>40532</v>
      </c>
      <c r="E1085">
        <v>0.30281000000000002</v>
      </c>
      <c r="F1085" s="105">
        <v>40532</v>
      </c>
      <c r="G1085">
        <v>0.45718999999999999</v>
      </c>
      <c r="J1085" s="105">
        <v>40532</v>
      </c>
      <c r="K1085">
        <v>0.78325</v>
      </c>
    </row>
    <row r="1086" spans="1:11">
      <c r="A1086" s="105">
        <v>41843</v>
      </c>
      <c r="B1086" s="156">
        <v>0.155</v>
      </c>
      <c r="D1086" s="105">
        <v>40529</v>
      </c>
      <c r="E1086">
        <v>0.30375000000000002</v>
      </c>
      <c r="F1086" s="105">
        <v>40529</v>
      </c>
      <c r="G1086">
        <v>0.45718999999999999</v>
      </c>
      <c r="J1086" s="105">
        <v>40529</v>
      </c>
      <c r="K1086">
        <v>0.78388000000000002</v>
      </c>
    </row>
    <row r="1087" spans="1:11">
      <c r="A1087" s="105">
        <v>41844</v>
      </c>
      <c r="B1087" s="156">
        <v>0.15425</v>
      </c>
      <c r="D1087" s="105">
        <v>40528</v>
      </c>
      <c r="E1087">
        <v>0.30375000000000002</v>
      </c>
      <c r="F1087" s="105">
        <v>40528</v>
      </c>
      <c r="G1087">
        <v>0.45968999999999999</v>
      </c>
      <c r="J1087" s="105">
        <v>40528</v>
      </c>
      <c r="K1087">
        <v>0.78512999999999999</v>
      </c>
    </row>
    <row r="1088" spans="1:11">
      <c r="A1088" s="105">
        <v>41845</v>
      </c>
      <c r="B1088" s="156">
        <v>0.156</v>
      </c>
      <c r="D1088" s="105">
        <v>40527</v>
      </c>
      <c r="E1088">
        <v>0.30187999999999998</v>
      </c>
      <c r="F1088" s="105">
        <v>40527</v>
      </c>
      <c r="G1088">
        <v>0.45780999999999999</v>
      </c>
      <c r="J1088" s="105">
        <v>40527</v>
      </c>
      <c r="K1088">
        <v>0.78344000000000003</v>
      </c>
    </row>
    <row r="1089" spans="1:11">
      <c r="A1089" s="105">
        <v>41848</v>
      </c>
      <c r="B1089" s="156">
        <v>0.155</v>
      </c>
      <c r="D1089" s="105">
        <v>40526</v>
      </c>
      <c r="E1089">
        <v>0.30187999999999998</v>
      </c>
      <c r="F1089" s="105">
        <v>40526</v>
      </c>
      <c r="G1089">
        <v>0.45618999999999998</v>
      </c>
      <c r="J1089" s="105">
        <v>40526</v>
      </c>
      <c r="K1089">
        <v>0.78374999999999995</v>
      </c>
    </row>
    <row r="1090" spans="1:11">
      <c r="A1090" s="105">
        <v>41849</v>
      </c>
      <c r="B1090" s="156">
        <v>0.155</v>
      </c>
      <c r="D1090" s="105">
        <v>40525</v>
      </c>
      <c r="E1090">
        <v>0.30155999999999999</v>
      </c>
      <c r="F1090" s="105">
        <v>40525</v>
      </c>
      <c r="G1090">
        <v>0.45630999999999999</v>
      </c>
      <c r="J1090" s="105">
        <v>40525</v>
      </c>
      <c r="K1090">
        <v>0.78500000000000003</v>
      </c>
    </row>
    <row r="1091" spans="1:11">
      <c r="A1091" s="105">
        <v>41850</v>
      </c>
      <c r="B1091" s="156">
        <v>0.15579999999999999</v>
      </c>
      <c r="D1091" s="105">
        <v>40522</v>
      </c>
      <c r="E1091">
        <v>0.30155999999999999</v>
      </c>
      <c r="F1091" s="105">
        <v>40522</v>
      </c>
      <c r="G1091">
        <v>0.45718999999999999</v>
      </c>
      <c r="J1091" s="105">
        <v>40522</v>
      </c>
      <c r="K1091">
        <v>0.78249999999999997</v>
      </c>
    </row>
    <row r="1092" spans="1:11">
      <c r="A1092" s="105">
        <v>41851</v>
      </c>
      <c r="B1092" s="156">
        <v>0.156</v>
      </c>
      <c r="D1092" s="105">
        <v>40521</v>
      </c>
      <c r="E1092">
        <v>0.30219000000000001</v>
      </c>
      <c r="F1092" s="105">
        <v>40521</v>
      </c>
      <c r="G1092">
        <v>0.45718999999999999</v>
      </c>
      <c r="J1092" s="105">
        <v>40521</v>
      </c>
      <c r="K1092">
        <v>0.78249999999999997</v>
      </c>
    </row>
    <row r="1093" spans="1:11">
      <c r="A1093" s="105">
        <v>41852</v>
      </c>
      <c r="B1093" s="156">
        <v>0.156</v>
      </c>
      <c r="D1093" s="105">
        <v>40520</v>
      </c>
      <c r="E1093">
        <v>0.30219000000000001</v>
      </c>
      <c r="F1093" s="105">
        <v>40520</v>
      </c>
      <c r="G1093">
        <v>0.45844000000000001</v>
      </c>
      <c r="J1093" s="105">
        <v>40520</v>
      </c>
      <c r="K1093">
        <v>0.78249999999999997</v>
      </c>
    </row>
    <row r="1094" spans="1:11">
      <c r="A1094" s="105">
        <v>41855</v>
      </c>
      <c r="B1094" s="156">
        <v>0.15690000000000001</v>
      </c>
      <c r="D1094" s="105">
        <v>40519</v>
      </c>
      <c r="E1094">
        <v>0.30219000000000001</v>
      </c>
      <c r="F1094" s="105">
        <v>40519</v>
      </c>
      <c r="G1094">
        <v>0.45718999999999999</v>
      </c>
      <c r="J1094" s="105">
        <v>40519</v>
      </c>
      <c r="K1094">
        <v>0.78125</v>
      </c>
    </row>
    <row r="1095" spans="1:11">
      <c r="A1095" s="105">
        <v>41856</v>
      </c>
      <c r="B1095" s="156">
        <v>0.1585</v>
      </c>
      <c r="D1095" s="105">
        <v>40518</v>
      </c>
      <c r="E1095">
        <v>0.30343999999999999</v>
      </c>
      <c r="F1095" s="105">
        <v>40518</v>
      </c>
      <c r="G1095">
        <v>0.45968999999999999</v>
      </c>
      <c r="J1095" s="105">
        <v>40518</v>
      </c>
      <c r="K1095">
        <v>0.78249999999999997</v>
      </c>
    </row>
    <row r="1096" spans="1:11">
      <c r="A1096" s="105">
        <v>41857</v>
      </c>
      <c r="B1096" s="156">
        <v>0.1588</v>
      </c>
      <c r="D1096" s="105">
        <v>40515</v>
      </c>
      <c r="E1096">
        <v>0.30343999999999999</v>
      </c>
      <c r="F1096" s="105">
        <v>40515</v>
      </c>
      <c r="G1096">
        <v>0.46218999999999999</v>
      </c>
      <c r="J1096" s="105">
        <v>40515</v>
      </c>
      <c r="K1096">
        <v>0.78793999999999997</v>
      </c>
    </row>
    <row r="1097" spans="1:11">
      <c r="A1097" s="105">
        <v>41858</v>
      </c>
      <c r="B1097" s="156">
        <v>0.157</v>
      </c>
      <c r="D1097" s="105">
        <v>40514</v>
      </c>
      <c r="E1097">
        <v>0.30343999999999999</v>
      </c>
      <c r="F1097" s="105">
        <v>40514</v>
      </c>
      <c r="G1097">
        <v>0.46531</v>
      </c>
      <c r="J1097" s="105">
        <v>40514</v>
      </c>
      <c r="K1097">
        <v>0.79</v>
      </c>
    </row>
    <row r="1098" spans="1:11">
      <c r="A1098" s="105">
        <v>41859</v>
      </c>
      <c r="B1098" s="156">
        <v>0.156</v>
      </c>
      <c r="D1098" s="105">
        <v>40513</v>
      </c>
      <c r="E1098">
        <v>0.30343999999999999</v>
      </c>
      <c r="F1098" s="105">
        <v>40513</v>
      </c>
      <c r="G1098">
        <v>0.46655999999999997</v>
      </c>
      <c r="J1098" s="105">
        <v>40513</v>
      </c>
      <c r="K1098">
        <v>0.79</v>
      </c>
    </row>
    <row r="1099" spans="1:11">
      <c r="A1099" s="105">
        <v>41862</v>
      </c>
      <c r="B1099" s="156">
        <v>0.1555</v>
      </c>
      <c r="D1099" s="105">
        <v>40512</v>
      </c>
      <c r="E1099">
        <v>0.30031000000000002</v>
      </c>
      <c r="F1099" s="105">
        <v>40512</v>
      </c>
      <c r="G1099">
        <v>0.46100000000000002</v>
      </c>
      <c r="J1099" s="105">
        <v>40512</v>
      </c>
      <c r="K1099">
        <v>0.78656000000000004</v>
      </c>
    </row>
    <row r="1100" spans="1:11">
      <c r="A1100" s="105">
        <v>41863</v>
      </c>
      <c r="B1100" s="156">
        <v>0.156</v>
      </c>
      <c r="D1100" s="105">
        <v>40511</v>
      </c>
      <c r="E1100">
        <v>0.29593999999999998</v>
      </c>
      <c r="F1100" s="105">
        <v>40511</v>
      </c>
      <c r="G1100">
        <v>0.45906000000000002</v>
      </c>
      <c r="J1100" s="105">
        <v>40511</v>
      </c>
      <c r="K1100">
        <v>0.78493999999999997</v>
      </c>
    </row>
    <row r="1101" spans="1:11">
      <c r="A1101" s="105">
        <v>41864</v>
      </c>
      <c r="B1101" s="156">
        <v>0.155</v>
      </c>
      <c r="D1101" s="105">
        <v>40508</v>
      </c>
      <c r="E1101">
        <v>0.29437999999999998</v>
      </c>
      <c r="F1101" s="105">
        <v>40508</v>
      </c>
      <c r="G1101">
        <v>0.45874999999999999</v>
      </c>
      <c r="J1101" s="105">
        <v>40508</v>
      </c>
      <c r="K1101">
        <v>0.78463000000000005</v>
      </c>
    </row>
    <row r="1102" spans="1:11">
      <c r="A1102" s="105">
        <v>41865</v>
      </c>
      <c r="B1102" s="156">
        <v>0.155</v>
      </c>
      <c r="D1102" s="105">
        <v>40507</v>
      </c>
      <c r="E1102">
        <v>0.29187999999999997</v>
      </c>
      <c r="F1102" s="105">
        <v>40507</v>
      </c>
      <c r="G1102">
        <v>0.45624999999999999</v>
      </c>
      <c r="J1102" s="105">
        <v>40507</v>
      </c>
      <c r="K1102">
        <v>0.78025</v>
      </c>
    </row>
    <row r="1103" spans="1:11">
      <c r="A1103" s="105">
        <v>41866</v>
      </c>
      <c r="B1103" s="156">
        <v>0.1555</v>
      </c>
      <c r="D1103" s="105">
        <v>40506</v>
      </c>
      <c r="E1103">
        <v>0.28749999999999998</v>
      </c>
      <c r="F1103" s="105">
        <v>40506</v>
      </c>
      <c r="G1103">
        <v>0.44688</v>
      </c>
      <c r="J1103" s="105">
        <v>40506</v>
      </c>
      <c r="K1103">
        <v>0.76649999999999996</v>
      </c>
    </row>
    <row r="1104" spans="1:11">
      <c r="A1104" s="105">
        <v>41869</v>
      </c>
      <c r="B1104" s="156">
        <v>0.1555</v>
      </c>
      <c r="D1104" s="105">
        <v>40505</v>
      </c>
      <c r="E1104">
        <v>0.28438000000000002</v>
      </c>
      <c r="F1104" s="105">
        <v>40505</v>
      </c>
      <c r="G1104">
        <v>0.44219000000000003</v>
      </c>
      <c r="J1104" s="105">
        <v>40505</v>
      </c>
      <c r="K1104">
        <v>0.76312999999999998</v>
      </c>
    </row>
    <row r="1105" spans="1:11">
      <c r="A1105" s="105">
        <v>41870</v>
      </c>
      <c r="B1105" s="156">
        <v>0.1555</v>
      </c>
      <c r="D1105" s="105">
        <v>40504</v>
      </c>
      <c r="E1105">
        <v>0.28438000000000002</v>
      </c>
      <c r="F1105" s="105">
        <v>40504</v>
      </c>
      <c r="G1105">
        <v>0.44219000000000003</v>
      </c>
      <c r="J1105" s="105">
        <v>40504</v>
      </c>
      <c r="K1105">
        <v>0.76312999999999998</v>
      </c>
    </row>
    <row r="1106" spans="1:11">
      <c r="A1106" s="105">
        <v>41871</v>
      </c>
      <c r="B1106" s="156">
        <v>0.155</v>
      </c>
      <c r="D1106" s="105">
        <v>40501</v>
      </c>
      <c r="E1106">
        <v>0.28438000000000002</v>
      </c>
      <c r="F1106" s="105">
        <v>40501</v>
      </c>
      <c r="G1106">
        <v>0.44219000000000003</v>
      </c>
      <c r="J1106" s="105">
        <v>40501</v>
      </c>
      <c r="K1106">
        <v>0.76312999999999998</v>
      </c>
    </row>
    <row r="1107" spans="1:11">
      <c r="A1107" s="105">
        <v>41872</v>
      </c>
      <c r="B1107" s="156">
        <v>0.155</v>
      </c>
      <c r="D1107" s="105">
        <v>40500</v>
      </c>
      <c r="E1107">
        <v>0.28438000000000002</v>
      </c>
      <c r="F1107" s="105">
        <v>40500</v>
      </c>
      <c r="G1107">
        <v>0.44219000000000003</v>
      </c>
      <c r="J1107" s="105">
        <v>40500</v>
      </c>
      <c r="K1107">
        <v>0.76324999999999998</v>
      </c>
    </row>
    <row r="1108" spans="1:11">
      <c r="A1108" s="105">
        <v>41873</v>
      </c>
      <c r="B1108" s="156">
        <v>0.155</v>
      </c>
      <c r="D1108" s="105">
        <v>40499</v>
      </c>
      <c r="E1108">
        <v>0.28438000000000002</v>
      </c>
      <c r="F1108" s="105">
        <v>40499</v>
      </c>
      <c r="G1108">
        <v>0.44219000000000003</v>
      </c>
      <c r="J1108" s="105">
        <v>40499</v>
      </c>
      <c r="K1108">
        <v>0.76249999999999996</v>
      </c>
    </row>
    <row r="1109" spans="1:11">
      <c r="A1109" s="105">
        <v>41877</v>
      </c>
      <c r="B1109" s="156">
        <v>0.156</v>
      </c>
      <c r="D1109" s="105">
        <v>40498</v>
      </c>
      <c r="E1109">
        <v>0.28438000000000002</v>
      </c>
      <c r="F1109" s="105">
        <v>40498</v>
      </c>
      <c r="G1109">
        <v>0.44219000000000003</v>
      </c>
      <c r="J1109" s="105">
        <v>40498</v>
      </c>
      <c r="K1109">
        <v>0.76249999999999996</v>
      </c>
    </row>
    <row r="1110" spans="1:11">
      <c r="A1110" s="105">
        <v>41878</v>
      </c>
      <c r="B1110" s="156">
        <v>0.15670000000000001</v>
      </c>
      <c r="D1110" s="105">
        <v>40497</v>
      </c>
      <c r="E1110">
        <v>0.28438000000000002</v>
      </c>
      <c r="F1110" s="105">
        <v>40497</v>
      </c>
      <c r="G1110">
        <v>0.4425</v>
      </c>
      <c r="J1110" s="105">
        <v>40497</v>
      </c>
      <c r="K1110">
        <v>0.76480999999999999</v>
      </c>
    </row>
    <row r="1111" spans="1:11">
      <c r="A1111" s="105">
        <v>41879</v>
      </c>
      <c r="B1111" s="156">
        <v>0.1545</v>
      </c>
      <c r="D1111" s="105">
        <v>40494</v>
      </c>
      <c r="E1111">
        <v>0.28438000000000002</v>
      </c>
      <c r="F1111" s="105">
        <v>40494</v>
      </c>
      <c r="G1111">
        <v>0.44280999999999998</v>
      </c>
      <c r="J1111" s="105">
        <v>40494</v>
      </c>
      <c r="K1111">
        <v>0.76280999999999999</v>
      </c>
    </row>
    <row r="1112" spans="1:11">
      <c r="A1112" s="105">
        <v>41880</v>
      </c>
      <c r="B1112" s="156">
        <v>0.157</v>
      </c>
      <c r="D1112" s="105">
        <v>40493</v>
      </c>
      <c r="E1112">
        <v>0.28563</v>
      </c>
      <c r="F1112" s="105">
        <v>40493</v>
      </c>
      <c r="G1112">
        <v>0.44280999999999998</v>
      </c>
      <c r="J1112" s="105">
        <v>40493</v>
      </c>
      <c r="K1112">
        <v>0.75905999999999996</v>
      </c>
    </row>
    <row r="1113" spans="1:11">
      <c r="A1113" s="105">
        <v>41883</v>
      </c>
      <c r="B1113" s="156">
        <v>0.1565</v>
      </c>
      <c r="D1113" s="105">
        <v>40492</v>
      </c>
      <c r="E1113">
        <v>0.28563</v>
      </c>
      <c r="F1113" s="105">
        <v>40492</v>
      </c>
      <c r="G1113">
        <v>0.44280999999999998</v>
      </c>
      <c r="J1113" s="105">
        <v>40492</v>
      </c>
      <c r="K1113">
        <v>0.75905999999999996</v>
      </c>
    </row>
    <row r="1114" spans="1:11">
      <c r="A1114" s="105">
        <v>41884</v>
      </c>
      <c r="B1114" s="156">
        <v>0.1565</v>
      </c>
      <c r="D1114" s="105">
        <v>40491</v>
      </c>
      <c r="E1114">
        <v>0.28563</v>
      </c>
      <c r="F1114" s="105">
        <v>40491</v>
      </c>
      <c r="G1114">
        <v>0.44280999999999998</v>
      </c>
      <c r="J1114" s="105">
        <v>40491</v>
      </c>
      <c r="K1114">
        <v>0.75875000000000004</v>
      </c>
    </row>
    <row r="1115" spans="1:11">
      <c r="A1115" s="105">
        <v>41885</v>
      </c>
      <c r="B1115" s="156">
        <v>0.15609999999999999</v>
      </c>
      <c r="D1115" s="105">
        <v>40490</v>
      </c>
      <c r="E1115">
        <v>0.28563</v>
      </c>
      <c r="F1115" s="105">
        <v>40490</v>
      </c>
      <c r="G1115">
        <v>0.4425</v>
      </c>
      <c r="J1115" s="105">
        <v>40490</v>
      </c>
      <c r="K1115">
        <v>0.75556000000000001</v>
      </c>
    </row>
    <row r="1116" spans="1:11">
      <c r="A1116" s="105">
        <v>41886</v>
      </c>
      <c r="B1116" s="156">
        <v>0.15609999999999999</v>
      </c>
      <c r="D1116" s="105">
        <v>40487</v>
      </c>
      <c r="E1116">
        <v>0.28563</v>
      </c>
      <c r="F1116" s="105">
        <v>40487</v>
      </c>
      <c r="G1116">
        <v>0.44188</v>
      </c>
      <c r="J1116" s="105">
        <v>40487</v>
      </c>
      <c r="K1116">
        <v>0.75524999999999998</v>
      </c>
    </row>
    <row r="1117" spans="1:11">
      <c r="A1117" s="105">
        <v>41887</v>
      </c>
      <c r="B1117" s="156">
        <v>0.15279999999999999</v>
      </c>
      <c r="D1117" s="105">
        <v>40486</v>
      </c>
      <c r="E1117">
        <v>0.28563</v>
      </c>
      <c r="F1117" s="105">
        <v>40486</v>
      </c>
      <c r="G1117">
        <v>0.4425</v>
      </c>
      <c r="J1117" s="105">
        <v>40486</v>
      </c>
      <c r="K1117">
        <v>0.75600000000000001</v>
      </c>
    </row>
    <row r="1118" spans="1:11">
      <c r="A1118" s="105">
        <v>41890</v>
      </c>
      <c r="B1118" s="156">
        <v>0.1535</v>
      </c>
      <c r="D1118" s="105">
        <v>40485</v>
      </c>
      <c r="E1118">
        <v>0.28594000000000003</v>
      </c>
      <c r="F1118" s="105">
        <v>40485</v>
      </c>
      <c r="G1118">
        <v>0.44438</v>
      </c>
      <c r="J1118" s="105">
        <v>40485</v>
      </c>
      <c r="K1118">
        <v>0.76037999999999994</v>
      </c>
    </row>
    <row r="1119" spans="1:11">
      <c r="A1119" s="105">
        <v>41891</v>
      </c>
      <c r="B1119" s="156">
        <v>0.1535</v>
      </c>
      <c r="D1119" s="105">
        <v>40484</v>
      </c>
      <c r="E1119">
        <v>0.28594000000000003</v>
      </c>
      <c r="F1119" s="105">
        <v>40484</v>
      </c>
      <c r="G1119">
        <v>0.44563000000000003</v>
      </c>
      <c r="J1119" s="105">
        <v>40484</v>
      </c>
      <c r="K1119">
        <v>0.76037999999999994</v>
      </c>
    </row>
    <row r="1120" spans="1:11">
      <c r="A1120" s="105">
        <v>41892</v>
      </c>
      <c r="B1120" s="156">
        <v>0.1535</v>
      </c>
      <c r="D1120" s="105">
        <v>40483</v>
      </c>
      <c r="E1120">
        <v>0.28594000000000003</v>
      </c>
      <c r="F1120" s="105">
        <v>40483</v>
      </c>
      <c r="G1120">
        <v>0.44563000000000003</v>
      </c>
      <c r="J1120" s="105">
        <v>40483</v>
      </c>
      <c r="K1120">
        <v>0.76037999999999994</v>
      </c>
    </row>
    <row r="1121" spans="1:11">
      <c r="A1121" s="105">
        <v>41893</v>
      </c>
      <c r="B1121" s="156">
        <v>0.15359999999999999</v>
      </c>
      <c r="D1121" s="105">
        <v>40480</v>
      </c>
      <c r="E1121">
        <v>0.28594000000000003</v>
      </c>
      <c r="F1121" s="105">
        <v>40480</v>
      </c>
      <c r="G1121">
        <v>0.44844000000000001</v>
      </c>
      <c r="J1121" s="105">
        <v>40480</v>
      </c>
      <c r="K1121">
        <v>0.76219000000000003</v>
      </c>
    </row>
    <row r="1122" spans="1:11">
      <c r="A1122" s="105">
        <v>41894</v>
      </c>
      <c r="B1122" s="156">
        <v>0.15359999999999999</v>
      </c>
      <c r="D1122" s="105">
        <v>40479</v>
      </c>
      <c r="E1122">
        <v>0.28688000000000002</v>
      </c>
      <c r="F1122" s="105">
        <v>40479</v>
      </c>
      <c r="G1122">
        <v>0.44980999999999999</v>
      </c>
      <c r="J1122" s="105">
        <v>40479</v>
      </c>
      <c r="K1122">
        <v>0.76400000000000001</v>
      </c>
    </row>
    <row r="1123" spans="1:11">
      <c r="A1123" s="105">
        <v>41897</v>
      </c>
      <c r="B1123" s="156">
        <v>0.15359999999999999</v>
      </c>
      <c r="D1123" s="105">
        <v>40478</v>
      </c>
      <c r="E1123">
        <v>0.28813</v>
      </c>
      <c r="F1123" s="105">
        <v>40478</v>
      </c>
      <c r="G1123">
        <v>0.45030999999999999</v>
      </c>
      <c r="J1123" s="105">
        <v>40478</v>
      </c>
      <c r="K1123">
        <v>0.76537999999999995</v>
      </c>
    </row>
    <row r="1124" spans="1:11">
      <c r="A1124" s="105">
        <v>41898</v>
      </c>
      <c r="B1124" s="156">
        <v>0.1535</v>
      </c>
      <c r="D1124" s="105">
        <v>40477</v>
      </c>
      <c r="E1124">
        <v>0.28843999999999997</v>
      </c>
      <c r="F1124" s="105">
        <v>40477</v>
      </c>
      <c r="G1124">
        <v>0.45124999999999998</v>
      </c>
      <c r="J1124" s="105">
        <v>40477</v>
      </c>
      <c r="K1124">
        <v>0.76524999999999999</v>
      </c>
    </row>
    <row r="1125" spans="1:11">
      <c r="A1125" s="105">
        <v>41899</v>
      </c>
      <c r="B1125" s="156">
        <v>0.153</v>
      </c>
      <c r="D1125" s="105">
        <v>40476</v>
      </c>
      <c r="E1125">
        <v>0.28843999999999997</v>
      </c>
      <c r="F1125" s="105">
        <v>40476</v>
      </c>
      <c r="G1125">
        <v>0.45250000000000001</v>
      </c>
      <c r="J1125" s="105">
        <v>40476</v>
      </c>
      <c r="K1125">
        <v>0.76524999999999999</v>
      </c>
    </row>
    <row r="1126" spans="1:11">
      <c r="A1126" s="105">
        <v>41900</v>
      </c>
      <c r="B1126" s="156">
        <v>0.1535</v>
      </c>
      <c r="D1126" s="105">
        <v>40473</v>
      </c>
      <c r="E1126">
        <v>0.28843999999999997</v>
      </c>
      <c r="F1126" s="105">
        <v>40473</v>
      </c>
      <c r="G1126">
        <v>0.45250000000000001</v>
      </c>
      <c r="J1126" s="105">
        <v>40473</v>
      </c>
      <c r="K1126">
        <v>0.76537999999999995</v>
      </c>
    </row>
    <row r="1127" spans="1:11">
      <c r="A1127" s="105">
        <v>41901</v>
      </c>
      <c r="B1127" s="156">
        <v>0.154</v>
      </c>
      <c r="D1127" s="105">
        <v>40472</v>
      </c>
      <c r="E1127">
        <v>0.28843999999999997</v>
      </c>
      <c r="F1127" s="105">
        <v>40472</v>
      </c>
      <c r="G1127">
        <v>0.45250000000000001</v>
      </c>
      <c r="J1127" s="105">
        <v>40472</v>
      </c>
      <c r="K1127">
        <v>0.76537999999999995</v>
      </c>
    </row>
    <row r="1128" spans="1:11">
      <c r="A1128" s="105">
        <v>41904</v>
      </c>
      <c r="B1128" s="156">
        <v>0.1545</v>
      </c>
      <c r="D1128" s="105">
        <v>40471</v>
      </c>
      <c r="E1128">
        <v>0.28843999999999997</v>
      </c>
      <c r="F1128" s="105">
        <v>40471</v>
      </c>
      <c r="G1128">
        <v>0.45374999999999999</v>
      </c>
      <c r="J1128" s="105">
        <v>40471</v>
      </c>
      <c r="K1128">
        <v>0.76549999999999996</v>
      </c>
    </row>
    <row r="1129" spans="1:11">
      <c r="A1129" s="105">
        <v>41905</v>
      </c>
      <c r="B1129" s="156">
        <v>0.1545</v>
      </c>
      <c r="D1129" s="105">
        <v>40470</v>
      </c>
      <c r="E1129">
        <v>0.28905999999999998</v>
      </c>
      <c r="F1129" s="105">
        <v>40470</v>
      </c>
      <c r="G1129">
        <v>0.45250000000000001</v>
      </c>
      <c r="J1129" s="105">
        <v>40470</v>
      </c>
      <c r="K1129">
        <v>0.76549999999999996</v>
      </c>
    </row>
    <row r="1130" spans="1:11">
      <c r="A1130" s="105">
        <v>41906</v>
      </c>
      <c r="B1130" s="156">
        <v>0.1535</v>
      </c>
      <c r="D1130" s="105">
        <v>40469</v>
      </c>
      <c r="E1130">
        <v>0.28905999999999998</v>
      </c>
      <c r="F1130" s="105">
        <v>40469</v>
      </c>
      <c r="G1130">
        <v>0.45250000000000001</v>
      </c>
      <c r="J1130" s="105">
        <v>40469</v>
      </c>
      <c r="K1130">
        <v>0.76549999999999996</v>
      </c>
    </row>
    <row r="1131" spans="1:11">
      <c r="A1131" s="105">
        <v>41907</v>
      </c>
      <c r="B1131" s="156">
        <v>0.1515</v>
      </c>
      <c r="D1131" s="105">
        <v>40466</v>
      </c>
      <c r="E1131">
        <v>0.28905999999999998</v>
      </c>
      <c r="F1131" s="105">
        <v>40466</v>
      </c>
      <c r="G1131">
        <v>0.45250000000000001</v>
      </c>
      <c r="J1131" s="105">
        <v>40466</v>
      </c>
      <c r="K1131">
        <v>0.76663000000000003</v>
      </c>
    </row>
    <row r="1132" spans="1:11">
      <c r="A1132" s="105">
        <v>41908</v>
      </c>
      <c r="B1132" s="156">
        <v>0.154</v>
      </c>
      <c r="D1132" s="105">
        <v>40465</v>
      </c>
      <c r="E1132">
        <v>0.28905999999999998</v>
      </c>
      <c r="F1132" s="105">
        <v>40465</v>
      </c>
      <c r="G1132">
        <v>0.45374999999999999</v>
      </c>
      <c r="J1132" s="105">
        <v>40465</v>
      </c>
      <c r="K1132">
        <v>0.76649999999999996</v>
      </c>
    </row>
    <row r="1133" spans="1:11">
      <c r="A1133" s="105">
        <v>41911</v>
      </c>
      <c r="B1133" s="156">
        <v>0.1525</v>
      </c>
      <c r="D1133" s="105">
        <v>40464</v>
      </c>
      <c r="E1133">
        <v>0.28905999999999998</v>
      </c>
      <c r="F1133" s="105">
        <v>40464</v>
      </c>
      <c r="G1133">
        <v>0.45500000000000002</v>
      </c>
      <c r="J1133" s="105">
        <v>40464</v>
      </c>
      <c r="K1133">
        <v>0.76680999999999999</v>
      </c>
    </row>
    <row r="1134" spans="1:11">
      <c r="A1134" s="105">
        <v>41912</v>
      </c>
      <c r="B1134" s="156">
        <v>0.1565</v>
      </c>
      <c r="D1134" s="105">
        <v>40463</v>
      </c>
      <c r="E1134">
        <v>0.28905999999999998</v>
      </c>
      <c r="F1134" s="105">
        <v>40463</v>
      </c>
      <c r="G1134">
        <v>0.45500000000000002</v>
      </c>
      <c r="J1134" s="105">
        <v>40463</v>
      </c>
      <c r="K1134">
        <v>0.76649999999999996</v>
      </c>
    </row>
    <row r="1135" spans="1:11">
      <c r="A1135" s="105">
        <v>41913</v>
      </c>
      <c r="B1135" s="156">
        <v>0.152</v>
      </c>
      <c r="D1135" s="105">
        <v>40462</v>
      </c>
      <c r="E1135">
        <v>0.28905999999999998</v>
      </c>
      <c r="F1135" s="105">
        <v>40462</v>
      </c>
      <c r="G1135">
        <v>0.45656000000000002</v>
      </c>
      <c r="J1135" s="105">
        <v>40462</v>
      </c>
      <c r="K1135">
        <v>0.76693999999999996</v>
      </c>
    </row>
    <row r="1136" spans="1:11">
      <c r="A1136" s="105">
        <v>41914</v>
      </c>
      <c r="B1136" s="156">
        <v>0.152</v>
      </c>
      <c r="D1136" s="105">
        <v>40459</v>
      </c>
      <c r="E1136">
        <v>0.28905999999999998</v>
      </c>
      <c r="F1136" s="105">
        <v>40459</v>
      </c>
      <c r="G1136">
        <v>0.45750000000000002</v>
      </c>
      <c r="J1136" s="105">
        <v>40459</v>
      </c>
      <c r="K1136">
        <v>0.76956000000000002</v>
      </c>
    </row>
    <row r="1137" spans="1:11">
      <c r="A1137" s="105">
        <v>41915</v>
      </c>
      <c r="B1137" s="156">
        <v>0.153</v>
      </c>
      <c r="D1137" s="105">
        <v>40458</v>
      </c>
      <c r="E1137">
        <v>0.28905999999999998</v>
      </c>
      <c r="F1137" s="105">
        <v>40458</v>
      </c>
      <c r="G1137">
        <v>0.45874999999999999</v>
      </c>
      <c r="J1137" s="105">
        <v>40458</v>
      </c>
      <c r="K1137">
        <v>0.77149999999999996</v>
      </c>
    </row>
    <row r="1138" spans="1:11">
      <c r="A1138" s="105">
        <v>41918</v>
      </c>
      <c r="B1138" s="156">
        <v>0.153</v>
      </c>
      <c r="D1138" s="105">
        <v>40457</v>
      </c>
      <c r="E1138">
        <v>0.28969</v>
      </c>
      <c r="F1138" s="105">
        <v>40457</v>
      </c>
      <c r="G1138">
        <v>0.46156000000000003</v>
      </c>
      <c r="J1138" s="105">
        <v>40457</v>
      </c>
      <c r="K1138">
        <v>0.77412999999999998</v>
      </c>
    </row>
    <row r="1139" spans="1:11">
      <c r="A1139" s="105">
        <v>41919</v>
      </c>
      <c r="B1139" s="156">
        <v>0.1525</v>
      </c>
      <c r="D1139" s="105">
        <v>40456</v>
      </c>
      <c r="E1139">
        <v>0.28999999999999998</v>
      </c>
      <c r="F1139" s="105">
        <v>40456</v>
      </c>
      <c r="G1139">
        <v>0.46188000000000001</v>
      </c>
      <c r="J1139" s="105">
        <v>40456</v>
      </c>
      <c r="K1139">
        <v>0.77675000000000005</v>
      </c>
    </row>
    <row r="1140" spans="1:11">
      <c r="A1140" s="105">
        <v>41920</v>
      </c>
      <c r="B1140" s="156">
        <v>0.15179999999999999</v>
      </c>
      <c r="D1140" s="105">
        <v>40455</v>
      </c>
      <c r="E1140">
        <v>0.29063</v>
      </c>
      <c r="F1140" s="105">
        <v>40455</v>
      </c>
      <c r="G1140">
        <v>0.46312999999999999</v>
      </c>
      <c r="J1140" s="105">
        <v>40455</v>
      </c>
      <c r="K1140">
        <v>0.77700000000000002</v>
      </c>
    </row>
    <row r="1141" spans="1:11">
      <c r="A1141" s="105">
        <v>41921</v>
      </c>
      <c r="B1141" s="156">
        <v>0.1527</v>
      </c>
      <c r="D1141" s="105">
        <v>40452</v>
      </c>
      <c r="E1141">
        <v>0.29063</v>
      </c>
      <c r="F1141" s="105">
        <v>40452</v>
      </c>
      <c r="G1141">
        <v>0.46312999999999999</v>
      </c>
      <c r="J1141" s="105">
        <v>40452</v>
      </c>
      <c r="K1141">
        <v>0.77837999999999996</v>
      </c>
    </row>
    <row r="1142" spans="1:11">
      <c r="A1142" s="105">
        <v>41922</v>
      </c>
      <c r="B1142" s="156">
        <v>0.15279999999999999</v>
      </c>
      <c r="D1142" s="105">
        <v>40451</v>
      </c>
      <c r="E1142">
        <v>0.28999999999999998</v>
      </c>
      <c r="F1142" s="105">
        <v>40451</v>
      </c>
      <c r="G1142">
        <v>0.46250000000000002</v>
      </c>
      <c r="J1142" s="105">
        <v>40451</v>
      </c>
      <c r="K1142">
        <v>0.77775000000000005</v>
      </c>
    </row>
    <row r="1143" spans="1:11">
      <c r="A1143" s="105">
        <v>41925</v>
      </c>
      <c r="B1143" s="156">
        <v>0.15329999999999999</v>
      </c>
      <c r="D1143" s="105">
        <v>40450</v>
      </c>
      <c r="E1143">
        <v>0.28999999999999998</v>
      </c>
      <c r="F1143" s="105">
        <v>40450</v>
      </c>
      <c r="G1143">
        <v>0.46250000000000002</v>
      </c>
      <c r="J1143" s="105">
        <v>40450</v>
      </c>
      <c r="K1143">
        <v>0.77825</v>
      </c>
    </row>
    <row r="1144" spans="1:11">
      <c r="A1144" s="105">
        <v>41926</v>
      </c>
      <c r="B1144" s="156">
        <v>0.15179999999999999</v>
      </c>
      <c r="D1144" s="105">
        <v>40449</v>
      </c>
      <c r="E1144">
        <v>0.28938000000000003</v>
      </c>
      <c r="F1144" s="105">
        <v>40449</v>
      </c>
      <c r="G1144">
        <v>0.46250000000000002</v>
      </c>
      <c r="J1144" s="105">
        <v>40449</v>
      </c>
      <c r="K1144">
        <v>0.77849999999999997</v>
      </c>
    </row>
    <row r="1145" spans="1:11">
      <c r="A1145" s="105">
        <v>41927</v>
      </c>
      <c r="B1145" s="156">
        <v>0.1535</v>
      </c>
      <c r="D1145" s="105">
        <v>40448</v>
      </c>
      <c r="E1145">
        <v>0.28938000000000003</v>
      </c>
      <c r="F1145" s="105">
        <v>40448</v>
      </c>
      <c r="G1145">
        <v>0.46250000000000002</v>
      </c>
      <c r="J1145" s="105">
        <v>40448</v>
      </c>
      <c r="K1145">
        <v>0.77863000000000004</v>
      </c>
    </row>
    <row r="1146" spans="1:11">
      <c r="A1146" s="105">
        <v>41928</v>
      </c>
      <c r="B1146" s="156">
        <v>0.157</v>
      </c>
      <c r="D1146" s="105">
        <v>40445</v>
      </c>
      <c r="E1146">
        <v>0.28938000000000003</v>
      </c>
      <c r="F1146" s="105">
        <v>40445</v>
      </c>
      <c r="G1146">
        <v>0.46405999999999997</v>
      </c>
      <c r="J1146" s="105">
        <v>40445</v>
      </c>
      <c r="K1146">
        <v>0.78063000000000005</v>
      </c>
    </row>
    <row r="1147" spans="1:11">
      <c r="A1147" s="105">
        <v>41929</v>
      </c>
      <c r="B1147" s="156">
        <v>0.15720000000000001</v>
      </c>
      <c r="D1147" s="105">
        <v>40444</v>
      </c>
      <c r="E1147">
        <v>0.28938000000000003</v>
      </c>
      <c r="F1147" s="105">
        <v>40444</v>
      </c>
      <c r="G1147">
        <v>0.46281</v>
      </c>
      <c r="J1147" s="105">
        <v>40444</v>
      </c>
      <c r="K1147">
        <v>0.78125</v>
      </c>
    </row>
    <row r="1148" spans="1:11">
      <c r="A1148" s="105">
        <v>41932</v>
      </c>
      <c r="B1148" s="156">
        <v>0.15570000000000001</v>
      </c>
      <c r="D1148" s="105">
        <v>40443</v>
      </c>
      <c r="E1148">
        <v>0.28938000000000003</v>
      </c>
      <c r="F1148" s="105">
        <v>40443</v>
      </c>
      <c r="G1148">
        <v>0.46405999999999997</v>
      </c>
      <c r="J1148" s="105">
        <v>40443</v>
      </c>
      <c r="K1148">
        <v>0.78169</v>
      </c>
    </row>
    <row r="1149" spans="1:11">
      <c r="A1149" s="105">
        <v>41933</v>
      </c>
      <c r="B1149" s="156">
        <v>0.153</v>
      </c>
      <c r="D1149" s="105">
        <v>40442</v>
      </c>
      <c r="E1149">
        <v>0.28969</v>
      </c>
      <c r="F1149" s="105">
        <v>40442</v>
      </c>
      <c r="G1149">
        <v>0.47313</v>
      </c>
      <c r="J1149" s="105">
        <v>40442</v>
      </c>
      <c r="K1149">
        <v>0.79337999999999997</v>
      </c>
    </row>
    <row r="1150" spans="1:11">
      <c r="A1150" s="105">
        <v>41934</v>
      </c>
      <c r="B1150" s="156">
        <v>0.153</v>
      </c>
      <c r="D1150" s="105">
        <v>40441</v>
      </c>
      <c r="E1150">
        <v>0.29031000000000001</v>
      </c>
      <c r="F1150" s="105">
        <v>40441</v>
      </c>
      <c r="G1150">
        <v>0.47313</v>
      </c>
      <c r="J1150" s="105">
        <v>40441</v>
      </c>
      <c r="K1150">
        <v>0.79362999999999995</v>
      </c>
    </row>
    <row r="1151" spans="1:11">
      <c r="A1151" s="105">
        <v>41935</v>
      </c>
      <c r="B1151" s="156">
        <v>0.152</v>
      </c>
      <c r="D1151" s="105">
        <v>40438</v>
      </c>
      <c r="E1151">
        <v>0.29155999999999999</v>
      </c>
      <c r="F1151" s="105">
        <v>40438</v>
      </c>
      <c r="G1151">
        <v>0.47313</v>
      </c>
      <c r="J1151" s="105">
        <v>40438</v>
      </c>
      <c r="K1151">
        <v>0.79362999999999995</v>
      </c>
    </row>
    <row r="1152" spans="1:11">
      <c r="A1152" s="105">
        <v>41936</v>
      </c>
      <c r="B1152" s="156">
        <v>0.152</v>
      </c>
      <c r="D1152" s="105">
        <v>40437</v>
      </c>
      <c r="E1152">
        <v>0.29141</v>
      </c>
      <c r="F1152" s="105">
        <v>40437</v>
      </c>
      <c r="G1152">
        <v>0.47438000000000002</v>
      </c>
      <c r="J1152" s="105">
        <v>40437</v>
      </c>
      <c r="K1152">
        <v>0.79400000000000004</v>
      </c>
    </row>
    <row r="1153" spans="1:11">
      <c r="A1153" s="105">
        <v>41939</v>
      </c>
      <c r="B1153" s="156">
        <v>0.1525</v>
      </c>
      <c r="D1153" s="105">
        <v>40436</v>
      </c>
      <c r="E1153">
        <v>0.29203000000000001</v>
      </c>
      <c r="F1153" s="105">
        <v>40436</v>
      </c>
      <c r="G1153">
        <v>0.47453000000000001</v>
      </c>
      <c r="J1153" s="105">
        <v>40436</v>
      </c>
      <c r="K1153">
        <v>0.79749999999999999</v>
      </c>
    </row>
    <row r="1154" spans="1:11">
      <c r="A1154" s="105">
        <v>41940</v>
      </c>
      <c r="B1154" s="156">
        <v>0.1535</v>
      </c>
      <c r="D1154" s="105">
        <v>40435</v>
      </c>
      <c r="E1154">
        <v>0.29187999999999997</v>
      </c>
      <c r="F1154" s="105">
        <v>40435</v>
      </c>
      <c r="G1154">
        <v>0.48187999999999998</v>
      </c>
      <c r="J1154" s="105">
        <v>40435</v>
      </c>
      <c r="K1154">
        <v>0.80788000000000004</v>
      </c>
    </row>
    <row r="1155" spans="1:11">
      <c r="A1155" s="105">
        <v>41941</v>
      </c>
      <c r="B1155" s="156">
        <v>0.154</v>
      </c>
      <c r="D1155" s="105">
        <v>40434</v>
      </c>
      <c r="E1155">
        <v>0.29219000000000001</v>
      </c>
      <c r="F1155" s="105">
        <v>40434</v>
      </c>
      <c r="G1155">
        <v>0.48719000000000001</v>
      </c>
      <c r="J1155" s="105">
        <v>40434</v>
      </c>
      <c r="K1155">
        <v>0.81988000000000005</v>
      </c>
    </row>
    <row r="1156" spans="1:11">
      <c r="A1156" s="105">
        <v>41942</v>
      </c>
      <c r="B1156" s="156">
        <v>0.15670000000000001</v>
      </c>
      <c r="D1156" s="105">
        <v>40431</v>
      </c>
      <c r="E1156">
        <v>0.29219000000000001</v>
      </c>
      <c r="F1156" s="105">
        <v>40431</v>
      </c>
      <c r="G1156">
        <v>0.48969000000000001</v>
      </c>
      <c r="J1156" s="105">
        <v>40431</v>
      </c>
      <c r="K1156">
        <v>0.82218999999999998</v>
      </c>
    </row>
    <row r="1157" spans="1:11">
      <c r="A1157" s="105">
        <v>41943</v>
      </c>
      <c r="B1157" s="156">
        <v>0.15590000000000001</v>
      </c>
      <c r="D1157" s="105">
        <v>40430</v>
      </c>
      <c r="E1157">
        <v>0.29249999999999998</v>
      </c>
      <c r="F1157" s="105">
        <v>40430</v>
      </c>
      <c r="G1157">
        <v>0.49</v>
      </c>
      <c r="J1157" s="105">
        <v>40430</v>
      </c>
      <c r="K1157">
        <v>0.82425000000000004</v>
      </c>
    </row>
    <row r="1158" spans="1:11">
      <c r="A1158" s="105">
        <v>41946</v>
      </c>
      <c r="B1158" s="156">
        <v>0.1555</v>
      </c>
      <c r="D1158" s="105">
        <v>40429</v>
      </c>
      <c r="E1158">
        <v>0.29249999999999998</v>
      </c>
      <c r="F1158" s="105">
        <v>40429</v>
      </c>
      <c r="G1158">
        <v>0.48953000000000002</v>
      </c>
      <c r="J1158" s="105">
        <v>40429</v>
      </c>
      <c r="K1158">
        <v>0.82330999999999999</v>
      </c>
    </row>
    <row r="1159" spans="1:11">
      <c r="A1159" s="105">
        <v>41947</v>
      </c>
      <c r="B1159" s="156">
        <v>0.1555</v>
      </c>
      <c r="D1159" s="105">
        <v>40428</v>
      </c>
      <c r="E1159">
        <v>0.29187999999999997</v>
      </c>
      <c r="F1159" s="105">
        <v>40428</v>
      </c>
      <c r="G1159">
        <v>0.48875000000000002</v>
      </c>
      <c r="J1159" s="105">
        <v>40428</v>
      </c>
      <c r="K1159">
        <v>0.82594000000000001</v>
      </c>
    </row>
    <row r="1160" spans="1:11">
      <c r="A1160" s="105">
        <v>41948</v>
      </c>
      <c r="B1160" s="156">
        <v>0.1555</v>
      </c>
      <c r="D1160" s="105">
        <v>40427</v>
      </c>
      <c r="E1160">
        <v>0.29219000000000001</v>
      </c>
      <c r="F1160" s="105">
        <v>40427</v>
      </c>
      <c r="G1160">
        <v>0.48921999999999999</v>
      </c>
      <c r="J1160" s="105">
        <v>40427</v>
      </c>
      <c r="K1160">
        <v>0.83006000000000002</v>
      </c>
    </row>
    <row r="1161" spans="1:11">
      <c r="A1161" s="105">
        <v>41949</v>
      </c>
      <c r="B1161" s="156">
        <v>0.1555</v>
      </c>
      <c r="D1161" s="105">
        <v>40424</v>
      </c>
      <c r="E1161">
        <v>0.29281000000000001</v>
      </c>
      <c r="F1161" s="105">
        <v>40424</v>
      </c>
      <c r="G1161">
        <v>0.49363000000000001</v>
      </c>
      <c r="J1161" s="105">
        <v>40424</v>
      </c>
      <c r="K1161">
        <v>0.83487999999999996</v>
      </c>
    </row>
    <row r="1162" spans="1:11">
      <c r="A1162" s="105">
        <v>41950</v>
      </c>
      <c r="B1162" s="156">
        <v>0.1573</v>
      </c>
      <c r="D1162" s="105">
        <v>40423</v>
      </c>
      <c r="E1162">
        <v>0.29437999999999998</v>
      </c>
      <c r="F1162" s="105">
        <v>40423</v>
      </c>
      <c r="G1162">
        <v>0.49563000000000001</v>
      </c>
      <c r="J1162" s="105">
        <v>40423</v>
      </c>
      <c r="K1162">
        <v>0.83913000000000004</v>
      </c>
    </row>
    <row r="1163" spans="1:11">
      <c r="A1163" s="105">
        <v>41953</v>
      </c>
      <c r="B1163" s="156">
        <v>0.15429999999999999</v>
      </c>
      <c r="D1163" s="105">
        <v>40422</v>
      </c>
      <c r="E1163">
        <v>0.29563</v>
      </c>
      <c r="F1163" s="105">
        <v>40422</v>
      </c>
      <c r="G1163">
        <v>0.49625000000000002</v>
      </c>
      <c r="J1163" s="105">
        <v>40422</v>
      </c>
      <c r="K1163">
        <v>0.83987999999999996</v>
      </c>
    </row>
    <row r="1164" spans="1:11">
      <c r="A1164" s="105">
        <v>41954</v>
      </c>
      <c r="B1164" s="156">
        <v>0.15329999999999999</v>
      </c>
      <c r="D1164" s="105">
        <v>40421</v>
      </c>
      <c r="E1164">
        <v>0.29563</v>
      </c>
      <c r="F1164" s="105">
        <v>40421</v>
      </c>
      <c r="G1164">
        <v>0.49669000000000002</v>
      </c>
      <c r="J1164" s="105">
        <v>40421</v>
      </c>
      <c r="K1164">
        <v>0.84306000000000003</v>
      </c>
    </row>
    <row r="1165" spans="1:11">
      <c r="A1165" s="105">
        <v>41955</v>
      </c>
      <c r="B1165" s="156">
        <v>0.15279999999999999</v>
      </c>
      <c r="D1165" s="105">
        <v>40417</v>
      </c>
      <c r="E1165">
        <v>0.29687999999999998</v>
      </c>
      <c r="F1165" s="105">
        <v>40417</v>
      </c>
      <c r="G1165">
        <v>0.50319000000000003</v>
      </c>
      <c r="J1165" s="105">
        <v>40417</v>
      </c>
      <c r="K1165">
        <v>0.85831000000000002</v>
      </c>
    </row>
    <row r="1166" spans="1:11">
      <c r="A1166" s="105">
        <v>41956</v>
      </c>
      <c r="B1166" s="156">
        <v>0.1547</v>
      </c>
      <c r="D1166" s="105">
        <v>40416</v>
      </c>
      <c r="E1166">
        <v>0.29937999999999998</v>
      </c>
      <c r="F1166" s="105">
        <v>40416</v>
      </c>
      <c r="G1166">
        <v>0.50724999999999998</v>
      </c>
      <c r="J1166" s="105">
        <v>40416</v>
      </c>
      <c r="K1166">
        <v>0.86531000000000002</v>
      </c>
    </row>
    <row r="1167" spans="1:11">
      <c r="A1167" s="105">
        <v>41957</v>
      </c>
      <c r="B1167" s="156">
        <v>0.153</v>
      </c>
      <c r="D1167" s="105">
        <v>40415</v>
      </c>
      <c r="E1167">
        <v>0.30375000000000002</v>
      </c>
      <c r="F1167" s="105">
        <v>40415</v>
      </c>
      <c r="G1167">
        <v>0.51124999999999998</v>
      </c>
      <c r="J1167" s="105">
        <v>40415</v>
      </c>
      <c r="K1167">
        <v>0.87</v>
      </c>
    </row>
    <row r="1168" spans="1:11">
      <c r="A1168" s="105">
        <v>41960</v>
      </c>
      <c r="B1168" s="156">
        <v>0.154</v>
      </c>
      <c r="D1168" s="105">
        <v>40414</v>
      </c>
      <c r="E1168">
        <v>0.3075</v>
      </c>
      <c r="F1168" s="105">
        <v>40414</v>
      </c>
      <c r="G1168">
        <v>0.51831000000000005</v>
      </c>
      <c r="J1168" s="105">
        <v>40414</v>
      </c>
      <c r="K1168">
        <v>0.87594000000000005</v>
      </c>
    </row>
    <row r="1169" spans="1:11">
      <c r="A1169" s="105">
        <v>41961</v>
      </c>
      <c r="B1169" s="156">
        <v>0.155</v>
      </c>
      <c r="D1169" s="105">
        <v>40413</v>
      </c>
      <c r="E1169">
        <v>0.3175</v>
      </c>
      <c r="F1169" s="105">
        <v>40413</v>
      </c>
      <c r="G1169">
        <v>0.53374999999999995</v>
      </c>
      <c r="J1169" s="105">
        <v>40413</v>
      </c>
      <c r="K1169">
        <v>0.89424999999999999</v>
      </c>
    </row>
    <row r="1170" spans="1:11">
      <c r="A1170" s="105">
        <v>41962</v>
      </c>
      <c r="B1170" s="156">
        <v>0.155</v>
      </c>
      <c r="D1170" s="105">
        <v>40410</v>
      </c>
      <c r="E1170">
        <v>0.32922000000000001</v>
      </c>
      <c r="F1170" s="105">
        <v>40410</v>
      </c>
      <c r="G1170">
        <v>0.54562999999999995</v>
      </c>
      <c r="J1170" s="105">
        <v>40410</v>
      </c>
      <c r="K1170">
        <v>0.90637999999999996</v>
      </c>
    </row>
    <row r="1171" spans="1:11">
      <c r="A1171" s="105">
        <v>41963</v>
      </c>
      <c r="B1171" s="156">
        <v>0.155</v>
      </c>
      <c r="D1171" s="105">
        <v>40409</v>
      </c>
      <c r="E1171">
        <v>0.33905999999999997</v>
      </c>
      <c r="F1171" s="105">
        <v>40409</v>
      </c>
      <c r="G1171">
        <v>0.55593999999999999</v>
      </c>
      <c r="J1171" s="105">
        <v>40409</v>
      </c>
      <c r="K1171">
        <v>0.91918999999999995</v>
      </c>
    </row>
    <row r="1172" spans="1:11">
      <c r="A1172" s="105">
        <v>41964</v>
      </c>
      <c r="B1172" s="156">
        <v>0.15525</v>
      </c>
      <c r="D1172" s="105">
        <v>40408</v>
      </c>
      <c r="E1172">
        <v>0.34547</v>
      </c>
      <c r="F1172" s="105">
        <v>40408</v>
      </c>
      <c r="G1172">
        <v>0.56843999999999995</v>
      </c>
      <c r="J1172" s="105">
        <v>40408</v>
      </c>
      <c r="K1172">
        <v>0.93093999999999999</v>
      </c>
    </row>
    <row r="1173" spans="1:11">
      <c r="A1173" s="105">
        <v>41967</v>
      </c>
      <c r="B1173" s="156">
        <v>0.1535</v>
      </c>
      <c r="D1173" s="105">
        <v>40407</v>
      </c>
      <c r="E1173">
        <v>0.35219</v>
      </c>
      <c r="F1173" s="105">
        <v>40407</v>
      </c>
      <c r="G1173">
        <v>0.57650000000000001</v>
      </c>
      <c r="J1173" s="105">
        <v>40407</v>
      </c>
      <c r="K1173">
        <v>0.94618999999999998</v>
      </c>
    </row>
    <row r="1174" spans="1:11">
      <c r="A1174" s="105">
        <v>41968</v>
      </c>
      <c r="B1174" s="156">
        <v>0.15625</v>
      </c>
      <c r="D1174" s="105">
        <v>40406</v>
      </c>
      <c r="E1174">
        <v>0.36187999999999998</v>
      </c>
      <c r="F1174" s="105">
        <v>40406</v>
      </c>
      <c r="G1174">
        <v>0.58731</v>
      </c>
      <c r="J1174" s="105">
        <v>40406</v>
      </c>
      <c r="K1174">
        <v>0.96094000000000002</v>
      </c>
    </row>
    <row r="1175" spans="1:11">
      <c r="A1175" s="105">
        <v>41969</v>
      </c>
      <c r="B1175" s="156">
        <v>0.15575</v>
      </c>
      <c r="D1175" s="105">
        <v>40403</v>
      </c>
      <c r="E1175">
        <v>0.36937999999999999</v>
      </c>
      <c r="F1175" s="105">
        <v>40403</v>
      </c>
      <c r="G1175">
        <v>0.59187999999999996</v>
      </c>
      <c r="J1175" s="105">
        <v>40403</v>
      </c>
      <c r="K1175">
        <v>0.96531</v>
      </c>
    </row>
    <row r="1176" spans="1:11">
      <c r="A1176" s="105">
        <v>41970</v>
      </c>
      <c r="B1176" s="156">
        <v>0.155</v>
      </c>
      <c r="D1176" s="105">
        <v>40402</v>
      </c>
      <c r="E1176">
        <v>0.37624999999999997</v>
      </c>
      <c r="F1176" s="105">
        <v>40402</v>
      </c>
      <c r="G1176">
        <v>0.59406000000000003</v>
      </c>
      <c r="J1176" s="105">
        <v>40402</v>
      </c>
      <c r="K1176">
        <v>0.96062999999999998</v>
      </c>
    </row>
    <row r="1177" spans="1:11">
      <c r="A1177" s="105">
        <v>41971</v>
      </c>
      <c r="B1177" s="156">
        <v>0.154</v>
      </c>
      <c r="D1177" s="105">
        <v>40401</v>
      </c>
      <c r="E1177">
        <v>0.38438</v>
      </c>
      <c r="F1177" s="105">
        <v>40401</v>
      </c>
      <c r="G1177">
        <v>0.60250000000000004</v>
      </c>
      <c r="J1177" s="105">
        <v>40401</v>
      </c>
      <c r="K1177">
        <v>0.97075</v>
      </c>
    </row>
    <row r="1178" spans="1:11">
      <c r="A1178" s="105">
        <v>41974</v>
      </c>
      <c r="B1178" s="156">
        <v>0.15775</v>
      </c>
      <c r="D1178" s="105">
        <v>40400</v>
      </c>
      <c r="E1178">
        <v>0.39781</v>
      </c>
      <c r="F1178" s="105">
        <v>40400</v>
      </c>
      <c r="G1178">
        <v>0.62031000000000003</v>
      </c>
      <c r="J1178" s="105">
        <v>40400</v>
      </c>
      <c r="K1178">
        <v>0.99375000000000002</v>
      </c>
    </row>
    <row r="1179" spans="1:11">
      <c r="A1179" s="105">
        <v>41975</v>
      </c>
      <c r="B1179" s="156">
        <v>0.15825</v>
      </c>
      <c r="D1179" s="105">
        <v>40399</v>
      </c>
      <c r="E1179">
        <v>0.40438000000000002</v>
      </c>
      <c r="F1179" s="105">
        <v>40399</v>
      </c>
      <c r="G1179">
        <v>0.62749999999999995</v>
      </c>
      <c r="J1179" s="105">
        <v>40399</v>
      </c>
      <c r="K1179">
        <v>0.995</v>
      </c>
    </row>
    <row r="1180" spans="1:11">
      <c r="A1180" s="105">
        <v>41976</v>
      </c>
      <c r="B1180" s="156">
        <v>0.157</v>
      </c>
      <c r="D1180" s="105">
        <v>40396</v>
      </c>
      <c r="E1180">
        <v>0.41125</v>
      </c>
      <c r="F1180" s="105">
        <v>40396</v>
      </c>
      <c r="G1180">
        <v>0.63375000000000004</v>
      </c>
      <c r="J1180" s="105">
        <v>40396</v>
      </c>
      <c r="K1180">
        <v>1.0031300000000001</v>
      </c>
    </row>
    <row r="1181" spans="1:11">
      <c r="A1181" s="105">
        <v>41977</v>
      </c>
      <c r="B1181" s="156">
        <v>0.15720000000000001</v>
      </c>
      <c r="D1181" s="105">
        <v>40395</v>
      </c>
      <c r="E1181">
        <v>0.41813</v>
      </c>
      <c r="F1181" s="105">
        <v>40395</v>
      </c>
      <c r="G1181">
        <v>0.63893999999999995</v>
      </c>
      <c r="J1181" s="105">
        <v>40395</v>
      </c>
      <c r="K1181">
        <v>1.00969</v>
      </c>
    </row>
    <row r="1182" spans="1:11">
      <c r="A1182" s="105">
        <v>41978</v>
      </c>
      <c r="B1182" s="156">
        <v>0.158</v>
      </c>
      <c r="D1182" s="105">
        <v>40394</v>
      </c>
      <c r="E1182">
        <v>0.42405999999999999</v>
      </c>
      <c r="F1182" s="105">
        <v>40394</v>
      </c>
      <c r="G1182">
        <v>0.63831000000000004</v>
      </c>
      <c r="J1182" s="105">
        <v>40394</v>
      </c>
      <c r="K1182">
        <v>1.00156</v>
      </c>
    </row>
    <row r="1183" spans="1:11">
      <c r="A1183" s="105">
        <v>41981</v>
      </c>
      <c r="B1183" s="156">
        <v>0.16170000000000001</v>
      </c>
      <c r="D1183" s="105">
        <v>40393</v>
      </c>
      <c r="E1183">
        <v>0.43469000000000002</v>
      </c>
      <c r="F1183" s="105">
        <v>40393</v>
      </c>
      <c r="G1183">
        <v>0.64956000000000003</v>
      </c>
      <c r="J1183" s="105">
        <v>40393</v>
      </c>
      <c r="K1183">
        <v>1.0150600000000001</v>
      </c>
    </row>
    <row r="1184" spans="1:11">
      <c r="A1184" s="105">
        <v>41982</v>
      </c>
      <c r="B1184" s="156">
        <v>0.1585</v>
      </c>
      <c r="D1184" s="105">
        <v>40392</v>
      </c>
      <c r="E1184">
        <v>0.44468999999999997</v>
      </c>
      <c r="F1184" s="105">
        <v>40392</v>
      </c>
      <c r="G1184">
        <v>0.65993999999999997</v>
      </c>
      <c r="J1184" s="105">
        <v>40392</v>
      </c>
      <c r="K1184">
        <v>1.0297499999999999</v>
      </c>
    </row>
    <row r="1185" spans="1:11">
      <c r="A1185" s="105">
        <v>41983</v>
      </c>
      <c r="B1185" s="156">
        <v>0.1608</v>
      </c>
      <c r="D1185" s="105">
        <v>40389</v>
      </c>
      <c r="E1185">
        <v>0.45374999999999999</v>
      </c>
      <c r="F1185" s="105">
        <v>40389</v>
      </c>
      <c r="G1185">
        <v>0.66781000000000001</v>
      </c>
      <c r="J1185" s="105">
        <v>40389</v>
      </c>
      <c r="K1185">
        <v>1.0366899999999999</v>
      </c>
    </row>
    <row r="1186" spans="1:11">
      <c r="A1186" s="105">
        <v>41984</v>
      </c>
      <c r="B1186" s="156">
        <v>0.1608</v>
      </c>
      <c r="D1186" s="105">
        <v>40388</v>
      </c>
      <c r="E1186">
        <v>0.46562999999999999</v>
      </c>
      <c r="F1186" s="105">
        <v>40388</v>
      </c>
      <c r="G1186">
        <v>0.67769000000000001</v>
      </c>
      <c r="J1186" s="105">
        <v>40388</v>
      </c>
      <c r="K1186">
        <v>1.05044</v>
      </c>
    </row>
    <row r="1187" spans="1:11">
      <c r="A1187" s="105">
        <v>41985</v>
      </c>
      <c r="B1187" s="156">
        <v>0.161</v>
      </c>
      <c r="D1187" s="105">
        <v>40387</v>
      </c>
      <c r="E1187">
        <v>0.47499999999999998</v>
      </c>
      <c r="F1187" s="105">
        <v>40387</v>
      </c>
      <c r="G1187">
        <v>0.68794</v>
      </c>
      <c r="J1187" s="105">
        <v>40387</v>
      </c>
      <c r="K1187">
        <v>1.0643800000000001</v>
      </c>
    </row>
    <row r="1188" spans="1:11">
      <c r="A1188" s="105">
        <v>41988</v>
      </c>
      <c r="B1188" s="156">
        <v>0.16200000000000001</v>
      </c>
      <c r="D1188" s="105">
        <v>40386</v>
      </c>
      <c r="E1188">
        <v>0.48125000000000001</v>
      </c>
      <c r="F1188" s="105">
        <v>40386</v>
      </c>
      <c r="G1188">
        <v>0.69430999999999998</v>
      </c>
      <c r="J1188" s="105">
        <v>40386</v>
      </c>
      <c r="K1188">
        <v>1.0746899999999999</v>
      </c>
    </row>
    <row r="1189" spans="1:11">
      <c r="A1189" s="105">
        <v>41989</v>
      </c>
      <c r="B1189" s="156">
        <v>0.16200000000000001</v>
      </c>
      <c r="D1189" s="105">
        <v>40385</v>
      </c>
      <c r="E1189">
        <v>0.48749999999999999</v>
      </c>
      <c r="F1189" s="105">
        <v>40385</v>
      </c>
      <c r="G1189">
        <v>0.69769000000000003</v>
      </c>
      <c r="J1189" s="105">
        <v>40385</v>
      </c>
      <c r="K1189">
        <v>1.0803100000000001</v>
      </c>
    </row>
    <row r="1190" spans="1:11">
      <c r="A1190" s="105">
        <v>41990</v>
      </c>
      <c r="B1190" s="156">
        <v>0.1641</v>
      </c>
      <c r="D1190" s="105">
        <v>40382</v>
      </c>
      <c r="E1190">
        <v>0.49313000000000001</v>
      </c>
      <c r="F1190" s="105">
        <v>40382</v>
      </c>
      <c r="G1190">
        <v>0.69699999999999995</v>
      </c>
      <c r="J1190" s="105">
        <v>40382</v>
      </c>
      <c r="K1190">
        <v>1.0746899999999999</v>
      </c>
    </row>
    <row r="1191" spans="1:11">
      <c r="A1191" s="105">
        <v>41991</v>
      </c>
      <c r="B1191" s="156">
        <v>0.16545000000000001</v>
      </c>
      <c r="D1191" s="105">
        <v>40381</v>
      </c>
      <c r="E1191">
        <v>0.49780999999999997</v>
      </c>
      <c r="F1191" s="105">
        <v>40381</v>
      </c>
      <c r="G1191">
        <v>0.70074999999999998</v>
      </c>
      <c r="J1191" s="105">
        <v>40381</v>
      </c>
      <c r="K1191">
        <v>1.08</v>
      </c>
    </row>
    <row r="1192" spans="1:11">
      <c r="A1192" s="105">
        <v>41992</v>
      </c>
      <c r="B1192" s="156">
        <v>0.16425000000000001</v>
      </c>
      <c r="D1192" s="105">
        <v>40380</v>
      </c>
      <c r="E1192">
        <v>0.50624999999999998</v>
      </c>
      <c r="F1192" s="105">
        <v>40380</v>
      </c>
      <c r="G1192">
        <v>0.70262999999999998</v>
      </c>
      <c r="J1192" s="105">
        <v>40380</v>
      </c>
      <c r="K1192">
        <v>1.0874999999999999</v>
      </c>
    </row>
    <row r="1193" spans="1:11">
      <c r="A1193" s="105">
        <v>41995</v>
      </c>
      <c r="B1193" s="156">
        <v>0.16700000000000001</v>
      </c>
      <c r="D1193" s="105">
        <v>40379</v>
      </c>
      <c r="E1193">
        <v>0.51249999999999996</v>
      </c>
      <c r="F1193" s="105">
        <v>40379</v>
      </c>
      <c r="G1193">
        <v>0.71087999999999996</v>
      </c>
      <c r="J1193" s="105">
        <v>40379</v>
      </c>
      <c r="K1193">
        <v>1.10188</v>
      </c>
    </row>
    <row r="1194" spans="1:11">
      <c r="A1194" s="105">
        <v>41996</v>
      </c>
      <c r="B1194" s="156">
        <v>0.16950000000000001</v>
      </c>
      <c r="D1194" s="105">
        <v>40378</v>
      </c>
      <c r="E1194">
        <v>0.51780999999999999</v>
      </c>
      <c r="F1194" s="105">
        <v>40378</v>
      </c>
      <c r="G1194">
        <v>0.71813000000000005</v>
      </c>
      <c r="J1194" s="105">
        <v>40378</v>
      </c>
      <c r="K1194">
        <v>1.11656</v>
      </c>
    </row>
    <row r="1195" spans="1:11">
      <c r="A1195" s="105">
        <v>41997</v>
      </c>
      <c r="B1195" s="156">
        <v>0.16875000000000001</v>
      </c>
      <c r="D1195" s="105">
        <v>40375</v>
      </c>
      <c r="E1195">
        <v>0.52124999999999999</v>
      </c>
      <c r="F1195" s="105">
        <v>40375</v>
      </c>
      <c r="G1195">
        <v>0.72655999999999998</v>
      </c>
      <c r="J1195" s="105">
        <v>40375</v>
      </c>
      <c r="K1195">
        <v>1.1268800000000001</v>
      </c>
    </row>
    <row r="1196" spans="1:11">
      <c r="A1196" s="105">
        <v>42002</v>
      </c>
      <c r="B1196" s="156">
        <v>0.16925000000000001</v>
      </c>
      <c r="D1196" s="105">
        <v>40374</v>
      </c>
      <c r="E1196">
        <v>0.52468999999999999</v>
      </c>
      <c r="F1196" s="105">
        <v>40374</v>
      </c>
      <c r="G1196">
        <v>0.72987999999999997</v>
      </c>
      <c r="J1196" s="105">
        <v>40374</v>
      </c>
      <c r="K1196">
        <v>1.13375</v>
      </c>
    </row>
    <row r="1197" spans="1:11">
      <c r="A1197" s="105">
        <v>42003</v>
      </c>
      <c r="B1197" s="156">
        <v>0.16950000000000001</v>
      </c>
      <c r="D1197" s="105">
        <v>40373</v>
      </c>
      <c r="E1197">
        <v>0.52563000000000004</v>
      </c>
      <c r="F1197" s="105">
        <v>40373</v>
      </c>
      <c r="G1197">
        <v>0.73131000000000002</v>
      </c>
      <c r="J1197" s="105">
        <v>40373</v>
      </c>
      <c r="K1197">
        <v>1.14063</v>
      </c>
    </row>
    <row r="1198" spans="1:11">
      <c r="A1198" s="105">
        <v>42004</v>
      </c>
      <c r="B1198" s="156">
        <v>0.17125000000000001</v>
      </c>
      <c r="D1198" s="105">
        <v>40372</v>
      </c>
      <c r="E1198">
        <v>0.52593999999999996</v>
      </c>
      <c r="F1198" s="105">
        <v>40372</v>
      </c>
      <c r="G1198">
        <v>0.73312999999999995</v>
      </c>
      <c r="J1198" s="105">
        <v>40372</v>
      </c>
      <c r="K1198">
        <v>1.145</v>
      </c>
    </row>
    <row r="1199" spans="1:11">
      <c r="A1199" s="105">
        <v>42006</v>
      </c>
      <c r="B1199" s="156">
        <v>0.16750000000000001</v>
      </c>
      <c r="D1199" s="105">
        <v>40371</v>
      </c>
      <c r="E1199">
        <v>0.52556000000000003</v>
      </c>
      <c r="F1199" s="105">
        <v>40371</v>
      </c>
      <c r="G1199">
        <v>0.73163</v>
      </c>
      <c r="J1199" s="105">
        <v>40371</v>
      </c>
      <c r="K1199">
        <v>1.14375</v>
      </c>
    </row>
    <row r="1200" spans="1:11">
      <c r="A1200" s="105">
        <v>42009</v>
      </c>
      <c r="B1200" s="156">
        <v>0.16800000000000001</v>
      </c>
      <c r="D1200" s="105">
        <v>40368</v>
      </c>
      <c r="E1200">
        <v>0.52681</v>
      </c>
      <c r="F1200" s="105">
        <v>40368</v>
      </c>
      <c r="G1200">
        <v>0.73319000000000001</v>
      </c>
      <c r="J1200" s="105">
        <v>40368</v>
      </c>
      <c r="K1200">
        <v>1.14625</v>
      </c>
    </row>
    <row r="1201" spans="1:11">
      <c r="A1201" s="105">
        <v>42010</v>
      </c>
      <c r="B1201" s="156">
        <v>0.16775000000000001</v>
      </c>
      <c r="D1201" s="105">
        <v>40367</v>
      </c>
      <c r="E1201">
        <v>0.52749999999999997</v>
      </c>
      <c r="F1201" s="105">
        <v>40367</v>
      </c>
      <c r="G1201">
        <v>0.73719000000000001</v>
      </c>
      <c r="J1201" s="105">
        <v>40367</v>
      </c>
      <c r="K1201">
        <v>1.15438</v>
      </c>
    </row>
    <row r="1202" spans="1:11">
      <c r="A1202" s="105">
        <v>42011</v>
      </c>
      <c r="B1202" s="156">
        <v>0.16650000000000001</v>
      </c>
      <c r="D1202" s="105">
        <v>40366</v>
      </c>
      <c r="E1202">
        <v>0.52988000000000002</v>
      </c>
      <c r="F1202" s="105">
        <v>40366</v>
      </c>
      <c r="G1202">
        <v>0.74243999999999999</v>
      </c>
      <c r="J1202" s="105">
        <v>40366</v>
      </c>
      <c r="K1202">
        <v>1.16188</v>
      </c>
    </row>
    <row r="1203" spans="1:11">
      <c r="A1203" s="105">
        <v>42012</v>
      </c>
      <c r="B1203" s="156">
        <v>0.16625000000000001</v>
      </c>
      <c r="D1203" s="105">
        <v>40365</v>
      </c>
      <c r="E1203">
        <v>0.53112999999999999</v>
      </c>
      <c r="F1203" s="105">
        <v>40365</v>
      </c>
      <c r="G1203">
        <v>0.74243999999999999</v>
      </c>
      <c r="J1203" s="105">
        <v>40365</v>
      </c>
      <c r="K1203">
        <v>1.16313</v>
      </c>
    </row>
    <row r="1204" spans="1:11">
      <c r="A1204" s="105">
        <v>42013</v>
      </c>
      <c r="B1204" s="156">
        <v>0.16675000000000001</v>
      </c>
      <c r="D1204" s="105">
        <v>40364</v>
      </c>
      <c r="E1204">
        <v>0.53125</v>
      </c>
      <c r="F1204" s="105">
        <v>40364</v>
      </c>
      <c r="G1204">
        <v>0.74343999999999999</v>
      </c>
      <c r="J1204" s="105">
        <v>40364</v>
      </c>
      <c r="K1204">
        <v>1.1637500000000001</v>
      </c>
    </row>
    <row r="1205" spans="1:11">
      <c r="A1205" s="105">
        <v>42016</v>
      </c>
      <c r="B1205" s="156">
        <v>0.16650000000000001</v>
      </c>
      <c r="D1205" s="105">
        <v>40361</v>
      </c>
      <c r="E1205">
        <v>0.53363000000000005</v>
      </c>
      <c r="F1205" s="105">
        <v>40361</v>
      </c>
      <c r="G1205">
        <v>0.75005999999999995</v>
      </c>
      <c r="J1205" s="105">
        <v>40361</v>
      </c>
      <c r="K1205">
        <v>1.17188</v>
      </c>
    </row>
    <row r="1206" spans="1:11">
      <c r="A1206" s="105">
        <v>42017</v>
      </c>
      <c r="B1206" s="156">
        <v>0.16650000000000001</v>
      </c>
      <c r="D1206" s="105">
        <v>40360</v>
      </c>
      <c r="E1206">
        <v>0.53330999999999995</v>
      </c>
      <c r="F1206" s="105">
        <v>40360</v>
      </c>
      <c r="G1206">
        <v>0.751</v>
      </c>
      <c r="J1206" s="105">
        <v>40360</v>
      </c>
      <c r="K1206">
        <v>1.17313</v>
      </c>
    </row>
    <row r="1207" spans="1:11">
      <c r="A1207" s="105">
        <v>42018</v>
      </c>
      <c r="B1207" s="156">
        <v>0.16825000000000001</v>
      </c>
      <c r="D1207" s="105">
        <v>40359</v>
      </c>
      <c r="E1207">
        <v>0.53393999999999997</v>
      </c>
      <c r="F1207" s="105">
        <v>40359</v>
      </c>
      <c r="G1207">
        <v>0.75249999999999995</v>
      </c>
      <c r="J1207" s="105">
        <v>40359</v>
      </c>
      <c r="K1207">
        <v>1.17313</v>
      </c>
    </row>
    <row r="1208" spans="1:11">
      <c r="A1208" s="105">
        <v>42019</v>
      </c>
      <c r="B1208" s="156">
        <v>0.16800000000000001</v>
      </c>
      <c r="D1208" s="105">
        <v>40358</v>
      </c>
      <c r="E1208">
        <v>0.53300000000000003</v>
      </c>
      <c r="F1208" s="105">
        <v>40358</v>
      </c>
      <c r="G1208">
        <v>0.75068999999999997</v>
      </c>
      <c r="J1208" s="105">
        <v>40358</v>
      </c>
      <c r="K1208">
        <v>1.17438</v>
      </c>
    </row>
    <row r="1209" spans="1:11">
      <c r="A1209" s="105">
        <v>42020</v>
      </c>
      <c r="B1209" s="156">
        <v>0.16800000000000001</v>
      </c>
      <c r="D1209" s="105">
        <v>40357</v>
      </c>
      <c r="E1209">
        <v>0.53344000000000003</v>
      </c>
      <c r="F1209" s="105">
        <v>40357</v>
      </c>
      <c r="G1209">
        <v>0.74719000000000002</v>
      </c>
      <c r="J1209" s="105">
        <v>40357</v>
      </c>
      <c r="K1209">
        <v>1.17563</v>
      </c>
    </row>
    <row r="1210" spans="1:11">
      <c r="A1210" s="105">
        <v>42023</v>
      </c>
      <c r="B1210" s="156">
        <v>0.16875000000000001</v>
      </c>
      <c r="D1210" s="105">
        <v>40354</v>
      </c>
      <c r="E1210">
        <v>0.53469</v>
      </c>
      <c r="F1210" s="105">
        <v>40354</v>
      </c>
      <c r="G1210">
        <v>0.75319000000000003</v>
      </c>
      <c r="J1210" s="105">
        <v>40354</v>
      </c>
      <c r="K1210">
        <v>1.18313</v>
      </c>
    </row>
    <row r="1211" spans="1:11">
      <c r="A1211" s="105">
        <v>42024</v>
      </c>
      <c r="B1211" s="156">
        <v>0.16850000000000001</v>
      </c>
      <c r="D1211" s="105">
        <v>40353</v>
      </c>
      <c r="E1211">
        <v>0.53718999999999995</v>
      </c>
      <c r="F1211" s="105">
        <v>40353</v>
      </c>
      <c r="G1211">
        <v>0.75194000000000005</v>
      </c>
      <c r="J1211" s="105">
        <v>40353</v>
      </c>
      <c r="K1211">
        <v>1.1793800000000001</v>
      </c>
    </row>
    <row r="1212" spans="1:11">
      <c r="A1212" s="105">
        <v>42025</v>
      </c>
      <c r="B1212" s="156">
        <v>0.16675000000000001</v>
      </c>
      <c r="D1212" s="105">
        <v>40352</v>
      </c>
      <c r="E1212">
        <v>0.53825000000000001</v>
      </c>
      <c r="F1212" s="105">
        <v>40352</v>
      </c>
      <c r="G1212">
        <v>0.74868999999999997</v>
      </c>
      <c r="J1212" s="105">
        <v>40352</v>
      </c>
      <c r="K1212">
        <v>1.17875</v>
      </c>
    </row>
    <row r="1213" spans="1:11">
      <c r="A1213" s="105">
        <v>42026</v>
      </c>
      <c r="B1213" s="156">
        <v>0.16825000000000001</v>
      </c>
      <c r="D1213" s="105">
        <v>40351</v>
      </c>
      <c r="E1213">
        <v>0.53825000000000001</v>
      </c>
      <c r="F1213" s="105">
        <v>40351</v>
      </c>
      <c r="G1213">
        <v>0.747</v>
      </c>
      <c r="J1213" s="105">
        <v>40351</v>
      </c>
      <c r="K1213">
        <v>1.175</v>
      </c>
    </row>
    <row r="1214" spans="1:11">
      <c r="A1214" s="105">
        <v>42027</v>
      </c>
      <c r="B1214" s="156">
        <v>0.16775000000000001</v>
      </c>
      <c r="D1214" s="105">
        <v>40350</v>
      </c>
      <c r="E1214">
        <v>0.53837999999999997</v>
      </c>
      <c r="F1214" s="105">
        <v>40350</v>
      </c>
      <c r="G1214">
        <v>0.74956</v>
      </c>
      <c r="J1214" s="105">
        <v>40350</v>
      </c>
      <c r="K1214">
        <v>1.1837500000000001</v>
      </c>
    </row>
    <row r="1215" spans="1:11">
      <c r="A1215" s="105">
        <v>42030</v>
      </c>
      <c r="B1215" s="156">
        <v>0.16900000000000001</v>
      </c>
      <c r="D1215" s="105">
        <v>40347</v>
      </c>
      <c r="E1215">
        <v>0.53818999999999995</v>
      </c>
      <c r="F1215" s="105">
        <v>40347</v>
      </c>
      <c r="G1215">
        <v>0.75063000000000002</v>
      </c>
      <c r="J1215" s="105">
        <v>40347</v>
      </c>
      <c r="K1215">
        <v>1.18313</v>
      </c>
    </row>
    <row r="1216" spans="1:11">
      <c r="A1216" s="105">
        <v>42031</v>
      </c>
      <c r="B1216" s="156">
        <v>0.16800000000000001</v>
      </c>
      <c r="D1216" s="105">
        <v>40346</v>
      </c>
      <c r="E1216">
        <v>0.53925000000000001</v>
      </c>
      <c r="F1216" s="105">
        <v>40346</v>
      </c>
      <c r="G1216">
        <v>0.75475000000000003</v>
      </c>
      <c r="J1216" s="105">
        <v>40346</v>
      </c>
      <c r="K1216">
        <v>1.19</v>
      </c>
    </row>
    <row r="1217" spans="1:11">
      <c r="A1217" s="105">
        <v>42032</v>
      </c>
      <c r="B1217" s="156">
        <v>0.17050000000000001</v>
      </c>
      <c r="D1217" s="105">
        <v>40345</v>
      </c>
      <c r="E1217">
        <v>0.53893999999999997</v>
      </c>
      <c r="F1217" s="105">
        <v>40345</v>
      </c>
      <c r="G1217">
        <v>0.75456000000000001</v>
      </c>
      <c r="J1217" s="105">
        <v>40345</v>
      </c>
      <c r="K1217">
        <v>1.18875</v>
      </c>
    </row>
    <row r="1218" spans="1:11">
      <c r="A1218" s="105">
        <v>42033</v>
      </c>
      <c r="B1218" s="156">
        <v>0.1709</v>
      </c>
      <c r="D1218" s="105">
        <v>40344</v>
      </c>
      <c r="E1218">
        <v>0.53893999999999997</v>
      </c>
      <c r="F1218" s="105">
        <v>40344</v>
      </c>
      <c r="G1218">
        <v>0.75480999999999998</v>
      </c>
      <c r="J1218" s="105">
        <v>40344</v>
      </c>
      <c r="K1218">
        <v>1.19156</v>
      </c>
    </row>
    <row r="1219" spans="1:11">
      <c r="A1219" s="105">
        <v>42034</v>
      </c>
      <c r="B1219" s="156">
        <v>0.17125000000000001</v>
      </c>
      <c r="D1219" s="105">
        <v>40343</v>
      </c>
      <c r="E1219">
        <v>0.53705999999999998</v>
      </c>
      <c r="F1219" s="105">
        <v>40343</v>
      </c>
      <c r="G1219">
        <v>0.75031000000000003</v>
      </c>
      <c r="J1219" s="105">
        <v>40343</v>
      </c>
      <c r="K1219">
        <v>1.18563</v>
      </c>
    </row>
    <row r="1220" spans="1:11">
      <c r="A1220" s="105">
        <v>42037</v>
      </c>
      <c r="B1220" s="156">
        <v>0.16950000000000001</v>
      </c>
      <c r="D1220" s="105">
        <v>40340</v>
      </c>
      <c r="E1220">
        <v>0.53705999999999998</v>
      </c>
      <c r="F1220" s="105">
        <v>40340</v>
      </c>
      <c r="G1220">
        <v>0.74612999999999996</v>
      </c>
      <c r="J1220" s="105">
        <v>40340</v>
      </c>
      <c r="K1220">
        <v>1.18031</v>
      </c>
    </row>
    <row r="1221" spans="1:11">
      <c r="A1221" s="105">
        <v>42038</v>
      </c>
      <c r="B1221" s="156">
        <v>0.17100000000000001</v>
      </c>
      <c r="D1221" s="105">
        <v>40339</v>
      </c>
      <c r="E1221">
        <v>0.53644000000000003</v>
      </c>
      <c r="F1221" s="105">
        <v>40339</v>
      </c>
      <c r="G1221">
        <v>0.74938000000000005</v>
      </c>
      <c r="J1221" s="105">
        <v>40339</v>
      </c>
      <c r="K1221">
        <v>1.1825000000000001</v>
      </c>
    </row>
    <row r="1222" spans="1:11">
      <c r="A1222" s="105">
        <v>42039</v>
      </c>
      <c r="B1222" s="156">
        <v>0.17349999999999999</v>
      </c>
      <c r="D1222" s="105">
        <v>40338</v>
      </c>
      <c r="E1222">
        <v>0.53656000000000004</v>
      </c>
      <c r="F1222" s="105">
        <v>40338</v>
      </c>
      <c r="G1222">
        <v>0.75080999999999998</v>
      </c>
      <c r="J1222" s="105">
        <v>40338</v>
      </c>
      <c r="K1222">
        <v>1.1906300000000001</v>
      </c>
    </row>
    <row r="1223" spans="1:11">
      <c r="A1223" s="105">
        <v>42040</v>
      </c>
      <c r="B1223" s="156">
        <v>0.17100000000000001</v>
      </c>
      <c r="D1223" s="105">
        <v>40337</v>
      </c>
      <c r="E1223">
        <v>0.53688000000000002</v>
      </c>
      <c r="F1223" s="105">
        <v>40337</v>
      </c>
      <c r="G1223">
        <v>0.75363000000000002</v>
      </c>
      <c r="J1223" s="105">
        <v>40337</v>
      </c>
      <c r="K1223">
        <v>1.1965600000000001</v>
      </c>
    </row>
    <row r="1224" spans="1:11">
      <c r="A1224" s="105">
        <v>42041</v>
      </c>
      <c r="B1224" s="156">
        <v>0.17150000000000001</v>
      </c>
      <c r="D1224" s="105">
        <v>40336</v>
      </c>
      <c r="E1224">
        <v>0.53718999999999995</v>
      </c>
      <c r="F1224" s="105">
        <v>40336</v>
      </c>
      <c r="G1224">
        <v>0.75731000000000004</v>
      </c>
      <c r="J1224" s="105">
        <v>40336</v>
      </c>
      <c r="K1224">
        <v>1.20625</v>
      </c>
    </row>
    <row r="1225" spans="1:11">
      <c r="A1225" s="105">
        <v>42044</v>
      </c>
      <c r="B1225" s="156">
        <v>0.17219999999999999</v>
      </c>
      <c r="D1225" s="105">
        <v>40333</v>
      </c>
      <c r="E1225">
        <v>0.53656000000000004</v>
      </c>
      <c r="F1225" s="105">
        <v>40333</v>
      </c>
      <c r="G1225">
        <v>0.74919000000000002</v>
      </c>
      <c r="J1225" s="105">
        <v>40333</v>
      </c>
      <c r="K1225">
        <v>1.1965600000000001</v>
      </c>
    </row>
    <row r="1226" spans="1:11">
      <c r="A1226" s="105">
        <v>42045</v>
      </c>
      <c r="B1226" s="156">
        <v>0.17169999999999999</v>
      </c>
      <c r="D1226" s="105">
        <v>40332</v>
      </c>
      <c r="E1226">
        <v>0.53781000000000001</v>
      </c>
      <c r="F1226" s="105">
        <v>40332</v>
      </c>
      <c r="G1226">
        <v>0.753</v>
      </c>
      <c r="J1226" s="105">
        <v>40332</v>
      </c>
      <c r="K1226">
        <v>1.2050000000000001</v>
      </c>
    </row>
    <row r="1227" spans="1:11">
      <c r="A1227" s="105">
        <v>42046</v>
      </c>
      <c r="B1227" s="156">
        <v>0.17169999999999999</v>
      </c>
      <c r="D1227" s="105">
        <v>40331</v>
      </c>
      <c r="E1227">
        <v>0.53749999999999998</v>
      </c>
      <c r="F1227" s="105">
        <v>40331</v>
      </c>
      <c r="G1227">
        <v>0.75363000000000002</v>
      </c>
      <c r="J1227" s="105">
        <v>40331</v>
      </c>
      <c r="K1227">
        <v>1.20625</v>
      </c>
    </row>
    <row r="1228" spans="1:11">
      <c r="A1228" s="105">
        <v>42047</v>
      </c>
      <c r="B1228" s="156">
        <v>0.17199999999999999</v>
      </c>
      <c r="D1228" s="105">
        <v>40330</v>
      </c>
      <c r="E1228">
        <v>0.53625</v>
      </c>
      <c r="F1228" s="105">
        <v>40330</v>
      </c>
      <c r="G1228">
        <v>0.76112999999999997</v>
      </c>
      <c r="J1228" s="105">
        <v>40330</v>
      </c>
      <c r="K1228">
        <v>1.20875</v>
      </c>
    </row>
    <row r="1229" spans="1:11">
      <c r="A1229" s="105">
        <v>42048</v>
      </c>
      <c r="B1229" s="156">
        <v>0.17299999999999999</v>
      </c>
      <c r="D1229" s="105">
        <v>40326</v>
      </c>
      <c r="E1229">
        <v>0.53625</v>
      </c>
      <c r="F1229" s="105">
        <v>40326</v>
      </c>
      <c r="G1229">
        <v>0.75187999999999999</v>
      </c>
      <c r="J1229" s="105">
        <v>40326</v>
      </c>
      <c r="K1229">
        <v>1.2040599999999999</v>
      </c>
    </row>
    <row r="1230" spans="1:11">
      <c r="A1230" s="105">
        <v>42051</v>
      </c>
      <c r="B1230" s="156">
        <v>0.17299999999999999</v>
      </c>
      <c r="D1230" s="105">
        <v>40325</v>
      </c>
      <c r="E1230">
        <v>0.53844000000000003</v>
      </c>
      <c r="F1230" s="105">
        <v>40325</v>
      </c>
      <c r="G1230">
        <v>0.75849999999999995</v>
      </c>
      <c r="J1230" s="105">
        <v>40325</v>
      </c>
      <c r="K1230">
        <v>1.2126300000000001</v>
      </c>
    </row>
    <row r="1231" spans="1:11">
      <c r="A1231" s="105">
        <v>42052</v>
      </c>
      <c r="B1231" s="156">
        <v>0.17349999999999999</v>
      </c>
      <c r="D1231" s="105">
        <v>40324</v>
      </c>
      <c r="E1231">
        <v>0.53781000000000001</v>
      </c>
      <c r="F1231" s="105">
        <v>40324</v>
      </c>
      <c r="G1231">
        <v>0.75788</v>
      </c>
      <c r="J1231" s="105">
        <v>40324</v>
      </c>
      <c r="K1231">
        <v>1.218</v>
      </c>
    </row>
    <row r="1232" spans="1:11">
      <c r="A1232" s="105">
        <v>42053</v>
      </c>
      <c r="B1232" s="156">
        <v>0.17349999999999999</v>
      </c>
      <c r="D1232" s="105">
        <v>40323</v>
      </c>
      <c r="E1232">
        <v>0.53625</v>
      </c>
      <c r="F1232" s="105">
        <v>40323</v>
      </c>
      <c r="G1232">
        <v>0.75912999999999997</v>
      </c>
      <c r="J1232" s="105">
        <v>40323</v>
      </c>
      <c r="K1232">
        <v>1.2241299999999999</v>
      </c>
    </row>
    <row r="1233" spans="1:11">
      <c r="A1233" s="105">
        <v>42054</v>
      </c>
      <c r="B1233" s="156">
        <v>0.17349999999999999</v>
      </c>
      <c r="D1233" s="105">
        <v>40322</v>
      </c>
      <c r="E1233">
        <v>0.50968999999999998</v>
      </c>
      <c r="F1233" s="105">
        <v>40322</v>
      </c>
      <c r="G1233">
        <v>0.71625000000000005</v>
      </c>
      <c r="J1233" s="105">
        <v>40322</v>
      </c>
      <c r="K1233">
        <v>1.1765600000000001</v>
      </c>
    </row>
    <row r="1234" spans="1:11">
      <c r="A1234" s="105">
        <v>42055</v>
      </c>
      <c r="B1234" s="156">
        <v>0.17150000000000001</v>
      </c>
      <c r="D1234" s="105">
        <v>40319</v>
      </c>
      <c r="E1234">
        <v>0.49687999999999999</v>
      </c>
      <c r="F1234" s="105">
        <v>40319</v>
      </c>
      <c r="G1234">
        <v>0.69562999999999997</v>
      </c>
      <c r="J1234" s="105">
        <v>40319</v>
      </c>
      <c r="K1234">
        <v>1.15438</v>
      </c>
    </row>
    <row r="1235" spans="1:11">
      <c r="A1235" s="105">
        <v>42058</v>
      </c>
      <c r="B1235" s="156">
        <v>0.17100000000000001</v>
      </c>
      <c r="D1235" s="105">
        <v>40318</v>
      </c>
      <c r="E1235">
        <v>0.48405999999999999</v>
      </c>
      <c r="F1235" s="105">
        <v>40318</v>
      </c>
      <c r="G1235">
        <v>0.67874999999999996</v>
      </c>
      <c r="J1235" s="105">
        <v>40318</v>
      </c>
      <c r="K1235">
        <v>1.135</v>
      </c>
    </row>
    <row r="1236" spans="1:11">
      <c r="A1236" s="105">
        <v>42059</v>
      </c>
      <c r="B1236" s="156">
        <v>0.17150000000000001</v>
      </c>
      <c r="D1236" s="105">
        <v>40317</v>
      </c>
      <c r="E1236">
        <v>0.47749999999999998</v>
      </c>
      <c r="F1236" s="105">
        <v>40317</v>
      </c>
      <c r="G1236">
        <v>0.67337999999999998</v>
      </c>
      <c r="J1236" s="105">
        <v>40317</v>
      </c>
      <c r="K1236">
        <v>1.1299999999999999</v>
      </c>
    </row>
    <row r="1237" spans="1:11">
      <c r="A1237" s="105">
        <v>42060</v>
      </c>
      <c r="B1237" s="156">
        <v>0.17199999999999999</v>
      </c>
      <c r="D1237" s="105">
        <v>40316</v>
      </c>
      <c r="E1237">
        <v>0.46468999999999999</v>
      </c>
      <c r="F1237" s="105">
        <v>40316</v>
      </c>
      <c r="G1237">
        <v>0.65500000000000003</v>
      </c>
      <c r="J1237" s="105">
        <v>40316</v>
      </c>
      <c r="K1237">
        <v>1.115</v>
      </c>
    </row>
    <row r="1238" spans="1:11">
      <c r="A1238" s="105">
        <v>42061</v>
      </c>
      <c r="B1238" s="156">
        <v>0.1719</v>
      </c>
      <c r="D1238" s="105">
        <v>40315</v>
      </c>
      <c r="E1238">
        <v>0.46</v>
      </c>
      <c r="F1238" s="105">
        <v>40315</v>
      </c>
      <c r="G1238">
        <v>0.65475000000000005</v>
      </c>
      <c r="J1238" s="105">
        <v>40315</v>
      </c>
      <c r="K1238">
        <v>1.11938</v>
      </c>
    </row>
    <row r="1239" spans="1:11">
      <c r="A1239" s="105">
        <v>42062</v>
      </c>
      <c r="B1239" s="156">
        <v>0.17299999999999999</v>
      </c>
      <c r="D1239" s="105">
        <v>40312</v>
      </c>
      <c r="E1239">
        <v>0.44506000000000001</v>
      </c>
      <c r="F1239" s="105">
        <v>40312</v>
      </c>
      <c r="G1239">
        <v>0.63500000000000001</v>
      </c>
      <c r="J1239" s="105">
        <v>40312</v>
      </c>
      <c r="K1239">
        <v>1.1056299999999999</v>
      </c>
    </row>
    <row r="1240" spans="1:11">
      <c r="A1240" s="105">
        <v>42065</v>
      </c>
      <c r="B1240" s="156">
        <v>0.17269999999999999</v>
      </c>
      <c r="D1240" s="105">
        <v>40311</v>
      </c>
      <c r="E1240">
        <v>0.43587999999999999</v>
      </c>
      <c r="F1240" s="105">
        <v>40311</v>
      </c>
      <c r="G1240">
        <v>0.62263000000000002</v>
      </c>
      <c r="J1240" s="105">
        <v>40311</v>
      </c>
      <c r="K1240">
        <v>1.09219</v>
      </c>
    </row>
    <row r="1241" spans="1:11">
      <c r="A1241" s="105">
        <v>42066</v>
      </c>
      <c r="B1241" s="156">
        <v>0.17299999999999999</v>
      </c>
      <c r="D1241" s="105">
        <v>40310</v>
      </c>
      <c r="E1241">
        <v>0.43019000000000002</v>
      </c>
      <c r="F1241" s="105">
        <v>40310</v>
      </c>
      <c r="G1241">
        <v>0.62231000000000003</v>
      </c>
      <c r="J1241" s="105">
        <v>40310</v>
      </c>
      <c r="K1241">
        <v>1.0974999999999999</v>
      </c>
    </row>
    <row r="1242" spans="1:11">
      <c r="A1242" s="105">
        <v>42067</v>
      </c>
      <c r="B1242" s="156">
        <v>0.17499999999999999</v>
      </c>
      <c r="D1242" s="105">
        <v>40309</v>
      </c>
      <c r="E1242">
        <v>0.42281000000000002</v>
      </c>
      <c r="F1242" s="105">
        <v>40309</v>
      </c>
      <c r="G1242">
        <v>0.61850000000000005</v>
      </c>
      <c r="J1242" s="105">
        <v>40309</v>
      </c>
      <c r="K1242">
        <v>1.0987499999999999</v>
      </c>
    </row>
    <row r="1243" spans="1:11">
      <c r="A1243" s="105">
        <v>42068</v>
      </c>
      <c r="B1243" s="156">
        <v>0.17499999999999999</v>
      </c>
      <c r="D1243" s="105">
        <v>40308</v>
      </c>
      <c r="E1243">
        <v>0.42125000000000001</v>
      </c>
      <c r="F1243" s="105">
        <v>40308</v>
      </c>
      <c r="G1243">
        <v>0.62250000000000005</v>
      </c>
      <c r="J1243" s="105">
        <v>40308</v>
      </c>
      <c r="K1243">
        <v>1.0974999999999999</v>
      </c>
    </row>
    <row r="1244" spans="1:11">
      <c r="A1244" s="105">
        <v>42069</v>
      </c>
      <c r="B1244" s="156">
        <v>0.17499999999999999</v>
      </c>
      <c r="D1244" s="105">
        <v>40305</v>
      </c>
      <c r="E1244">
        <v>0.42813000000000001</v>
      </c>
      <c r="F1244" s="105">
        <v>40305</v>
      </c>
      <c r="G1244">
        <v>0.63688</v>
      </c>
      <c r="J1244" s="105">
        <v>40305</v>
      </c>
      <c r="K1244">
        <v>1.1299999999999999</v>
      </c>
    </row>
    <row r="1245" spans="1:11">
      <c r="A1245" s="105">
        <v>42072</v>
      </c>
      <c r="B1245" s="156">
        <v>0.17649999999999999</v>
      </c>
      <c r="D1245" s="105">
        <v>40304</v>
      </c>
      <c r="E1245">
        <v>0.37358999999999998</v>
      </c>
      <c r="F1245" s="105">
        <v>40304</v>
      </c>
      <c r="G1245">
        <v>0.56562999999999997</v>
      </c>
      <c r="J1245" s="105">
        <v>40304</v>
      </c>
      <c r="K1245">
        <v>1.0649999999999999</v>
      </c>
    </row>
    <row r="1246" spans="1:11">
      <c r="A1246" s="105">
        <v>42073</v>
      </c>
      <c r="B1246" s="156">
        <v>0.1779</v>
      </c>
      <c r="D1246" s="105">
        <v>40303</v>
      </c>
      <c r="E1246">
        <v>0.36015999999999998</v>
      </c>
      <c r="F1246" s="105">
        <v>40303</v>
      </c>
      <c r="G1246">
        <v>0.55530999999999997</v>
      </c>
      <c r="J1246" s="105">
        <v>40303</v>
      </c>
      <c r="K1246">
        <v>1.05406</v>
      </c>
    </row>
    <row r="1247" spans="1:11">
      <c r="A1247" s="105">
        <v>42074</v>
      </c>
      <c r="B1247" s="156">
        <v>0.17599999999999999</v>
      </c>
      <c r="D1247" s="105">
        <v>40302</v>
      </c>
      <c r="E1247">
        <v>0.35313</v>
      </c>
      <c r="F1247" s="105">
        <v>40302</v>
      </c>
      <c r="G1247">
        <v>0.54578000000000004</v>
      </c>
      <c r="J1247" s="105">
        <v>40302</v>
      </c>
      <c r="K1247">
        <v>1.04</v>
      </c>
    </row>
    <row r="1248" spans="1:11">
      <c r="A1248" s="105">
        <v>42075</v>
      </c>
      <c r="B1248" s="156">
        <v>0.17449999999999999</v>
      </c>
      <c r="D1248" s="105">
        <v>40298</v>
      </c>
      <c r="E1248">
        <v>0.34655999999999998</v>
      </c>
      <c r="F1248" s="105">
        <v>40298</v>
      </c>
      <c r="G1248">
        <v>0.53063000000000005</v>
      </c>
      <c r="J1248" s="105">
        <v>40298</v>
      </c>
      <c r="K1248">
        <v>1.01563</v>
      </c>
    </row>
    <row r="1249" spans="1:11">
      <c r="A1249" s="105">
        <v>42076</v>
      </c>
      <c r="B1249" s="156">
        <v>0.17649999999999999</v>
      </c>
      <c r="D1249" s="105">
        <v>40297</v>
      </c>
      <c r="E1249">
        <v>0.34438000000000002</v>
      </c>
      <c r="F1249" s="105">
        <v>40297</v>
      </c>
      <c r="G1249">
        <v>0.52719000000000005</v>
      </c>
      <c r="J1249" s="105">
        <v>40297</v>
      </c>
      <c r="K1249">
        <v>1.0143800000000001</v>
      </c>
    </row>
    <row r="1250" spans="1:11">
      <c r="A1250" s="105">
        <v>42079</v>
      </c>
      <c r="B1250" s="156">
        <v>0.17699999999999999</v>
      </c>
      <c r="D1250" s="105">
        <v>40296</v>
      </c>
      <c r="E1250">
        <v>0.33781</v>
      </c>
      <c r="F1250" s="105">
        <v>40296</v>
      </c>
      <c r="G1250">
        <v>0.52249999999999996</v>
      </c>
      <c r="J1250" s="105">
        <v>40296</v>
      </c>
      <c r="K1250">
        <v>1.0149999999999999</v>
      </c>
    </row>
    <row r="1251" spans="1:11">
      <c r="A1251" s="105">
        <v>42080</v>
      </c>
      <c r="B1251" s="156">
        <v>0.17749999999999999</v>
      </c>
      <c r="D1251" s="105">
        <v>40295</v>
      </c>
      <c r="E1251">
        <v>0.32780999999999999</v>
      </c>
      <c r="F1251" s="105">
        <v>40295</v>
      </c>
      <c r="G1251">
        <v>0.50563000000000002</v>
      </c>
      <c r="J1251" s="105">
        <v>40295</v>
      </c>
      <c r="K1251">
        <v>0.99875000000000003</v>
      </c>
    </row>
    <row r="1252" spans="1:11">
      <c r="A1252" s="105">
        <v>42081</v>
      </c>
      <c r="B1252" s="156">
        <v>0.17599999999999999</v>
      </c>
      <c r="D1252" s="105">
        <v>40294</v>
      </c>
      <c r="E1252">
        <v>0.32374999999999998</v>
      </c>
      <c r="F1252" s="105">
        <v>40294</v>
      </c>
      <c r="G1252">
        <v>0.50031000000000003</v>
      </c>
      <c r="J1252" s="105">
        <v>40294</v>
      </c>
      <c r="K1252">
        <v>0.99312999999999996</v>
      </c>
    </row>
    <row r="1253" spans="1:11">
      <c r="A1253" s="105">
        <v>42082</v>
      </c>
      <c r="B1253" s="156">
        <v>0.17324999999999999</v>
      </c>
      <c r="D1253" s="105">
        <v>40291</v>
      </c>
      <c r="E1253">
        <v>0.32063000000000003</v>
      </c>
      <c r="F1253" s="105">
        <v>40291</v>
      </c>
      <c r="G1253">
        <v>0.49281000000000003</v>
      </c>
      <c r="J1253" s="105">
        <v>40291</v>
      </c>
      <c r="K1253">
        <v>0.97875000000000001</v>
      </c>
    </row>
    <row r="1254" spans="1:11">
      <c r="A1254" s="105">
        <v>42083</v>
      </c>
      <c r="B1254" s="156">
        <v>0.17399999999999999</v>
      </c>
      <c r="D1254" s="105">
        <v>40290</v>
      </c>
      <c r="E1254">
        <v>0.31578000000000001</v>
      </c>
      <c r="F1254" s="105">
        <v>40290</v>
      </c>
      <c r="G1254">
        <v>0.48219000000000001</v>
      </c>
      <c r="J1254" s="105">
        <v>40290</v>
      </c>
      <c r="K1254">
        <v>0.96296999999999999</v>
      </c>
    </row>
    <row r="1255" spans="1:11">
      <c r="A1255" s="105">
        <v>42086</v>
      </c>
      <c r="B1255" s="156">
        <v>0.17374999999999999</v>
      </c>
      <c r="D1255" s="105">
        <v>40289</v>
      </c>
      <c r="E1255">
        <v>0.31280999999999998</v>
      </c>
      <c r="F1255" s="105">
        <v>40289</v>
      </c>
      <c r="G1255">
        <v>0.47249999999999998</v>
      </c>
      <c r="J1255" s="105">
        <v>40289</v>
      </c>
      <c r="K1255">
        <v>0.95250000000000001</v>
      </c>
    </row>
    <row r="1256" spans="1:11">
      <c r="A1256" s="105">
        <v>42087</v>
      </c>
      <c r="B1256" s="156">
        <v>0.17274999999999999</v>
      </c>
      <c r="D1256" s="105">
        <v>40288</v>
      </c>
      <c r="E1256">
        <v>0.30719000000000002</v>
      </c>
      <c r="F1256" s="105">
        <v>40288</v>
      </c>
      <c r="G1256">
        <v>0.46500000000000002</v>
      </c>
      <c r="J1256" s="105">
        <v>40288</v>
      </c>
      <c r="K1256">
        <v>0.94094</v>
      </c>
    </row>
    <row r="1257" spans="1:11">
      <c r="A1257" s="105">
        <v>42088</v>
      </c>
      <c r="B1257" s="156">
        <v>0.17560000000000001</v>
      </c>
      <c r="D1257" s="105">
        <v>40287</v>
      </c>
      <c r="E1257">
        <v>0.30531000000000003</v>
      </c>
      <c r="F1257" s="105">
        <v>40287</v>
      </c>
      <c r="G1257">
        <v>0.46062999999999998</v>
      </c>
      <c r="J1257" s="105">
        <v>40287</v>
      </c>
      <c r="K1257">
        <v>0.93313000000000001</v>
      </c>
    </row>
    <row r="1258" spans="1:11">
      <c r="A1258" s="105">
        <v>42089</v>
      </c>
      <c r="B1258" s="156">
        <v>0.17774999999999999</v>
      </c>
      <c r="D1258" s="105">
        <v>40284</v>
      </c>
      <c r="E1258">
        <v>0.30531000000000003</v>
      </c>
      <c r="F1258" s="105">
        <v>40284</v>
      </c>
      <c r="G1258">
        <v>0.46438000000000001</v>
      </c>
      <c r="J1258" s="105">
        <v>40284</v>
      </c>
      <c r="K1258">
        <v>0.94438</v>
      </c>
    </row>
    <row r="1259" spans="1:11">
      <c r="A1259" s="105">
        <v>42090</v>
      </c>
      <c r="B1259" s="156">
        <v>0.17799999999999999</v>
      </c>
      <c r="D1259" s="105">
        <v>40283</v>
      </c>
      <c r="E1259">
        <v>0.30437999999999998</v>
      </c>
      <c r="F1259" s="105">
        <v>40283</v>
      </c>
      <c r="G1259">
        <v>0.46500000000000002</v>
      </c>
      <c r="J1259" s="105">
        <v>40283</v>
      </c>
      <c r="K1259">
        <v>0.94594</v>
      </c>
    </row>
    <row r="1260" spans="1:11">
      <c r="A1260" s="105">
        <v>42093</v>
      </c>
      <c r="B1260" s="156">
        <v>0.17924999999999999</v>
      </c>
      <c r="D1260" s="105">
        <v>40282</v>
      </c>
      <c r="E1260">
        <v>0.30375000000000002</v>
      </c>
      <c r="F1260" s="105">
        <v>40282</v>
      </c>
      <c r="G1260">
        <v>0.46250000000000002</v>
      </c>
      <c r="J1260" s="105">
        <v>40282</v>
      </c>
      <c r="K1260">
        <v>0.94655999999999996</v>
      </c>
    </row>
    <row r="1261" spans="1:11">
      <c r="A1261" s="105">
        <v>42094</v>
      </c>
      <c r="B1261" s="156">
        <v>0.17624999999999999</v>
      </c>
      <c r="D1261" s="105">
        <v>40281</v>
      </c>
      <c r="E1261">
        <v>0.30281000000000002</v>
      </c>
      <c r="F1261" s="105">
        <v>40281</v>
      </c>
      <c r="G1261">
        <v>0.45562999999999998</v>
      </c>
      <c r="J1261" s="105">
        <v>40281</v>
      </c>
      <c r="K1261">
        <v>0.93593999999999999</v>
      </c>
    </row>
    <row r="1262" spans="1:11">
      <c r="A1262" s="105">
        <v>42095</v>
      </c>
      <c r="B1262" s="156">
        <v>0.17755000000000001</v>
      </c>
      <c r="D1262" s="105">
        <v>40280</v>
      </c>
      <c r="E1262">
        <v>0.30041000000000001</v>
      </c>
      <c r="F1262" s="105">
        <v>40280</v>
      </c>
      <c r="G1262">
        <v>0.45562999999999998</v>
      </c>
      <c r="J1262" s="105">
        <v>40280</v>
      </c>
      <c r="K1262">
        <v>0.94094</v>
      </c>
    </row>
    <row r="1263" spans="1:11">
      <c r="A1263" s="105">
        <v>42096</v>
      </c>
      <c r="B1263" s="156">
        <v>0.17974999999999999</v>
      </c>
      <c r="D1263" s="105">
        <v>40277</v>
      </c>
      <c r="E1263">
        <v>0.29781000000000002</v>
      </c>
      <c r="F1263" s="105">
        <v>40277</v>
      </c>
      <c r="G1263">
        <v>0.45374999999999999</v>
      </c>
      <c r="J1263" s="105">
        <v>40277</v>
      </c>
      <c r="K1263">
        <v>0.93606</v>
      </c>
    </row>
  </sheetData>
  <sortState ref="A4:B1263">
    <sortCondition ref="A4"/>
  </sortState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/>
  <dimension ref="A1:J1283"/>
  <sheetViews>
    <sheetView tabSelected="1" workbookViewId="0">
      <selection activeCell="J4" sqref="J4"/>
    </sheetView>
  </sheetViews>
  <sheetFormatPr baseColWidth="10" defaultRowHeight="15"/>
  <sheetData>
    <row r="1" spans="1:10">
      <c r="A1" s="107" t="s">
        <v>97</v>
      </c>
      <c r="B1" s="107"/>
      <c r="C1" s="107" t="s">
        <v>98</v>
      </c>
      <c r="D1" s="107"/>
      <c r="E1" s="107" t="s">
        <v>99</v>
      </c>
      <c r="F1" s="107"/>
      <c r="G1" s="107" t="s">
        <v>100</v>
      </c>
      <c r="H1" s="107"/>
      <c r="I1" s="107" t="s">
        <v>101</v>
      </c>
      <c r="J1" s="107"/>
    </row>
    <row r="2" spans="1:10">
      <c r="A2" s="107" t="s">
        <v>19</v>
      </c>
      <c r="B2" s="107" t="s">
        <v>102</v>
      </c>
      <c r="C2" s="107" t="s">
        <v>19</v>
      </c>
      <c r="D2" s="107" t="s">
        <v>102</v>
      </c>
      <c r="E2" s="107" t="s">
        <v>19</v>
      </c>
      <c r="F2" s="107" t="s">
        <v>102</v>
      </c>
      <c r="G2" s="107" t="s">
        <v>19</v>
      </c>
      <c r="H2" s="107" t="s">
        <v>102</v>
      </c>
      <c r="I2" s="107" t="s">
        <v>19</v>
      </c>
      <c r="J2" s="107" t="s">
        <v>102</v>
      </c>
    </row>
    <row r="3" spans="1:10">
      <c r="A3" s="105">
        <v>42102</v>
      </c>
      <c r="C3" s="105">
        <v>42102</v>
      </c>
      <c r="E3" s="105">
        <v>42102</v>
      </c>
      <c r="G3" s="105">
        <v>42102</v>
      </c>
      <c r="I3" s="105">
        <v>42102</v>
      </c>
    </row>
    <row r="4" spans="1:10">
      <c r="A4" s="105">
        <v>42101</v>
      </c>
      <c r="B4">
        <v>-2.1000000000000001E-2</v>
      </c>
      <c r="C4" s="105">
        <v>42101</v>
      </c>
      <c r="D4">
        <v>1.6E-2</v>
      </c>
      <c r="E4" s="105">
        <v>42101</v>
      </c>
      <c r="F4">
        <v>8.5000000000000006E-2</v>
      </c>
      <c r="G4" s="105">
        <v>42101</v>
      </c>
      <c r="H4">
        <v>0.13400000000000001</v>
      </c>
      <c r="I4" s="105">
        <v>42101</v>
      </c>
      <c r="J4">
        <v>0.19500000000000001</v>
      </c>
    </row>
    <row r="5" spans="1:10">
      <c r="A5" s="105">
        <v>42096</v>
      </c>
      <c r="B5">
        <v>-1.9E-2</v>
      </c>
      <c r="C5" s="105">
        <v>42096</v>
      </c>
      <c r="D5">
        <v>1.7999999999999999E-2</v>
      </c>
      <c r="E5" s="105">
        <v>42096</v>
      </c>
      <c r="F5">
        <v>8.5999999999999993E-2</v>
      </c>
      <c r="G5" s="105">
        <v>42096</v>
      </c>
      <c r="H5">
        <v>0.13500000000000001</v>
      </c>
      <c r="I5" s="105">
        <v>42096</v>
      </c>
      <c r="J5">
        <v>0.19500000000000001</v>
      </c>
    </row>
    <row r="6" spans="1:10">
      <c r="A6" s="105">
        <v>42095</v>
      </c>
      <c r="B6">
        <v>-1.7000000000000001E-2</v>
      </c>
      <c r="C6" s="105">
        <v>42095</v>
      </c>
      <c r="D6">
        <v>1.7999999999999999E-2</v>
      </c>
      <c r="E6" s="105">
        <v>42095</v>
      </c>
      <c r="F6">
        <v>8.7999999999999995E-2</v>
      </c>
      <c r="G6" s="105">
        <v>42095</v>
      </c>
      <c r="H6">
        <v>0.13600000000000001</v>
      </c>
      <c r="I6" s="105">
        <v>42095</v>
      </c>
      <c r="J6">
        <v>0.19600000000000001</v>
      </c>
    </row>
    <row r="7" spans="1:10">
      <c r="A7" s="105">
        <v>42094</v>
      </c>
      <c r="B7">
        <v>-1.4999999999999999E-2</v>
      </c>
      <c r="C7" s="105">
        <v>42094</v>
      </c>
      <c r="D7">
        <v>1.9E-2</v>
      </c>
      <c r="E7" s="105">
        <v>42094</v>
      </c>
      <c r="F7">
        <v>8.6999999999999994E-2</v>
      </c>
      <c r="G7" s="105">
        <v>42094</v>
      </c>
      <c r="H7">
        <v>0.13800000000000001</v>
      </c>
      <c r="I7" s="105">
        <v>42094</v>
      </c>
      <c r="J7">
        <v>0.19800000000000001</v>
      </c>
    </row>
    <row r="8" spans="1:10">
      <c r="A8" s="105">
        <v>42093</v>
      </c>
      <c r="B8">
        <v>-1.4E-2</v>
      </c>
      <c r="C8" s="105">
        <v>42093</v>
      </c>
      <c r="D8">
        <v>1.7999999999999999E-2</v>
      </c>
      <c r="E8" s="105">
        <v>42093</v>
      </c>
      <c r="F8">
        <v>8.6999999999999994E-2</v>
      </c>
      <c r="G8" s="105">
        <v>42093</v>
      </c>
      <c r="H8">
        <v>0.13800000000000001</v>
      </c>
      <c r="I8" s="105">
        <v>42093</v>
      </c>
      <c r="J8">
        <v>0.19800000000000001</v>
      </c>
    </row>
    <row r="9" spans="1:10">
      <c r="A9" s="105">
        <v>42090</v>
      </c>
      <c r="B9">
        <v>-1.2E-2</v>
      </c>
      <c r="C9" s="105">
        <v>42090</v>
      </c>
      <c r="D9">
        <v>2.1000000000000001E-2</v>
      </c>
      <c r="E9" s="105">
        <v>42090</v>
      </c>
      <c r="F9">
        <v>8.7999999999999995E-2</v>
      </c>
      <c r="G9" s="105">
        <v>42090</v>
      </c>
      <c r="H9">
        <v>0.13800000000000001</v>
      </c>
      <c r="I9" s="105">
        <v>42090</v>
      </c>
      <c r="J9">
        <v>0.19900000000000001</v>
      </c>
    </row>
    <row r="10" spans="1:10">
      <c r="A10" s="105">
        <v>42089</v>
      </c>
      <c r="B10">
        <v>-1.2E-2</v>
      </c>
      <c r="C10" s="105">
        <v>42089</v>
      </c>
      <c r="D10">
        <v>2.1000000000000001E-2</v>
      </c>
      <c r="E10" s="105">
        <v>42089</v>
      </c>
      <c r="F10">
        <v>8.8999999999999996E-2</v>
      </c>
      <c r="G10" s="105">
        <v>42089</v>
      </c>
      <c r="H10">
        <v>0.13800000000000001</v>
      </c>
      <c r="I10" s="105">
        <v>42089</v>
      </c>
      <c r="J10">
        <v>0.20100000000000001</v>
      </c>
    </row>
    <row r="11" spans="1:10">
      <c r="A11" s="105">
        <v>42088</v>
      </c>
      <c r="B11">
        <v>-1.2E-2</v>
      </c>
      <c r="C11" s="105">
        <v>42088</v>
      </c>
      <c r="D11">
        <v>2.1000000000000001E-2</v>
      </c>
      <c r="E11" s="105">
        <v>42088</v>
      </c>
      <c r="F11">
        <v>8.7999999999999995E-2</v>
      </c>
      <c r="G11" s="105">
        <v>42088</v>
      </c>
      <c r="H11">
        <v>0.13800000000000001</v>
      </c>
      <c r="I11" s="105">
        <v>42088</v>
      </c>
      <c r="J11">
        <v>0.20100000000000001</v>
      </c>
    </row>
    <row r="12" spans="1:10">
      <c r="A12" s="105">
        <v>42087</v>
      </c>
      <c r="B12">
        <v>-1.2E-2</v>
      </c>
      <c r="C12" s="105">
        <v>42087</v>
      </c>
      <c r="D12">
        <v>2.1000000000000001E-2</v>
      </c>
      <c r="E12" s="105">
        <v>42087</v>
      </c>
      <c r="F12">
        <v>8.8999999999999996E-2</v>
      </c>
      <c r="G12" s="105">
        <v>42087</v>
      </c>
      <c r="H12">
        <v>0.13900000000000001</v>
      </c>
      <c r="I12" s="105">
        <v>42087</v>
      </c>
      <c r="J12">
        <v>0.20200000000000001</v>
      </c>
    </row>
    <row r="13" spans="1:10">
      <c r="A13" s="105">
        <v>42086</v>
      </c>
      <c r="B13">
        <v>-1.2E-2</v>
      </c>
      <c r="C13" s="105">
        <v>42086</v>
      </c>
      <c r="D13">
        <v>2.1999999999999999E-2</v>
      </c>
      <c r="E13" s="105">
        <v>42086</v>
      </c>
      <c r="F13">
        <v>8.8999999999999996E-2</v>
      </c>
      <c r="G13" s="105">
        <v>42086</v>
      </c>
      <c r="H13">
        <v>0.13800000000000001</v>
      </c>
      <c r="I13" s="105">
        <v>42086</v>
      </c>
      <c r="J13">
        <v>0.20300000000000001</v>
      </c>
    </row>
    <row r="14" spans="1:10">
      <c r="A14" s="105">
        <v>42083</v>
      </c>
      <c r="B14">
        <v>-1.4E-2</v>
      </c>
      <c r="C14" s="105">
        <v>42083</v>
      </c>
      <c r="D14">
        <v>2.1000000000000001E-2</v>
      </c>
      <c r="E14" s="105">
        <v>42083</v>
      </c>
      <c r="F14">
        <v>8.8999999999999996E-2</v>
      </c>
      <c r="G14" s="105">
        <v>42083</v>
      </c>
      <c r="H14">
        <v>0.13800000000000001</v>
      </c>
      <c r="I14" s="105">
        <v>42083</v>
      </c>
      <c r="J14">
        <v>0.20499999999999999</v>
      </c>
    </row>
    <row r="15" spans="1:10">
      <c r="A15" s="105">
        <v>42082</v>
      </c>
      <c r="B15">
        <v>-1.0999999999999999E-2</v>
      </c>
      <c r="C15" s="105">
        <v>42082</v>
      </c>
      <c r="D15">
        <v>2.4E-2</v>
      </c>
      <c r="E15" s="105">
        <v>42082</v>
      </c>
      <c r="F15">
        <v>9.4E-2</v>
      </c>
      <c r="G15" s="105">
        <v>42082</v>
      </c>
      <c r="H15">
        <v>0.14099999999999999</v>
      </c>
      <c r="I15" s="105">
        <v>42082</v>
      </c>
      <c r="J15">
        <v>0.20899999999999999</v>
      </c>
    </row>
    <row r="16" spans="1:10">
      <c r="A16" s="105">
        <v>42081</v>
      </c>
      <c r="B16">
        <v>-1.0999999999999999E-2</v>
      </c>
      <c r="C16" s="105">
        <v>42081</v>
      </c>
      <c r="D16">
        <v>2.5000000000000001E-2</v>
      </c>
      <c r="E16" s="105">
        <v>42081</v>
      </c>
      <c r="F16">
        <v>9.6000000000000002E-2</v>
      </c>
      <c r="G16" s="105">
        <v>42081</v>
      </c>
      <c r="H16">
        <v>0.14199999999999999</v>
      </c>
      <c r="I16" s="105">
        <v>42081</v>
      </c>
      <c r="J16">
        <v>0.21199999999999999</v>
      </c>
    </row>
    <row r="17" spans="1:10">
      <c r="A17" s="105">
        <v>42080</v>
      </c>
      <c r="B17">
        <v>-1.2E-2</v>
      </c>
      <c r="C17" s="105">
        <v>42080</v>
      </c>
      <c r="D17">
        <v>2.5000000000000001E-2</v>
      </c>
      <c r="E17" s="105">
        <v>42080</v>
      </c>
      <c r="F17">
        <v>9.5000000000000001E-2</v>
      </c>
      <c r="G17" s="105">
        <v>42080</v>
      </c>
      <c r="H17">
        <v>0.13900000000000001</v>
      </c>
      <c r="I17" s="105">
        <v>42080</v>
      </c>
      <c r="J17">
        <v>0.20899999999999999</v>
      </c>
    </row>
    <row r="18" spans="1:10">
      <c r="A18" s="105">
        <v>42079</v>
      </c>
      <c r="B18">
        <v>-1.0999999999999999E-2</v>
      </c>
      <c r="C18" s="105">
        <v>42079</v>
      </c>
      <c r="D18">
        <v>2.5000000000000001E-2</v>
      </c>
      <c r="E18" s="105">
        <v>42079</v>
      </c>
      <c r="F18">
        <v>9.6000000000000002E-2</v>
      </c>
      <c r="G18" s="105">
        <v>42079</v>
      </c>
      <c r="H18">
        <v>0.14099999999999999</v>
      </c>
      <c r="I18" s="105">
        <v>42079</v>
      </c>
      <c r="J18">
        <v>0.21199999999999999</v>
      </c>
    </row>
    <row r="19" spans="1:10">
      <c r="A19" s="105">
        <v>42076</v>
      </c>
      <c r="B19">
        <v>-0.01</v>
      </c>
      <c r="C19" s="105">
        <v>42076</v>
      </c>
      <c r="D19">
        <v>2.5000000000000001E-2</v>
      </c>
      <c r="E19" s="105">
        <v>42076</v>
      </c>
      <c r="F19">
        <v>9.6000000000000002E-2</v>
      </c>
      <c r="G19" s="105">
        <v>42076</v>
      </c>
      <c r="H19">
        <v>0.14399999999999999</v>
      </c>
      <c r="I19" s="105">
        <v>42076</v>
      </c>
      <c r="J19">
        <v>0.214</v>
      </c>
    </row>
    <row r="20" spans="1:10">
      <c r="A20" s="105">
        <v>42075</v>
      </c>
      <c r="B20">
        <v>-8.9999999999999993E-3</v>
      </c>
      <c r="C20" s="105">
        <v>42075</v>
      </c>
      <c r="D20">
        <v>2.7E-2</v>
      </c>
      <c r="E20" s="105">
        <v>42075</v>
      </c>
      <c r="F20">
        <v>9.8000000000000004E-2</v>
      </c>
      <c r="G20" s="105">
        <v>42075</v>
      </c>
      <c r="H20">
        <v>0.14599999999999999</v>
      </c>
      <c r="I20" s="105">
        <v>42075</v>
      </c>
      <c r="J20">
        <v>0.215</v>
      </c>
    </row>
    <row r="21" spans="1:10">
      <c r="A21" s="105">
        <v>42074</v>
      </c>
      <c r="B21">
        <v>-1.0999999999999999E-2</v>
      </c>
      <c r="C21" s="105">
        <v>42074</v>
      </c>
      <c r="D21">
        <v>2.9000000000000001E-2</v>
      </c>
      <c r="E21" s="105">
        <v>42074</v>
      </c>
      <c r="F21">
        <v>9.9000000000000005E-2</v>
      </c>
      <c r="G21" s="105">
        <v>42074</v>
      </c>
      <c r="H21">
        <v>0.14899999999999999</v>
      </c>
      <c r="I21" s="105">
        <v>42074</v>
      </c>
      <c r="J21">
        <v>0.217</v>
      </c>
    </row>
    <row r="22" spans="1:10">
      <c r="A22" s="105">
        <v>42073</v>
      </c>
      <c r="B22">
        <v>-8.9999999999999993E-3</v>
      </c>
      <c r="C22" s="105">
        <v>42073</v>
      </c>
      <c r="D22">
        <v>3.2000000000000001E-2</v>
      </c>
      <c r="E22" s="105">
        <v>42073</v>
      </c>
      <c r="F22">
        <v>0.10199999999999999</v>
      </c>
      <c r="G22" s="105">
        <v>42073</v>
      </c>
      <c r="H22">
        <v>0.152</v>
      </c>
      <c r="I22" s="105">
        <v>42073</v>
      </c>
      <c r="J22">
        <v>0.219</v>
      </c>
    </row>
    <row r="23" spans="1:10">
      <c r="A23" s="105">
        <v>42072</v>
      </c>
      <c r="B23">
        <v>-8.0000000000000002E-3</v>
      </c>
      <c r="C23" s="105">
        <v>42072</v>
      </c>
      <c r="D23">
        <v>3.5000000000000003E-2</v>
      </c>
      <c r="E23" s="105">
        <v>42072</v>
      </c>
      <c r="F23">
        <v>0.105</v>
      </c>
      <c r="G23" s="105">
        <v>42072</v>
      </c>
      <c r="H23">
        <v>0.155</v>
      </c>
      <c r="I23" s="105">
        <v>42072</v>
      </c>
      <c r="J23">
        <v>0.222</v>
      </c>
    </row>
    <row r="24" spans="1:10">
      <c r="A24" s="105">
        <v>42069</v>
      </c>
      <c r="B24">
        <v>-8.0000000000000002E-3</v>
      </c>
      <c r="C24" s="105">
        <v>42069</v>
      </c>
      <c r="D24">
        <v>3.5999999999999997E-2</v>
      </c>
      <c r="E24" s="105">
        <v>42069</v>
      </c>
      <c r="F24">
        <v>0.107</v>
      </c>
      <c r="G24" s="105">
        <v>42069</v>
      </c>
      <c r="H24">
        <v>0.158</v>
      </c>
      <c r="I24" s="105">
        <v>42069</v>
      </c>
      <c r="J24">
        <v>0.22500000000000001</v>
      </c>
    </row>
    <row r="25" spans="1:10">
      <c r="A25" s="105">
        <v>42068</v>
      </c>
      <c r="B25">
        <v>-7.0000000000000001E-3</v>
      </c>
      <c r="C25" s="105">
        <v>42068</v>
      </c>
      <c r="D25">
        <v>3.5999999999999997E-2</v>
      </c>
      <c r="E25" s="105">
        <v>42068</v>
      </c>
      <c r="F25">
        <v>0.108</v>
      </c>
      <c r="G25" s="105">
        <v>42068</v>
      </c>
      <c r="H25">
        <v>0.158</v>
      </c>
      <c r="I25" s="105">
        <v>42068</v>
      </c>
      <c r="J25">
        <v>0.22600000000000001</v>
      </c>
    </row>
    <row r="26" spans="1:10">
      <c r="A26" s="105">
        <v>42067</v>
      </c>
      <c r="B26">
        <v>-6.0000000000000001E-3</v>
      </c>
      <c r="C26" s="105">
        <v>42067</v>
      </c>
      <c r="D26">
        <v>3.7999999999999999E-2</v>
      </c>
      <c r="E26" s="105">
        <v>42067</v>
      </c>
      <c r="F26">
        <v>0.11</v>
      </c>
      <c r="G26" s="105">
        <v>42067</v>
      </c>
      <c r="H26">
        <v>0.158</v>
      </c>
      <c r="I26" s="105">
        <v>42067</v>
      </c>
      <c r="J26">
        <v>0.22700000000000001</v>
      </c>
    </row>
    <row r="27" spans="1:10">
      <c r="A27" s="105">
        <v>42066</v>
      </c>
      <c r="B27">
        <v>-6.0000000000000001E-3</v>
      </c>
      <c r="C27" s="105">
        <v>42066</v>
      </c>
      <c r="D27">
        <v>3.7999999999999999E-2</v>
      </c>
      <c r="E27" s="105">
        <v>42066</v>
      </c>
      <c r="F27">
        <v>0.109</v>
      </c>
      <c r="G27" s="105">
        <v>42066</v>
      </c>
      <c r="H27">
        <v>0.159</v>
      </c>
      <c r="I27" s="105">
        <v>42066</v>
      </c>
      <c r="J27">
        <v>0.22800000000000001</v>
      </c>
    </row>
    <row r="28" spans="1:10">
      <c r="A28" s="105">
        <v>42065</v>
      </c>
      <c r="B28">
        <v>-5.0000000000000001E-3</v>
      </c>
      <c r="C28" s="105">
        <v>42065</v>
      </c>
      <c r="D28">
        <v>3.9E-2</v>
      </c>
      <c r="E28" s="105">
        <v>42065</v>
      </c>
      <c r="F28">
        <v>0.11</v>
      </c>
      <c r="G28" s="105">
        <v>42065</v>
      </c>
      <c r="H28">
        <v>0.161</v>
      </c>
      <c r="I28" s="105">
        <v>42065</v>
      </c>
      <c r="J28">
        <v>0.23</v>
      </c>
    </row>
    <row r="29" spans="1:10">
      <c r="A29" s="105">
        <v>42062</v>
      </c>
      <c r="B29">
        <v>-5.0000000000000001E-3</v>
      </c>
      <c r="C29" s="105">
        <v>42062</v>
      </c>
      <c r="D29">
        <v>3.9E-2</v>
      </c>
      <c r="E29" s="105">
        <v>42062</v>
      </c>
      <c r="F29">
        <v>0.11</v>
      </c>
      <c r="G29" s="105">
        <v>42062</v>
      </c>
      <c r="H29">
        <v>0.161</v>
      </c>
      <c r="I29" s="105">
        <v>42062</v>
      </c>
      <c r="J29">
        <v>0.23300000000000001</v>
      </c>
    </row>
    <row r="30" spans="1:10">
      <c r="A30" s="105">
        <v>42061</v>
      </c>
      <c r="B30">
        <v>-4.0000000000000001E-3</v>
      </c>
      <c r="C30" s="105">
        <v>42061</v>
      </c>
      <c r="D30">
        <v>0.04</v>
      </c>
      <c r="E30" s="105">
        <v>42061</v>
      </c>
      <c r="F30">
        <v>0.114</v>
      </c>
      <c r="G30" s="105">
        <v>42061</v>
      </c>
      <c r="H30">
        <v>0.16600000000000001</v>
      </c>
      <c r="I30" s="105">
        <v>42061</v>
      </c>
      <c r="J30">
        <v>0.23799999999999999</v>
      </c>
    </row>
    <row r="31" spans="1:10">
      <c r="A31" s="105">
        <v>42060</v>
      </c>
      <c r="B31">
        <v>1E-3</v>
      </c>
      <c r="C31" s="105">
        <v>42060</v>
      </c>
      <c r="D31">
        <v>4.2000000000000003E-2</v>
      </c>
      <c r="E31" s="105">
        <v>42060</v>
      </c>
      <c r="F31">
        <v>0.11799999999999999</v>
      </c>
      <c r="G31" s="105">
        <v>42060</v>
      </c>
      <c r="H31">
        <v>0.16900000000000001</v>
      </c>
      <c r="I31" s="105">
        <v>42060</v>
      </c>
      <c r="J31">
        <v>0.24099999999999999</v>
      </c>
    </row>
    <row r="32" spans="1:10">
      <c r="A32" s="105">
        <v>42059</v>
      </c>
      <c r="B32">
        <v>1E-3</v>
      </c>
      <c r="C32" s="105">
        <v>42059</v>
      </c>
      <c r="D32">
        <v>4.3999999999999997E-2</v>
      </c>
      <c r="E32" s="105">
        <v>42059</v>
      </c>
      <c r="F32">
        <v>0.11899999999999999</v>
      </c>
      <c r="G32" s="105">
        <v>42059</v>
      </c>
      <c r="H32">
        <v>0.17399999999999999</v>
      </c>
      <c r="I32" s="105">
        <v>42059</v>
      </c>
      <c r="J32">
        <v>0.245</v>
      </c>
    </row>
    <row r="33" spans="1:10">
      <c r="A33" s="105">
        <v>42058</v>
      </c>
      <c r="B33">
        <v>1E-3</v>
      </c>
      <c r="C33" s="105">
        <v>42058</v>
      </c>
      <c r="D33">
        <v>4.4999999999999998E-2</v>
      </c>
      <c r="E33" s="105">
        <v>42058</v>
      </c>
      <c r="F33">
        <v>0.11899999999999999</v>
      </c>
      <c r="G33" s="105">
        <v>42058</v>
      </c>
      <c r="H33">
        <v>0.17499999999999999</v>
      </c>
      <c r="I33" s="105">
        <v>42058</v>
      </c>
      <c r="J33">
        <v>0.246</v>
      </c>
    </row>
    <row r="34" spans="1:10">
      <c r="A34" s="105">
        <v>42055</v>
      </c>
      <c r="B34">
        <v>1E-3</v>
      </c>
      <c r="C34" s="105">
        <v>42055</v>
      </c>
      <c r="D34">
        <v>4.8000000000000001E-2</v>
      </c>
      <c r="E34" s="105">
        <v>42055</v>
      </c>
      <c r="F34">
        <v>0.124</v>
      </c>
      <c r="G34" s="105">
        <v>42055</v>
      </c>
      <c r="H34">
        <v>0.18</v>
      </c>
      <c r="I34" s="105">
        <v>42055</v>
      </c>
      <c r="J34">
        <v>0.25</v>
      </c>
    </row>
    <row r="35" spans="1:10">
      <c r="A35" s="105">
        <v>42054</v>
      </c>
      <c r="B35">
        <v>0</v>
      </c>
      <c r="C35" s="105">
        <v>42054</v>
      </c>
      <c r="D35">
        <v>4.8000000000000001E-2</v>
      </c>
      <c r="E35" s="105">
        <v>42054</v>
      </c>
      <c r="F35">
        <v>0.125</v>
      </c>
      <c r="G35" s="105">
        <v>42054</v>
      </c>
      <c r="H35">
        <v>0.18099999999999999</v>
      </c>
      <c r="I35" s="105">
        <v>42054</v>
      </c>
      <c r="J35">
        <v>0.252</v>
      </c>
    </row>
    <row r="36" spans="1:10">
      <c r="A36" s="105">
        <v>42053</v>
      </c>
      <c r="B36">
        <v>0</v>
      </c>
      <c r="C36" s="105">
        <v>42053</v>
      </c>
      <c r="D36">
        <v>4.8000000000000001E-2</v>
      </c>
      <c r="E36" s="105">
        <v>42053</v>
      </c>
      <c r="F36">
        <v>0.126</v>
      </c>
      <c r="G36" s="105">
        <v>42053</v>
      </c>
      <c r="H36">
        <v>0.184</v>
      </c>
      <c r="I36" s="105">
        <v>42053</v>
      </c>
      <c r="J36">
        <v>0.255</v>
      </c>
    </row>
    <row r="37" spans="1:10">
      <c r="A37" s="105">
        <v>42052</v>
      </c>
      <c r="B37">
        <v>1E-3</v>
      </c>
      <c r="C37" s="105">
        <v>42052</v>
      </c>
      <c r="D37">
        <v>4.7E-2</v>
      </c>
      <c r="E37" s="105">
        <v>42052</v>
      </c>
      <c r="F37">
        <v>0.127</v>
      </c>
      <c r="G37" s="105">
        <v>42052</v>
      </c>
      <c r="H37">
        <v>0.186</v>
      </c>
      <c r="I37" s="105">
        <v>42052</v>
      </c>
      <c r="J37">
        <v>0.25800000000000001</v>
      </c>
    </row>
    <row r="38" spans="1:10">
      <c r="A38" s="105">
        <v>42051</v>
      </c>
      <c r="B38">
        <v>1E-3</v>
      </c>
      <c r="C38" s="105">
        <v>42051</v>
      </c>
      <c r="D38">
        <v>4.8000000000000001E-2</v>
      </c>
      <c r="E38" s="105">
        <v>42051</v>
      </c>
      <c r="F38">
        <v>0.128</v>
      </c>
      <c r="G38" s="105">
        <v>42051</v>
      </c>
      <c r="H38">
        <v>0.186</v>
      </c>
      <c r="I38" s="105">
        <v>42051</v>
      </c>
      <c r="J38">
        <v>0.25800000000000001</v>
      </c>
    </row>
    <row r="39" spans="1:10">
      <c r="A39" s="105">
        <v>42048</v>
      </c>
      <c r="B39">
        <v>2E-3</v>
      </c>
      <c r="C39" s="105">
        <v>42048</v>
      </c>
      <c r="D39">
        <v>4.8000000000000001E-2</v>
      </c>
      <c r="E39" s="105">
        <v>42048</v>
      </c>
      <c r="F39">
        <v>0.127</v>
      </c>
      <c r="G39" s="105">
        <v>42048</v>
      </c>
      <c r="H39">
        <v>0.188</v>
      </c>
      <c r="I39" s="105">
        <v>42048</v>
      </c>
      <c r="J39">
        <v>0.25900000000000001</v>
      </c>
    </row>
    <row r="40" spans="1:10">
      <c r="A40" s="105">
        <v>42047</v>
      </c>
      <c r="B40">
        <v>2E-3</v>
      </c>
      <c r="C40" s="105">
        <v>42047</v>
      </c>
      <c r="D40">
        <v>4.8000000000000001E-2</v>
      </c>
      <c r="E40" s="105">
        <v>42047</v>
      </c>
      <c r="F40">
        <v>0.128</v>
      </c>
      <c r="G40" s="105">
        <v>42047</v>
      </c>
      <c r="H40">
        <v>0.189</v>
      </c>
      <c r="I40" s="105">
        <v>42047</v>
      </c>
      <c r="J40">
        <v>0.26</v>
      </c>
    </row>
    <row r="41" spans="1:10">
      <c r="A41" s="105">
        <v>42046</v>
      </c>
      <c r="B41">
        <v>1E-3</v>
      </c>
      <c r="C41" s="105">
        <v>42046</v>
      </c>
      <c r="D41">
        <v>4.9000000000000002E-2</v>
      </c>
      <c r="E41" s="105">
        <v>42046</v>
      </c>
      <c r="F41">
        <v>0.129</v>
      </c>
      <c r="G41" s="105">
        <v>42046</v>
      </c>
      <c r="H41">
        <v>0.191</v>
      </c>
      <c r="I41" s="105">
        <v>42046</v>
      </c>
      <c r="J41">
        <v>0.26</v>
      </c>
    </row>
    <row r="42" spans="1:10">
      <c r="A42" s="105">
        <v>42045</v>
      </c>
      <c r="B42">
        <v>0</v>
      </c>
      <c r="C42" s="105">
        <v>42045</v>
      </c>
      <c r="D42">
        <v>0.05</v>
      </c>
      <c r="E42" s="105">
        <v>42045</v>
      </c>
      <c r="F42">
        <v>0.13</v>
      </c>
      <c r="G42" s="105">
        <v>42045</v>
      </c>
      <c r="H42">
        <v>0.193</v>
      </c>
      <c r="I42" s="105">
        <v>42045</v>
      </c>
      <c r="J42">
        <v>0.26200000000000001</v>
      </c>
    </row>
    <row r="43" spans="1:10">
      <c r="A43" s="105">
        <v>42044</v>
      </c>
      <c r="B43">
        <v>-1E-3</v>
      </c>
      <c r="C43" s="105">
        <v>42044</v>
      </c>
      <c r="D43">
        <v>5.0999999999999997E-2</v>
      </c>
      <c r="E43" s="105">
        <v>42044</v>
      </c>
      <c r="F43">
        <v>0.13100000000000001</v>
      </c>
      <c r="G43" s="105">
        <v>42044</v>
      </c>
      <c r="H43">
        <v>0.19500000000000001</v>
      </c>
      <c r="I43" s="105">
        <v>42044</v>
      </c>
      <c r="J43">
        <v>0.26100000000000001</v>
      </c>
    </row>
    <row r="44" spans="1:10">
      <c r="A44" s="105">
        <v>42041</v>
      </c>
      <c r="B44">
        <v>2E-3</v>
      </c>
      <c r="C44" s="105">
        <v>42041</v>
      </c>
      <c r="D44">
        <v>5.2999999999999999E-2</v>
      </c>
      <c r="E44" s="105">
        <v>42041</v>
      </c>
      <c r="F44">
        <v>0.13200000000000001</v>
      </c>
      <c r="G44" s="105">
        <v>42041</v>
      </c>
      <c r="H44">
        <v>0.19600000000000001</v>
      </c>
      <c r="I44" s="105">
        <v>42041</v>
      </c>
      <c r="J44">
        <v>0.26100000000000001</v>
      </c>
    </row>
    <row r="45" spans="1:10">
      <c r="A45" s="105">
        <v>42040</v>
      </c>
      <c r="B45">
        <v>0</v>
      </c>
      <c r="C45" s="105">
        <v>42040</v>
      </c>
      <c r="D45">
        <v>5.0999999999999997E-2</v>
      </c>
      <c r="E45" s="105">
        <v>42040</v>
      </c>
      <c r="F45">
        <v>0.13200000000000001</v>
      </c>
      <c r="G45" s="105">
        <v>42040</v>
      </c>
      <c r="H45">
        <v>0.19600000000000001</v>
      </c>
      <c r="I45" s="105">
        <v>42040</v>
      </c>
      <c r="J45">
        <v>0.26200000000000001</v>
      </c>
    </row>
    <row r="46" spans="1:10">
      <c r="A46" s="105">
        <v>42039</v>
      </c>
      <c r="B46">
        <v>1E-3</v>
      </c>
      <c r="C46" s="105">
        <v>42039</v>
      </c>
      <c r="D46">
        <v>5.5E-2</v>
      </c>
      <c r="E46" s="105">
        <v>42039</v>
      </c>
      <c r="F46">
        <v>0.13200000000000001</v>
      </c>
      <c r="G46" s="105">
        <v>42039</v>
      </c>
      <c r="H46">
        <v>0.19500000000000001</v>
      </c>
      <c r="I46" s="105">
        <v>42039</v>
      </c>
      <c r="J46">
        <v>0.26300000000000001</v>
      </c>
    </row>
    <row r="47" spans="1:10">
      <c r="A47" s="105">
        <v>42038</v>
      </c>
      <c r="B47">
        <v>1E-3</v>
      </c>
      <c r="C47" s="105">
        <v>42038</v>
      </c>
      <c r="D47">
        <v>5.5E-2</v>
      </c>
      <c r="E47" s="105">
        <v>42038</v>
      </c>
      <c r="F47">
        <v>0.13200000000000001</v>
      </c>
      <c r="G47" s="105">
        <v>42038</v>
      </c>
      <c r="H47">
        <v>0.19900000000000001</v>
      </c>
      <c r="I47" s="105">
        <v>42038</v>
      </c>
      <c r="J47">
        <v>0.26600000000000001</v>
      </c>
    </row>
    <row r="48" spans="1:10">
      <c r="A48" s="105">
        <v>42037</v>
      </c>
      <c r="B48">
        <v>3.0000000000000001E-3</v>
      </c>
      <c r="C48" s="105">
        <v>42037</v>
      </c>
      <c r="D48">
        <v>5.5E-2</v>
      </c>
      <c r="E48" s="105">
        <v>42037</v>
      </c>
      <c r="F48">
        <v>0.13400000000000001</v>
      </c>
      <c r="G48" s="105">
        <v>42037</v>
      </c>
      <c r="H48">
        <v>0.20200000000000001</v>
      </c>
      <c r="I48" s="105">
        <v>42037</v>
      </c>
      <c r="J48">
        <v>0.27100000000000002</v>
      </c>
    </row>
    <row r="49" spans="1:10">
      <c r="A49" s="105">
        <v>42034</v>
      </c>
      <c r="B49">
        <v>1E-3</v>
      </c>
      <c r="C49" s="105">
        <v>42034</v>
      </c>
      <c r="D49">
        <v>5.3999999999999999E-2</v>
      </c>
      <c r="E49" s="105">
        <v>42034</v>
      </c>
      <c r="F49">
        <v>0.13200000000000001</v>
      </c>
      <c r="G49" s="105">
        <v>42034</v>
      </c>
      <c r="H49">
        <v>0.20200000000000001</v>
      </c>
      <c r="I49" s="105">
        <v>42034</v>
      </c>
      <c r="J49">
        <v>0.27</v>
      </c>
    </row>
    <row r="50" spans="1:10">
      <c r="A50" s="105">
        <v>42033</v>
      </c>
      <c r="B50">
        <v>1E-3</v>
      </c>
      <c r="C50" s="105">
        <v>42033</v>
      </c>
      <c r="D50">
        <v>5.1999999999999998E-2</v>
      </c>
      <c r="E50" s="105">
        <v>42033</v>
      </c>
      <c r="F50">
        <v>0.13200000000000001</v>
      </c>
      <c r="G50" s="105">
        <v>42033</v>
      </c>
      <c r="H50">
        <v>0.20300000000000001</v>
      </c>
      <c r="I50" s="105">
        <v>42033</v>
      </c>
      <c r="J50">
        <v>0.27100000000000002</v>
      </c>
    </row>
    <row r="51" spans="1:10">
      <c r="A51" s="105">
        <v>42032</v>
      </c>
      <c r="B51">
        <v>1E-3</v>
      </c>
      <c r="C51" s="105">
        <v>42032</v>
      </c>
      <c r="D51">
        <v>5.2999999999999999E-2</v>
      </c>
      <c r="E51" s="105">
        <v>42032</v>
      </c>
      <c r="F51">
        <v>0.13500000000000001</v>
      </c>
      <c r="G51" s="105">
        <v>42032</v>
      </c>
      <c r="H51">
        <v>0.20399999999999999</v>
      </c>
      <c r="I51" s="105">
        <v>42032</v>
      </c>
      <c r="J51">
        <v>0.27300000000000002</v>
      </c>
    </row>
    <row r="52" spans="1:10">
      <c r="A52" s="105">
        <v>42031</v>
      </c>
      <c r="B52">
        <v>5.0000000000000001E-3</v>
      </c>
      <c r="C52" s="105">
        <v>42031</v>
      </c>
      <c r="D52">
        <v>5.5E-2</v>
      </c>
      <c r="E52" s="105">
        <v>42031</v>
      </c>
      <c r="F52">
        <v>0.13800000000000001</v>
      </c>
      <c r="G52" s="105">
        <v>42031</v>
      </c>
      <c r="H52">
        <v>0.20799999999999999</v>
      </c>
      <c r="I52" s="105">
        <v>42031</v>
      </c>
      <c r="J52">
        <v>0.27700000000000002</v>
      </c>
    </row>
    <row r="53" spans="1:10">
      <c r="A53" s="105">
        <v>42030</v>
      </c>
      <c r="B53">
        <v>2E-3</v>
      </c>
      <c r="C53" s="105">
        <v>42030</v>
      </c>
      <c r="D53">
        <v>5.3999999999999999E-2</v>
      </c>
      <c r="E53" s="105">
        <v>42030</v>
      </c>
      <c r="F53">
        <v>0.13800000000000001</v>
      </c>
      <c r="G53" s="105">
        <v>42030</v>
      </c>
      <c r="H53">
        <v>0.20699999999999999</v>
      </c>
      <c r="I53" s="105">
        <v>42030</v>
      </c>
      <c r="J53">
        <v>0.27700000000000002</v>
      </c>
    </row>
    <row r="54" spans="1:10">
      <c r="A54" s="105">
        <v>42027</v>
      </c>
      <c r="B54">
        <v>1E-3</v>
      </c>
      <c r="C54" s="105">
        <v>42027</v>
      </c>
      <c r="D54">
        <v>5.2999999999999999E-2</v>
      </c>
      <c r="E54" s="105">
        <v>42027</v>
      </c>
      <c r="F54">
        <v>0.13700000000000001</v>
      </c>
      <c r="G54" s="105">
        <v>42027</v>
      </c>
      <c r="H54">
        <v>0.20599999999999999</v>
      </c>
      <c r="I54" s="105">
        <v>42027</v>
      </c>
      <c r="J54">
        <v>0.27500000000000002</v>
      </c>
    </row>
    <row r="55" spans="1:10">
      <c r="A55" s="105">
        <v>42026</v>
      </c>
      <c r="B55">
        <v>-1E-3</v>
      </c>
      <c r="C55" s="105">
        <v>42026</v>
      </c>
      <c r="D55">
        <v>5.5E-2</v>
      </c>
      <c r="E55" s="105">
        <v>42026</v>
      </c>
      <c r="F55">
        <v>0.14099999999999999</v>
      </c>
      <c r="G55" s="105">
        <v>42026</v>
      </c>
      <c r="H55">
        <v>0.21199999999999999</v>
      </c>
      <c r="I55" s="105">
        <v>42026</v>
      </c>
      <c r="J55">
        <v>0.28199999999999997</v>
      </c>
    </row>
    <row r="56" spans="1:10">
      <c r="A56" s="105">
        <v>42025</v>
      </c>
      <c r="B56">
        <v>-4.0000000000000001E-3</v>
      </c>
      <c r="C56" s="105">
        <v>42025</v>
      </c>
      <c r="D56">
        <v>5.5E-2</v>
      </c>
      <c r="E56" s="105">
        <v>42025</v>
      </c>
      <c r="F56">
        <v>0.14099999999999999</v>
      </c>
      <c r="G56" s="105">
        <v>42025</v>
      </c>
      <c r="H56">
        <v>0.21299999999999999</v>
      </c>
      <c r="I56" s="105">
        <v>42025</v>
      </c>
      <c r="J56">
        <v>0.28299999999999997</v>
      </c>
    </row>
    <row r="57" spans="1:10">
      <c r="A57" s="105">
        <v>42024</v>
      </c>
      <c r="B57">
        <v>-5.0000000000000001E-3</v>
      </c>
      <c r="C57" s="105">
        <v>42024</v>
      </c>
      <c r="D57">
        <v>5.5E-2</v>
      </c>
      <c r="E57" s="105">
        <v>42024</v>
      </c>
      <c r="F57">
        <v>0.14199999999999999</v>
      </c>
      <c r="G57" s="105">
        <v>42024</v>
      </c>
      <c r="H57">
        <v>0.214</v>
      </c>
      <c r="I57" s="105">
        <v>42024</v>
      </c>
      <c r="J57">
        <v>0.28399999999999997</v>
      </c>
    </row>
    <row r="58" spans="1:10">
      <c r="A58" s="105">
        <v>42023</v>
      </c>
      <c r="B58">
        <v>-2E-3</v>
      </c>
      <c r="C58" s="105">
        <v>42023</v>
      </c>
      <c r="D58">
        <v>5.6000000000000001E-2</v>
      </c>
      <c r="E58" s="105">
        <v>42023</v>
      </c>
      <c r="F58">
        <v>0.14499999999999999</v>
      </c>
      <c r="G58" s="105">
        <v>42023</v>
      </c>
      <c r="H58">
        <v>0.217</v>
      </c>
      <c r="I58" s="105">
        <v>42023</v>
      </c>
      <c r="J58">
        <v>0.28899999999999998</v>
      </c>
    </row>
    <row r="59" spans="1:10">
      <c r="A59" s="105">
        <v>42020</v>
      </c>
      <c r="B59">
        <v>2E-3</v>
      </c>
      <c r="C59" s="105">
        <v>42020</v>
      </c>
      <c r="D59">
        <v>0.06</v>
      </c>
      <c r="E59" s="105">
        <v>42020</v>
      </c>
      <c r="F59">
        <v>0.152</v>
      </c>
      <c r="G59" s="105">
        <v>42020</v>
      </c>
      <c r="H59">
        <v>0.224</v>
      </c>
      <c r="I59" s="105">
        <v>42020</v>
      </c>
      <c r="J59">
        <v>0.29899999999999999</v>
      </c>
    </row>
    <row r="60" spans="1:10">
      <c r="A60" s="105">
        <v>42019</v>
      </c>
      <c r="B60">
        <v>7.0000000000000001E-3</v>
      </c>
      <c r="C60" s="105">
        <v>42019</v>
      </c>
      <c r="D60">
        <v>6.9000000000000006E-2</v>
      </c>
      <c r="E60" s="105">
        <v>42019</v>
      </c>
      <c r="F60">
        <v>0.161</v>
      </c>
      <c r="G60" s="105">
        <v>42019</v>
      </c>
      <c r="H60">
        <v>0.23499999999999999</v>
      </c>
      <c r="I60" s="105">
        <v>42019</v>
      </c>
      <c r="J60">
        <v>0.313</v>
      </c>
    </row>
    <row r="61" spans="1:10">
      <c r="A61" s="105">
        <v>42018</v>
      </c>
      <c r="B61">
        <v>6.0000000000000001E-3</v>
      </c>
      <c r="C61" s="105">
        <v>42018</v>
      </c>
      <c r="D61">
        <v>6.9000000000000006E-2</v>
      </c>
      <c r="E61" s="105">
        <v>42018</v>
      </c>
      <c r="F61">
        <v>0.16200000000000001</v>
      </c>
      <c r="G61" s="105">
        <v>42018</v>
      </c>
      <c r="H61">
        <v>0.23799999999999999</v>
      </c>
      <c r="I61" s="105">
        <v>42018</v>
      </c>
      <c r="J61">
        <v>0.315</v>
      </c>
    </row>
    <row r="62" spans="1:10">
      <c r="A62" s="105">
        <v>42017</v>
      </c>
      <c r="B62">
        <v>8.0000000000000002E-3</v>
      </c>
      <c r="C62" s="105">
        <v>42017</v>
      </c>
      <c r="D62">
        <v>7.0999999999999994E-2</v>
      </c>
      <c r="E62" s="105">
        <v>42017</v>
      </c>
      <c r="F62">
        <v>0.16600000000000001</v>
      </c>
      <c r="G62" s="105">
        <v>42017</v>
      </c>
      <c r="H62">
        <v>0.23699999999999999</v>
      </c>
      <c r="I62" s="105">
        <v>42017</v>
      </c>
      <c r="J62">
        <v>0.318</v>
      </c>
    </row>
    <row r="63" spans="1:10">
      <c r="A63" s="105">
        <v>42016</v>
      </c>
      <c r="B63">
        <v>8.9999999999999993E-3</v>
      </c>
      <c r="C63" s="105">
        <v>42016</v>
      </c>
      <c r="D63">
        <v>7.0999999999999994E-2</v>
      </c>
      <c r="E63" s="105">
        <v>42016</v>
      </c>
      <c r="F63">
        <v>0.16700000000000001</v>
      </c>
      <c r="G63" s="105">
        <v>42016</v>
      </c>
      <c r="H63">
        <v>0.23799999999999999</v>
      </c>
      <c r="I63" s="105">
        <v>42016</v>
      </c>
      <c r="J63">
        <v>0.317</v>
      </c>
    </row>
    <row r="64" spans="1:10">
      <c r="A64" s="105">
        <v>42013</v>
      </c>
      <c r="B64">
        <v>8.9999999999999993E-3</v>
      </c>
      <c r="C64" s="105">
        <v>42013</v>
      </c>
      <c r="D64">
        <v>7.0000000000000007E-2</v>
      </c>
      <c r="E64" s="105">
        <v>42013</v>
      </c>
      <c r="F64">
        <v>0.16800000000000001</v>
      </c>
      <c r="G64" s="105">
        <v>42013</v>
      </c>
      <c r="H64">
        <v>0.24</v>
      </c>
      <c r="I64" s="105">
        <v>42013</v>
      </c>
      <c r="J64">
        <v>0.318</v>
      </c>
    </row>
    <row r="65" spans="1:10">
      <c r="A65" s="105">
        <v>42012</v>
      </c>
      <c r="B65">
        <v>0.01</v>
      </c>
      <c r="C65" s="105">
        <v>42012</v>
      </c>
      <c r="D65">
        <v>7.0000000000000007E-2</v>
      </c>
      <c r="E65" s="105">
        <v>42012</v>
      </c>
      <c r="F65">
        <v>0.16700000000000001</v>
      </c>
      <c r="G65" s="105">
        <v>42012</v>
      </c>
      <c r="H65">
        <v>0.24099999999999999</v>
      </c>
      <c r="I65" s="105">
        <v>42012</v>
      </c>
      <c r="J65">
        <v>0.31900000000000001</v>
      </c>
    </row>
    <row r="66" spans="1:10">
      <c r="A66" s="105">
        <v>42011</v>
      </c>
      <c r="B66">
        <v>1.2E-2</v>
      </c>
      <c r="C66" s="105">
        <v>42011</v>
      </c>
      <c r="D66">
        <v>7.0000000000000007E-2</v>
      </c>
      <c r="E66" s="105">
        <v>42011</v>
      </c>
      <c r="F66">
        <v>0.16800000000000001</v>
      </c>
      <c r="G66" s="105">
        <v>42011</v>
      </c>
      <c r="H66">
        <v>0.24099999999999999</v>
      </c>
      <c r="I66" s="105">
        <v>42011</v>
      </c>
      <c r="J66">
        <v>0.31900000000000001</v>
      </c>
    </row>
    <row r="67" spans="1:10">
      <c r="A67" s="105">
        <v>42010</v>
      </c>
      <c r="B67">
        <v>1.4999999999999999E-2</v>
      </c>
      <c r="C67" s="105">
        <v>42010</v>
      </c>
      <c r="D67">
        <v>7.2999999999999995E-2</v>
      </c>
      <c r="E67" s="105">
        <v>42010</v>
      </c>
      <c r="F67">
        <v>0.16800000000000001</v>
      </c>
      <c r="G67" s="105">
        <v>42010</v>
      </c>
      <c r="H67">
        <v>0.24</v>
      </c>
      <c r="I67" s="105">
        <v>42010</v>
      </c>
      <c r="J67">
        <v>0.31900000000000001</v>
      </c>
    </row>
    <row r="68" spans="1:10">
      <c r="A68" s="105">
        <v>42009</v>
      </c>
      <c r="B68">
        <v>1.4999999999999999E-2</v>
      </c>
      <c r="C68" s="105">
        <v>42009</v>
      </c>
      <c r="D68">
        <v>7.4999999999999997E-2</v>
      </c>
      <c r="E68" s="105">
        <v>42009</v>
      </c>
      <c r="F68">
        <v>0.16900000000000001</v>
      </c>
      <c r="G68" s="105">
        <v>42009</v>
      </c>
      <c r="H68">
        <v>0.24099999999999999</v>
      </c>
      <c r="I68" s="105">
        <v>42009</v>
      </c>
      <c r="J68">
        <v>0.32100000000000001</v>
      </c>
    </row>
    <row r="69" spans="1:10">
      <c r="A69" s="105">
        <v>42006</v>
      </c>
      <c r="B69">
        <v>1.6E-2</v>
      </c>
      <c r="C69" s="105">
        <v>42006</v>
      </c>
      <c r="D69">
        <v>7.5999999999999998E-2</v>
      </c>
      <c r="E69" s="105">
        <v>42006</v>
      </c>
      <c r="F69">
        <v>0.16900000000000001</v>
      </c>
      <c r="G69" s="105">
        <v>42006</v>
      </c>
      <c r="H69">
        <v>0.24299999999999999</v>
      </c>
      <c r="I69" s="105">
        <v>42006</v>
      </c>
      <c r="J69">
        <v>0.32300000000000001</v>
      </c>
    </row>
    <row r="70" spans="1:10">
      <c r="A70" s="105">
        <v>42004</v>
      </c>
      <c r="B70">
        <v>1.7999999999999999E-2</v>
      </c>
      <c r="C70" s="105">
        <v>42004</v>
      </c>
      <c r="D70">
        <v>7.8E-2</v>
      </c>
      <c r="E70" s="105">
        <v>42004</v>
      </c>
      <c r="F70">
        <v>0.17100000000000001</v>
      </c>
      <c r="G70" s="105">
        <v>42004</v>
      </c>
      <c r="H70">
        <v>0.245</v>
      </c>
      <c r="I70" s="105">
        <v>42004</v>
      </c>
      <c r="J70">
        <v>0.32500000000000001</v>
      </c>
    </row>
    <row r="71" spans="1:10">
      <c r="A71" s="105">
        <v>42003</v>
      </c>
      <c r="B71">
        <v>1.9E-2</v>
      </c>
      <c r="C71" s="105">
        <v>42003</v>
      </c>
      <c r="D71">
        <v>7.8E-2</v>
      </c>
      <c r="E71" s="105">
        <v>42003</v>
      </c>
      <c r="F71">
        <v>0.17100000000000001</v>
      </c>
      <c r="G71" s="105">
        <v>42003</v>
      </c>
      <c r="H71">
        <v>0.247</v>
      </c>
      <c r="I71" s="105">
        <v>42003</v>
      </c>
      <c r="J71">
        <v>0.32700000000000001</v>
      </c>
    </row>
    <row r="72" spans="1:10">
      <c r="A72" s="105">
        <v>42002</v>
      </c>
      <c r="B72">
        <v>2.4E-2</v>
      </c>
      <c r="C72" s="105">
        <v>42002</v>
      </c>
      <c r="D72">
        <v>7.9000000000000001E-2</v>
      </c>
      <c r="E72" s="105">
        <v>42002</v>
      </c>
      <c r="F72">
        <v>0.17199999999999999</v>
      </c>
      <c r="G72" s="105">
        <v>42002</v>
      </c>
      <c r="H72">
        <v>0.248</v>
      </c>
      <c r="I72" s="105">
        <v>42002</v>
      </c>
      <c r="J72">
        <v>0.32800000000000001</v>
      </c>
    </row>
    <row r="73" spans="1:10">
      <c r="A73" s="105">
        <v>41997</v>
      </c>
      <c r="B73">
        <v>2.5000000000000001E-2</v>
      </c>
      <c r="C73" s="105">
        <v>41997</v>
      </c>
      <c r="D73">
        <v>0.08</v>
      </c>
      <c r="E73" s="105">
        <v>41997</v>
      </c>
      <c r="F73">
        <v>0.17299999999999999</v>
      </c>
      <c r="G73" s="105">
        <v>41997</v>
      </c>
      <c r="H73">
        <v>0.249</v>
      </c>
      <c r="I73" s="105">
        <v>41997</v>
      </c>
      <c r="J73">
        <v>0.32800000000000001</v>
      </c>
    </row>
    <row r="74" spans="1:10">
      <c r="A74" s="105">
        <v>41996</v>
      </c>
      <c r="B74">
        <v>2.4E-2</v>
      </c>
      <c r="C74" s="105">
        <v>41996</v>
      </c>
      <c r="D74">
        <v>7.9000000000000001E-2</v>
      </c>
      <c r="E74" s="105">
        <v>41996</v>
      </c>
      <c r="F74">
        <v>0.17399999999999999</v>
      </c>
      <c r="G74" s="105">
        <v>41996</v>
      </c>
      <c r="H74">
        <v>0.249</v>
      </c>
      <c r="I74" s="105">
        <v>41996</v>
      </c>
      <c r="J74">
        <v>0.32800000000000001</v>
      </c>
    </row>
    <row r="75" spans="1:10">
      <c r="A75" s="105">
        <v>41995</v>
      </c>
      <c r="B75">
        <v>2.5999999999999999E-2</v>
      </c>
      <c r="C75" s="105">
        <v>41995</v>
      </c>
      <c r="D75">
        <v>8.1000000000000003E-2</v>
      </c>
      <c r="E75" s="105">
        <v>41995</v>
      </c>
      <c r="F75">
        <v>0.17599999999999999</v>
      </c>
      <c r="G75" s="105">
        <v>41995</v>
      </c>
      <c r="H75">
        <v>0.252</v>
      </c>
      <c r="I75" s="105">
        <v>41995</v>
      </c>
      <c r="J75">
        <v>0.32900000000000001</v>
      </c>
    </row>
    <row r="76" spans="1:10">
      <c r="A76" s="105">
        <v>41992</v>
      </c>
      <c r="B76">
        <v>2.5999999999999999E-2</v>
      </c>
      <c r="C76" s="105">
        <v>41992</v>
      </c>
      <c r="D76">
        <v>8.1000000000000003E-2</v>
      </c>
      <c r="E76" s="105">
        <v>41992</v>
      </c>
      <c r="F76">
        <v>0.17699999999999999</v>
      </c>
      <c r="G76" s="105">
        <v>41992</v>
      </c>
      <c r="H76">
        <v>0.254</v>
      </c>
      <c r="I76" s="105">
        <v>41992</v>
      </c>
      <c r="J76">
        <v>0.32900000000000001</v>
      </c>
    </row>
    <row r="77" spans="1:10">
      <c r="A77" s="105">
        <v>41991</v>
      </c>
      <c r="B77">
        <v>2.5000000000000001E-2</v>
      </c>
      <c r="C77" s="105">
        <v>41991</v>
      </c>
      <c r="D77">
        <v>7.9000000000000001E-2</v>
      </c>
      <c r="E77" s="105">
        <v>41991</v>
      </c>
      <c r="F77">
        <v>0.17599999999999999</v>
      </c>
      <c r="G77" s="105">
        <v>41991</v>
      </c>
      <c r="H77">
        <v>0.254</v>
      </c>
      <c r="I77" s="105">
        <v>41991</v>
      </c>
      <c r="J77">
        <v>0.32800000000000001</v>
      </c>
    </row>
    <row r="78" spans="1:10">
      <c r="A78" s="105">
        <v>41990</v>
      </c>
      <c r="B78">
        <v>2.5999999999999999E-2</v>
      </c>
      <c r="C78" s="105">
        <v>41990</v>
      </c>
      <c r="D78">
        <v>8.1000000000000003E-2</v>
      </c>
      <c r="E78" s="105">
        <v>41990</v>
      </c>
      <c r="F78">
        <v>0.17799999999999999</v>
      </c>
      <c r="G78" s="105">
        <v>41990</v>
      </c>
      <c r="H78">
        <v>0.25600000000000001</v>
      </c>
      <c r="I78" s="105">
        <v>41990</v>
      </c>
      <c r="J78">
        <v>0.33</v>
      </c>
    </row>
    <row r="79" spans="1:10">
      <c r="A79" s="105">
        <v>41989</v>
      </c>
      <c r="B79">
        <v>2.5000000000000001E-2</v>
      </c>
      <c r="C79" s="105">
        <v>41989</v>
      </c>
      <c r="D79">
        <v>8.2000000000000003E-2</v>
      </c>
      <c r="E79" s="105">
        <v>41989</v>
      </c>
      <c r="F79">
        <v>0.17899999999999999</v>
      </c>
      <c r="G79" s="105">
        <v>41989</v>
      </c>
      <c r="H79">
        <v>0.255</v>
      </c>
      <c r="I79" s="105">
        <v>41989</v>
      </c>
      <c r="J79">
        <v>0.32900000000000001</v>
      </c>
    </row>
    <row r="80" spans="1:10">
      <c r="A80" s="105">
        <v>41988</v>
      </c>
      <c r="B80">
        <v>2.4E-2</v>
      </c>
      <c r="C80" s="105">
        <v>41988</v>
      </c>
      <c r="D80">
        <v>8.2000000000000003E-2</v>
      </c>
      <c r="E80" s="105">
        <v>41988</v>
      </c>
      <c r="F80">
        <v>0.17799999999999999</v>
      </c>
      <c r="G80" s="105">
        <v>41988</v>
      </c>
      <c r="H80">
        <v>0.253</v>
      </c>
      <c r="I80" s="105">
        <v>41988</v>
      </c>
      <c r="J80">
        <v>0.32900000000000001</v>
      </c>
    </row>
    <row r="81" spans="1:10">
      <c r="A81" s="105">
        <v>41985</v>
      </c>
      <c r="B81">
        <v>2.3E-2</v>
      </c>
      <c r="C81" s="105">
        <v>41985</v>
      </c>
      <c r="D81">
        <v>8.2000000000000003E-2</v>
      </c>
      <c r="E81" s="105">
        <v>41985</v>
      </c>
      <c r="F81">
        <v>0.17799999999999999</v>
      </c>
      <c r="G81" s="105">
        <v>41985</v>
      </c>
      <c r="H81">
        <v>0.253</v>
      </c>
      <c r="I81" s="105">
        <v>41985</v>
      </c>
      <c r="J81">
        <v>0.32900000000000001</v>
      </c>
    </row>
    <row r="82" spans="1:10">
      <c r="A82" s="105">
        <v>41984</v>
      </c>
      <c r="B82">
        <v>2.1999999999999999E-2</v>
      </c>
      <c r="C82" s="105">
        <v>41984</v>
      </c>
      <c r="D82">
        <v>8.2000000000000003E-2</v>
      </c>
      <c r="E82" s="105">
        <v>41984</v>
      </c>
      <c r="F82">
        <v>0.17899999999999999</v>
      </c>
      <c r="G82" s="105">
        <v>41984</v>
      </c>
      <c r="H82">
        <v>0.254</v>
      </c>
      <c r="I82" s="105">
        <v>41984</v>
      </c>
      <c r="J82">
        <v>0.32800000000000001</v>
      </c>
    </row>
    <row r="83" spans="1:10">
      <c r="A83" s="105">
        <v>41983</v>
      </c>
      <c r="B83">
        <v>2.1999999999999999E-2</v>
      </c>
      <c r="C83" s="105">
        <v>41983</v>
      </c>
      <c r="D83">
        <v>8.3000000000000004E-2</v>
      </c>
      <c r="E83" s="105">
        <v>41983</v>
      </c>
      <c r="F83">
        <v>0.17899999999999999</v>
      </c>
      <c r="G83" s="105">
        <v>41983</v>
      </c>
      <c r="H83">
        <v>0.254</v>
      </c>
      <c r="I83" s="105">
        <v>41983</v>
      </c>
      <c r="J83">
        <v>0.32800000000000001</v>
      </c>
    </row>
    <row r="84" spans="1:10">
      <c r="A84" s="105">
        <v>41982</v>
      </c>
      <c r="B84">
        <v>2.4E-2</v>
      </c>
      <c r="C84" s="105">
        <v>41982</v>
      </c>
      <c r="D84">
        <v>8.2000000000000003E-2</v>
      </c>
      <c r="E84" s="105">
        <v>41982</v>
      </c>
      <c r="F84">
        <v>0.17699999999999999</v>
      </c>
      <c r="G84" s="105">
        <v>41982</v>
      </c>
      <c r="H84">
        <v>0.252</v>
      </c>
      <c r="I84" s="105">
        <v>41982</v>
      </c>
      <c r="J84">
        <v>0.32900000000000001</v>
      </c>
    </row>
    <row r="85" spans="1:10">
      <c r="A85" s="105">
        <v>41981</v>
      </c>
      <c r="B85">
        <v>2.1999999999999999E-2</v>
      </c>
      <c r="C85" s="105">
        <v>41981</v>
      </c>
      <c r="D85">
        <v>8.2000000000000003E-2</v>
      </c>
      <c r="E85" s="105">
        <v>41981</v>
      </c>
      <c r="F85">
        <v>0.17899999999999999</v>
      </c>
      <c r="G85" s="105">
        <v>41981</v>
      </c>
      <c r="H85">
        <v>0.254</v>
      </c>
      <c r="I85" s="105">
        <v>41981</v>
      </c>
      <c r="J85">
        <v>0.32900000000000001</v>
      </c>
    </row>
    <row r="86" spans="1:10">
      <c r="A86" s="105">
        <v>41978</v>
      </c>
      <c r="B86">
        <v>2.1999999999999999E-2</v>
      </c>
      <c r="C86" s="105">
        <v>41978</v>
      </c>
      <c r="D86">
        <v>8.2000000000000003E-2</v>
      </c>
      <c r="E86" s="105">
        <v>41978</v>
      </c>
      <c r="F86">
        <v>0.17899999999999999</v>
      </c>
      <c r="G86" s="105">
        <v>41978</v>
      </c>
      <c r="H86">
        <v>0.254</v>
      </c>
      <c r="I86" s="105">
        <v>41978</v>
      </c>
      <c r="J86">
        <v>0.32900000000000001</v>
      </c>
    </row>
    <row r="87" spans="1:10">
      <c r="A87" s="105">
        <v>41977</v>
      </c>
      <c r="B87">
        <v>2.1999999999999999E-2</v>
      </c>
      <c r="C87" s="105">
        <v>41977</v>
      </c>
      <c r="D87">
        <v>8.2000000000000003E-2</v>
      </c>
      <c r="E87" s="105">
        <v>41977</v>
      </c>
      <c r="F87">
        <v>0.17699999999999999</v>
      </c>
      <c r="G87" s="105">
        <v>41977</v>
      </c>
      <c r="H87">
        <v>0.252</v>
      </c>
      <c r="I87" s="105">
        <v>41977</v>
      </c>
      <c r="J87">
        <v>0.32800000000000001</v>
      </c>
    </row>
    <row r="88" spans="1:10">
      <c r="A88" s="105">
        <v>41976</v>
      </c>
      <c r="B88">
        <v>2.1999999999999999E-2</v>
      </c>
      <c r="C88" s="105">
        <v>41976</v>
      </c>
      <c r="D88">
        <v>8.1000000000000003E-2</v>
      </c>
      <c r="E88" s="105">
        <v>41976</v>
      </c>
      <c r="F88">
        <v>0.17599999999999999</v>
      </c>
      <c r="G88" s="105">
        <v>41976</v>
      </c>
      <c r="H88">
        <v>0.254</v>
      </c>
      <c r="I88" s="105">
        <v>41976</v>
      </c>
      <c r="J88">
        <v>0.32800000000000001</v>
      </c>
    </row>
    <row r="89" spans="1:10">
      <c r="A89" s="105">
        <v>41975</v>
      </c>
      <c r="B89">
        <v>2.1999999999999999E-2</v>
      </c>
      <c r="C89" s="105">
        <v>41975</v>
      </c>
      <c r="D89">
        <v>8.1000000000000003E-2</v>
      </c>
      <c r="E89" s="105">
        <v>41975</v>
      </c>
      <c r="F89">
        <v>0.17799999999999999</v>
      </c>
      <c r="G89" s="105">
        <v>41975</v>
      </c>
      <c r="H89">
        <v>0.25700000000000001</v>
      </c>
      <c r="I89" s="105">
        <v>41975</v>
      </c>
      <c r="J89">
        <v>0.33100000000000002</v>
      </c>
    </row>
    <row r="90" spans="1:10">
      <c r="A90" s="105">
        <v>41974</v>
      </c>
      <c r="B90">
        <v>2.1000000000000001E-2</v>
      </c>
      <c r="C90" s="105">
        <v>41974</v>
      </c>
      <c r="D90">
        <v>8.2000000000000003E-2</v>
      </c>
      <c r="E90" s="105">
        <v>41974</v>
      </c>
      <c r="F90">
        <v>0.17899999999999999</v>
      </c>
      <c r="G90" s="105">
        <v>41974</v>
      </c>
      <c r="H90">
        <v>0.25700000000000001</v>
      </c>
      <c r="I90" s="105">
        <v>41974</v>
      </c>
      <c r="J90">
        <v>0.33</v>
      </c>
    </row>
    <row r="91" spans="1:10">
      <c r="A91" s="105">
        <v>41971</v>
      </c>
      <c r="B91">
        <v>0.02</v>
      </c>
      <c r="C91" s="105">
        <v>41971</v>
      </c>
      <c r="D91">
        <v>8.2000000000000003E-2</v>
      </c>
      <c r="E91" s="105">
        <v>41971</v>
      </c>
      <c r="F91">
        <v>0.18</v>
      </c>
      <c r="G91" s="105">
        <v>41971</v>
      </c>
      <c r="H91">
        <v>0.25700000000000001</v>
      </c>
      <c r="I91" s="105">
        <v>41971</v>
      </c>
      <c r="J91">
        <v>0.33100000000000002</v>
      </c>
    </row>
    <row r="92" spans="1:10">
      <c r="A92" s="105">
        <v>41970</v>
      </c>
      <c r="B92">
        <v>1.6E-2</v>
      </c>
      <c r="C92" s="105">
        <v>41970</v>
      </c>
      <c r="D92">
        <v>8.2000000000000003E-2</v>
      </c>
      <c r="E92" s="105">
        <v>41970</v>
      </c>
      <c r="F92">
        <v>0.18099999999999999</v>
      </c>
      <c r="G92" s="105">
        <v>41970</v>
      </c>
      <c r="H92">
        <v>0.25700000000000001</v>
      </c>
      <c r="I92" s="105">
        <v>41970</v>
      </c>
      <c r="J92">
        <v>0.33100000000000002</v>
      </c>
    </row>
    <row r="93" spans="1:10">
      <c r="A93" s="105">
        <v>41969</v>
      </c>
      <c r="B93">
        <v>8.9999999999999993E-3</v>
      </c>
      <c r="C93" s="105">
        <v>41969</v>
      </c>
      <c r="D93">
        <v>8.2000000000000003E-2</v>
      </c>
      <c r="E93" s="105">
        <v>41969</v>
      </c>
      <c r="F93">
        <v>0.182</v>
      </c>
      <c r="G93" s="105">
        <v>41969</v>
      </c>
      <c r="H93">
        <v>0.25700000000000001</v>
      </c>
      <c r="I93" s="105">
        <v>41969</v>
      </c>
      <c r="J93">
        <v>0.33400000000000002</v>
      </c>
    </row>
    <row r="94" spans="1:10">
      <c r="A94" s="105">
        <v>41968</v>
      </c>
      <c r="B94">
        <v>8.9999999999999993E-3</v>
      </c>
      <c r="C94" s="105">
        <v>41968</v>
      </c>
      <c r="D94">
        <v>8.1000000000000003E-2</v>
      </c>
      <c r="E94" s="105">
        <v>41968</v>
      </c>
      <c r="F94">
        <v>0.18099999999999999</v>
      </c>
      <c r="G94" s="105">
        <v>41968</v>
      </c>
      <c r="H94">
        <v>0.25700000000000001</v>
      </c>
      <c r="I94" s="105">
        <v>41968</v>
      </c>
      <c r="J94">
        <v>0.33200000000000002</v>
      </c>
    </row>
    <row r="95" spans="1:10">
      <c r="A95" s="105">
        <v>41967</v>
      </c>
      <c r="B95">
        <v>8.9999999999999993E-3</v>
      </c>
      <c r="C95" s="105">
        <v>41967</v>
      </c>
      <c r="D95">
        <v>8.1000000000000003E-2</v>
      </c>
      <c r="E95" s="105">
        <v>41967</v>
      </c>
      <c r="F95">
        <v>0.182</v>
      </c>
      <c r="G95" s="105">
        <v>41967</v>
      </c>
      <c r="H95">
        <v>0.25600000000000001</v>
      </c>
      <c r="I95" s="105">
        <v>41967</v>
      </c>
      <c r="J95">
        <v>0.33200000000000002</v>
      </c>
    </row>
    <row r="96" spans="1:10">
      <c r="A96" s="105">
        <v>41964</v>
      </c>
      <c r="B96">
        <v>8.9999999999999993E-3</v>
      </c>
      <c r="C96" s="105">
        <v>41964</v>
      </c>
      <c r="D96">
        <v>8.1000000000000003E-2</v>
      </c>
      <c r="E96" s="105">
        <v>41964</v>
      </c>
      <c r="F96">
        <v>0.18099999999999999</v>
      </c>
      <c r="G96" s="105">
        <v>41964</v>
      </c>
      <c r="H96">
        <v>0.25600000000000001</v>
      </c>
      <c r="I96" s="105">
        <v>41964</v>
      </c>
      <c r="J96">
        <v>0.33400000000000002</v>
      </c>
    </row>
    <row r="97" spans="1:10">
      <c r="A97" s="105">
        <v>41963</v>
      </c>
      <c r="B97">
        <v>8.9999999999999993E-3</v>
      </c>
      <c r="C97" s="105">
        <v>41963</v>
      </c>
      <c r="D97">
        <v>8.1000000000000003E-2</v>
      </c>
      <c r="E97" s="105">
        <v>41963</v>
      </c>
      <c r="F97">
        <v>0.18099999999999999</v>
      </c>
      <c r="G97" s="105">
        <v>41963</v>
      </c>
      <c r="H97">
        <v>0.25800000000000001</v>
      </c>
      <c r="I97" s="105">
        <v>41963</v>
      </c>
      <c r="J97">
        <v>0.33600000000000002</v>
      </c>
    </row>
    <row r="98" spans="1:10">
      <c r="A98" s="105">
        <v>41962</v>
      </c>
      <c r="B98">
        <v>8.9999999999999993E-3</v>
      </c>
      <c r="C98" s="105">
        <v>41962</v>
      </c>
      <c r="D98">
        <v>8.1000000000000003E-2</v>
      </c>
      <c r="E98" s="105">
        <v>41962</v>
      </c>
      <c r="F98">
        <v>0.18099999999999999</v>
      </c>
      <c r="G98" s="105">
        <v>41962</v>
      </c>
      <c r="H98">
        <v>0.25900000000000001</v>
      </c>
      <c r="I98" s="105">
        <v>41962</v>
      </c>
      <c r="J98">
        <v>0.33600000000000002</v>
      </c>
    </row>
    <row r="99" spans="1:10">
      <c r="A99" s="105">
        <v>41961</v>
      </c>
      <c r="B99">
        <v>8.9999999999999993E-3</v>
      </c>
      <c r="C99" s="105">
        <v>41961</v>
      </c>
      <c r="D99">
        <v>8.1000000000000003E-2</v>
      </c>
      <c r="E99" s="105">
        <v>41961</v>
      </c>
      <c r="F99">
        <v>0.18099999999999999</v>
      </c>
      <c r="G99" s="105">
        <v>41961</v>
      </c>
      <c r="H99">
        <v>0.25600000000000001</v>
      </c>
      <c r="I99" s="105">
        <v>41961</v>
      </c>
      <c r="J99">
        <v>0.33400000000000002</v>
      </c>
    </row>
    <row r="100" spans="1:10">
      <c r="A100" s="105">
        <v>41960</v>
      </c>
      <c r="B100">
        <v>8.0000000000000002E-3</v>
      </c>
      <c r="C100" s="105">
        <v>41960</v>
      </c>
      <c r="D100">
        <v>0.08</v>
      </c>
      <c r="E100" s="105">
        <v>41960</v>
      </c>
      <c r="F100">
        <v>0.182</v>
      </c>
      <c r="G100" s="105">
        <v>41960</v>
      </c>
      <c r="H100">
        <v>0.255</v>
      </c>
      <c r="I100" s="105">
        <v>41960</v>
      </c>
      <c r="J100">
        <v>0.33200000000000002</v>
      </c>
    </row>
    <row r="101" spans="1:10">
      <c r="A101" s="105">
        <v>41957</v>
      </c>
      <c r="B101">
        <v>8.0000000000000002E-3</v>
      </c>
      <c r="C101" s="105">
        <v>41957</v>
      </c>
      <c r="D101">
        <v>7.9000000000000001E-2</v>
      </c>
      <c r="E101" s="105">
        <v>41957</v>
      </c>
      <c r="F101">
        <v>0.18</v>
      </c>
      <c r="G101" s="105">
        <v>41957</v>
      </c>
      <c r="H101">
        <v>0.255</v>
      </c>
      <c r="I101" s="105">
        <v>41957</v>
      </c>
      <c r="J101">
        <v>0.33300000000000002</v>
      </c>
    </row>
    <row r="102" spans="1:10">
      <c r="A102" s="105">
        <v>41956</v>
      </c>
      <c r="B102">
        <v>8.0000000000000002E-3</v>
      </c>
      <c r="C102" s="105">
        <v>41956</v>
      </c>
      <c r="D102">
        <v>7.8E-2</v>
      </c>
      <c r="E102" s="105">
        <v>41956</v>
      </c>
      <c r="F102">
        <v>0.17799999999999999</v>
      </c>
      <c r="G102" s="105">
        <v>41956</v>
      </c>
      <c r="H102">
        <v>0.255</v>
      </c>
      <c r="I102" s="105">
        <v>41956</v>
      </c>
      <c r="J102">
        <v>0.33400000000000002</v>
      </c>
    </row>
    <row r="103" spans="1:10">
      <c r="A103" s="105">
        <v>41955</v>
      </c>
      <c r="B103">
        <v>8.9999999999999993E-3</v>
      </c>
      <c r="C103" s="105">
        <v>41955</v>
      </c>
      <c r="D103">
        <v>7.9000000000000001E-2</v>
      </c>
      <c r="E103" s="105">
        <v>41955</v>
      </c>
      <c r="F103">
        <v>0.18099999999999999</v>
      </c>
      <c r="G103" s="105">
        <v>41955</v>
      </c>
      <c r="H103">
        <v>0.25600000000000001</v>
      </c>
      <c r="I103" s="105">
        <v>41955</v>
      </c>
      <c r="J103">
        <v>0.33600000000000002</v>
      </c>
    </row>
    <row r="104" spans="1:10">
      <c r="A104" s="105">
        <v>41954</v>
      </c>
      <c r="B104">
        <v>8.9999999999999993E-3</v>
      </c>
      <c r="C104" s="105">
        <v>41954</v>
      </c>
      <c r="D104">
        <v>7.9000000000000001E-2</v>
      </c>
      <c r="E104" s="105">
        <v>41954</v>
      </c>
      <c r="F104">
        <v>0.18099999999999999</v>
      </c>
      <c r="G104" s="105">
        <v>41954</v>
      </c>
      <c r="H104">
        <v>0.255</v>
      </c>
      <c r="I104" s="105">
        <v>41954</v>
      </c>
      <c r="J104">
        <v>0.33600000000000002</v>
      </c>
    </row>
    <row r="105" spans="1:10">
      <c r="A105" s="105">
        <v>41953</v>
      </c>
      <c r="B105">
        <v>8.9999999999999993E-3</v>
      </c>
      <c r="C105" s="105">
        <v>41953</v>
      </c>
      <c r="D105">
        <v>0.08</v>
      </c>
      <c r="E105" s="105">
        <v>41953</v>
      </c>
      <c r="F105">
        <v>0.18099999999999999</v>
      </c>
      <c r="G105" s="105">
        <v>41953</v>
      </c>
      <c r="H105">
        <v>0.255</v>
      </c>
      <c r="I105" s="105">
        <v>41953</v>
      </c>
      <c r="J105">
        <v>0.33600000000000002</v>
      </c>
    </row>
    <row r="106" spans="1:10">
      <c r="A106" s="105">
        <v>41950</v>
      </c>
      <c r="B106">
        <v>8.0000000000000002E-3</v>
      </c>
      <c r="C106" s="105">
        <v>41950</v>
      </c>
      <c r="D106">
        <v>0.08</v>
      </c>
      <c r="E106" s="105">
        <v>41950</v>
      </c>
      <c r="F106">
        <v>0.18099999999999999</v>
      </c>
      <c r="G106" s="105">
        <v>41950</v>
      </c>
      <c r="H106">
        <v>0.25600000000000001</v>
      </c>
      <c r="I106" s="105">
        <v>41950</v>
      </c>
      <c r="J106">
        <v>0.33600000000000002</v>
      </c>
    </row>
    <row r="107" spans="1:10">
      <c r="A107" s="105">
        <v>41949</v>
      </c>
      <c r="B107">
        <v>8.9999999999999993E-3</v>
      </c>
      <c r="C107" s="105">
        <v>41949</v>
      </c>
      <c r="D107">
        <v>8.1000000000000003E-2</v>
      </c>
      <c r="E107" s="105">
        <v>41949</v>
      </c>
      <c r="F107">
        <v>0.182</v>
      </c>
      <c r="G107" s="105">
        <v>41949</v>
      </c>
      <c r="H107">
        <v>0.25700000000000001</v>
      </c>
      <c r="I107" s="105">
        <v>41949</v>
      </c>
      <c r="J107">
        <v>0.33700000000000002</v>
      </c>
    </row>
    <row r="108" spans="1:10">
      <c r="A108" s="105">
        <v>41948</v>
      </c>
      <c r="B108">
        <v>8.9999999999999993E-3</v>
      </c>
      <c r="C108" s="105">
        <v>41948</v>
      </c>
      <c r="D108">
        <v>8.1000000000000003E-2</v>
      </c>
      <c r="E108" s="105">
        <v>41948</v>
      </c>
      <c r="F108">
        <v>0.184</v>
      </c>
      <c r="G108" s="105">
        <v>41948</v>
      </c>
      <c r="H108">
        <v>0.25800000000000001</v>
      </c>
      <c r="I108" s="105">
        <v>41948</v>
      </c>
      <c r="J108">
        <v>0.33700000000000002</v>
      </c>
    </row>
    <row r="109" spans="1:10">
      <c r="A109" s="105">
        <v>41947</v>
      </c>
      <c r="B109">
        <v>8.9999999999999993E-3</v>
      </c>
      <c r="C109" s="105">
        <v>41947</v>
      </c>
      <c r="D109">
        <v>8.4000000000000005E-2</v>
      </c>
      <c r="E109" s="105">
        <v>41947</v>
      </c>
      <c r="F109">
        <v>0.186</v>
      </c>
      <c r="G109" s="105">
        <v>41947</v>
      </c>
      <c r="H109">
        <v>0.26100000000000001</v>
      </c>
      <c r="I109" s="105">
        <v>41947</v>
      </c>
      <c r="J109">
        <v>0.33800000000000002</v>
      </c>
    </row>
    <row r="110" spans="1:10">
      <c r="A110" s="105">
        <v>41946</v>
      </c>
      <c r="B110">
        <v>0.01</v>
      </c>
      <c r="C110" s="105">
        <v>41946</v>
      </c>
      <c r="D110">
        <v>8.5000000000000006E-2</v>
      </c>
      <c r="E110" s="105">
        <v>41946</v>
      </c>
      <c r="F110">
        <v>0.189</v>
      </c>
      <c r="G110" s="105">
        <v>41946</v>
      </c>
      <c r="H110">
        <v>0.26200000000000001</v>
      </c>
      <c r="I110" s="105">
        <v>41946</v>
      </c>
      <c r="J110">
        <v>0.33900000000000002</v>
      </c>
    </row>
    <row r="111" spans="1:10">
      <c r="A111" s="105">
        <v>41943</v>
      </c>
      <c r="B111">
        <v>0.01</v>
      </c>
      <c r="C111" s="105">
        <v>41943</v>
      </c>
      <c r="D111">
        <v>8.5999999999999993E-2</v>
      </c>
      <c r="E111" s="105">
        <v>41943</v>
      </c>
      <c r="F111">
        <v>0.189</v>
      </c>
      <c r="G111" s="105">
        <v>41943</v>
      </c>
      <c r="H111">
        <v>0.26400000000000001</v>
      </c>
      <c r="I111" s="105">
        <v>41943</v>
      </c>
      <c r="J111">
        <v>0.34</v>
      </c>
    </row>
    <row r="112" spans="1:10">
      <c r="A112" s="105">
        <v>41942</v>
      </c>
      <c r="B112">
        <v>0.01</v>
      </c>
      <c r="C112" s="105">
        <v>41942</v>
      </c>
      <c r="D112">
        <v>8.5999999999999993E-2</v>
      </c>
      <c r="E112" s="105">
        <v>41942</v>
      </c>
      <c r="F112">
        <v>0.188</v>
      </c>
      <c r="G112" s="105">
        <v>41942</v>
      </c>
      <c r="H112">
        <v>0.26300000000000001</v>
      </c>
      <c r="I112" s="105">
        <v>41942</v>
      </c>
      <c r="J112">
        <v>0.34</v>
      </c>
    </row>
    <row r="113" spans="1:10">
      <c r="A113" s="105">
        <v>41941</v>
      </c>
      <c r="B113">
        <v>0.01</v>
      </c>
      <c r="C113" s="105">
        <v>41941</v>
      </c>
      <c r="D113">
        <v>8.7999999999999995E-2</v>
      </c>
      <c r="E113" s="105">
        <v>41941</v>
      </c>
      <c r="F113">
        <v>0.188</v>
      </c>
      <c r="G113" s="105">
        <v>41941</v>
      </c>
      <c r="H113">
        <v>0.26200000000000001</v>
      </c>
      <c r="I113" s="105">
        <v>41941</v>
      </c>
      <c r="J113">
        <v>0.34</v>
      </c>
    </row>
    <row r="114" spans="1:10">
      <c r="A114" s="105">
        <v>41940</v>
      </c>
      <c r="B114">
        <v>1.2E-2</v>
      </c>
      <c r="C114" s="105">
        <v>41940</v>
      </c>
      <c r="D114">
        <v>8.7999999999999995E-2</v>
      </c>
      <c r="E114" s="105">
        <v>41940</v>
      </c>
      <c r="F114">
        <v>0.189</v>
      </c>
      <c r="G114" s="105">
        <v>41940</v>
      </c>
      <c r="H114">
        <v>0.26300000000000001</v>
      </c>
      <c r="I114" s="105">
        <v>41940</v>
      </c>
      <c r="J114">
        <v>0.34</v>
      </c>
    </row>
    <row r="115" spans="1:10">
      <c r="A115" s="105">
        <v>41939</v>
      </c>
      <c r="B115">
        <v>1.2E-2</v>
      </c>
      <c r="C115" s="105">
        <v>41939</v>
      </c>
      <c r="D115">
        <v>8.7999999999999995E-2</v>
      </c>
      <c r="E115" s="105">
        <v>41939</v>
      </c>
      <c r="F115">
        <v>0.189</v>
      </c>
      <c r="G115" s="105">
        <v>41939</v>
      </c>
      <c r="H115">
        <v>0.26200000000000001</v>
      </c>
      <c r="I115" s="105">
        <v>41939</v>
      </c>
      <c r="J115">
        <v>0.34100000000000003</v>
      </c>
    </row>
    <row r="116" spans="1:10">
      <c r="A116" s="105">
        <v>41936</v>
      </c>
      <c r="B116">
        <v>1.2E-2</v>
      </c>
      <c r="C116" s="105">
        <v>41936</v>
      </c>
      <c r="D116">
        <v>8.5000000000000006E-2</v>
      </c>
      <c r="E116" s="105">
        <v>41936</v>
      </c>
      <c r="F116">
        <v>0.188</v>
      </c>
      <c r="G116" s="105">
        <v>41936</v>
      </c>
      <c r="H116">
        <v>0.26</v>
      </c>
      <c r="I116" s="105">
        <v>41936</v>
      </c>
      <c r="J116">
        <v>0.34100000000000003</v>
      </c>
    </row>
    <row r="117" spans="1:10">
      <c r="A117" s="105">
        <v>41935</v>
      </c>
      <c r="B117">
        <v>1.0999999999999999E-2</v>
      </c>
      <c r="C117" s="105">
        <v>41935</v>
      </c>
      <c r="D117">
        <v>8.5000000000000006E-2</v>
      </c>
      <c r="E117" s="105">
        <v>41935</v>
      </c>
      <c r="F117">
        <v>0.188</v>
      </c>
      <c r="G117" s="105">
        <v>41935</v>
      </c>
      <c r="H117">
        <v>0.26</v>
      </c>
      <c r="I117" s="105">
        <v>41935</v>
      </c>
      <c r="J117">
        <v>0.34100000000000003</v>
      </c>
    </row>
    <row r="118" spans="1:10">
      <c r="A118" s="105">
        <v>41934</v>
      </c>
      <c r="B118">
        <v>8.9999999999999993E-3</v>
      </c>
      <c r="C118" s="105">
        <v>41934</v>
      </c>
      <c r="D118">
        <v>8.4000000000000005E-2</v>
      </c>
      <c r="E118" s="105">
        <v>41934</v>
      </c>
      <c r="F118">
        <v>0.187</v>
      </c>
      <c r="G118" s="105">
        <v>41934</v>
      </c>
      <c r="H118">
        <v>0.26100000000000001</v>
      </c>
      <c r="I118" s="105">
        <v>41934</v>
      </c>
      <c r="J118">
        <v>0.34100000000000003</v>
      </c>
    </row>
    <row r="119" spans="1:10">
      <c r="A119" s="105">
        <v>41933</v>
      </c>
      <c r="B119">
        <v>8.0000000000000002E-3</v>
      </c>
      <c r="C119" s="105">
        <v>41933</v>
      </c>
      <c r="D119">
        <v>8.2000000000000003E-2</v>
      </c>
      <c r="E119" s="105">
        <v>41933</v>
      </c>
      <c r="F119">
        <v>0.186</v>
      </c>
      <c r="G119" s="105">
        <v>41933</v>
      </c>
      <c r="H119">
        <v>0.25800000000000001</v>
      </c>
      <c r="I119" s="105">
        <v>41933</v>
      </c>
      <c r="J119">
        <v>0.33900000000000002</v>
      </c>
    </row>
    <row r="120" spans="1:10">
      <c r="A120" s="105">
        <v>41932</v>
      </c>
      <c r="B120">
        <v>6.0000000000000001E-3</v>
      </c>
      <c r="C120" s="105">
        <v>41932</v>
      </c>
      <c r="D120">
        <v>8.1000000000000003E-2</v>
      </c>
      <c r="E120" s="105">
        <v>41932</v>
      </c>
      <c r="F120">
        <v>0.184</v>
      </c>
      <c r="G120" s="105">
        <v>41932</v>
      </c>
      <c r="H120">
        <v>0.25600000000000001</v>
      </c>
      <c r="I120" s="105">
        <v>41932</v>
      </c>
      <c r="J120">
        <v>0.33700000000000002</v>
      </c>
    </row>
    <row r="121" spans="1:10">
      <c r="A121" s="105">
        <v>41929</v>
      </c>
      <c r="B121">
        <v>6.0000000000000001E-3</v>
      </c>
      <c r="C121" s="105">
        <v>41929</v>
      </c>
      <c r="D121">
        <v>8.1000000000000003E-2</v>
      </c>
      <c r="E121" s="105">
        <v>41929</v>
      </c>
      <c r="F121">
        <v>0.185</v>
      </c>
      <c r="G121" s="105">
        <v>41929</v>
      </c>
      <c r="H121">
        <v>0.25600000000000001</v>
      </c>
      <c r="I121" s="105">
        <v>41929</v>
      </c>
      <c r="J121">
        <v>0.34</v>
      </c>
    </row>
    <row r="122" spans="1:10">
      <c r="A122" s="105">
        <v>41928</v>
      </c>
      <c r="B122">
        <v>6.0000000000000001E-3</v>
      </c>
      <c r="C122" s="105">
        <v>41928</v>
      </c>
      <c r="D122">
        <v>8.1000000000000003E-2</v>
      </c>
      <c r="E122" s="105">
        <v>41928</v>
      </c>
      <c r="F122">
        <v>0.182</v>
      </c>
      <c r="G122" s="105">
        <v>41928</v>
      </c>
      <c r="H122">
        <v>0.254</v>
      </c>
      <c r="I122" s="105">
        <v>41928</v>
      </c>
      <c r="J122">
        <v>0.33900000000000002</v>
      </c>
    </row>
    <row r="123" spans="1:10">
      <c r="A123" s="105">
        <v>41927</v>
      </c>
      <c r="B123">
        <v>6.0000000000000001E-3</v>
      </c>
      <c r="C123" s="105">
        <v>41927</v>
      </c>
      <c r="D123">
        <v>8.1000000000000003E-2</v>
      </c>
      <c r="E123" s="105">
        <v>41927</v>
      </c>
      <c r="F123">
        <v>0.18099999999999999</v>
      </c>
      <c r="G123" s="105">
        <v>41927</v>
      </c>
      <c r="H123">
        <v>0.254</v>
      </c>
      <c r="I123" s="105">
        <v>41927</v>
      </c>
      <c r="J123">
        <v>0.33800000000000002</v>
      </c>
    </row>
    <row r="124" spans="1:10">
      <c r="A124" s="105">
        <v>41926</v>
      </c>
      <c r="B124">
        <v>8.0000000000000002E-3</v>
      </c>
      <c r="C124" s="105">
        <v>41926</v>
      </c>
      <c r="D124">
        <v>8.2000000000000003E-2</v>
      </c>
      <c r="E124" s="105">
        <v>41926</v>
      </c>
      <c r="F124">
        <v>0.182</v>
      </c>
      <c r="G124" s="105">
        <v>41926</v>
      </c>
      <c r="H124">
        <v>0.255</v>
      </c>
      <c r="I124" s="105">
        <v>41926</v>
      </c>
      <c r="J124">
        <v>0.34</v>
      </c>
    </row>
    <row r="125" spans="1:10">
      <c r="A125" s="105">
        <v>41925</v>
      </c>
      <c r="B125">
        <v>6.0000000000000001E-3</v>
      </c>
      <c r="C125" s="105">
        <v>41925</v>
      </c>
      <c r="D125">
        <v>8.2000000000000003E-2</v>
      </c>
      <c r="E125" s="105">
        <v>41925</v>
      </c>
      <c r="F125">
        <v>0.182</v>
      </c>
      <c r="G125" s="105">
        <v>41925</v>
      </c>
      <c r="H125">
        <v>0.252</v>
      </c>
      <c r="I125" s="105">
        <v>41925</v>
      </c>
      <c r="J125">
        <v>0.33600000000000002</v>
      </c>
    </row>
    <row r="126" spans="1:10">
      <c r="A126" s="105">
        <v>41922</v>
      </c>
      <c r="B126">
        <v>6.0000000000000001E-3</v>
      </c>
      <c r="C126" s="105">
        <v>41922</v>
      </c>
      <c r="D126">
        <v>7.9000000000000001E-2</v>
      </c>
      <c r="E126" s="105">
        <v>41922</v>
      </c>
      <c r="F126">
        <v>0.17799999999999999</v>
      </c>
      <c r="G126" s="105">
        <v>41922</v>
      </c>
      <c r="H126">
        <v>0.251</v>
      </c>
      <c r="I126" s="105">
        <v>41922</v>
      </c>
      <c r="J126">
        <v>0.33300000000000002</v>
      </c>
    </row>
    <row r="127" spans="1:10">
      <c r="A127" s="105">
        <v>41921</v>
      </c>
      <c r="B127">
        <v>6.0000000000000001E-3</v>
      </c>
      <c r="C127" s="105">
        <v>41921</v>
      </c>
      <c r="D127">
        <v>7.9000000000000001E-2</v>
      </c>
      <c r="E127" s="105">
        <v>41921</v>
      </c>
      <c r="F127">
        <v>0.17899999999999999</v>
      </c>
      <c r="G127" s="105">
        <v>41921</v>
      </c>
      <c r="H127">
        <v>0.251</v>
      </c>
      <c r="I127" s="105">
        <v>41921</v>
      </c>
      <c r="J127">
        <v>0.33200000000000002</v>
      </c>
    </row>
    <row r="128" spans="1:10">
      <c r="A128" s="105">
        <v>41920</v>
      </c>
      <c r="B128">
        <v>6.0000000000000001E-3</v>
      </c>
      <c r="C128" s="105">
        <v>41920</v>
      </c>
      <c r="D128">
        <v>0.08</v>
      </c>
      <c r="E128" s="105">
        <v>41920</v>
      </c>
      <c r="F128">
        <v>0.18</v>
      </c>
      <c r="G128" s="105">
        <v>41920</v>
      </c>
      <c r="H128">
        <v>0.251</v>
      </c>
      <c r="I128" s="105">
        <v>41920</v>
      </c>
      <c r="J128">
        <v>0.33300000000000002</v>
      </c>
    </row>
    <row r="129" spans="1:10">
      <c r="A129" s="105">
        <v>41919</v>
      </c>
      <c r="B129">
        <v>6.0000000000000001E-3</v>
      </c>
      <c r="C129" s="105">
        <v>41919</v>
      </c>
      <c r="D129">
        <v>7.9000000000000001E-2</v>
      </c>
      <c r="E129" s="105">
        <v>41919</v>
      </c>
      <c r="F129">
        <v>0.17799999999999999</v>
      </c>
      <c r="G129" s="105">
        <v>41919</v>
      </c>
      <c r="H129">
        <v>0.251</v>
      </c>
      <c r="I129" s="105">
        <v>41919</v>
      </c>
      <c r="J129">
        <v>0.33300000000000002</v>
      </c>
    </row>
    <row r="130" spans="1:10">
      <c r="A130" s="105">
        <v>41918</v>
      </c>
      <c r="B130">
        <v>7.0000000000000001E-3</v>
      </c>
      <c r="C130" s="105">
        <v>41918</v>
      </c>
      <c r="D130">
        <v>7.9000000000000001E-2</v>
      </c>
      <c r="E130" s="105">
        <v>41918</v>
      </c>
      <c r="F130">
        <v>0.17899999999999999</v>
      </c>
      <c r="G130" s="105">
        <v>41918</v>
      </c>
      <c r="H130">
        <v>0.251</v>
      </c>
      <c r="I130" s="105">
        <v>41918</v>
      </c>
      <c r="J130">
        <v>0.33400000000000002</v>
      </c>
    </row>
    <row r="131" spans="1:10">
      <c r="A131" s="105">
        <v>41915</v>
      </c>
      <c r="B131">
        <v>7.0000000000000001E-3</v>
      </c>
      <c r="C131" s="105">
        <v>41915</v>
      </c>
      <c r="D131">
        <v>8.1000000000000003E-2</v>
      </c>
      <c r="E131" s="105">
        <v>41915</v>
      </c>
      <c r="F131">
        <v>0.18099999999999999</v>
      </c>
      <c r="G131" s="105">
        <v>41915</v>
      </c>
      <c r="H131">
        <v>0.252</v>
      </c>
      <c r="I131" s="105">
        <v>41915</v>
      </c>
      <c r="J131">
        <v>0.33500000000000002</v>
      </c>
    </row>
    <row r="132" spans="1:10">
      <c r="A132" s="105">
        <v>41914</v>
      </c>
      <c r="B132">
        <v>6.0000000000000001E-3</v>
      </c>
      <c r="C132" s="105">
        <v>41914</v>
      </c>
      <c r="D132">
        <v>8.1000000000000003E-2</v>
      </c>
      <c r="E132" s="105">
        <v>41914</v>
      </c>
      <c r="F132">
        <v>0.18</v>
      </c>
      <c r="G132" s="105">
        <v>41914</v>
      </c>
      <c r="H132">
        <v>0.249</v>
      </c>
      <c r="I132" s="105">
        <v>41914</v>
      </c>
      <c r="J132">
        <v>0.33400000000000002</v>
      </c>
    </row>
    <row r="133" spans="1:10">
      <c r="A133" s="105">
        <v>41913</v>
      </c>
      <c r="B133">
        <v>6.0000000000000001E-3</v>
      </c>
      <c r="C133" s="105">
        <v>41913</v>
      </c>
      <c r="D133">
        <v>8.2000000000000003E-2</v>
      </c>
      <c r="E133" s="105">
        <v>41913</v>
      </c>
      <c r="F133">
        <v>0.18099999999999999</v>
      </c>
      <c r="G133" s="105">
        <v>41913</v>
      </c>
      <c r="H133">
        <v>0.251</v>
      </c>
      <c r="I133" s="105">
        <v>41913</v>
      </c>
      <c r="J133">
        <v>0.33800000000000002</v>
      </c>
    </row>
    <row r="134" spans="1:10">
      <c r="A134" s="105">
        <v>41912</v>
      </c>
      <c r="B134">
        <v>7.0000000000000001E-3</v>
      </c>
      <c r="C134" s="105">
        <v>41912</v>
      </c>
      <c r="D134">
        <v>8.3000000000000004E-2</v>
      </c>
      <c r="E134" s="105">
        <v>41912</v>
      </c>
      <c r="F134">
        <v>0.183</v>
      </c>
      <c r="G134" s="105">
        <v>41912</v>
      </c>
      <c r="H134">
        <v>0.251</v>
      </c>
      <c r="I134" s="105">
        <v>41912</v>
      </c>
      <c r="J134">
        <v>0.33800000000000002</v>
      </c>
    </row>
    <row r="135" spans="1:10">
      <c r="A135" s="105">
        <v>41911</v>
      </c>
      <c r="B135">
        <v>7.0000000000000001E-3</v>
      </c>
      <c r="C135" s="105">
        <v>41911</v>
      </c>
      <c r="D135">
        <v>8.3000000000000004E-2</v>
      </c>
      <c r="E135" s="105">
        <v>41911</v>
      </c>
      <c r="F135">
        <v>0.184</v>
      </c>
      <c r="G135" s="105">
        <v>41911</v>
      </c>
      <c r="H135">
        <v>0.253</v>
      </c>
      <c r="I135" s="105">
        <v>41911</v>
      </c>
      <c r="J135">
        <v>0.33900000000000002</v>
      </c>
    </row>
    <row r="136" spans="1:10">
      <c r="A136" s="105">
        <v>41908</v>
      </c>
      <c r="B136">
        <v>7.0000000000000001E-3</v>
      </c>
      <c r="C136" s="105">
        <v>41908</v>
      </c>
      <c r="D136">
        <v>8.2000000000000003E-2</v>
      </c>
      <c r="E136" s="105">
        <v>41908</v>
      </c>
      <c r="F136">
        <v>0.183</v>
      </c>
      <c r="G136" s="105">
        <v>41908</v>
      </c>
      <c r="H136">
        <v>0.253</v>
      </c>
      <c r="I136" s="105">
        <v>41908</v>
      </c>
      <c r="J136">
        <v>0.34100000000000003</v>
      </c>
    </row>
    <row r="137" spans="1:10">
      <c r="A137" s="105">
        <v>41907</v>
      </c>
      <c r="B137">
        <v>6.0000000000000001E-3</v>
      </c>
      <c r="C137" s="105">
        <v>41907</v>
      </c>
      <c r="D137">
        <v>8.2000000000000003E-2</v>
      </c>
      <c r="E137" s="105">
        <v>41907</v>
      </c>
      <c r="F137">
        <v>0.183</v>
      </c>
      <c r="G137" s="105">
        <v>41907</v>
      </c>
      <c r="H137">
        <v>0.254</v>
      </c>
      <c r="I137" s="105">
        <v>41907</v>
      </c>
      <c r="J137">
        <v>0.34200000000000003</v>
      </c>
    </row>
    <row r="138" spans="1:10">
      <c r="A138" s="105">
        <v>41906</v>
      </c>
      <c r="B138">
        <v>7.0000000000000001E-3</v>
      </c>
      <c r="C138" s="105">
        <v>41906</v>
      </c>
      <c r="D138">
        <v>8.3000000000000004E-2</v>
      </c>
      <c r="E138" s="105">
        <v>41906</v>
      </c>
      <c r="F138">
        <v>0.186</v>
      </c>
      <c r="G138" s="105">
        <v>41906</v>
      </c>
      <c r="H138">
        <v>0.25700000000000001</v>
      </c>
      <c r="I138" s="105">
        <v>41906</v>
      </c>
      <c r="J138">
        <v>0.34399999999999997</v>
      </c>
    </row>
    <row r="139" spans="1:10">
      <c r="A139" s="105">
        <v>41905</v>
      </c>
      <c r="B139">
        <v>5.0000000000000001E-3</v>
      </c>
      <c r="C139" s="105">
        <v>41905</v>
      </c>
      <c r="D139">
        <v>8.2000000000000003E-2</v>
      </c>
      <c r="E139" s="105">
        <v>41905</v>
      </c>
      <c r="F139">
        <v>0.185</v>
      </c>
      <c r="G139" s="105">
        <v>41905</v>
      </c>
      <c r="H139">
        <v>0.25700000000000001</v>
      </c>
      <c r="I139" s="105">
        <v>41905</v>
      </c>
      <c r="J139">
        <v>0.34300000000000003</v>
      </c>
    </row>
    <row r="140" spans="1:10">
      <c r="A140" s="105">
        <v>41904</v>
      </c>
      <c r="B140">
        <v>5.0000000000000001E-3</v>
      </c>
      <c r="C140" s="105">
        <v>41904</v>
      </c>
      <c r="D140">
        <v>8.2000000000000003E-2</v>
      </c>
      <c r="E140" s="105">
        <v>41904</v>
      </c>
      <c r="F140">
        <v>0.186</v>
      </c>
      <c r="G140" s="105">
        <v>41904</v>
      </c>
      <c r="H140">
        <v>0.25700000000000001</v>
      </c>
      <c r="I140" s="105">
        <v>41904</v>
      </c>
      <c r="J140">
        <v>0.34499999999999997</v>
      </c>
    </row>
    <row r="141" spans="1:10">
      <c r="A141" s="105">
        <v>41901</v>
      </c>
      <c r="B141">
        <v>8.0000000000000002E-3</v>
      </c>
      <c r="C141" s="105">
        <v>41901</v>
      </c>
      <c r="D141">
        <v>8.3000000000000004E-2</v>
      </c>
      <c r="E141" s="105">
        <v>41901</v>
      </c>
      <c r="F141">
        <v>0.187</v>
      </c>
      <c r="G141" s="105">
        <v>41901</v>
      </c>
      <c r="H141">
        <v>0.25800000000000001</v>
      </c>
      <c r="I141" s="105">
        <v>41901</v>
      </c>
      <c r="J141">
        <v>0.34699999999999998</v>
      </c>
    </row>
    <row r="142" spans="1:10">
      <c r="A142" s="105">
        <v>41900</v>
      </c>
      <c r="B142">
        <v>7.0000000000000001E-3</v>
      </c>
      <c r="C142" s="105">
        <v>41900</v>
      </c>
      <c r="D142">
        <v>8.2000000000000003E-2</v>
      </c>
      <c r="E142" s="105">
        <v>41900</v>
      </c>
      <c r="F142">
        <v>0.187</v>
      </c>
      <c r="G142" s="105">
        <v>41900</v>
      </c>
      <c r="H142">
        <v>0.25900000000000001</v>
      </c>
      <c r="I142" s="105">
        <v>41900</v>
      </c>
      <c r="J142">
        <v>0.34699999999999998</v>
      </c>
    </row>
    <row r="143" spans="1:10">
      <c r="A143" s="105">
        <v>41899</v>
      </c>
      <c r="B143">
        <v>6.0000000000000001E-3</v>
      </c>
      <c r="C143" s="105">
        <v>41899</v>
      </c>
      <c r="D143">
        <v>8.2000000000000003E-2</v>
      </c>
      <c r="E143" s="105">
        <v>41899</v>
      </c>
      <c r="F143">
        <v>0.188</v>
      </c>
      <c r="G143" s="105">
        <v>41899</v>
      </c>
      <c r="H143">
        <v>0.26100000000000001</v>
      </c>
      <c r="I143" s="105">
        <v>41899</v>
      </c>
      <c r="J143">
        <v>0.34699999999999998</v>
      </c>
    </row>
    <row r="144" spans="1:10">
      <c r="A144" s="105">
        <v>41898</v>
      </c>
      <c r="B144">
        <v>6.0000000000000001E-3</v>
      </c>
      <c r="C144" s="105">
        <v>41898</v>
      </c>
      <c r="D144">
        <v>8.1000000000000003E-2</v>
      </c>
      <c r="E144" s="105">
        <v>41898</v>
      </c>
      <c r="F144">
        <v>0.187</v>
      </c>
      <c r="G144" s="105">
        <v>41898</v>
      </c>
      <c r="H144">
        <v>0.26100000000000001</v>
      </c>
      <c r="I144" s="105">
        <v>41898</v>
      </c>
      <c r="J144">
        <v>0.34599999999999997</v>
      </c>
    </row>
    <row r="145" spans="1:10">
      <c r="A145" s="105">
        <v>41897</v>
      </c>
      <c r="B145">
        <v>7.0000000000000001E-3</v>
      </c>
      <c r="C145" s="105">
        <v>41897</v>
      </c>
      <c r="D145">
        <v>8.1000000000000003E-2</v>
      </c>
      <c r="E145" s="105">
        <v>41897</v>
      </c>
      <c r="F145">
        <v>0.188</v>
      </c>
      <c r="G145" s="105">
        <v>41897</v>
      </c>
      <c r="H145">
        <v>0.26200000000000001</v>
      </c>
      <c r="I145" s="105">
        <v>41897</v>
      </c>
      <c r="J145">
        <v>0.34899999999999998</v>
      </c>
    </row>
    <row r="146" spans="1:10">
      <c r="A146" s="105">
        <v>41894</v>
      </c>
      <c r="B146">
        <v>6.0000000000000001E-3</v>
      </c>
      <c r="C146" s="105">
        <v>41894</v>
      </c>
      <c r="D146">
        <v>8.2000000000000003E-2</v>
      </c>
      <c r="E146" s="105">
        <v>41894</v>
      </c>
      <c r="F146">
        <v>0.187</v>
      </c>
      <c r="G146" s="105">
        <v>41894</v>
      </c>
      <c r="H146">
        <v>0.26200000000000001</v>
      </c>
      <c r="I146" s="105">
        <v>41894</v>
      </c>
      <c r="J146">
        <v>0.34899999999999998</v>
      </c>
    </row>
    <row r="147" spans="1:10">
      <c r="A147" s="105">
        <v>41893</v>
      </c>
      <c r="B147">
        <v>7.0000000000000001E-3</v>
      </c>
      <c r="C147" s="105">
        <v>41893</v>
      </c>
      <c r="D147">
        <v>8.4000000000000005E-2</v>
      </c>
      <c r="E147" s="105">
        <v>41893</v>
      </c>
      <c r="F147">
        <v>0.188</v>
      </c>
      <c r="G147" s="105">
        <v>41893</v>
      </c>
      <c r="H147">
        <v>0.26400000000000001</v>
      </c>
      <c r="I147" s="105">
        <v>41893</v>
      </c>
      <c r="J147">
        <v>0.35199999999999998</v>
      </c>
    </row>
    <row r="148" spans="1:10">
      <c r="A148" s="105">
        <v>41892</v>
      </c>
      <c r="B148">
        <v>0.01</v>
      </c>
      <c r="C148" s="105">
        <v>41892</v>
      </c>
      <c r="D148">
        <v>8.6999999999999994E-2</v>
      </c>
      <c r="E148" s="105">
        <v>41892</v>
      </c>
      <c r="F148">
        <v>0.191</v>
      </c>
      <c r="G148" s="105">
        <v>41892</v>
      </c>
      <c r="H148">
        <v>0.26800000000000002</v>
      </c>
      <c r="I148" s="105">
        <v>41892</v>
      </c>
      <c r="J148">
        <v>0.35699999999999998</v>
      </c>
    </row>
    <row r="149" spans="1:10">
      <c r="A149" s="105">
        <v>41891</v>
      </c>
      <c r="B149">
        <v>0.01</v>
      </c>
      <c r="C149" s="105">
        <v>41891</v>
      </c>
      <c r="D149">
        <v>8.8999999999999996E-2</v>
      </c>
      <c r="E149" s="105">
        <v>41891</v>
      </c>
      <c r="F149">
        <v>0.191</v>
      </c>
      <c r="G149" s="105">
        <v>41891</v>
      </c>
      <c r="H149">
        <v>0.27100000000000002</v>
      </c>
      <c r="I149" s="105">
        <v>41891</v>
      </c>
      <c r="J149">
        <v>0.36</v>
      </c>
    </row>
    <row r="150" spans="1:10">
      <c r="A150" s="105">
        <v>41890</v>
      </c>
      <c r="B150">
        <v>1.2999999999999999E-2</v>
      </c>
      <c r="C150" s="105">
        <v>41890</v>
      </c>
      <c r="D150">
        <v>9.4E-2</v>
      </c>
      <c r="E150" s="105">
        <v>41890</v>
      </c>
      <c r="F150">
        <v>0.19600000000000001</v>
      </c>
      <c r="G150" s="105">
        <v>41890</v>
      </c>
      <c r="H150">
        <v>0.27700000000000002</v>
      </c>
      <c r="I150" s="105">
        <v>41890</v>
      </c>
      <c r="J150">
        <v>0.36599999999999999</v>
      </c>
    </row>
    <row r="151" spans="1:10">
      <c r="A151" s="105">
        <v>41887</v>
      </c>
      <c r="B151">
        <v>1.9E-2</v>
      </c>
      <c r="C151" s="105">
        <v>41887</v>
      </c>
      <c r="D151">
        <v>0.104</v>
      </c>
      <c r="E151" s="105">
        <v>41887</v>
      </c>
      <c r="F151">
        <v>0.20300000000000001</v>
      </c>
      <c r="G151" s="105">
        <v>41887</v>
      </c>
      <c r="H151">
        <v>0.28599999999999998</v>
      </c>
      <c r="I151" s="105">
        <v>41887</v>
      </c>
      <c r="J151">
        <v>0.374</v>
      </c>
    </row>
    <row r="152" spans="1:10">
      <c r="A152" s="105">
        <v>41886</v>
      </c>
      <c r="B152">
        <v>5.8999999999999997E-2</v>
      </c>
      <c r="C152" s="105">
        <v>41886</v>
      </c>
      <c r="D152">
        <v>0.14899999999999999</v>
      </c>
      <c r="E152" s="105">
        <v>41886</v>
      </c>
      <c r="F152">
        <v>0.249</v>
      </c>
      <c r="G152" s="105">
        <v>41886</v>
      </c>
      <c r="H152">
        <v>0.32800000000000001</v>
      </c>
      <c r="I152" s="105">
        <v>41886</v>
      </c>
      <c r="J152">
        <v>0.41799999999999998</v>
      </c>
    </row>
    <row r="153" spans="1:10">
      <c r="A153" s="105">
        <v>41885</v>
      </c>
      <c r="B153">
        <v>6.0999999999999999E-2</v>
      </c>
      <c r="C153" s="105">
        <v>41885</v>
      </c>
      <c r="D153">
        <v>0.15</v>
      </c>
      <c r="E153" s="105">
        <v>41885</v>
      </c>
      <c r="F153">
        <v>0.25</v>
      </c>
      <c r="G153" s="105">
        <v>41885</v>
      </c>
      <c r="H153">
        <v>0.33</v>
      </c>
      <c r="I153" s="105">
        <v>41885</v>
      </c>
      <c r="J153">
        <v>0.41899999999999998</v>
      </c>
    </row>
    <row r="154" spans="1:10">
      <c r="A154" s="105">
        <v>41884</v>
      </c>
      <c r="B154">
        <v>0.06</v>
      </c>
      <c r="C154" s="105">
        <v>41884</v>
      </c>
      <c r="D154">
        <v>0.152</v>
      </c>
      <c r="E154" s="105">
        <v>41884</v>
      </c>
      <c r="F154">
        <v>0.252</v>
      </c>
      <c r="G154" s="105">
        <v>41884</v>
      </c>
      <c r="H154">
        <v>0.33400000000000002</v>
      </c>
      <c r="I154" s="105">
        <v>41884</v>
      </c>
      <c r="J154">
        <v>0.42</v>
      </c>
    </row>
    <row r="155" spans="1:10">
      <c r="A155" s="105">
        <v>41883</v>
      </c>
      <c r="B155">
        <v>6.6000000000000003E-2</v>
      </c>
      <c r="C155" s="105">
        <v>41883</v>
      </c>
      <c r="D155">
        <v>0.159</v>
      </c>
      <c r="E155" s="105">
        <v>41883</v>
      </c>
      <c r="F155">
        <v>0.25900000000000001</v>
      </c>
      <c r="G155" s="105">
        <v>41883</v>
      </c>
      <c r="H155">
        <v>0.34100000000000003</v>
      </c>
      <c r="I155" s="105">
        <v>41883</v>
      </c>
      <c r="J155">
        <v>0.42799999999999999</v>
      </c>
    </row>
    <row r="156" spans="1:10">
      <c r="A156" s="105">
        <v>41880</v>
      </c>
      <c r="B156">
        <v>6.7000000000000004E-2</v>
      </c>
      <c r="C156" s="105">
        <v>41880</v>
      </c>
      <c r="D156">
        <v>0.16300000000000001</v>
      </c>
      <c r="E156" s="105">
        <v>41880</v>
      </c>
      <c r="F156">
        <v>0.26400000000000001</v>
      </c>
      <c r="G156" s="105">
        <v>41880</v>
      </c>
      <c r="H156">
        <v>0.34599999999999997</v>
      </c>
      <c r="I156" s="105">
        <v>41880</v>
      </c>
      <c r="J156">
        <v>0.434</v>
      </c>
    </row>
    <row r="157" spans="1:10">
      <c r="A157" s="105">
        <v>41879</v>
      </c>
      <c r="B157">
        <v>6.8000000000000005E-2</v>
      </c>
      <c r="C157" s="105">
        <v>41879</v>
      </c>
      <c r="D157">
        <v>0.16700000000000001</v>
      </c>
      <c r="E157" s="105">
        <v>41879</v>
      </c>
      <c r="F157">
        <v>0.26700000000000002</v>
      </c>
      <c r="G157" s="105">
        <v>41879</v>
      </c>
      <c r="H157">
        <v>0.34899999999999998</v>
      </c>
      <c r="I157" s="105">
        <v>41879</v>
      </c>
      <c r="J157">
        <v>0.438</v>
      </c>
    </row>
    <row r="158" spans="1:10">
      <c r="A158" s="105">
        <v>41878</v>
      </c>
      <c r="B158">
        <v>6.9000000000000006E-2</v>
      </c>
      <c r="C158" s="105">
        <v>41878</v>
      </c>
      <c r="D158">
        <v>0.17</v>
      </c>
      <c r="E158" s="105">
        <v>41878</v>
      </c>
      <c r="F158">
        <v>0.26900000000000002</v>
      </c>
      <c r="G158" s="105">
        <v>41878</v>
      </c>
      <c r="H158">
        <v>0.35</v>
      </c>
      <c r="I158" s="105">
        <v>41878</v>
      </c>
      <c r="J158">
        <v>0.439</v>
      </c>
    </row>
    <row r="159" spans="1:10">
      <c r="A159" s="105">
        <v>41877</v>
      </c>
      <c r="B159">
        <v>7.0999999999999994E-2</v>
      </c>
      <c r="C159" s="105">
        <v>41877</v>
      </c>
      <c r="D159">
        <v>0.17100000000000001</v>
      </c>
      <c r="E159" s="105">
        <v>41877</v>
      </c>
      <c r="F159">
        <v>0.27100000000000002</v>
      </c>
      <c r="G159" s="105">
        <v>41877</v>
      </c>
      <c r="H159">
        <v>0.35399999999999998</v>
      </c>
      <c r="I159" s="105">
        <v>41877</v>
      </c>
      <c r="J159">
        <v>0.443</v>
      </c>
    </row>
    <row r="160" spans="1:10">
      <c r="A160" s="105">
        <v>41876</v>
      </c>
      <c r="B160">
        <v>7.3999999999999996E-2</v>
      </c>
      <c r="C160" s="105">
        <v>41876</v>
      </c>
      <c r="D160">
        <v>0.17499999999999999</v>
      </c>
      <c r="E160" s="105">
        <v>41876</v>
      </c>
      <c r="F160">
        <v>0.27400000000000002</v>
      </c>
      <c r="G160" s="105">
        <v>41876</v>
      </c>
      <c r="H160">
        <v>0.35899999999999999</v>
      </c>
      <c r="I160" s="105">
        <v>41876</v>
      </c>
      <c r="J160">
        <v>0.44800000000000001</v>
      </c>
    </row>
    <row r="161" spans="1:10">
      <c r="A161" s="105">
        <v>41873</v>
      </c>
      <c r="B161">
        <v>7.9000000000000001E-2</v>
      </c>
      <c r="C161" s="105">
        <v>41873</v>
      </c>
      <c r="D161">
        <v>0.183</v>
      </c>
      <c r="E161" s="105">
        <v>41873</v>
      </c>
      <c r="F161">
        <v>0.28799999999999998</v>
      </c>
      <c r="G161" s="105">
        <v>41873</v>
      </c>
      <c r="H161">
        <v>0.374</v>
      </c>
      <c r="I161" s="105">
        <v>41873</v>
      </c>
      <c r="J161">
        <v>0.46300000000000002</v>
      </c>
    </row>
    <row r="162" spans="1:10">
      <c r="A162" s="105">
        <v>41872</v>
      </c>
      <c r="B162">
        <v>8.1000000000000003E-2</v>
      </c>
      <c r="C162" s="105">
        <v>41872</v>
      </c>
      <c r="D162">
        <v>0.186</v>
      </c>
      <c r="E162" s="105">
        <v>41872</v>
      </c>
      <c r="F162">
        <v>0.28699999999999998</v>
      </c>
      <c r="G162" s="105">
        <v>41872</v>
      </c>
      <c r="H162">
        <v>0.375</v>
      </c>
      <c r="I162" s="105">
        <v>41872</v>
      </c>
      <c r="J162">
        <v>0.46400000000000002</v>
      </c>
    </row>
    <row r="163" spans="1:10">
      <c r="A163" s="105">
        <v>41871</v>
      </c>
      <c r="B163">
        <v>8.4000000000000005E-2</v>
      </c>
      <c r="C163" s="105">
        <v>41871</v>
      </c>
      <c r="D163">
        <v>0.187</v>
      </c>
      <c r="E163" s="105">
        <v>41871</v>
      </c>
      <c r="F163">
        <v>0.28899999999999998</v>
      </c>
      <c r="G163" s="105">
        <v>41871</v>
      </c>
      <c r="H163">
        <v>0.377</v>
      </c>
      <c r="I163" s="105">
        <v>41871</v>
      </c>
      <c r="J163">
        <v>0.46600000000000003</v>
      </c>
    </row>
    <row r="164" spans="1:10">
      <c r="A164" s="105">
        <v>41870</v>
      </c>
      <c r="B164">
        <v>8.6999999999999994E-2</v>
      </c>
      <c r="C164" s="105">
        <v>41870</v>
      </c>
      <c r="D164">
        <v>0.191</v>
      </c>
      <c r="E164" s="105">
        <v>41870</v>
      </c>
      <c r="F164">
        <v>0.29199999999999998</v>
      </c>
      <c r="G164" s="105">
        <v>41870</v>
      </c>
      <c r="H164">
        <v>0.38100000000000001</v>
      </c>
      <c r="I164" s="105">
        <v>41870</v>
      </c>
      <c r="J164">
        <v>0.46899999999999997</v>
      </c>
    </row>
    <row r="165" spans="1:10">
      <c r="A165" s="105">
        <v>41869</v>
      </c>
      <c r="B165">
        <v>8.8999999999999996E-2</v>
      </c>
      <c r="C165" s="105">
        <v>41869</v>
      </c>
      <c r="D165">
        <v>0.19600000000000001</v>
      </c>
      <c r="E165" s="105">
        <v>41869</v>
      </c>
      <c r="F165">
        <v>0.29699999999999999</v>
      </c>
      <c r="G165" s="105">
        <v>41869</v>
      </c>
      <c r="H165">
        <v>0.38600000000000001</v>
      </c>
      <c r="I165" s="105">
        <v>41869</v>
      </c>
      <c r="J165">
        <v>0.47399999999999998</v>
      </c>
    </row>
    <row r="166" spans="1:10">
      <c r="A166" s="105">
        <v>41866</v>
      </c>
      <c r="B166">
        <v>8.7999999999999995E-2</v>
      </c>
      <c r="C166" s="105">
        <v>41866</v>
      </c>
      <c r="D166">
        <v>0.19700000000000001</v>
      </c>
      <c r="E166" s="105">
        <v>41866</v>
      </c>
      <c r="F166">
        <v>0.29699999999999999</v>
      </c>
      <c r="G166" s="105">
        <v>41866</v>
      </c>
      <c r="H166">
        <v>0.38700000000000001</v>
      </c>
      <c r="I166" s="105">
        <v>41866</v>
      </c>
      <c r="J166">
        <v>0.47699999999999998</v>
      </c>
    </row>
    <row r="167" spans="1:10">
      <c r="A167" s="105">
        <v>41865</v>
      </c>
      <c r="B167">
        <v>8.8999999999999996E-2</v>
      </c>
      <c r="C167" s="105">
        <v>41865</v>
      </c>
      <c r="D167">
        <v>0.19800000000000001</v>
      </c>
      <c r="E167" s="105">
        <v>41865</v>
      </c>
      <c r="F167">
        <v>0.29799999999999999</v>
      </c>
      <c r="G167" s="105">
        <v>41865</v>
      </c>
      <c r="H167">
        <v>0.38900000000000001</v>
      </c>
      <c r="I167" s="105">
        <v>41865</v>
      </c>
      <c r="J167">
        <v>0.47799999999999998</v>
      </c>
    </row>
    <row r="168" spans="1:10">
      <c r="A168" s="105">
        <v>41864</v>
      </c>
      <c r="B168">
        <v>0.09</v>
      </c>
      <c r="C168" s="105">
        <v>41864</v>
      </c>
      <c r="D168">
        <v>0.19900000000000001</v>
      </c>
      <c r="E168" s="105">
        <v>41864</v>
      </c>
      <c r="F168">
        <v>0.29899999999999999</v>
      </c>
      <c r="G168" s="105">
        <v>41864</v>
      </c>
      <c r="H168">
        <v>0.39</v>
      </c>
      <c r="I168" s="105">
        <v>41864</v>
      </c>
      <c r="J168">
        <v>0.47899999999999998</v>
      </c>
    </row>
    <row r="169" spans="1:10">
      <c r="A169" s="105">
        <v>41863</v>
      </c>
      <c r="B169">
        <v>9.0999999999999998E-2</v>
      </c>
      <c r="C169" s="105">
        <v>41863</v>
      </c>
      <c r="D169">
        <v>0.20100000000000001</v>
      </c>
      <c r="E169" s="105">
        <v>41863</v>
      </c>
      <c r="F169">
        <v>0.3</v>
      </c>
      <c r="G169" s="105">
        <v>41863</v>
      </c>
      <c r="H169">
        <v>0.39</v>
      </c>
      <c r="I169" s="105">
        <v>41863</v>
      </c>
      <c r="J169">
        <v>0.47899999999999998</v>
      </c>
    </row>
    <row r="170" spans="1:10">
      <c r="A170" s="105">
        <v>41862</v>
      </c>
      <c r="B170">
        <v>9.1999999999999998E-2</v>
      </c>
      <c r="C170" s="105">
        <v>41862</v>
      </c>
      <c r="D170">
        <v>0.20200000000000001</v>
      </c>
      <c r="E170" s="105">
        <v>41862</v>
      </c>
      <c r="F170">
        <v>0.30099999999999999</v>
      </c>
      <c r="G170" s="105">
        <v>41862</v>
      </c>
      <c r="H170">
        <v>0.39200000000000002</v>
      </c>
      <c r="I170" s="105">
        <v>41862</v>
      </c>
      <c r="J170">
        <v>0.48199999999999998</v>
      </c>
    </row>
    <row r="171" spans="1:10">
      <c r="A171" s="105">
        <v>41859</v>
      </c>
      <c r="B171">
        <v>9.4E-2</v>
      </c>
      <c r="C171" s="105">
        <v>41859</v>
      </c>
      <c r="D171">
        <v>0.20300000000000001</v>
      </c>
      <c r="E171" s="105">
        <v>41859</v>
      </c>
      <c r="F171">
        <v>0.30199999999999999</v>
      </c>
      <c r="G171" s="105">
        <v>41859</v>
      </c>
      <c r="H171">
        <v>0.39300000000000002</v>
      </c>
      <c r="I171" s="105">
        <v>41859</v>
      </c>
      <c r="J171">
        <v>0.48199999999999998</v>
      </c>
    </row>
    <row r="172" spans="1:10">
      <c r="A172" s="105">
        <v>41858</v>
      </c>
      <c r="B172">
        <v>9.6000000000000002E-2</v>
      </c>
      <c r="C172" s="105">
        <v>41858</v>
      </c>
      <c r="D172">
        <v>0.20499999999999999</v>
      </c>
      <c r="E172" s="105">
        <v>41858</v>
      </c>
      <c r="F172">
        <v>0.30399999999999999</v>
      </c>
      <c r="G172" s="105">
        <v>41858</v>
      </c>
      <c r="H172">
        <v>0.39500000000000002</v>
      </c>
      <c r="I172" s="105">
        <v>41858</v>
      </c>
      <c r="J172">
        <v>0.48399999999999999</v>
      </c>
    </row>
    <row r="173" spans="1:10">
      <c r="A173" s="105">
        <v>41857</v>
      </c>
      <c r="B173">
        <v>9.6000000000000002E-2</v>
      </c>
      <c r="C173" s="105">
        <v>41857</v>
      </c>
      <c r="D173">
        <v>0.20599999999999999</v>
      </c>
      <c r="E173" s="105">
        <v>41857</v>
      </c>
      <c r="F173">
        <v>0.30599999999999999</v>
      </c>
      <c r="G173" s="105">
        <v>41857</v>
      </c>
      <c r="H173">
        <v>0.39800000000000002</v>
      </c>
      <c r="I173" s="105">
        <v>41857</v>
      </c>
      <c r="J173">
        <v>0.48699999999999999</v>
      </c>
    </row>
    <row r="174" spans="1:10">
      <c r="A174" s="105">
        <v>41856</v>
      </c>
      <c r="B174">
        <v>9.7000000000000003E-2</v>
      </c>
      <c r="C174" s="105">
        <v>41856</v>
      </c>
      <c r="D174">
        <v>0.20699999999999999</v>
      </c>
      <c r="E174" s="105">
        <v>41856</v>
      </c>
      <c r="F174">
        <v>0.307</v>
      </c>
      <c r="G174" s="105">
        <v>41856</v>
      </c>
      <c r="H174">
        <v>0.39800000000000002</v>
      </c>
      <c r="I174" s="105">
        <v>41856</v>
      </c>
      <c r="J174">
        <v>0.48799999999999999</v>
      </c>
    </row>
    <row r="175" spans="1:10">
      <c r="A175" s="105">
        <v>41855</v>
      </c>
      <c r="B175">
        <v>9.6000000000000002E-2</v>
      </c>
      <c r="C175" s="105">
        <v>41855</v>
      </c>
      <c r="D175">
        <v>0.20799999999999999</v>
      </c>
      <c r="E175" s="105">
        <v>41855</v>
      </c>
      <c r="F175">
        <v>0.307</v>
      </c>
      <c r="G175" s="105">
        <v>41855</v>
      </c>
      <c r="H175">
        <v>0.39900000000000002</v>
      </c>
      <c r="I175" s="105">
        <v>41855</v>
      </c>
      <c r="J175">
        <v>0.48799999999999999</v>
      </c>
    </row>
    <row r="176" spans="1:10">
      <c r="A176" s="105">
        <v>41852</v>
      </c>
      <c r="B176">
        <v>9.7000000000000003E-2</v>
      </c>
      <c r="C176" s="105">
        <v>41852</v>
      </c>
      <c r="D176">
        <v>0.20799999999999999</v>
      </c>
      <c r="E176" s="105">
        <v>41852</v>
      </c>
      <c r="F176">
        <v>0.308</v>
      </c>
      <c r="G176" s="105">
        <v>41852</v>
      </c>
      <c r="H176">
        <v>0.39900000000000002</v>
      </c>
      <c r="I176" s="105">
        <v>41852</v>
      </c>
      <c r="J176">
        <v>0.48899999999999999</v>
      </c>
    </row>
    <row r="177" spans="1:10">
      <c r="A177" s="105">
        <v>41851</v>
      </c>
      <c r="B177">
        <v>9.8000000000000004E-2</v>
      </c>
      <c r="C177" s="105">
        <v>41851</v>
      </c>
      <c r="D177">
        <v>0.20899999999999999</v>
      </c>
      <c r="E177" s="105">
        <v>41851</v>
      </c>
      <c r="F177">
        <v>0.30599999999999999</v>
      </c>
      <c r="G177" s="105">
        <v>41851</v>
      </c>
      <c r="H177">
        <v>0.39900000000000002</v>
      </c>
      <c r="I177" s="105">
        <v>41851</v>
      </c>
      <c r="J177">
        <v>0.48899999999999999</v>
      </c>
    </row>
    <row r="178" spans="1:10">
      <c r="A178" s="105">
        <v>41850</v>
      </c>
      <c r="B178">
        <v>9.8000000000000004E-2</v>
      </c>
      <c r="C178" s="105">
        <v>41850</v>
      </c>
      <c r="D178">
        <v>0.20899999999999999</v>
      </c>
      <c r="E178" s="105">
        <v>41850</v>
      </c>
      <c r="F178">
        <v>0.30499999999999999</v>
      </c>
      <c r="G178" s="105">
        <v>41850</v>
      </c>
      <c r="H178">
        <v>0.39900000000000002</v>
      </c>
      <c r="I178" s="105">
        <v>41850</v>
      </c>
      <c r="J178">
        <v>0.48899999999999999</v>
      </c>
    </row>
    <row r="179" spans="1:10">
      <c r="A179" s="105">
        <v>41849</v>
      </c>
      <c r="B179">
        <v>9.9000000000000005E-2</v>
      </c>
      <c r="C179" s="105">
        <v>41849</v>
      </c>
      <c r="D179">
        <v>0.20899999999999999</v>
      </c>
      <c r="E179" s="105">
        <v>41849</v>
      </c>
      <c r="F179">
        <v>0.30599999999999999</v>
      </c>
      <c r="G179" s="105">
        <v>41849</v>
      </c>
      <c r="H179">
        <v>0.39900000000000002</v>
      </c>
      <c r="I179" s="105">
        <v>41849</v>
      </c>
      <c r="J179">
        <v>0.48899999999999999</v>
      </c>
    </row>
    <row r="180" spans="1:10">
      <c r="A180" s="105">
        <v>41848</v>
      </c>
      <c r="B180">
        <v>9.9000000000000005E-2</v>
      </c>
      <c r="C180" s="105">
        <v>41848</v>
      </c>
      <c r="D180">
        <v>0.20899999999999999</v>
      </c>
      <c r="E180" s="105">
        <v>41848</v>
      </c>
      <c r="F180">
        <v>0.30599999999999999</v>
      </c>
      <c r="G180" s="105">
        <v>41848</v>
      </c>
      <c r="H180">
        <v>0.39800000000000002</v>
      </c>
      <c r="I180" s="105">
        <v>41848</v>
      </c>
      <c r="J180">
        <v>0.48899999999999999</v>
      </c>
    </row>
    <row r="181" spans="1:10">
      <c r="A181" s="105">
        <v>41845</v>
      </c>
      <c r="B181">
        <v>0.1</v>
      </c>
      <c r="C181" s="105">
        <v>41845</v>
      </c>
      <c r="D181">
        <v>0.20899999999999999</v>
      </c>
      <c r="E181" s="105">
        <v>41845</v>
      </c>
      <c r="F181">
        <v>0.307</v>
      </c>
      <c r="G181" s="105">
        <v>41845</v>
      </c>
      <c r="H181">
        <v>0.39900000000000002</v>
      </c>
      <c r="I181" s="105">
        <v>41845</v>
      </c>
      <c r="J181">
        <v>0.49</v>
      </c>
    </row>
    <row r="182" spans="1:10">
      <c r="A182" s="105">
        <v>41844</v>
      </c>
      <c r="B182">
        <v>9.9000000000000005E-2</v>
      </c>
      <c r="C182" s="105">
        <v>41844</v>
      </c>
      <c r="D182">
        <v>0.20899999999999999</v>
      </c>
      <c r="E182" s="105">
        <v>41844</v>
      </c>
      <c r="F182">
        <v>0.308</v>
      </c>
      <c r="G182" s="105">
        <v>41844</v>
      </c>
      <c r="H182">
        <v>0.39900000000000002</v>
      </c>
      <c r="I182" s="105">
        <v>41844</v>
      </c>
      <c r="J182">
        <v>0.49</v>
      </c>
    </row>
    <row r="183" spans="1:10">
      <c r="A183" s="105">
        <v>41843</v>
      </c>
      <c r="B183">
        <v>9.8000000000000004E-2</v>
      </c>
      <c r="C183" s="105">
        <v>41843</v>
      </c>
      <c r="D183">
        <v>0.20799999999999999</v>
      </c>
      <c r="E183" s="105">
        <v>41843</v>
      </c>
      <c r="F183">
        <v>0.308</v>
      </c>
      <c r="G183" s="105">
        <v>41843</v>
      </c>
      <c r="H183">
        <v>0.39900000000000002</v>
      </c>
      <c r="I183" s="105">
        <v>41843</v>
      </c>
      <c r="J183">
        <v>0.48899999999999999</v>
      </c>
    </row>
    <row r="184" spans="1:10">
      <c r="A184" s="105">
        <v>41842</v>
      </c>
      <c r="B184">
        <v>9.6000000000000002E-2</v>
      </c>
      <c r="C184" s="105">
        <v>41842</v>
      </c>
      <c r="D184">
        <v>0.20599999999999999</v>
      </c>
      <c r="E184" s="105">
        <v>41842</v>
      </c>
      <c r="F184">
        <v>0.30499999999999999</v>
      </c>
      <c r="G184" s="105">
        <v>41842</v>
      </c>
      <c r="H184">
        <v>0.39700000000000002</v>
      </c>
      <c r="I184" s="105">
        <v>41842</v>
      </c>
      <c r="J184">
        <v>0.48799999999999999</v>
      </c>
    </row>
    <row r="185" spans="1:10">
      <c r="A185" s="105">
        <v>41841</v>
      </c>
      <c r="B185">
        <v>9.6000000000000002E-2</v>
      </c>
      <c r="C185" s="105">
        <v>41841</v>
      </c>
      <c r="D185">
        <v>0.20399999999999999</v>
      </c>
      <c r="E185" s="105">
        <v>41841</v>
      </c>
      <c r="F185">
        <v>0.30299999999999999</v>
      </c>
      <c r="G185" s="105">
        <v>41841</v>
      </c>
      <c r="H185">
        <v>0.39300000000000002</v>
      </c>
      <c r="I185" s="105">
        <v>41841</v>
      </c>
      <c r="J185">
        <v>0.48599999999999999</v>
      </c>
    </row>
    <row r="186" spans="1:10">
      <c r="A186" s="105">
        <v>41838</v>
      </c>
      <c r="B186">
        <v>9.1999999999999998E-2</v>
      </c>
      <c r="C186" s="105">
        <v>41838</v>
      </c>
      <c r="D186">
        <v>0.20200000000000001</v>
      </c>
      <c r="E186" s="105">
        <v>41838</v>
      </c>
      <c r="F186">
        <v>0.30299999999999999</v>
      </c>
      <c r="G186" s="105">
        <v>41838</v>
      </c>
      <c r="H186">
        <v>0.39300000000000002</v>
      </c>
      <c r="I186" s="105">
        <v>41838</v>
      </c>
      <c r="J186">
        <v>0.48499999999999999</v>
      </c>
    </row>
    <row r="187" spans="1:10">
      <c r="A187" s="105">
        <v>41837</v>
      </c>
      <c r="B187">
        <v>9.0999999999999998E-2</v>
      </c>
      <c r="C187" s="105">
        <v>41837</v>
      </c>
      <c r="D187">
        <v>0.20100000000000001</v>
      </c>
      <c r="E187" s="105">
        <v>41837</v>
      </c>
      <c r="F187">
        <v>0.30299999999999999</v>
      </c>
      <c r="G187" s="105">
        <v>41837</v>
      </c>
      <c r="H187">
        <v>0.39200000000000002</v>
      </c>
      <c r="I187" s="105">
        <v>41837</v>
      </c>
      <c r="J187">
        <v>0.48599999999999999</v>
      </c>
    </row>
    <row r="188" spans="1:10">
      <c r="A188" s="105">
        <v>41836</v>
      </c>
      <c r="B188">
        <v>9.0999999999999998E-2</v>
      </c>
      <c r="C188" s="105">
        <v>41836</v>
      </c>
      <c r="D188">
        <v>0.20100000000000001</v>
      </c>
      <c r="E188" s="105">
        <v>41836</v>
      </c>
      <c r="F188">
        <v>0.30399999999999999</v>
      </c>
      <c r="G188" s="105">
        <v>41836</v>
      </c>
      <c r="H188">
        <v>0.39300000000000002</v>
      </c>
      <c r="I188" s="105">
        <v>41836</v>
      </c>
      <c r="J188">
        <v>0.48599999999999999</v>
      </c>
    </row>
    <row r="189" spans="1:10">
      <c r="A189" s="105">
        <v>41835</v>
      </c>
      <c r="B189">
        <v>9.1999999999999998E-2</v>
      </c>
      <c r="C189" s="105">
        <v>41835</v>
      </c>
      <c r="D189">
        <v>0.20200000000000001</v>
      </c>
      <c r="E189" s="105">
        <v>41835</v>
      </c>
      <c r="F189">
        <v>0.30599999999999999</v>
      </c>
      <c r="G189" s="105">
        <v>41835</v>
      </c>
      <c r="H189">
        <v>0.39400000000000002</v>
      </c>
      <c r="I189" s="105">
        <v>41835</v>
      </c>
      <c r="J189">
        <v>0.48699999999999999</v>
      </c>
    </row>
    <row r="190" spans="1:10">
      <c r="A190" s="105">
        <v>41834</v>
      </c>
      <c r="B190">
        <v>9.1999999999999998E-2</v>
      </c>
      <c r="C190" s="105">
        <v>41834</v>
      </c>
      <c r="D190">
        <v>0.20300000000000001</v>
      </c>
      <c r="E190" s="105">
        <v>41834</v>
      </c>
      <c r="F190">
        <v>0.30599999999999999</v>
      </c>
      <c r="G190" s="105">
        <v>41834</v>
      </c>
      <c r="H190">
        <v>0.39400000000000002</v>
      </c>
      <c r="I190" s="105">
        <v>41834</v>
      </c>
      <c r="J190">
        <v>0.48799999999999999</v>
      </c>
    </row>
    <row r="191" spans="1:10">
      <c r="A191" s="105">
        <v>41831</v>
      </c>
      <c r="B191">
        <v>9.2999999999999999E-2</v>
      </c>
      <c r="C191" s="105">
        <v>41831</v>
      </c>
      <c r="D191">
        <v>0.20300000000000001</v>
      </c>
      <c r="E191" s="105">
        <v>41831</v>
      </c>
      <c r="F191">
        <v>0.30499999999999999</v>
      </c>
      <c r="G191" s="105">
        <v>41831</v>
      </c>
      <c r="H191">
        <v>0.39400000000000002</v>
      </c>
      <c r="I191" s="105">
        <v>41831</v>
      </c>
      <c r="J191">
        <v>0.48699999999999999</v>
      </c>
    </row>
    <row r="192" spans="1:10">
      <c r="A192" s="105">
        <v>41830</v>
      </c>
      <c r="B192">
        <v>9.4E-2</v>
      </c>
      <c r="C192" s="105">
        <v>41830</v>
      </c>
      <c r="D192">
        <v>0.20200000000000001</v>
      </c>
      <c r="E192" s="105">
        <v>41830</v>
      </c>
      <c r="F192">
        <v>0.30399999999999999</v>
      </c>
      <c r="G192" s="105">
        <v>41830</v>
      </c>
      <c r="H192">
        <v>0.39400000000000002</v>
      </c>
      <c r="I192" s="105">
        <v>41830</v>
      </c>
      <c r="J192">
        <v>0.48699999999999999</v>
      </c>
    </row>
    <row r="193" spans="1:10">
      <c r="A193" s="105">
        <v>41829</v>
      </c>
      <c r="B193">
        <v>9.5000000000000001E-2</v>
      </c>
      <c r="C193" s="105">
        <v>41829</v>
      </c>
      <c r="D193">
        <v>0.20300000000000001</v>
      </c>
      <c r="E193" s="105">
        <v>41829</v>
      </c>
      <c r="F193">
        <v>0.30399999999999999</v>
      </c>
      <c r="G193" s="105">
        <v>41829</v>
      </c>
      <c r="H193">
        <v>0.39400000000000002</v>
      </c>
      <c r="I193" s="105">
        <v>41829</v>
      </c>
      <c r="J193">
        <v>0.48699999999999999</v>
      </c>
    </row>
    <row r="194" spans="1:10">
      <c r="A194" s="105">
        <v>41828</v>
      </c>
      <c r="B194">
        <v>9.6000000000000002E-2</v>
      </c>
      <c r="C194" s="105">
        <v>41828</v>
      </c>
      <c r="D194">
        <v>0.20300000000000001</v>
      </c>
      <c r="E194" s="105">
        <v>41828</v>
      </c>
      <c r="F194">
        <v>0.30299999999999999</v>
      </c>
      <c r="G194" s="105">
        <v>41828</v>
      </c>
      <c r="H194">
        <v>0.39300000000000002</v>
      </c>
      <c r="I194" s="105">
        <v>41828</v>
      </c>
      <c r="J194">
        <v>0.48599999999999999</v>
      </c>
    </row>
    <row r="195" spans="1:10">
      <c r="A195" s="105">
        <v>41827</v>
      </c>
      <c r="B195">
        <v>9.7000000000000003E-2</v>
      </c>
      <c r="C195" s="105">
        <v>41827</v>
      </c>
      <c r="D195">
        <v>0.20300000000000001</v>
      </c>
      <c r="E195" s="105">
        <v>41827</v>
      </c>
      <c r="F195">
        <v>0.30299999999999999</v>
      </c>
      <c r="G195" s="105">
        <v>41827</v>
      </c>
      <c r="H195">
        <v>0.39200000000000002</v>
      </c>
      <c r="I195" s="105">
        <v>41827</v>
      </c>
      <c r="J195">
        <v>0.48599999999999999</v>
      </c>
    </row>
    <row r="196" spans="1:10">
      <c r="A196" s="105">
        <v>41824</v>
      </c>
      <c r="B196">
        <v>9.7000000000000003E-2</v>
      </c>
      <c r="C196" s="105">
        <v>41824</v>
      </c>
      <c r="D196">
        <v>0.20399999999999999</v>
      </c>
      <c r="E196" s="105">
        <v>41824</v>
      </c>
      <c r="F196">
        <v>0.30299999999999999</v>
      </c>
      <c r="G196" s="105">
        <v>41824</v>
      </c>
      <c r="H196">
        <v>0.39200000000000002</v>
      </c>
      <c r="I196" s="105">
        <v>41824</v>
      </c>
      <c r="J196">
        <v>0.48599999999999999</v>
      </c>
    </row>
    <row r="197" spans="1:10">
      <c r="A197" s="105">
        <v>41823</v>
      </c>
      <c r="B197">
        <v>9.7000000000000003E-2</v>
      </c>
      <c r="C197" s="105">
        <v>41823</v>
      </c>
      <c r="D197">
        <v>0.20599999999999999</v>
      </c>
      <c r="E197" s="105">
        <v>41823</v>
      </c>
      <c r="F197">
        <v>0.30299999999999999</v>
      </c>
      <c r="G197" s="105">
        <v>41823</v>
      </c>
      <c r="H197">
        <v>0.39400000000000002</v>
      </c>
      <c r="I197" s="105">
        <v>41823</v>
      </c>
      <c r="J197">
        <v>0.48799999999999999</v>
      </c>
    </row>
    <row r="198" spans="1:10">
      <c r="A198" s="105">
        <v>41822</v>
      </c>
      <c r="B198">
        <v>9.6000000000000002E-2</v>
      </c>
      <c r="C198" s="105">
        <v>41822</v>
      </c>
      <c r="D198">
        <v>0.20499999999999999</v>
      </c>
      <c r="E198" s="105">
        <v>41822</v>
      </c>
      <c r="F198">
        <v>0.30299999999999999</v>
      </c>
      <c r="G198" s="105">
        <v>41822</v>
      </c>
      <c r="H198">
        <v>0.39300000000000002</v>
      </c>
      <c r="I198" s="105">
        <v>41822</v>
      </c>
      <c r="J198">
        <v>0.48699999999999999</v>
      </c>
    </row>
    <row r="199" spans="1:10">
      <c r="A199" s="105">
        <v>41821</v>
      </c>
      <c r="B199">
        <v>9.8000000000000004E-2</v>
      </c>
      <c r="C199" s="105">
        <v>41821</v>
      </c>
      <c r="D199">
        <v>0.20599999999999999</v>
      </c>
      <c r="E199" s="105">
        <v>41821</v>
      </c>
      <c r="F199">
        <v>0.30199999999999999</v>
      </c>
      <c r="G199" s="105">
        <v>41821</v>
      </c>
      <c r="H199">
        <v>0.39500000000000002</v>
      </c>
      <c r="I199" s="105">
        <v>41821</v>
      </c>
      <c r="J199">
        <v>0.48799999999999999</v>
      </c>
    </row>
    <row r="200" spans="1:10">
      <c r="A200" s="105">
        <v>41820</v>
      </c>
      <c r="B200">
        <v>9.9000000000000005E-2</v>
      </c>
      <c r="C200" s="105">
        <v>41820</v>
      </c>
      <c r="D200">
        <v>0.20699999999999999</v>
      </c>
      <c r="E200" s="105">
        <v>41820</v>
      </c>
      <c r="F200">
        <v>0.30299999999999999</v>
      </c>
      <c r="G200" s="105">
        <v>41820</v>
      </c>
      <c r="H200">
        <v>0.39400000000000002</v>
      </c>
      <c r="I200" s="105">
        <v>41820</v>
      </c>
      <c r="J200">
        <v>0.48799999999999999</v>
      </c>
    </row>
    <row r="201" spans="1:10">
      <c r="A201" s="105">
        <v>41817</v>
      </c>
      <c r="B201">
        <v>0.10100000000000001</v>
      </c>
      <c r="C201" s="105">
        <v>41817</v>
      </c>
      <c r="D201">
        <v>0.20699999999999999</v>
      </c>
      <c r="E201" s="105">
        <v>41817</v>
      </c>
      <c r="F201">
        <v>0.30299999999999999</v>
      </c>
      <c r="G201" s="105">
        <v>41817</v>
      </c>
      <c r="H201">
        <v>0.39400000000000002</v>
      </c>
      <c r="I201" s="105">
        <v>41817</v>
      </c>
      <c r="J201">
        <v>0.48799999999999999</v>
      </c>
    </row>
    <row r="202" spans="1:10">
      <c r="A202" s="105">
        <v>41816</v>
      </c>
      <c r="B202">
        <v>0.10299999999999999</v>
      </c>
      <c r="C202" s="105">
        <v>41816</v>
      </c>
      <c r="D202">
        <v>0.20899999999999999</v>
      </c>
      <c r="E202" s="105">
        <v>41816</v>
      </c>
      <c r="F202">
        <v>0.30499999999999999</v>
      </c>
      <c r="G202" s="105">
        <v>41816</v>
      </c>
      <c r="H202">
        <v>0.39500000000000002</v>
      </c>
      <c r="I202" s="105">
        <v>41816</v>
      </c>
      <c r="J202">
        <v>0.48799999999999999</v>
      </c>
    </row>
    <row r="203" spans="1:10">
      <c r="A203" s="105">
        <v>41815</v>
      </c>
      <c r="B203">
        <v>0.10299999999999999</v>
      </c>
      <c r="C203" s="105">
        <v>41815</v>
      </c>
      <c r="D203">
        <v>0.20799999999999999</v>
      </c>
      <c r="E203" s="105">
        <v>41815</v>
      </c>
      <c r="F203">
        <v>0.30599999999999999</v>
      </c>
      <c r="G203" s="105">
        <v>41815</v>
      </c>
      <c r="H203">
        <v>0.39400000000000002</v>
      </c>
      <c r="I203" s="105">
        <v>41815</v>
      </c>
      <c r="J203">
        <v>0.48699999999999999</v>
      </c>
    </row>
    <row r="204" spans="1:10">
      <c r="A204" s="105">
        <v>41814</v>
      </c>
      <c r="B204">
        <v>0.104</v>
      </c>
      <c r="C204" s="105">
        <v>41814</v>
      </c>
      <c r="D204">
        <v>0.21099999999999999</v>
      </c>
      <c r="E204" s="105">
        <v>41814</v>
      </c>
      <c r="F204">
        <v>0.30599999999999999</v>
      </c>
      <c r="G204" s="105">
        <v>41814</v>
      </c>
      <c r="H204">
        <v>0.39600000000000002</v>
      </c>
      <c r="I204" s="105">
        <v>41814</v>
      </c>
      <c r="J204">
        <v>0.48899999999999999</v>
      </c>
    </row>
    <row r="205" spans="1:10">
      <c r="A205" s="105">
        <v>41813</v>
      </c>
      <c r="B205">
        <v>0.105</v>
      </c>
      <c r="C205" s="105">
        <v>41813</v>
      </c>
      <c r="D205">
        <v>0.21099999999999999</v>
      </c>
      <c r="E205" s="105">
        <v>41813</v>
      </c>
      <c r="F205">
        <v>0.307</v>
      </c>
      <c r="G205" s="105">
        <v>41813</v>
      </c>
      <c r="H205">
        <v>0.39700000000000002</v>
      </c>
      <c r="I205" s="105">
        <v>41813</v>
      </c>
      <c r="J205">
        <v>0.48899999999999999</v>
      </c>
    </row>
    <row r="206" spans="1:10">
      <c r="A206" s="105">
        <v>41810</v>
      </c>
      <c r="B206">
        <v>0.108</v>
      </c>
      <c r="C206" s="105">
        <v>41810</v>
      </c>
      <c r="D206">
        <v>0.21199999999999999</v>
      </c>
      <c r="E206" s="105">
        <v>41810</v>
      </c>
      <c r="F206">
        <v>0.30599999999999999</v>
      </c>
      <c r="G206" s="105">
        <v>41810</v>
      </c>
      <c r="H206">
        <v>0.39700000000000002</v>
      </c>
      <c r="I206" s="105">
        <v>41810</v>
      </c>
      <c r="J206">
        <v>0.48899999999999999</v>
      </c>
    </row>
    <row r="207" spans="1:10">
      <c r="A207" s="105">
        <v>41809</v>
      </c>
      <c r="B207">
        <v>0.109</v>
      </c>
      <c r="C207" s="105">
        <v>41809</v>
      </c>
      <c r="D207">
        <v>0.21199999999999999</v>
      </c>
      <c r="E207" s="105">
        <v>41809</v>
      </c>
      <c r="F207">
        <v>0.30599999999999999</v>
      </c>
      <c r="G207" s="105">
        <v>41809</v>
      </c>
      <c r="H207">
        <v>0.39600000000000002</v>
      </c>
      <c r="I207" s="105">
        <v>41809</v>
      </c>
      <c r="J207">
        <v>0.48899999999999999</v>
      </c>
    </row>
    <row r="208" spans="1:10">
      <c r="A208" s="105">
        <v>41808</v>
      </c>
      <c r="B208">
        <v>0.113</v>
      </c>
      <c r="C208" s="105">
        <v>41808</v>
      </c>
      <c r="D208">
        <v>0.216</v>
      </c>
      <c r="E208" s="105">
        <v>41808</v>
      </c>
      <c r="F208">
        <v>0.309</v>
      </c>
      <c r="G208" s="105">
        <v>41808</v>
      </c>
      <c r="H208">
        <v>0.39700000000000002</v>
      </c>
      <c r="I208" s="105">
        <v>41808</v>
      </c>
      <c r="J208">
        <v>0.49</v>
      </c>
    </row>
    <row r="209" spans="1:10">
      <c r="A209" s="105">
        <v>41807</v>
      </c>
      <c r="B209">
        <v>0.11899999999999999</v>
      </c>
      <c r="C209" s="105">
        <v>41807</v>
      </c>
      <c r="D209">
        <v>0.217</v>
      </c>
      <c r="E209" s="105">
        <v>41807</v>
      </c>
      <c r="F209">
        <v>0.312</v>
      </c>
      <c r="G209" s="105">
        <v>41807</v>
      </c>
      <c r="H209">
        <v>0.39900000000000002</v>
      </c>
      <c r="I209" s="105">
        <v>41807</v>
      </c>
      <c r="J209">
        <v>0.49099999999999999</v>
      </c>
    </row>
    <row r="210" spans="1:10">
      <c r="A210" s="105">
        <v>41806</v>
      </c>
      <c r="B210">
        <v>0.126</v>
      </c>
      <c r="C210" s="105">
        <v>41806</v>
      </c>
      <c r="D210">
        <v>0.223</v>
      </c>
      <c r="E210" s="105">
        <v>41806</v>
      </c>
      <c r="F210">
        <v>0.316</v>
      </c>
      <c r="G210" s="105">
        <v>41806</v>
      </c>
      <c r="H210">
        <v>0.40400000000000003</v>
      </c>
      <c r="I210" s="105">
        <v>41806</v>
      </c>
      <c r="J210">
        <v>0.496</v>
      </c>
    </row>
    <row r="211" spans="1:10">
      <c r="A211" s="105">
        <v>41803</v>
      </c>
      <c r="B211">
        <v>0.14000000000000001</v>
      </c>
      <c r="C211" s="105">
        <v>41803</v>
      </c>
      <c r="D211">
        <v>0.23400000000000001</v>
      </c>
      <c r="E211" s="105">
        <v>41803</v>
      </c>
      <c r="F211">
        <v>0.32600000000000001</v>
      </c>
      <c r="G211" s="105">
        <v>41803</v>
      </c>
      <c r="H211">
        <v>0.41299999999999998</v>
      </c>
      <c r="I211" s="105">
        <v>41803</v>
      </c>
      <c r="J211">
        <v>0.50700000000000001</v>
      </c>
    </row>
    <row r="212" spans="1:10">
      <c r="A212" s="105">
        <v>41802</v>
      </c>
      <c r="B212">
        <v>0.156</v>
      </c>
      <c r="C212" s="105">
        <v>41802</v>
      </c>
      <c r="D212">
        <v>0.24199999999999999</v>
      </c>
      <c r="E212" s="105">
        <v>41802</v>
      </c>
      <c r="F212">
        <v>0.33300000000000002</v>
      </c>
      <c r="G212" s="105">
        <v>41802</v>
      </c>
      <c r="H212">
        <v>0.41899999999999998</v>
      </c>
      <c r="I212" s="105">
        <v>41802</v>
      </c>
      <c r="J212">
        <v>0.51100000000000001</v>
      </c>
    </row>
    <row r="213" spans="1:10">
      <c r="A213" s="105">
        <v>41801</v>
      </c>
      <c r="B213">
        <v>0.17899999999999999</v>
      </c>
      <c r="C213" s="105">
        <v>41801</v>
      </c>
      <c r="D213">
        <v>0.25800000000000001</v>
      </c>
      <c r="E213" s="105">
        <v>41801</v>
      </c>
      <c r="F213">
        <v>0.34799999999999998</v>
      </c>
      <c r="G213" s="105">
        <v>41801</v>
      </c>
      <c r="H213">
        <v>0.433</v>
      </c>
      <c r="I213" s="105">
        <v>41801</v>
      </c>
      <c r="J213">
        <v>0.52500000000000002</v>
      </c>
    </row>
    <row r="214" spans="1:10">
      <c r="A214" s="105">
        <v>41800</v>
      </c>
      <c r="B214">
        <v>0.188</v>
      </c>
      <c r="C214" s="105">
        <v>41800</v>
      </c>
      <c r="D214">
        <v>0.26300000000000001</v>
      </c>
      <c r="E214" s="105">
        <v>41800</v>
      </c>
      <c r="F214">
        <v>0.35299999999999998</v>
      </c>
      <c r="G214" s="105">
        <v>41800</v>
      </c>
      <c r="H214">
        <v>0.437</v>
      </c>
      <c r="I214" s="105">
        <v>41800</v>
      </c>
      <c r="J214">
        <v>0.52800000000000002</v>
      </c>
    </row>
    <row r="215" spans="1:10">
      <c r="A215" s="105">
        <v>41799</v>
      </c>
      <c r="B215">
        <v>0.192</v>
      </c>
      <c r="C215" s="105">
        <v>41799</v>
      </c>
      <c r="D215">
        <v>0.26400000000000001</v>
      </c>
      <c r="E215" s="105">
        <v>41799</v>
      </c>
      <c r="F215">
        <v>0.35399999999999998</v>
      </c>
      <c r="G215" s="105">
        <v>41799</v>
      </c>
      <c r="H215">
        <v>0.438</v>
      </c>
      <c r="I215" s="105">
        <v>41799</v>
      </c>
      <c r="J215">
        <v>0.52900000000000003</v>
      </c>
    </row>
    <row r="216" spans="1:10">
      <c r="A216" s="105">
        <v>41796</v>
      </c>
      <c r="B216">
        <v>0.19700000000000001</v>
      </c>
      <c r="C216" s="105">
        <v>41796</v>
      </c>
      <c r="D216">
        <v>0.26700000000000002</v>
      </c>
      <c r="E216" s="105">
        <v>41796</v>
      </c>
      <c r="F216">
        <v>0.35699999999999998</v>
      </c>
      <c r="G216" s="105">
        <v>41796</v>
      </c>
      <c r="H216">
        <v>0.443</v>
      </c>
      <c r="I216" s="105">
        <v>41796</v>
      </c>
      <c r="J216">
        <v>0.53300000000000003</v>
      </c>
    </row>
    <row r="217" spans="1:10">
      <c r="A217" s="105">
        <v>41795</v>
      </c>
      <c r="B217">
        <v>0.23</v>
      </c>
      <c r="C217" s="105">
        <v>41795</v>
      </c>
      <c r="D217">
        <v>0.29199999999999998</v>
      </c>
      <c r="E217" s="105">
        <v>41795</v>
      </c>
      <c r="F217">
        <v>0.376</v>
      </c>
      <c r="G217" s="105">
        <v>41795</v>
      </c>
      <c r="H217">
        <v>0.46300000000000002</v>
      </c>
      <c r="I217" s="105">
        <v>41795</v>
      </c>
      <c r="J217">
        <v>0.55200000000000005</v>
      </c>
    </row>
    <row r="218" spans="1:10">
      <c r="A218" s="105">
        <v>41794</v>
      </c>
      <c r="B218">
        <v>0.24099999999999999</v>
      </c>
      <c r="C218" s="105">
        <v>41794</v>
      </c>
      <c r="D218">
        <v>0.30099999999999999</v>
      </c>
      <c r="E218" s="105">
        <v>41794</v>
      </c>
      <c r="F218">
        <v>0.38600000000000001</v>
      </c>
      <c r="G218" s="105">
        <v>41794</v>
      </c>
      <c r="H218">
        <v>0.47199999999999998</v>
      </c>
      <c r="I218" s="105">
        <v>41794</v>
      </c>
      <c r="J218">
        <v>0.56200000000000006</v>
      </c>
    </row>
    <row r="219" spans="1:10">
      <c r="A219" s="105">
        <v>41793</v>
      </c>
      <c r="B219">
        <v>0.248</v>
      </c>
      <c r="C219" s="105">
        <v>41793</v>
      </c>
      <c r="D219">
        <v>0.307</v>
      </c>
      <c r="E219" s="105">
        <v>41793</v>
      </c>
      <c r="F219">
        <v>0.39100000000000001</v>
      </c>
      <c r="G219" s="105">
        <v>41793</v>
      </c>
      <c r="H219">
        <v>0.47599999999999998</v>
      </c>
      <c r="I219" s="105">
        <v>41793</v>
      </c>
      <c r="J219">
        <v>0.56699999999999995</v>
      </c>
    </row>
    <row r="220" spans="1:10">
      <c r="A220" s="105">
        <v>41792</v>
      </c>
      <c r="B220">
        <v>0.25</v>
      </c>
      <c r="C220" s="105">
        <v>41792</v>
      </c>
      <c r="D220">
        <v>0.309</v>
      </c>
      <c r="E220" s="105">
        <v>41792</v>
      </c>
      <c r="F220">
        <v>0.39400000000000002</v>
      </c>
      <c r="G220" s="105">
        <v>41792</v>
      </c>
      <c r="H220">
        <v>0.47699999999999998</v>
      </c>
      <c r="I220" s="105">
        <v>41792</v>
      </c>
      <c r="J220">
        <v>0.56899999999999995</v>
      </c>
    </row>
    <row r="221" spans="1:10">
      <c r="A221" s="105">
        <v>41789</v>
      </c>
      <c r="B221">
        <v>0.251</v>
      </c>
      <c r="C221" s="105">
        <v>41789</v>
      </c>
      <c r="D221">
        <v>0.311</v>
      </c>
      <c r="E221" s="105">
        <v>41789</v>
      </c>
      <c r="F221">
        <v>0.39700000000000002</v>
      </c>
      <c r="G221" s="105">
        <v>41789</v>
      </c>
      <c r="H221">
        <v>0.48</v>
      </c>
      <c r="I221" s="105">
        <v>41789</v>
      </c>
      <c r="J221">
        <v>0.57199999999999995</v>
      </c>
    </row>
    <row r="222" spans="1:10">
      <c r="A222" s="105">
        <v>41788</v>
      </c>
      <c r="B222">
        <v>0.251</v>
      </c>
      <c r="C222" s="105">
        <v>41788</v>
      </c>
      <c r="D222">
        <v>0.31</v>
      </c>
      <c r="E222" s="105">
        <v>41788</v>
      </c>
      <c r="F222">
        <v>0.39700000000000002</v>
      </c>
      <c r="G222" s="105">
        <v>41788</v>
      </c>
      <c r="H222">
        <v>0.48099999999999998</v>
      </c>
      <c r="I222" s="105">
        <v>41788</v>
      </c>
      <c r="J222">
        <v>0.57199999999999995</v>
      </c>
    </row>
    <row r="223" spans="1:10">
      <c r="A223" s="105">
        <v>41787</v>
      </c>
      <c r="B223">
        <v>0.255</v>
      </c>
      <c r="C223" s="105">
        <v>41787</v>
      </c>
      <c r="D223">
        <v>0.314</v>
      </c>
      <c r="E223" s="105">
        <v>41787</v>
      </c>
      <c r="F223">
        <v>0.39900000000000002</v>
      </c>
      <c r="G223" s="105">
        <v>41787</v>
      </c>
      <c r="H223">
        <v>0.48399999999999999</v>
      </c>
      <c r="I223" s="105">
        <v>41787</v>
      </c>
      <c r="J223">
        <v>0.57399999999999995</v>
      </c>
    </row>
    <row r="224" spans="1:10">
      <c r="A224" s="105">
        <v>41786</v>
      </c>
      <c r="B224">
        <v>0.25700000000000001</v>
      </c>
      <c r="C224" s="105">
        <v>41786</v>
      </c>
      <c r="D224">
        <v>0.316</v>
      </c>
      <c r="E224" s="105">
        <v>41786</v>
      </c>
      <c r="F224">
        <v>0.4</v>
      </c>
      <c r="G224" s="105">
        <v>41786</v>
      </c>
      <c r="H224">
        <v>0.48499999999999999</v>
      </c>
      <c r="I224" s="105">
        <v>41786</v>
      </c>
      <c r="J224">
        <v>0.57299999999999995</v>
      </c>
    </row>
    <row r="225" spans="1:10">
      <c r="A225" s="105">
        <v>41785</v>
      </c>
      <c r="B225">
        <v>0.25800000000000001</v>
      </c>
      <c r="C225" s="105">
        <v>41785</v>
      </c>
      <c r="D225">
        <v>0.317</v>
      </c>
      <c r="E225" s="105">
        <v>41785</v>
      </c>
      <c r="F225">
        <v>0.40400000000000003</v>
      </c>
      <c r="G225" s="105">
        <v>41785</v>
      </c>
      <c r="H225">
        <v>0.48899999999999999</v>
      </c>
      <c r="I225" s="105">
        <v>41785</v>
      </c>
      <c r="J225">
        <v>0.57599999999999996</v>
      </c>
    </row>
    <row r="226" spans="1:10">
      <c r="A226" s="105">
        <v>41782</v>
      </c>
      <c r="B226">
        <v>0.26100000000000001</v>
      </c>
      <c r="C226" s="105">
        <v>41782</v>
      </c>
      <c r="D226">
        <v>0.317</v>
      </c>
      <c r="E226" s="105">
        <v>41782</v>
      </c>
      <c r="F226">
        <v>0.40600000000000003</v>
      </c>
      <c r="G226" s="105">
        <v>41782</v>
      </c>
      <c r="H226">
        <v>0.49199999999999999</v>
      </c>
      <c r="I226" s="105">
        <v>41782</v>
      </c>
      <c r="J226">
        <v>0.57799999999999996</v>
      </c>
    </row>
    <row r="227" spans="1:10">
      <c r="A227" s="105">
        <v>41781</v>
      </c>
      <c r="B227">
        <v>0.26200000000000001</v>
      </c>
      <c r="C227" s="105">
        <v>41781</v>
      </c>
      <c r="D227">
        <v>0.318</v>
      </c>
      <c r="E227" s="105">
        <v>41781</v>
      </c>
      <c r="F227">
        <v>0.40699999999999997</v>
      </c>
      <c r="G227" s="105">
        <v>41781</v>
      </c>
      <c r="H227">
        <v>0.496</v>
      </c>
      <c r="I227" s="105">
        <v>41781</v>
      </c>
      <c r="J227">
        <v>0.58299999999999996</v>
      </c>
    </row>
    <row r="228" spans="1:10">
      <c r="A228" s="105">
        <v>41780</v>
      </c>
      <c r="B228">
        <v>0.25900000000000001</v>
      </c>
      <c r="C228" s="105">
        <v>41780</v>
      </c>
      <c r="D228">
        <v>0.31900000000000001</v>
      </c>
      <c r="E228" s="105">
        <v>41780</v>
      </c>
      <c r="F228">
        <v>0.40699999999999997</v>
      </c>
      <c r="G228" s="105">
        <v>41780</v>
      </c>
      <c r="H228">
        <v>0.495</v>
      </c>
      <c r="I228" s="105">
        <v>41780</v>
      </c>
      <c r="J228">
        <v>0.58299999999999996</v>
      </c>
    </row>
    <row r="229" spans="1:10">
      <c r="A229" s="105">
        <v>41779</v>
      </c>
      <c r="B229">
        <v>0.25600000000000001</v>
      </c>
      <c r="C229" s="105">
        <v>41779</v>
      </c>
      <c r="D229">
        <v>0.318</v>
      </c>
      <c r="E229" s="105">
        <v>41779</v>
      </c>
      <c r="F229">
        <v>0.40699999999999997</v>
      </c>
      <c r="G229" s="105">
        <v>41779</v>
      </c>
      <c r="H229">
        <v>0.496</v>
      </c>
      <c r="I229" s="105">
        <v>41779</v>
      </c>
      <c r="J229">
        <v>0.58499999999999996</v>
      </c>
    </row>
    <row r="230" spans="1:10">
      <c r="A230" s="105">
        <v>41778</v>
      </c>
      <c r="B230">
        <v>0.25700000000000001</v>
      </c>
      <c r="C230" s="105">
        <v>41778</v>
      </c>
      <c r="D230">
        <v>0.318</v>
      </c>
      <c r="E230" s="105">
        <v>41778</v>
      </c>
      <c r="F230">
        <v>0.40899999999999997</v>
      </c>
      <c r="G230" s="105">
        <v>41778</v>
      </c>
      <c r="H230">
        <v>0.497</v>
      </c>
      <c r="I230" s="105">
        <v>41778</v>
      </c>
      <c r="J230">
        <v>0.58599999999999997</v>
      </c>
    </row>
    <row r="231" spans="1:10">
      <c r="A231" s="105">
        <v>41775</v>
      </c>
      <c r="B231">
        <v>0.25700000000000001</v>
      </c>
      <c r="C231" s="105">
        <v>41775</v>
      </c>
      <c r="D231">
        <v>0.318</v>
      </c>
      <c r="E231" s="105">
        <v>41775</v>
      </c>
      <c r="F231">
        <v>0.41</v>
      </c>
      <c r="G231" s="105">
        <v>41775</v>
      </c>
      <c r="H231">
        <v>0.497</v>
      </c>
      <c r="I231" s="105">
        <v>41775</v>
      </c>
      <c r="J231">
        <v>0.58599999999999997</v>
      </c>
    </row>
    <row r="232" spans="1:10">
      <c r="A232" s="105">
        <v>41774</v>
      </c>
      <c r="B232">
        <v>0.25900000000000001</v>
      </c>
      <c r="C232" s="105">
        <v>41774</v>
      </c>
      <c r="D232">
        <v>0.32100000000000001</v>
      </c>
      <c r="E232" s="105">
        <v>41774</v>
      </c>
      <c r="F232">
        <v>0.41299999999999998</v>
      </c>
      <c r="G232" s="105">
        <v>41774</v>
      </c>
      <c r="H232">
        <v>0.498</v>
      </c>
      <c r="I232" s="105">
        <v>41774</v>
      </c>
      <c r="J232">
        <v>0.58699999999999997</v>
      </c>
    </row>
    <row r="233" spans="1:10">
      <c r="A233" s="105">
        <v>41773</v>
      </c>
      <c r="B233">
        <v>0.26300000000000001</v>
      </c>
      <c r="C233" s="105">
        <v>41773</v>
      </c>
      <c r="D233">
        <v>0.32800000000000001</v>
      </c>
      <c r="E233" s="105">
        <v>41773</v>
      </c>
      <c r="F233">
        <v>0.42099999999999999</v>
      </c>
      <c r="G233" s="105">
        <v>41773</v>
      </c>
      <c r="H233">
        <v>0.50700000000000001</v>
      </c>
      <c r="I233" s="105">
        <v>41773</v>
      </c>
      <c r="J233">
        <v>0.59599999999999997</v>
      </c>
    </row>
    <row r="234" spans="1:10">
      <c r="A234" s="105">
        <v>41772</v>
      </c>
      <c r="B234">
        <v>0.26800000000000002</v>
      </c>
      <c r="C234" s="105">
        <v>41772</v>
      </c>
      <c r="D234">
        <v>0.33500000000000002</v>
      </c>
      <c r="E234" s="105">
        <v>41772</v>
      </c>
      <c r="F234">
        <v>0.42899999999999999</v>
      </c>
      <c r="G234" s="105">
        <v>41772</v>
      </c>
      <c r="H234">
        <v>0.51400000000000001</v>
      </c>
      <c r="I234" s="105">
        <v>41772</v>
      </c>
      <c r="J234">
        <v>0.60499999999999998</v>
      </c>
    </row>
    <row r="235" spans="1:10">
      <c r="A235" s="105">
        <v>41771</v>
      </c>
      <c r="B235">
        <v>0.26700000000000002</v>
      </c>
      <c r="C235" s="105">
        <v>41771</v>
      </c>
      <c r="D235">
        <v>0.33500000000000002</v>
      </c>
      <c r="E235" s="105">
        <v>41771</v>
      </c>
      <c r="F235">
        <v>0.43</v>
      </c>
      <c r="G235" s="105">
        <v>41771</v>
      </c>
      <c r="H235">
        <v>0.51600000000000001</v>
      </c>
      <c r="I235" s="105">
        <v>41771</v>
      </c>
      <c r="J235">
        <v>0.60699999999999998</v>
      </c>
    </row>
    <row r="236" spans="1:10">
      <c r="A236" s="105">
        <v>41768</v>
      </c>
      <c r="B236">
        <v>0.26600000000000001</v>
      </c>
      <c r="C236" s="105">
        <v>41768</v>
      </c>
      <c r="D236">
        <v>0.33600000000000002</v>
      </c>
      <c r="E236" s="105">
        <v>41768</v>
      </c>
      <c r="F236">
        <v>0.43099999999999999</v>
      </c>
      <c r="G236" s="105">
        <v>41768</v>
      </c>
      <c r="H236">
        <v>0.51600000000000001</v>
      </c>
      <c r="I236" s="105">
        <v>41768</v>
      </c>
      <c r="J236">
        <v>0.60599999999999998</v>
      </c>
    </row>
    <row r="237" spans="1:10">
      <c r="A237" s="105">
        <v>41767</v>
      </c>
      <c r="B237">
        <v>0.26200000000000001</v>
      </c>
      <c r="C237" s="105">
        <v>41767</v>
      </c>
      <c r="D237">
        <v>0.33800000000000002</v>
      </c>
      <c r="E237" s="105">
        <v>41767</v>
      </c>
      <c r="F237">
        <v>0.438</v>
      </c>
      <c r="G237" s="105">
        <v>41767</v>
      </c>
      <c r="H237">
        <v>0.52700000000000002</v>
      </c>
      <c r="I237" s="105">
        <v>41767</v>
      </c>
      <c r="J237">
        <v>0.61699999999999999</v>
      </c>
    </row>
    <row r="238" spans="1:10">
      <c r="A238" s="105">
        <v>41766</v>
      </c>
      <c r="B238">
        <v>0.26200000000000001</v>
      </c>
      <c r="C238" s="105">
        <v>41766</v>
      </c>
      <c r="D238">
        <v>0.33800000000000002</v>
      </c>
      <c r="E238" s="105">
        <v>41766</v>
      </c>
      <c r="F238">
        <v>0.437</v>
      </c>
      <c r="G238" s="105">
        <v>41766</v>
      </c>
      <c r="H238">
        <v>0.52500000000000002</v>
      </c>
      <c r="I238" s="105">
        <v>41766</v>
      </c>
      <c r="J238">
        <v>0.61399999999999999</v>
      </c>
    </row>
    <row r="239" spans="1:10">
      <c r="A239" s="105">
        <v>41765</v>
      </c>
      <c r="B239">
        <v>0.25700000000000001</v>
      </c>
      <c r="C239" s="105">
        <v>41765</v>
      </c>
      <c r="D239">
        <v>0.33700000000000002</v>
      </c>
      <c r="E239" s="105">
        <v>41765</v>
      </c>
      <c r="F239">
        <v>0.438</v>
      </c>
      <c r="G239" s="105">
        <v>41765</v>
      </c>
      <c r="H239">
        <v>0.52400000000000002</v>
      </c>
      <c r="I239" s="105">
        <v>41765</v>
      </c>
      <c r="J239">
        <v>0.61299999999999999</v>
      </c>
    </row>
    <row r="240" spans="1:10">
      <c r="A240" s="105">
        <v>41764</v>
      </c>
      <c r="B240">
        <v>0.25800000000000001</v>
      </c>
      <c r="C240" s="105">
        <v>41764</v>
      </c>
      <c r="D240">
        <v>0.33600000000000002</v>
      </c>
      <c r="E240" s="105">
        <v>41764</v>
      </c>
      <c r="F240">
        <v>0.437</v>
      </c>
      <c r="G240" s="105">
        <v>41764</v>
      </c>
      <c r="H240">
        <v>0.52200000000000002</v>
      </c>
      <c r="I240" s="105">
        <v>41764</v>
      </c>
      <c r="J240">
        <v>0.61299999999999999</v>
      </c>
    </row>
    <row r="241" spans="1:10">
      <c r="A241" s="105">
        <v>41761</v>
      </c>
      <c r="B241">
        <v>0.25800000000000001</v>
      </c>
      <c r="C241" s="105">
        <v>41761</v>
      </c>
      <c r="D241">
        <v>0.33600000000000002</v>
      </c>
      <c r="E241" s="105">
        <v>41761</v>
      </c>
      <c r="F241">
        <v>0.437</v>
      </c>
      <c r="G241" s="105">
        <v>41761</v>
      </c>
      <c r="H241">
        <v>0.52200000000000002</v>
      </c>
      <c r="I241" s="105">
        <v>41761</v>
      </c>
      <c r="J241">
        <v>0.61199999999999999</v>
      </c>
    </row>
    <row r="242" spans="1:10">
      <c r="A242" s="105">
        <v>41759</v>
      </c>
      <c r="B242">
        <v>0.26100000000000001</v>
      </c>
      <c r="C242" s="105">
        <v>41759</v>
      </c>
      <c r="D242">
        <v>0.33900000000000002</v>
      </c>
      <c r="E242" s="105">
        <v>41759</v>
      </c>
      <c r="F242">
        <v>0.438</v>
      </c>
      <c r="G242" s="105">
        <v>41759</v>
      </c>
      <c r="H242">
        <v>0.52200000000000002</v>
      </c>
      <c r="I242" s="105">
        <v>41759</v>
      </c>
      <c r="J242">
        <v>0.61399999999999999</v>
      </c>
    </row>
    <row r="243" spans="1:10">
      <c r="A243" s="105">
        <v>41758</v>
      </c>
      <c r="B243">
        <v>0.26900000000000002</v>
      </c>
      <c r="C243" s="105">
        <v>41758</v>
      </c>
      <c r="D243">
        <v>0.34699999999999998</v>
      </c>
      <c r="E243" s="105">
        <v>41758</v>
      </c>
      <c r="F243">
        <v>0.44400000000000001</v>
      </c>
      <c r="G243" s="105">
        <v>41758</v>
      </c>
      <c r="H243">
        <v>0.52900000000000003</v>
      </c>
      <c r="I243" s="105">
        <v>41758</v>
      </c>
      <c r="J243">
        <v>0.621</v>
      </c>
    </row>
    <row r="244" spans="1:10">
      <c r="A244" s="105">
        <v>41757</v>
      </c>
      <c r="B244">
        <v>0.26900000000000002</v>
      </c>
      <c r="C244" s="105">
        <v>41757</v>
      </c>
      <c r="D244">
        <v>0.34499999999999997</v>
      </c>
      <c r="E244" s="105">
        <v>41757</v>
      </c>
      <c r="F244">
        <v>0.44400000000000001</v>
      </c>
      <c r="G244" s="105">
        <v>41757</v>
      </c>
      <c r="H244">
        <v>0.52900000000000003</v>
      </c>
      <c r="I244" s="105">
        <v>41757</v>
      </c>
      <c r="J244">
        <v>0.62</v>
      </c>
    </row>
    <row r="245" spans="1:10">
      <c r="A245" s="105">
        <v>41754</v>
      </c>
      <c r="B245">
        <v>0.26900000000000002</v>
      </c>
      <c r="C245" s="105">
        <v>41754</v>
      </c>
      <c r="D245">
        <v>0.34399999999999997</v>
      </c>
      <c r="E245" s="105">
        <v>41754</v>
      </c>
      <c r="F245">
        <v>0.443</v>
      </c>
      <c r="G245" s="105">
        <v>41754</v>
      </c>
      <c r="H245">
        <v>0.52800000000000002</v>
      </c>
      <c r="I245" s="105">
        <v>41754</v>
      </c>
      <c r="J245">
        <v>0.61899999999999999</v>
      </c>
    </row>
    <row r="246" spans="1:10">
      <c r="A246" s="105">
        <v>41753</v>
      </c>
      <c r="B246">
        <v>0.26100000000000001</v>
      </c>
      <c r="C246" s="105">
        <v>41753</v>
      </c>
      <c r="D246">
        <v>0.33700000000000002</v>
      </c>
      <c r="E246" s="105">
        <v>41753</v>
      </c>
      <c r="F246">
        <v>0.437</v>
      </c>
      <c r="G246" s="105">
        <v>41753</v>
      </c>
      <c r="H246">
        <v>0.52100000000000002</v>
      </c>
      <c r="I246" s="105">
        <v>41753</v>
      </c>
      <c r="J246">
        <v>0.61099999999999999</v>
      </c>
    </row>
    <row r="247" spans="1:10">
      <c r="A247" s="105">
        <v>41752</v>
      </c>
      <c r="B247">
        <v>0.253</v>
      </c>
      <c r="C247" s="105">
        <v>41752</v>
      </c>
      <c r="D247">
        <v>0.33200000000000002</v>
      </c>
      <c r="E247" s="105">
        <v>41752</v>
      </c>
      <c r="F247">
        <v>0.432</v>
      </c>
      <c r="G247" s="105">
        <v>41752</v>
      </c>
      <c r="H247">
        <v>0.51600000000000001</v>
      </c>
      <c r="I247" s="105">
        <v>41752</v>
      </c>
      <c r="J247">
        <v>0.60599999999999998</v>
      </c>
    </row>
    <row r="248" spans="1:10">
      <c r="A248" s="105">
        <v>41751</v>
      </c>
      <c r="B248">
        <v>0.248</v>
      </c>
      <c r="C248" s="105">
        <v>41751</v>
      </c>
      <c r="D248">
        <v>0.32900000000000001</v>
      </c>
      <c r="E248" s="105">
        <v>41751</v>
      </c>
      <c r="F248">
        <v>0.42899999999999999</v>
      </c>
      <c r="G248" s="105">
        <v>41751</v>
      </c>
      <c r="H248">
        <v>0.51200000000000001</v>
      </c>
      <c r="I248" s="105">
        <v>41751</v>
      </c>
      <c r="J248">
        <v>0.60299999999999998</v>
      </c>
    </row>
    <row r="249" spans="1:10">
      <c r="A249" s="105">
        <v>41746</v>
      </c>
      <c r="B249">
        <v>0.246</v>
      </c>
      <c r="C249" s="105">
        <v>41746</v>
      </c>
      <c r="D249">
        <v>0.32800000000000001</v>
      </c>
      <c r="E249" s="105">
        <v>41746</v>
      </c>
      <c r="F249">
        <v>0.42599999999999999</v>
      </c>
      <c r="G249" s="105">
        <v>41746</v>
      </c>
      <c r="H249">
        <v>0.50900000000000001</v>
      </c>
      <c r="I249" s="105">
        <v>41746</v>
      </c>
      <c r="J249">
        <v>0.59899999999999998</v>
      </c>
    </row>
    <row r="250" spans="1:10">
      <c r="A250" s="105">
        <v>41745</v>
      </c>
      <c r="B250">
        <v>0.248</v>
      </c>
      <c r="C250" s="105">
        <v>41745</v>
      </c>
      <c r="D250">
        <v>0.32700000000000001</v>
      </c>
      <c r="E250" s="105">
        <v>41745</v>
      </c>
      <c r="F250">
        <v>0.42699999999999999</v>
      </c>
      <c r="G250" s="105">
        <v>41745</v>
      </c>
      <c r="H250">
        <v>0.50800000000000001</v>
      </c>
      <c r="I250" s="105">
        <v>41745</v>
      </c>
      <c r="J250">
        <v>0.59799999999999998</v>
      </c>
    </row>
    <row r="251" spans="1:10">
      <c r="A251" s="105">
        <v>41744</v>
      </c>
      <c r="B251">
        <v>0.251</v>
      </c>
      <c r="C251" s="105">
        <v>41744</v>
      </c>
      <c r="D251">
        <v>0.32700000000000001</v>
      </c>
      <c r="E251" s="105">
        <v>41744</v>
      </c>
      <c r="F251">
        <v>0.42599999999999999</v>
      </c>
      <c r="G251" s="105">
        <v>41744</v>
      </c>
      <c r="H251">
        <v>0.50800000000000001</v>
      </c>
      <c r="I251" s="105">
        <v>41744</v>
      </c>
      <c r="J251">
        <v>0.59799999999999998</v>
      </c>
    </row>
    <row r="252" spans="1:10">
      <c r="A252" s="105">
        <v>41743</v>
      </c>
      <c r="B252">
        <v>0.252</v>
      </c>
      <c r="C252" s="105">
        <v>41743</v>
      </c>
      <c r="D252">
        <v>0.32800000000000001</v>
      </c>
      <c r="E252" s="105">
        <v>41743</v>
      </c>
      <c r="F252">
        <v>0.42699999999999999</v>
      </c>
      <c r="G252" s="105">
        <v>41743</v>
      </c>
      <c r="H252">
        <v>0.50900000000000001</v>
      </c>
      <c r="I252" s="105">
        <v>41743</v>
      </c>
      <c r="J252">
        <v>0.59899999999999998</v>
      </c>
    </row>
    <row r="253" spans="1:10">
      <c r="A253" s="105">
        <v>41740</v>
      </c>
      <c r="B253">
        <v>0.253</v>
      </c>
      <c r="C253" s="105">
        <v>41740</v>
      </c>
      <c r="D253">
        <v>0.32800000000000001</v>
      </c>
      <c r="E253" s="105">
        <v>41740</v>
      </c>
      <c r="F253">
        <v>0.42799999999999999</v>
      </c>
      <c r="G253" s="105">
        <v>41740</v>
      </c>
      <c r="H253">
        <v>0.51100000000000001</v>
      </c>
      <c r="I253" s="105">
        <v>41740</v>
      </c>
      <c r="J253">
        <v>0.60099999999999998</v>
      </c>
    </row>
    <row r="254" spans="1:10">
      <c r="A254" s="105">
        <v>41739</v>
      </c>
      <c r="B254">
        <v>0.251</v>
      </c>
      <c r="C254" s="105">
        <v>41739</v>
      </c>
      <c r="D254">
        <v>0.32700000000000001</v>
      </c>
      <c r="E254" s="105">
        <v>41739</v>
      </c>
      <c r="F254">
        <v>0.42599999999999999</v>
      </c>
      <c r="G254" s="105">
        <v>41739</v>
      </c>
      <c r="H254">
        <v>0.50900000000000001</v>
      </c>
      <c r="I254" s="105">
        <v>41739</v>
      </c>
      <c r="J254">
        <v>0.59899999999999998</v>
      </c>
    </row>
    <row r="255" spans="1:10">
      <c r="A255" s="105">
        <v>41738</v>
      </c>
      <c r="B255">
        <v>0.251</v>
      </c>
      <c r="C255" s="105">
        <v>41738</v>
      </c>
      <c r="D255">
        <v>0.32700000000000001</v>
      </c>
      <c r="E255" s="105">
        <v>41738</v>
      </c>
      <c r="F255">
        <v>0.42699999999999999</v>
      </c>
      <c r="G255" s="105">
        <v>41738</v>
      </c>
      <c r="H255">
        <v>0.50900000000000001</v>
      </c>
      <c r="I255" s="105">
        <v>41738</v>
      </c>
      <c r="J255">
        <v>0.59899999999999998</v>
      </c>
    </row>
    <row r="256" spans="1:10">
      <c r="A256" s="105">
        <v>41737</v>
      </c>
      <c r="B256">
        <v>0.251</v>
      </c>
      <c r="C256" s="105">
        <v>41737</v>
      </c>
      <c r="D256">
        <v>0.32700000000000001</v>
      </c>
      <c r="E256" s="105">
        <v>41737</v>
      </c>
      <c r="F256">
        <v>0.42599999999999999</v>
      </c>
      <c r="G256" s="105">
        <v>41737</v>
      </c>
      <c r="H256">
        <v>0.50900000000000001</v>
      </c>
      <c r="I256" s="105">
        <v>41737</v>
      </c>
      <c r="J256">
        <v>0.59899999999999998</v>
      </c>
    </row>
    <row r="257" spans="1:10">
      <c r="A257" s="105">
        <v>41736</v>
      </c>
      <c r="B257">
        <v>0.252</v>
      </c>
      <c r="C257" s="105">
        <v>41736</v>
      </c>
      <c r="D257">
        <v>0.32700000000000001</v>
      </c>
      <c r="E257" s="105">
        <v>41736</v>
      </c>
      <c r="F257">
        <v>0.42699999999999999</v>
      </c>
      <c r="G257" s="105">
        <v>41736</v>
      </c>
      <c r="H257">
        <v>0.50900000000000001</v>
      </c>
      <c r="I257" s="105">
        <v>41736</v>
      </c>
      <c r="J257">
        <v>0.6</v>
      </c>
    </row>
    <row r="258" spans="1:10">
      <c r="A258" s="105">
        <v>41733</v>
      </c>
      <c r="B258">
        <v>0.249</v>
      </c>
      <c r="C258" s="105">
        <v>41733</v>
      </c>
      <c r="D258">
        <v>0.32500000000000001</v>
      </c>
      <c r="E258" s="105">
        <v>41733</v>
      </c>
      <c r="F258">
        <v>0.42699999999999999</v>
      </c>
      <c r="G258" s="105">
        <v>41733</v>
      </c>
      <c r="H258">
        <v>0.51200000000000001</v>
      </c>
      <c r="I258" s="105">
        <v>41733</v>
      </c>
      <c r="J258">
        <v>0.60299999999999998</v>
      </c>
    </row>
    <row r="259" spans="1:10">
      <c r="A259" s="105">
        <v>41732</v>
      </c>
      <c r="B259">
        <v>0.24</v>
      </c>
      <c r="C259" s="105">
        <v>41732</v>
      </c>
      <c r="D259">
        <v>0.31900000000000001</v>
      </c>
      <c r="E259" s="105">
        <v>41732</v>
      </c>
      <c r="F259">
        <v>0.42299999999999999</v>
      </c>
      <c r="G259" s="105">
        <v>41732</v>
      </c>
      <c r="H259">
        <v>0.50800000000000001</v>
      </c>
      <c r="I259" s="105">
        <v>41732</v>
      </c>
      <c r="J259">
        <v>0.6</v>
      </c>
    </row>
    <row r="260" spans="1:10">
      <c r="A260" s="105">
        <v>41731</v>
      </c>
      <c r="B260">
        <v>0.24199999999999999</v>
      </c>
      <c r="C260" s="105">
        <v>41731</v>
      </c>
      <c r="D260">
        <v>0.31900000000000001</v>
      </c>
      <c r="E260" s="105">
        <v>41731</v>
      </c>
      <c r="F260">
        <v>0.42299999999999999</v>
      </c>
      <c r="G260" s="105">
        <v>41731</v>
      </c>
      <c r="H260">
        <v>0.50700000000000001</v>
      </c>
      <c r="I260" s="105">
        <v>41731</v>
      </c>
      <c r="J260">
        <v>0.59899999999999998</v>
      </c>
    </row>
    <row r="261" spans="1:10">
      <c r="A261" s="105">
        <v>41730</v>
      </c>
      <c r="B261">
        <v>0.23499999999999999</v>
      </c>
      <c r="C261" s="105">
        <v>41730</v>
      </c>
      <c r="D261">
        <v>0.313</v>
      </c>
      <c r="E261" s="105">
        <v>41730</v>
      </c>
      <c r="F261">
        <v>0.41799999999999998</v>
      </c>
      <c r="G261" s="105">
        <v>41730</v>
      </c>
      <c r="H261">
        <v>0.5</v>
      </c>
      <c r="I261" s="105">
        <v>41730</v>
      </c>
      <c r="J261">
        <v>0.59099999999999997</v>
      </c>
    </row>
    <row r="262" spans="1:10">
      <c r="A262" s="105">
        <v>41729</v>
      </c>
      <c r="B262">
        <v>0.23699999999999999</v>
      </c>
      <c r="C262" s="105">
        <v>41729</v>
      </c>
      <c r="D262">
        <v>0.313</v>
      </c>
      <c r="E262" s="105">
        <v>41729</v>
      </c>
      <c r="F262">
        <v>0.41799999999999998</v>
      </c>
      <c r="G262" s="105">
        <v>41729</v>
      </c>
      <c r="H262">
        <v>0.501</v>
      </c>
      <c r="I262" s="105">
        <v>41729</v>
      </c>
      <c r="J262">
        <v>0.59</v>
      </c>
    </row>
    <row r="263" spans="1:10">
      <c r="A263" s="105">
        <v>41726</v>
      </c>
      <c r="B263">
        <v>0.23300000000000001</v>
      </c>
      <c r="C263" s="105">
        <v>41726</v>
      </c>
      <c r="D263">
        <v>0.31</v>
      </c>
      <c r="E263" s="105">
        <v>41726</v>
      </c>
      <c r="F263">
        <v>0.41399999999999998</v>
      </c>
      <c r="G263" s="105">
        <v>41726</v>
      </c>
      <c r="H263">
        <v>0.498</v>
      </c>
      <c r="I263" s="105">
        <v>41726</v>
      </c>
      <c r="J263">
        <v>0.58499999999999996</v>
      </c>
    </row>
    <row r="264" spans="1:10">
      <c r="A264" s="105">
        <v>41725</v>
      </c>
      <c r="B264">
        <v>0.23699999999999999</v>
      </c>
      <c r="C264" s="105">
        <v>41725</v>
      </c>
      <c r="D264">
        <v>0.313</v>
      </c>
      <c r="E264" s="105">
        <v>41725</v>
      </c>
      <c r="F264">
        <v>0.41599999999999998</v>
      </c>
      <c r="G264" s="105">
        <v>41725</v>
      </c>
      <c r="H264">
        <v>0.501</v>
      </c>
      <c r="I264" s="105">
        <v>41725</v>
      </c>
      <c r="J264">
        <v>0.58699999999999997</v>
      </c>
    </row>
    <row r="265" spans="1:10">
      <c r="A265" s="105">
        <v>41724</v>
      </c>
      <c r="B265">
        <v>0.23699999999999999</v>
      </c>
      <c r="C265" s="105">
        <v>41724</v>
      </c>
      <c r="D265">
        <v>0.315</v>
      </c>
      <c r="E265" s="105">
        <v>41724</v>
      </c>
      <c r="F265">
        <v>0.41899999999999998</v>
      </c>
      <c r="G265" s="105">
        <v>41724</v>
      </c>
      <c r="H265">
        <v>0.50600000000000001</v>
      </c>
      <c r="I265" s="105">
        <v>41724</v>
      </c>
      <c r="J265">
        <v>0.59099999999999997</v>
      </c>
    </row>
    <row r="266" spans="1:10">
      <c r="A266" s="105">
        <v>41723</v>
      </c>
      <c r="B266">
        <v>0.24099999999999999</v>
      </c>
      <c r="C266" s="105">
        <v>41723</v>
      </c>
      <c r="D266">
        <v>0.318</v>
      </c>
      <c r="E266" s="105">
        <v>41723</v>
      </c>
      <c r="F266">
        <v>0.42199999999999999</v>
      </c>
      <c r="G266" s="105">
        <v>41723</v>
      </c>
      <c r="H266">
        <v>0.51100000000000001</v>
      </c>
      <c r="I266" s="105">
        <v>41723</v>
      </c>
      <c r="J266">
        <v>0.59799999999999998</v>
      </c>
    </row>
    <row r="267" spans="1:10">
      <c r="A267" s="105">
        <v>41722</v>
      </c>
      <c r="B267">
        <v>0.24199999999999999</v>
      </c>
      <c r="C267" s="105">
        <v>41722</v>
      </c>
      <c r="D267">
        <v>0.32</v>
      </c>
      <c r="E267" s="105">
        <v>41722</v>
      </c>
      <c r="F267">
        <v>0.42499999999999999</v>
      </c>
      <c r="G267" s="105">
        <v>41722</v>
      </c>
      <c r="H267">
        <v>0.51300000000000001</v>
      </c>
      <c r="I267" s="105">
        <v>41722</v>
      </c>
      <c r="J267">
        <v>0.6</v>
      </c>
    </row>
    <row r="268" spans="1:10">
      <c r="A268" s="105">
        <v>41719</v>
      </c>
      <c r="B268">
        <v>0.23899999999999999</v>
      </c>
      <c r="C268" s="105">
        <v>41719</v>
      </c>
      <c r="D268">
        <v>0.315</v>
      </c>
      <c r="E268" s="105">
        <v>41719</v>
      </c>
      <c r="F268">
        <v>0.42</v>
      </c>
      <c r="G268" s="105">
        <v>41719</v>
      </c>
      <c r="H268">
        <v>0.50700000000000001</v>
      </c>
      <c r="I268" s="105">
        <v>41719</v>
      </c>
      <c r="J268">
        <v>0.59299999999999997</v>
      </c>
    </row>
    <row r="269" spans="1:10">
      <c r="A269" s="105">
        <v>41718</v>
      </c>
      <c r="B269">
        <v>0.23799999999999999</v>
      </c>
      <c r="C269" s="105">
        <v>41718</v>
      </c>
      <c r="D269">
        <v>0.313</v>
      </c>
      <c r="E269" s="105">
        <v>41718</v>
      </c>
      <c r="F269">
        <v>0.41599999999999998</v>
      </c>
      <c r="G269" s="105">
        <v>41718</v>
      </c>
      <c r="H269">
        <v>0.504</v>
      </c>
      <c r="I269" s="105">
        <v>41718</v>
      </c>
      <c r="J269">
        <v>0.59099999999999997</v>
      </c>
    </row>
    <row r="270" spans="1:10">
      <c r="A270" s="105">
        <v>41717</v>
      </c>
      <c r="B270">
        <v>0.23699999999999999</v>
      </c>
      <c r="C270" s="105">
        <v>41717</v>
      </c>
      <c r="D270">
        <v>0.312</v>
      </c>
      <c r="E270" s="105">
        <v>41717</v>
      </c>
      <c r="F270">
        <v>0.41399999999999998</v>
      </c>
      <c r="G270" s="105">
        <v>41717</v>
      </c>
      <c r="H270">
        <v>0.5</v>
      </c>
      <c r="I270" s="105">
        <v>41717</v>
      </c>
      <c r="J270">
        <v>0.58499999999999996</v>
      </c>
    </row>
    <row r="271" spans="1:10">
      <c r="A271" s="105">
        <v>41716</v>
      </c>
      <c r="B271">
        <v>0.23400000000000001</v>
      </c>
      <c r="C271" s="105">
        <v>41716</v>
      </c>
      <c r="D271">
        <v>0.309</v>
      </c>
      <c r="E271" s="105">
        <v>41716</v>
      </c>
      <c r="F271">
        <v>0.41</v>
      </c>
      <c r="G271" s="105">
        <v>41716</v>
      </c>
      <c r="H271">
        <v>0.497</v>
      </c>
      <c r="I271" s="105">
        <v>41716</v>
      </c>
      <c r="J271">
        <v>0.58199999999999996</v>
      </c>
    </row>
    <row r="272" spans="1:10">
      <c r="A272" s="105">
        <v>41715</v>
      </c>
      <c r="B272">
        <v>0.23200000000000001</v>
      </c>
      <c r="C272" s="105">
        <v>41715</v>
      </c>
      <c r="D272">
        <v>0.30499999999999999</v>
      </c>
      <c r="E272" s="105">
        <v>41715</v>
      </c>
      <c r="F272">
        <v>0.40699999999999997</v>
      </c>
      <c r="G272" s="105">
        <v>41715</v>
      </c>
      <c r="H272">
        <v>0.49199999999999999</v>
      </c>
      <c r="I272" s="105">
        <v>41715</v>
      </c>
      <c r="J272">
        <v>0.57599999999999996</v>
      </c>
    </row>
    <row r="273" spans="1:10">
      <c r="A273" s="105">
        <v>41712</v>
      </c>
      <c r="B273">
        <v>0.23</v>
      </c>
      <c r="C273" s="105">
        <v>41712</v>
      </c>
      <c r="D273">
        <v>0.30299999999999999</v>
      </c>
      <c r="E273" s="105">
        <v>41712</v>
      </c>
      <c r="F273">
        <v>0.40200000000000002</v>
      </c>
      <c r="G273" s="105">
        <v>41712</v>
      </c>
      <c r="H273">
        <v>0.48699999999999999</v>
      </c>
      <c r="I273" s="105">
        <v>41712</v>
      </c>
      <c r="J273">
        <v>0.56999999999999995</v>
      </c>
    </row>
    <row r="274" spans="1:10">
      <c r="A274" s="105">
        <v>41711</v>
      </c>
      <c r="B274">
        <v>0.23</v>
      </c>
      <c r="C274" s="105">
        <v>41711</v>
      </c>
      <c r="D274">
        <v>0.30399999999999999</v>
      </c>
      <c r="E274" s="105">
        <v>41711</v>
      </c>
      <c r="F274">
        <v>0.40500000000000003</v>
      </c>
      <c r="G274" s="105">
        <v>41711</v>
      </c>
      <c r="H274">
        <v>0.49</v>
      </c>
      <c r="I274" s="105">
        <v>41711</v>
      </c>
      <c r="J274">
        <v>0.57299999999999995</v>
      </c>
    </row>
    <row r="275" spans="1:10">
      <c r="A275" s="105">
        <v>41710</v>
      </c>
      <c r="B275">
        <v>0.23300000000000001</v>
      </c>
      <c r="C275" s="105">
        <v>41710</v>
      </c>
      <c r="D275">
        <v>0.30399999999999999</v>
      </c>
      <c r="E275" s="105">
        <v>41710</v>
      </c>
      <c r="F275">
        <v>0.40500000000000003</v>
      </c>
      <c r="G275" s="105">
        <v>41710</v>
      </c>
      <c r="H275">
        <v>0.49</v>
      </c>
      <c r="I275" s="105">
        <v>41710</v>
      </c>
      <c r="J275">
        <v>0.57399999999999995</v>
      </c>
    </row>
    <row r="276" spans="1:10">
      <c r="A276" s="105">
        <v>41709</v>
      </c>
      <c r="B276">
        <v>0.23300000000000001</v>
      </c>
      <c r="C276" s="105">
        <v>41709</v>
      </c>
      <c r="D276">
        <v>0.30399999999999999</v>
      </c>
      <c r="E276" s="105">
        <v>41709</v>
      </c>
      <c r="F276">
        <v>0.40500000000000003</v>
      </c>
      <c r="G276" s="105">
        <v>41709</v>
      </c>
      <c r="H276">
        <v>0.49199999999999999</v>
      </c>
      <c r="I276" s="105">
        <v>41709</v>
      </c>
      <c r="J276">
        <v>0.57499999999999996</v>
      </c>
    </row>
    <row r="277" spans="1:10">
      <c r="A277" s="105">
        <v>41708</v>
      </c>
      <c r="B277">
        <v>0.23599999999999999</v>
      </c>
      <c r="C277" s="105">
        <v>41708</v>
      </c>
      <c r="D277">
        <v>0.307</v>
      </c>
      <c r="E277" s="105">
        <v>41708</v>
      </c>
      <c r="F277">
        <v>0.40799999999999997</v>
      </c>
      <c r="G277" s="105">
        <v>41708</v>
      </c>
      <c r="H277">
        <v>0.49399999999999999</v>
      </c>
      <c r="I277" s="105">
        <v>41708</v>
      </c>
      <c r="J277">
        <v>0.57799999999999996</v>
      </c>
    </row>
    <row r="278" spans="1:10">
      <c r="A278" s="105">
        <v>41705</v>
      </c>
      <c r="B278">
        <v>0.22900000000000001</v>
      </c>
      <c r="C278" s="105">
        <v>41705</v>
      </c>
      <c r="D278">
        <v>0.29899999999999999</v>
      </c>
      <c r="E278" s="105">
        <v>41705</v>
      </c>
      <c r="F278">
        <v>0.39800000000000002</v>
      </c>
      <c r="G278" s="105">
        <v>41705</v>
      </c>
      <c r="H278">
        <v>0.48399999999999999</v>
      </c>
      <c r="I278" s="105">
        <v>41705</v>
      </c>
      <c r="J278">
        <v>0.56699999999999995</v>
      </c>
    </row>
    <row r="279" spans="1:10">
      <c r="A279" s="105">
        <v>41704</v>
      </c>
      <c r="B279">
        <v>0.216</v>
      </c>
      <c r="C279" s="105">
        <v>41704</v>
      </c>
      <c r="D279">
        <v>0.28699999999999998</v>
      </c>
      <c r="E279" s="105">
        <v>41704</v>
      </c>
      <c r="F279">
        <v>0.38400000000000001</v>
      </c>
      <c r="G279" s="105">
        <v>41704</v>
      </c>
      <c r="H279">
        <v>0.46800000000000003</v>
      </c>
      <c r="I279" s="105">
        <v>41704</v>
      </c>
      <c r="J279">
        <v>0.55100000000000005</v>
      </c>
    </row>
    <row r="280" spans="1:10">
      <c r="A280" s="105">
        <v>41703</v>
      </c>
      <c r="B280">
        <v>0.216</v>
      </c>
      <c r="C280" s="105">
        <v>41703</v>
      </c>
      <c r="D280">
        <v>0.28599999999999998</v>
      </c>
      <c r="E280" s="105">
        <v>41703</v>
      </c>
      <c r="F280">
        <v>0.38400000000000001</v>
      </c>
      <c r="G280" s="105">
        <v>41703</v>
      </c>
      <c r="H280">
        <v>0.46800000000000003</v>
      </c>
      <c r="I280" s="105">
        <v>41703</v>
      </c>
      <c r="J280">
        <v>0.55100000000000005</v>
      </c>
    </row>
    <row r="281" spans="1:10">
      <c r="A281" s="105">
        <v>41702</v>
      </c>
      <c r="B281">
        <v>0.218</v>
      </c>
      <c r="C281" s="105">
        <v>41702</v>
      </c>
      <c r="D281">
        <v>0.28699999999999998</v>
      </c>
      <c r="E281" s="105">
        <v>41702</v>
      </c>
      <c r="F281">
        <v>0.38600000000000001</v>
      </c>
      <c r="G281" s="105">
        <v>41702</v>
      </c>
      <c r="H281">
        <v>0.46899999999999997</v>
      </c>
      <c r="I281" s="105">
        <v>41702</v>
      </c>
      <c r="J281">
        <v>0.55200000000000005</v>
      </c>
    </row>
    <row r="282" spans="1:10">
      <c r="A282" s="105">
        <v>41701</v>
      </c>
      <c r="B282">
        <v>0.22</v>
      </c>
      <c r="C282" s="105">
        <v>41701</v>
      </c>
      <c r="D282">
        <v>0.28799999999999998</v>
      </c>
      <c r="E282" s="105">
        <v>41701</v>
      </c>
      <c r="F282">
        <v>0.38700000000000001</v>
      </c>
      <c r="G282" s="105">
        <v>41701</v>
      </c>
      <c r="H282">
        <v>0.47099999999999997</v>
      </c>
      <c r="I282" s="105">
        <v>41701</v>
      </c>
      <c r="J282">
        <v>0.55400000000000005</v>
      </c>
    </row>
    <row r="283" spans="1:10">
      <c r="A283" s="105">
        <v>41698</v>
      </c>
      <c r="B283">
        <v>0.218</v>
      </c>
      <c r="C283" s="105">
        <v>41698</v>
      </c>
      <c r="D283">
        <v>0.28599999999999998</v>
      </c>
      <c r="E283" s="105">
        <v>41698</v>
      </c>
      <c r="F283">
        <v>0.38400000000000001</v>
      </c>
      <c r="G283" s="105">
        <v>41698</v>
      </c>
      <c r="H283">
        <v>0.46700000000000003</v>
      </c>
      <c r="I283" s="105">
        <v>41698</v>
      </c>
      <c r="J283">
        <v>0.54900000000000004</v>
      </c>
    </row>
    <row r="284" spans="1:10">
      <c r="A284" s="105">
        <v>41697</v>
      </c>
      <c r="B284">
        <v>0.219</v>
      </c>
      <c r="C284" s="105">
        <v>41697</v>
      </c>
      <c r="D284">
        <v>0.28599999999999998</v>
      </c>
      <c r="E284" s="105">
        <v>41697</v>
      </c>
      <c r="F284">
        <v>0.38400000000000001</v>
      </c>
      <c r="G284" s="105">
        <v>41697</v>
      </c>
      <c r="H284">
        <v>0.46600000000000003</v>
      </c>
      <c r="I284" s="105">
        <v>41697</v>
      </c>
      <c r="J284">
        <v>0.54900000000000004</v>
      </c>
    </row>
    <row r="285" spans="1:10">
      <c r="A285" s="105">
        <v>41696</v>
      </c>
      <c r="B285">
        <v>0.222</v>
      </c>
      <c r="C285" s="105">
        <v>41696</v>
      </c>
      <c r="D285">
        <v>0.28799999999999998</v>
      </c>
      <c r="E285" s="105">
        <v>41696</v>
      </c>
      <c r="F285">
        <v>0.38700000000000001</v>
      </c>
      <c r="G285" s="105">
        <v>41696</v>
      </c>
      <c r="H285">
        <v>0.46899999999999997</v>
      </c>
      <c r="I285" s="105">
        <v>41696</v>
      </c>
      <c r="J285">
        <v>0.55100000000000005</v>
      </c>
    </row>
    <row r="286" spans="1:10">
      <c r="A286" s="105">
        <v>41695</v>
      </c>
      <c r="B286">
        <v>0.222</v>
      </c>
      <c r="C286" s="105">
        <v>41695</v>
      </c>
      <c r="D286">
        <v>0.28899999999999998</v>
      </c>
      <c r="E286" s="105">
        <v>41695</v>
      </c>
      <c r="F286">
        <v>0.38700000000000001</v>
      </c>
      <c r="G286" s="105">
        <v>41695</v>
      </c>
      <c r="H286">
        <v>0.47</v>
      </c>
      <c r="I286" s="105">
        <v>41695</v>
      </c>
      <c r="J286">
        <v>0.55300000000000005</v>
      </c>
    </row>
    <row r="287" spans="1:10">
      <c r="A287" s="105">
        <v>41694</v>
      </c>
      <c r="B287">
        <v>0.221</v>
      </c>
      <c r="C287" s="105">
        <v>41694</v>
      </c>
      <c r="D287">
        <v>0.28799999999999998</v>
      </c>
      <c r="E287" s="105">
        <v>41694</v>
      </c>
      <c r="F287">
        <v>0.38400000000000001</v>
      </c>
      <c r="G287" s="105">
        <v>41694</v>
      </c>
      <c r="H287">
        <v>0.46600000000000003</v>
      </c>
      <c r="I287" s="105">
        <v>41694</v>
      </c>
      <c r="J287">
        <v>0.54900000000000004</v>
      </c>
    </row>
    <row r="288" spans="1:10">
      <c r="A288" s="105">
        <v>41691</v>
      </c>
      <c r="B288">
        <v>0.222</v>
      </c>
      <c r="C288" s="105">
        <v>41691</v>
      </c>
      <c r="D288">
        <v>0.28699999999999998</v>
      </c>
      <c r="E288" s="105">
        <v>41691</v>
      </c>
      <c r="F288">
        <v>0.38400000000000001</v>
      </c>
      <c r="G288" s="105">
        <v>41691</v>
      </c>
      <c r="H288">
        <v>0.46400000000000002</v>
      </c>
      <c r="I288" s="105">
        <v>41691</v>
      </c>
      <c r="J288">
        <v>0.54700000000000004</v>
      </c>
    </row>
    <row r="289" spans="1:10">
      <c r="A289" s="105">
        <v>41690</v>
      </c>
      <c r="B289">
        <v>0.221</v>
      </c>
      <c r="C289" s="105">
        <v>41690</v>
      </c>
      <c r="D289">
        <v>0.28599999999999998</v>
      </c>
      <c r="E289" s="105">
        <v>41690</v>
      </c>
      <c r="F289">
        <v>0.38400000000000001</v>
      </c>
      <c r="G289" s="105">
        <v>41690</v>
      </c>
      <c r="H289">
        <v>0.46400000000000002</v>
      </c>
      <c r="I289" s="105">
        <v>41690</v>
      </c>
      <c r="J289">
        <v>0.54500000000000004</v>
      </c>
    </row>
    <row r="290" spans="1:10">
      <c r="A290" s="105">
        <v>41689</v>
      </c>
      <c r="B290">
        <v>0.224</v>
      </c>
      <c r="C290" s="105">
        <v>41689</v>
      </c>
      <c r="D290">
        <v>0.28699999999999998</v>
      </c>
      <c r="E290" s="105">
        <v>41689</v>
      </c>
      <c r="F290">
        <v>0.38600000000000001</v>
      </c>
      <c r="G290" s="105">
        <v>41689</v>
      </c>
      <c r="H290">
        <v>0.46600000000000003</v>
      </c>
      <c r="I290" s="105">
        <v>41689</v>
      </c>
      <c r="J290">
        <v>0.54700000000000004</v>
      </c>
    </row>
    <row r="291" spans="1:10">
      <c r="A291" s="105">
        <v>41688</v>
      </c>
      <c r="B291">
        <v>0.224</v>
      </c>
      <c r="C291" s="105">
        <v>41688</v>
      </c>
      <c r="D291">
        <v>0.28799999999999998</v>
      </c>
      <c r="E291" s="105">
        <v>41688</v>
      </c>
      <c r="F291">
        <v>0.38600000000000001</v>
      </c>
      <c r="G291" s="105">
        <v>41688</v>
      </c>
      <c r="H291">
        <v>0.46800000000000003</v>
      </c>
      <c r="I291" s="105">
        <v>41688</v>
      </c>
      <c r="J291">
        <v>0.54700000000000004</v>
      </c>
    </row>
    <row r="292" spans="1:10">
      <c r="A292" s="105">
        <v>41687</v>
      </c>
      <c r="B292">
        <v>0.224</v>
      </c>
      <c r="C292" s="105">
        <v>41687</v>
      </c>
      <c r="D292">
        <v>0.28699999999999998</v>
      </c>
      <c r="E292" s="105">
        <v>41687</v>
      </c>
      <c r="F292">
        <v>0.38600000000000001</v>
      </c>
      <c r="G292" s="105">
        <v>41687</v>
      </c>
      <c r="H292">
        <v>0.46800000000000003</v>
      </c>
      <c r="I292" s="105">
        <v>41687</v>
      </c>
      <c r="J292">
        <v>0.54700000000000004</v>
      </c>
    </row>
    <row r="293" spans="1:10">
      <c r="A293" s="105">
        <v>41684</v>
      </c>
      <c r="B293">
        <v>0.22600000000000001</v>
      </c>
      <c r="C293" s="105">
        <v>41684</v>
      </c>
      <c r="D293">
        <v>0.28699999999999998</v>
      </c>
      <c r="E293" s="105">
        <v>41684</v>
      </c>
      <c r="F293">
        <v>0.38600000000000001</v>
      </c>
      <c r="G293" s="105">
        <v>41684</v>
      </c>
      <c r="H293">
        <v>0.46899999999999997</v>
      </c>
      <c r="I293" s="105">
        <v>41684</v>
      </c>
      <c r="J293">
        <v>0.54800000000000004</v>
      </c>
    </row>
    <row r="294" spans="1:10">
      <c r="A294" s="105">
        <v>41683</v>
      </c>
      <c r="B294">
        <v>0.22500000000000001</v>
      </c>
      <c r="C294" s="105">
        <v>41683</v>
      </c>
      <c r="D294">
        <v>0.28799999999999998</v>
      </c>
      <c r="E294" s="105">
        <v>41683</v>
      </c>
      <c r="F294">
        <v>0.38700000000000001</v>
      </c>
      <c r="G294" s="105">
        <v>41683</v>
      </c>
      <c r="H294">
        <v>0.46899999999999997</v>
      </c>
      <c r="I294" s="105">
        <v>41683</v>
      </c>
      <c r="J294">
        <v>0.54700000000000004</v>
      </c>
    </row>
    <row r="295" spans="1:10">
      <c r="A295" s="105">
        <v>41682</v>
      </c>
      <c r="B295">
        <v>0.23</v>
      </c>
      <c r="C295" s="105">
        <v>41682</v>
      </c>
      <c r="D295">
        <v>0.29099999999999998</v>
      </c>
      <c r="E295" s="105">
        <v>41682</v>
      </c>
      <c r="F295">
        <v>0.39</v>
      </c>
      <c r="G295" s="105">
        <v>41682</v>
      </c>
      <c r="H295">
        <v>0.47499999999999998</v>
      </c>
      <c r="I295" s="105">
        <v>41682</v>
      </c>
      <c r="J295">
        <v>0.55200000000000005</v>
      </c>
    </row>
    <row r="296" spans="1:10">
      <c r="A296" s="105">
        <v>41681</v>
      </c>
      <c r="B296">
        <v>0.23</v>
      </c>
      <c r="C296" s="105">
        <v>41681</v>
      </c>
      <c r="D296">
        <v>0.29099999999999998</v>
      </c>
      <c r="E296" s="105">
        <v>41681</v>
      </c>
      <c r="F296">
        <v>0.39100000000000001</v>
      </c>
      <c r="G296" s="105">
        <v>41681</v>
      </c>
      <c r="H296">
        <v>0.47499999999999998</v>
      </c>
      <c r="I296" s="105">
        <v>41681</v>
      </c>
      <c r="J296">
        <v>0.55400000000000005</v>
      </c>
    </row>
    <row r="297" spans="1:10">
      <c r="A297" s="105">
        <v>41680</v>
      </c>
      <c r="B297">
        <v>0.23</v>
      </c>
      <c r="C297" s="105">
        <v>41680</v>
      </c>
      <c r="D297">
        <v>0.29099999999999998</v>
      </c>
      <c r="E297" s="105">
        <v>41680</v>
      </c>
      <c r="F297">
        <v>0.39</v>
      </c>
      <c r="G297" s="105">
        <v>41680</v>
      </c>
      <c r="H297">
        <v>0.47399999999999998</v>
      </c>
      <c r="I297" s="105">
        <v>41680</v>
      </c>
      <c r="J297">
        <v>0.55100000000000005</v>
      </c>
    </row>
    <row r="298" spans="1:10">
      <c r="A298" s="105">
        <v>41677</v>
      </c>
      <c r="B298">
        <v>0.22900000000000001</v>
      </c>
      <c r="C298" s="105">
        <v>41677</v>
      </c>
      <c r="D298">
        <v>0.29099999999999998</v>
      </c>
      <c r="E298" s="105">
        <v>41677</v>
      </c>
      <c r="F298">
        <v>0.39100000000000001</v>
      </c>
      <c r="G298" s="105">
        <v>41677</v>
      </c>
      <c r="H298">
        <v>0.47399999999999998</v>
      </c>
      <c r="I298" s="105">
        <v>41677</v>
      </c>
      <c r="J298">
        <v>0.55200000000000005</v>
      </c>
    </row>
    <row r="299" spans="1:10">
      <c r="A299" s="105">
        <v>41676</v>
      </c>
      <c r="B299">
        <v>0.221</v>
      </c>
      <c r="C299" s="105">
        <v>41676</v>
      </c>
      <c r="D299">
        <v>0.28599999999999998</v>
      </c>
      <c r="E299" s="105">
        <v>41676</v>
      </c>
      <c r="F299">
        <v>0.38500000000000001</v>
      </c>
      <c r="G299" s="105">
        <v>41676</v>
      </c>
      <c r="H299">
        <v>0.46800000000000003</v>
      </c>
      <c r="I299" s="105">
        <v>41676</v>
      </c>
      <c r="J299">
        <v>0.54700000000000004</v>
      </c>
    </row>
    <row r="300" spans="1:10">
      <c r="A300" s="105">
        <v>41675</v>
      </c>
      <c r="B300">
        <v>0.223</v>
      </c>
      <c r="C300" s="105">
        <v>41675</v>
      </c>
      <c r="D300">
        <v>0.28699999999999998</v>
      </c>
      <c r="E300" s="105">
        <v>41675</v>
      </c>
      <c r="F300">
        <v>0.38600000000000001</v>
      </c>
      <c r="G300" s="105">
        <v>41675</v>
      </c>
      <c r="H300">
        <v>0.47</v>
      </c>
      <c r="I300" s="105">
        <v>41675</v>
      </c>
      <c r="J300">
        <v>0.54800000000000004</v>
      </c>
    </row>
    <row r="301" spans="1:10">
      <c r="A301" s="105">
        <v>41674</v>
      </c>
      <c r="B301">
        <v>0.222</v>
      </c>
      <c r="C301" s="105">
        <v>41674</v>
      </c>
      <c r="D301">
        <v>0.28799999999999998</v>
      </c>
      <c r="E301" s="105">
        <v>41674</v>
      </c>
      <c r="F301">
        <v>0.38700000000000001</v>
      </c>
      <c r="G301" s="105">
        <v>41674</v>
      </c>
      <c r="H301">
        <v>0.46899999999999997</v>
      </c>
      <c r="I301" s="105">
        <v>41674</v>
      </c>
      <c r="J301">
        <v>0.54800000000000004</v>
      </c>
    </row>
    <row r="302" spans="1:10">
      <c r="A302" s="105">
        <v>41673</v>
      </c>
      <c r="B302">
        <v>0.22500000000000001</v>
      </c>
      <c r="C302" s="105">
        <v>41673</v>
      </c>
      <c r="D302">
        <v>0.28999999999999998</v>
      </c>
      <c r="E302" s="105">
        <v>41673</v>
      </c>
      <c r="F302">
        <v>0.38700000000000001</v>
      </c>
      <c r="G302" s="105">
        <v>41673</v>
      </c>
      <c r="H302">
        <v>0.47199999999999998</v>
      </c>
      <c r="I302" s="105">
        <v>41673</v>
      </c>
      <c r="J302">
        <v>0.54900000000000004</v>
      </c>
    </row>
    <row r="303" spans="1:10">
      <c r="A303" s="105">
        <v>41670</v>
      </c>
      <c r="B303">
        <v>0.23</v>
      </c>
      <c r="C303" s="105">
        <v>41670</v>
      </c>
      <c r="D303">
        <v>0.29599999999999999</v>
      </c>
      <c r="E303" s="105">
        <v>41670</v>
      </c>
      <c r="F303">
        <v>0.39600000000000002</v>
      </c>
      <c r="G303" s="105">
        <v>41670</v>
      </c>
      <c r="H303">
        <v>0.48299999999999998</v>
      </c>
      <c r="I303" s="105">
        <v>41670</v>
      </c>
      <c r="J303">
        <v>0.55900000000000005</v>
      </c>
    </row>
    <row r="304" spans="1:10">
      <c r="A304" s="105">
        <v>41669</v>
      </c>
      <c r="B304">
        <v>0.23200000000000001</v>
      </c>
      <c r="C304" s="105">
        <v>41669</v>
      </c>
      <c r="D304">
        <v>0.29799999999999999</v>
      </c>
      <c r="E304" s="105">
        <v>41669</v>
      </c>
      <c r="F304">
        <v>0.39900000000000002</v>
      </c>
      <c r="G304" s="105">
        <v>41669</v>
      </c>
      <c r="H304">
        <v>0.48699999999999999</v>
      </c>
      <c r="I304" s="105">
        <v>41669</v>
      </c>
      <c r="J304">
        <v>0.56200000000000006</v>
      </c>
    </row>
    <row r="305" spans="1:10">
      <c r="A305" s="105">
        <v>41668</v>
      </c>
      <c r="B305">
        <v>0.23699999999999999</v>
      </c>
      <c r="C305" s="105">
        <v>41668</v>
      </c>
      <c r="D305">
        <v>0.3</v>
      </c>
      <c r="E305" s="105">
        <v>41668</v>
      </c>
      <c r="F305">
        <v>0.40200000000000002</v>
      </c>
      <c r="G305" s="105">
        <v>41668</v>
      </c>
      <c r="H305">
        <v>0.49</v>
      </c>
      <c r="I305" s="105">
        <v>41668</v>
      </c>
      <c r="J305">
        <v>0.56599999999999995</v>
      </c>
    </row>
    <row r="306" spans="1:10">
      <c r="A306" s="105">
        <v>41667</v>
      </c>
      <c r="B306">
        <v>0.24099999999999999</v>
      </c>
      <c r="C306" s="105">
        <v>41667</v>
      </c>
      <c r="D306">
        <v>0.30099999999999999</v>
      </c>
      <c r="E306" s="105">
        <v>41667</v>
      </c>
      <c r="F306">
        <v>0.40400000000000003</v>
      </c>
      <c r="G306" s="105">
        <v>41667</v>
      </c>
      <c r="H306">
        <v>0.49199999999999999</v>
      </c>
      <c r="I306" s="105">
        <v>41667</v>
      </c>
      <c r="J306">
        <v>0.56899999999999995</v>
      </c>
    </row>
    <row r="307" spans="1:10">
      <c r="A307" s="105">
        <v>41666</v>
      </c>
      <c r="B307">
        <v>0.23899999999999999</v>
      </c>
      <c r="C307" s="105">
        <v>41666</v>
      </c>
      <c r="D307">
        <v>0.3</v>
      </c>
      <c r="E307" s="105">
        <v>41666</v>
      </c>
      <c r="F307">
        <v>0.40400000000000003</v>
      </c>
      <c r="G307" s="105">
        <v>41666</v>
      </c>
      <c r="H307">
        <v>0.49299999999999999</v>
      </c>
      <c r="I307" s="105">
        <v>41666</v>
      </c>
      <c r="J307">
        <v>0.56899999999999995</v>
      </c>
    </row>
    <row r="308" spans="1:10">
      <c r="A308" s="105">
        <v>41663</v>
      </c>
      <c r="B308">
        <v>0.23799999999999999</v>
      </c>
      <c r="C308" s="105">
        <v>41663</v>
      </c>
      <c r="D308">
        <v>0.3</v>
      </c>
      <c r="E308" s="105">
        <v>41663</v>
      </c>
      <c r="F308">
        <v>0.40100000000000002</v>
      </c>
      <c r="G308" s="105">
        <v>41663</v>
      </c>
      <c r="H308">
        <v>0.49099999999999999</v>
      </c>
      <c r="I308" s="105">
        <v>41663</v>
      </c>
      <c r="J308">
        <v>0.56699999999999995</v>
      </c>
    </row>
    <row r="309" spans="1:10">
      <c r="A309" s="105">
        <v>41662</v>
      </c>
      <c r="B309">
        <v>0.24</v>
      </c>
      <c r="C309" s="105">
        <v>41662</v>
      </c>
      <c r="D309">
        <v>0.3</v>
      </c>
      <c r="E309" s="105">
        <v>41662</v>
      </c>
      <c r="F309">
        <v>0.40400000000000003</v>
      </c>
      <c r="G309" s="105">
        <v>41662</v>
      </c>
      <c r="H309">
        <v>0.495</v>
      </c>
      <c r="I309" s="105">
        <v>41662</v>
      </c>
      <c r="J309">
        <v>0.56999999999999995</v>
      </c>
    </row>
    <row r="310" spans="1:10">
      <c r="A310" s="105">
        <v>41661</v>
      </c>
      <c r="B310">
        <v>0.24099999999999999</v>
      </c>
      <c r="C310" s="105">
        <v>41661</v>
      </c>
      <c r="D310">
        <v>0.30099999999999999</v>
      </c>
      <c r="E310" s="105">
        <v>41661</v>
      </c>
      <c r="F310">
        <v>0.40600000000000003</v>
      </c>
      <c r="G310" s="105">
        <v>41661</v>
      </c>
      <c r="H310">
        <v>0.496</v>
      </c>
      <c r="I310" s="105">
        <v>41661</v>
      </c>
      <c r="J310">
        <v>0.56999999999999995</v>
      </c>
    </row>
    <row r="311" spans="1:10">
      <c r="A311" s="105">
        <v>41660</v>
      </c>
      <c r="B311">
        <v>0.24199999999999999</v>
      </c>
      <c r="C311" s="105">
        <v>41660</v>
      </c>
      <c r="D311">
        <v>0.30199999999999999</v>
      </c>
      <c r="E311" s="105">
        <v>41660</v>
      </c>
      <c r="F311">
        <v>0.40899999999999997</v>
      </c>
      <c r="G311" s="105">
        <v>41660</v>
      </c>
      <c r="H311">
        <v>0.5</v>
      </c>
      <c r="I311" s="105">
        <v>41660</v>
      </c>
      <c r="J311">
        <v>0.57099999999999995</v>
      </c>
    </row>
    <row r="312" spans="1:10">
      <c r="A312" s="105">
        <v>41659</v>
      </c>
      <c r="B312">
        <v>0.24</v>
      </c>
      <c r="C312" s="105">
        <v>41659</v>
      </c>
      <c r="D312">
        <v>0.30199999999999999</v>
      </c>
      <c r="E312" s="105">
        <v>41659</v>
      </c>
      <c r="F312">
        <v>0.40799999999999997</v>
      </c>
      <c r="G312" s="105">
        <v>41659</v>
      </c>
      <c r="H312">
        <v>0.497</v>
      </c>
      <c r="I312" s="105">
        <v>41659</v>
      </c>
      <c r="J312">
        <v>0.56999999999999995</v>
      </c>
    </row>
    <row r="313" spans="1:10">
      <c r="A313" s="105">
        <v>41656</v>
      </c>
      <c r="B313">
        <v>0.24299999999999999</v>
      </c>
      <c r="C313" s="105">
        <v>41656</v>
      </c>
      <c r="D313">
        <v>0.30199999999999999</v>
      </c>
      <c r="E313" s="105">
        <v>41656</v>
      </c>
      <c r="F313">
        <v>0.40799999999999997</v>
      </c>
      <c r="G313" s="105">
        <v>41656</v>
      </c>
      <c r="H313">
        <v>0.498</v>
      </c>
      <c r="I313" s="105">
        <v>41656</v>
      </c>
      <c r="J313">
        <v>0.57099999999999995</v>
      </c>
    </row>
    <row r="314" spans="1:10">
      <c r="A314" s="105">
        <v>41655</v>
      </c>
      <c r="B314">
        <v>0.23400000000000001</v>
      </c>
      <c r="C314" s="105">
        <v>41655</v>
      </c>
      <c r="D314">
        <v>0.3</v>
      </c>
      <c r="E314" s="105">
        <v>41655</v>
      </c>
      <c r="F314">
        <v>0.40500000000000003</v>
      </c>
      <c r="G314" s="105">
        <v>41655</v>
      </c>
      <c r="H314">
        <v>0.497</v>
      </c>
      <c r="I314" s="105">
        <v>41655</v>
      </c>
      <c r="J314">
        <v>0.57199999999999995</v>
      </c>
    </row>
    <row r="315" spans="1:10">
      <c r="A315" s="105">
        <v>41654</v>
      </c>
      <c r="B315">
        <v>0.216</v>
      </c>
      <c r="C315" s="105">
        <v>41654</v>
      </c>
      <c r="D315">
        <v>0.28999999999999998</v>
      </c>
      <c r="E315" s="105">
        <v>41654</v>
      </c>
      <c r="F315">
        <v>0.39700000000000002</v>
      </c>
      <c r="G315" s="105">
        <v>41654</v>
      </c>
      <c r="H315">
        <v>0.48899999999999999</v>
      </c>
      <c r="I315" s="105">
        <v>41654</v>
      </c>
      <c r="J315">
        <v>0.56499999999999995</v>
      </c>
    </row>
    <row r="316" spans="1:10">
      <c r="A316" s="105">
        <v>41653</v>
      </c>
      <c r="B316">
        <v>0.20799999999999999</v>
      </c>
      <c r="C316" s="105">
        <v>41653</v>
      </c>
      <c r="D316">
        <v>0.28199999999999997</v>
      </c>
      <c r="E316" s="105">
        <v>41653</v>
      </c>
      <c r="F316">
        <v>0.39</v>
      </c>
      <c r="G316" s="105">
        <v>41653</v>
      </c>
      <c r="H316">
        <v>0.48199999999999998</v>
      </c>
      <c r="I316" s="105">
        <v>41653</v>
      </c>
      <c r="J316">
        <v>0.55700000000000005</v>
      </c>
    </row>
    <row r="317" spans="1:10">
      <c r="A317" s="105">
        <v>41652</v>
      </c>
      <c r="B317">
        <v>0.20699999999999999</v>
      </c>
      <c r="C317" s="105">
        <v>41652</v>
      </c>
      <c r="D317">
        <v>0.28199999999999997</v>
      </c>
      <c r="E317" s="105">
        <v>41652</v>
      </c>
      <c r="F317">
        <v>0.38900000000000001</v>
      </c>
      <c r="G317" s="105">
        <v>41652</v>
      </c>
      <c r="H317">
        <v>0.48099999999999998</v>
      </c>
      <c r="I317" s="105">
        <v>41652</v>
      </c>
      <c r="J317">
        <v>0.55700000000000005</v>
      </c>
    </row>
    <row r="318" spans="1:10">
      <c r="A318" s="105">
        <v>41649</v>
      </c>
      <c r="B318">
        <v>0.20799999999999999</v>
      </c>
      <c r="C318" s="105">
        <v>41649</v>
      </c>
      <c r="D318">
        <v>0.28199999999999997</v>
      </c>
      <c r="E318" s="105">
        <v>41649</v>
      </c>
      <c r="F318">
        <v>0.39</v>
      </c>
      <c r="G318" s="105">
        <v>41649</v>
      </c>
      <c r="H318">
        <v>0.48099999999999998</v>
      </c>
      <c r="I318" s="105">
        <v>41649</v>
      </c>
      <c r="J318">
        <v>0.55700000000000005</v>
      </c>
    </row>
    <row r="319" spans="1:10">
      <c r="A319" s="105">
        <v>41648</v>
      </c>
      <c r="B319">
        <v>0.20499999999999999</v>
      </c>
      <c r="C319" s="105">
        <v>41648</v>
      </c>
      <c r="D319">
        <v>0.28199999999999997</v>
      </c>
      <c r="E319" s="105">
        <v>41648</v>
      </c>
      <c r="F319">
        <v>0.38800000000000001</v>
      </c>
      <c r="G319" s="105">
        <v>41648</v>
      </c>
      <c r="H319">
        <v>0.48099999999999998</v>
      </c>
      <c r="I319" s="105">
        <v>41648</v>
      </c>
      <c r="J319">
        <v>0.55700000000000005</v>
      </c>
    </row>
    <row r="320" spans="1:10">
      <c r="A320" s="105">
        <v>41647</v>
      </c>
      <c r="B320">
        <v>0.20300000000000001</v>
      </c>
      <c r="C320" s="105">
        <v>41647</v>
      </c>
      <c r="D320">
        <v>0.28100000000000003</v>
      </c>
      <c r="E320" s="105">
        <v>41647</v>
      </c>
      <c r="F320">
        <v>0.38300000000000001</v>
      </c>
      <c r="G320" s="105">
        <v>41647</v>
      </c>
      <c r="H320">
        <v>0.47699999999999998</v>
      </c>
      <c r="I320" s="105">
        <v>41647</v>
      </c>
      <c r="J320">
        <v>0.55200000000000005</v>
      </c>
    </row>
    <row r="321" spans="1:10">
      <c r="A321" s="105">
        <v>41646</v>
      </c>
      <c r="B321">
        <v>0.20200000000000001</v>
      </c>
      <c r="C321" s="105">
        <v>41646</v>
      </c>
      <c r="D321">
        <v>0.28000000000000003</v>
      </c>
      <c r="E321" s="105">
        <v>41646</v>
      </c>
      <c r="F321">
        <v>0.38100000000000001</v>
      </c>
      <c r="G321" s="105">
        <v>41646</v>
      </c>
      <c r="H321">
        <v>0.47299999999999998</v>
      </c>
      <c r="I321" s="105">
        <v>41646</v>
      </c>
      <c r="J321">
        <v>0.55000000000000004</v>
      </c>
    </row>
    <row r="322" spans="1:10">
      <c r="A322" s="105">
        <v>41645</v>
      </c>
      <c r="B322">
        <v>0.20399999999999999</v>
      </c>
      <c r="C322" s="105">
        <v>41645</v>
      </c>
      <c r="D322">
        <v>0.28000000000000003</v>
      </c>
      <c r="E322" s="105">
        <v>41645</v>
      </c>
      <c r="F322">
        <v>0.38</v>
      </c>
      <c r="G322" s="105">
        <v>41645</v>
      </c>
      <c r="H322">
        <v>0.47399999999999998</v>
      </c>
      <c r="I322" s="105">
        <v>41645</v>
      </c>
      <c r="J322">
        <v>0.55000000000000004</v>
      </c>
    </row>
    <row r="323" spans="1:10">
      <c r="A323" s="105">
        <v>41642</v>
      </c>
      <c r="B323">
        <v>0.20799999999999999</v>
      </c>
      <c r="C323" s="105">
        <v>41642</v>
      </c>
      <c r="D323">
        <v>0.28000000000000003</v>
      </c>
      <c r="E323" s="105">
        <v>41642</v>
      </c>
      <c r="F323">
        <v>0.38100000000000001</v>
      </c>
      <c r="G323" s="105">
        <v>41642</v>
      </c>
      <c r="H323">
        <v>0.47399999999999998</v>
      </c>
      <c r="I323" s="105">
        <v>41642</v>
      </c>
      <c r="J323">
        <v>0.55100000000000005</v>
      </c>
    </row>
    <row r="324" spans="1:10">
      <c r="A324" s="105">
        <v>41641</v>
      </c>
      <c r="B324">
        <v>0.214</v>
      </c>
      <c r="C324" s="105">
        <v>41641</v>
      </c>
      <c r="D324">
        <v>0.28399999999999997</v>
      </c>
      <c r="E324" s="105">
        <v>41641</v>
      </c>
      <c r="F324">
        <v>0.38700000000000001</v>
      </c>
      <c r="G324" s="105">
        <v>41641</v>
      </c>
      <c r="H324">
        <v>0.47799999999999998</v>
      </c>
      <c r="I324" s="105">
        <v>41641</v>
      </c>
      <c r="J324">
        <v>0.55500000000000005</v>
      </c>
    </row>
    <row r="325" spans="1:10">
      <c r="A325" s="105">
        <v>41639</v>
      </c>
      <c r="B325">
        <v>0.216</v>
      </c>
      <c r="C325" s="105">
        <v>41639</v>
      </c>
      <c r="D325">
        <v>0.28699999999999998</v>
      </c>
      <c r="E325" s="105">
        <v>41639</v>
      </c>
      <c r="F325">
        <v>0.38900000000000001</v>
      </c>
      <c r="G325" s="105">
        <v>41639</v>
      </c>
      <c r="H325">
        <v>0.48</v>
      </c>
      <c r="I325" s="105">
        <v>41639</v>
      </c>
      <c r="J325">
        <v>0.55600000000000005</v>
      </c>
    </row>
    <row r="326" spans="1:10">
      <c r="A326" s="105">
        <v>41638</v>
      </c>
      <c r="B326">
        <v>0.221</v>
      </c>
      <c r="C326" s="105">
        <v>41638</v>
      </c>
      <c r="D326">
        <v>0.28799999999999998</v>
      </c>
      <c r="E326" s="105">
        <v>41638</v>
      </c>
      <c r="F326">
        <v>0.38900000000000001</v>
      </c>
      <c r="G326" s="105">
        <v>41638</v>
      </c>
      <c r="H326">
        <v>0.48099999999999998</v>
      </c>
      <c r="I326" s="105">
        <v>41638</v>
      </c>
      <c r="J326">
        <v>0.55800000000000005</v>
      </c>
    </row>
    <row r="327" spans="1:10">
      <c r="A327" s="105">
        <v>41635</v>
      </c>
      <c r="B327">
        <v>0.23400000000000001</v>
      </c>
      <c r="C327" s="105">
        <v>41635</v>
      </c>
      <c r="D327">
        <v>0.29299999999999998</v>
      </c>
      <c r="E327" s="105">
        <v>41635</v>
      </c>
      <c r="F327">
        <v>0.39200000000000002</v>
      </c>
      <c r="G327" s="105">
        <v>41635</v>
      </c>
      <c r="H327">
        <v>0.48499999999999999</v>
      </c>
      <c r="I327" s="105">
        <v>41635</v>
      </c>
      <c r="J327">
        <v>0.56200000000000006</v>
      </c>
    </row>
    <row r="328" spans="1:10">
      <c r="A328" s="105">
        <v>41632</v>
      </c>
      <c r="B328">
        <v>0.23200000000000001</v>
      </c>
      <c r="C328" s="105">
        <v>41632</v>
      </c>
      <c r="D328">
        <v>0.29399999999999998</v>
      </c>
      <c r="E328" s="105">
        <v>41632</v>
      </c>
      <c r="F328">
        <v>0.39200000000000002</v>
      </c>
      <c r="G328" s="105">
        <v>41632</v>
      </c>
      <c r="H328">
        <v>0.48499999999999999</v>
      </c>
      <c r="I328" s="105">
        <v>41632</v>
      </c>
      <c r="J328">
        <v>0.56000000000000005</v>
      </c>
    </row>
    <row r="329" spans="1:10">
      <c r="A329" s="105">
        <v>41631</v>
      </c>
      <c r="B329">
        <v>0.23200000000000001</v>
      </c>
      <c r="C329" s="105">
        <v>41631</v>
      </c>
      <c r="D329">
        <v>0.29399999999999998</v>
      </c>
      <c r="E329" s="105">
        <v>41631</v>
      </c>
      <c r="F329">
        <v>0.39200000000000002</v>
      </c>
      <c r="G329" s="105">
        <v>41631</v>
      </c>
      <c r="H329">
        <v>0.48599999999999999</v>
      </c>
      <c r="I329" s="105">
        <v>41631</v>
      </c>
      <c r="J329">
        <v>0.56200000000000006</v>
      </c>
    </row>
    <row r="330" spans="1:10">
      <c r="A330" s="105">
        <v>41628</v>
      </c>
      <c r="B330">
        <v>0.23200000000000001</v>
      </c>
      <c r="C330" s="105">
        <v>41628</v>
      </c>
      <c r="D330">
        <v>0.29199999999999998</v>
      </c>
      <c r="E330" s="105">
        <v>41628</v>
      </c>
      <c r="F330">
        <v>0.38800000000000001</v>
      </c>
      <c r="G330" s="105">
        <v>41628</v>
      </c>
      <c r="H330">
        <v>0.48199999999999998</v>
      </c>
      <c r="I330" s="105">
        <v>41628</v>
      </c>
      <c r="J330">
        <v>0.55900000000000005</v>
      </c>
    </row>
    <row r="331" spans="1:10">
      <c r="A331" s="105">
        <v>41627</v>
      </c>
      <c r="B331">
        <v>0.23599999999999999</v>
      </c>
      <c r="C331" s="105">
        <v>41627</v>
      </c>
      <c r="D331">
        <v>0.29299999999999998</v>
      </c>
      <c r="E331" s="105">
        <v>41627</v>
      </c>
      <c r="F331">
        <v>0.38700000000000001</v>
      </c>
      <c r="G331" s="105">
        <v>41627</v>
      </c>
      <c r="H331">
        <v>0.48099999999999998</v>
      </c>
      <c r="I331" s="105">
        <v>41627</v>
      </c>
      <c r="J331">
        <v>0.55800000000000005</v>
      </c>
    </row>
    <row r="332" spans="1:10">
      <c r="A332" s="105">
        <v>41626</v>
      </c>
      <c r="B332">
        <v>0.245</v>
      </c>
      <c r="C332" s="105">
        <v>41626</v>
      </c>
      <c r="D332">
        <v>0.29799999999999999</v>
      </c>
      <c r="E332" s="105">
        <v>41626</v>
      </c>
      <c r="F332">
        <v>0.39300000000000002</v>
      </c>
      <c r="G332" s="105">
        <v>41626</v>
      </c>
      <c r="H332">
        <v>0.48699999999999999</v>
      </c>
      <c r="I332" s="105">
        <v>41626</v>
      </c>
      <c r="J332">
        <v>0.56499999999999995</v>
      </c>
    </row>
    <row r="333" spans="1:10">
      <c r="A333" s="105">
        <v>41625</v>
      </c>
      <c r="B333">
        <v>0.24299999999999999</v>
      </c>
      <c r="C333" s="105">
        <v>41625</v>
      </c>
      <c r="D333">
        <v>0.29799999999999999</v>
      </c>
      <c r="E333" s="105">
        <v>41625</v>
      </c>
      <c r="F333">
        <v>0.39300000000000002</v>
      </c>
      <c r="G333" s="105">
        <v>41625</v>
      </c>
      <c r="H333">
        <v>0.49</v>
      </c>
      <c r="I333" s="105">
        <v>41625</v>
      </c>
      <c r="J333">
        <v>0.56699999999999995</v>
      </c>
    </row>
    <row r="334" spans="1:10">
      <c r="A334" s="105">
        <v>41624</v>
      </c>
      <c r="B334">
        <v>0.23400000000000001</v>
      </c>
      <c r="C334" s="105">
        <v>41624</v>
      </c>
      <c r="D334">
        <v>0.28999999999999998</v>
      </c>
      <c r="E334" s="105">
        <v>41624</v>
      </c>
      <c r="F334">
        <v>0.38700000000000001</v>
      </c>
      <c r="G334" s="105">
        <v>41624</v>
      </c>
      <c r="H334">
        <v>0.48399999999999999</v>
      </c>
      <c r="I334" s="105">
        <v>41624</v>
      </c>
      <c r="J334">
        <v>0.56299999999999994</v>
      </c>
    </row>
    <row r="335" spans="1:10">
      <c r="A335" s="105">
        <v>41621</v>
      </c>
      <c r="B335">
        <v>0.22500000000000001</v>
      </c>
      <c r="C335" s="105">
        <v>41621</v>
      </c>
      <c r="D335">
        <v>0.28199999999999997</v>
      </c>
      <c r="E335" s="105">
        <v>41621</v>
      </c>
      <c r="F335">
        <v>0.38</v>
      </c>
      <c r="G335" s="105">
        <v>41621</v>
      </c>
      <c r="H335">
        <v>0.47699999999999998</v>
      </c>
      <c r="I335" s="105">
        <v>41621</v>
      </c>
      <c r="J335">
        <v>0.55600000000000005</v>
      </c>
    </row>
    <row r="336" spans="1:10">
      <c r="A336" s="105">
        <v>41620</v>
      </c>
      <c r="B336">
        <v>0.219</v>
      </c>
      <c r="C336" s="105">
        <v>41620</v>
      </c>
      <c r="D336">
        <v>0.27700000000000002</v>
      </c>
      <c r="E336" s="105">
        <v>41620</v>
      </c>
      <c r="F336">
        <v>0.374</v>
      </c>
      <c r="G336" s="105">
        <v>41620</v>
      </c>
      <c r="H336">
        <v>0.47</v>
      </c>
      <c r="I336" s="105">
        <v>41620</v>
      </c>
      <c r="J336">
        <v>0.54900000000000004</v>
      </c>
    </row>
    <row r="337" spans="1:10">
      <c r="A337" s="105">
        <v>41619</v>
      </c>
      <c r="B337">
        <v>0.21199999999999999</v>
      </c>
      <c r="C337" s="105">
        <v>41619</v>
      </c>
      <c r="D337">
        <v>0.26700000000000002</v>
      </c>
      <c r="E337" s="105">
        <v>41619</v>
      </c>
      <c r="F337">
        <v>0.36599999999999999</v>
      </c>
      <c r="G337" s="105">
        <v>41619</v>
      </c>
      <c r="H337">
        <v>0.45900000000000002</v>
      </c>
      <c r="I337" s="105">
        <v>41619</v>
      </c>
      <c r="J337">
        <v>0.54</v>
      </c>
    </row>
    <row r="338" spans="1:10">
      <c r="A338" s="105">
        <v>41618</v>
      </c>
      <c r="B338">
        <v>0.20699999999999999</v>
      </c>
      <c r="C338" s="105">
        <v>41618</v>
      </c>
      <c r="D338">
        <v>0.26</v>
      </c>
      <c r="E338" s="105">
        <v>41618</v>
      </c>
      <c r="F338">
        <v>0.36</v>
      </c>
      <c r="G338" s="105">
        <v>41618</v>
      </c>
      <c r="H338">
        <v>0.45400000000000001</v>
      </c>
      <c r="I338" s="105">
        <v>41618</v>
      </c>
      <c r="J338">
        <v>0.53300000000000003</v>
      </c>
    </row>
    <row r="339" spans="1:10">
      <c r="A339" s="105">
        <v>41617</v>
      </c>
      <c r="B339">
        <v>0.2</v>
      </c>
      <c r="C339" s="105">
        <v>41617</v>
      </c>
      <c r="D339">
        <v>0.255</v>
      </c>
      <c r="E339" s="105">
        <v>41617</v>
      </c>
      <c r="F339">
        <v>0.35299999999999998</v>
      </c>
      <c r="G339" s="105">
        <v>41617</v>
      </c>
      <c r="H339">
        <v>0.44800000000000001</v>
      </c>
      <c r="I339" s="105">
        <v>41617</v>
      </c>
      <c r="J339">
        <v>0.52700000000000002</v>
      </c>
    </row>
    <row r="340" spans="1:10">
      <c r="A340" s="105">
        <v>41614</v>
      </c>
      <c r="B340">
        <v>0.191</v>
      </c>
      <c r="C340" s="105">
        <v>41614</v>
      </c>
      <c r="D340">
        <v>0.248</v>
      </c>
      <c r="E340" s="105">
        <v>41614</v>
      </c>
      <c r="F340">
        <v>0.34499999999999997</v>
      </c>
      <c r="G340" s="105">
        <v>41614</v>
      </c>
      <c r="H340">
        <v>0.439</v>
      </c>
      <c r="I340" s="105">
        <v>41614</v>
      </c>
      <c r="J340">
        <v>0.51900000000000002</v>
      </c>
    </row>
    <row r="341" spans="1:10">
      <c r="A341" s="105">
        <v>41613</v>
      </c>
      <c r="B341">
        <v>0.183</v>
      </c>
      <c r="C341" s="105">
        <v>41613</v>
      </c>
      <c r="D341">
        <v>0.24</v>
      </c>
      <c r="E341" s="105">
        <v>41613</v>
      </c>
      <c r="F341">
        <v>0.33400000000000002</v>
      </c>
      <c r="G341" s="105">
        <v>41613</v>
      </c>
      <c r="H341">
        <v>0.42899999999999999</v>
      </c>
      <c r="I341" s="105">
        <v>41613</v>
      </c>
      <c r="J341">
        <v>0.50700000000000001</v>
      </c>
    </row>
    <row r="342" spans="1:10">
      <c r="A342" s="105">
        <v>41612</v>
      </c>
      <c r="B342">
        <v>0.18</v>
      </c>
      <c r="C342" s="105">
        <v>41612</v>
      </c>
      <c r="D342">
        <v>0.23899999999999999</v>
      </c>
      <c r="E342" s="105">
        <v>41612</v>
      </c>
      <c r="F342">
        <v>0.33400000000000002</v>
      </c>
      <c r="G342" s="105">
        <v>41612</v>
      </c>
      <c r="H342">
        <v>0.42499999999999999</v>
      </c>
      <c r="I342" s="105">
        <v>41612</v>
      </c>
      <c r="J342">
        <v>0.504</v>
      </c>
    </row>
    <row r="343" spans="1:10">
      <c r="A343" s="105">
        <v>41611</v>
      </c>
      <c r="B343">
        <v>0.17499999999999999</v>
      </c>
      <c r="C343" s="105">
        <v>41611</v>
      </c>
      <c r="D343">
        <v>0.23899999999999999</v>
      </c>
      <c r="E343" s="105">
        <v>41611</v>
      </c>
      <c r="F343">
        <v>0.33200000000000002</v>
      </c>
      <c r="G343" s="105">
        <v>41611</v>
      </c>
      <c r="H343">
        <v>0.42299999999999999</v>
      </c>
      <c r="I343" s="105">
        <v>41611</v>
      </c>
      <c r="J343">
        <v>0.503</v>
      </c>
    </row>
    <row r="344" spans="1:10">
      <c r="A344" s="105">
        <v>41610</v>
      </c>
      <c r="B344">
        <v>0.17</v>
      </c>
      <c r="C344" s="105">
        <v>41610</v>
      </c>
      <c r="D344">
        <v>0.23599999999999999</v>
      </c>
      <c r="E344" s="105">
        <v>41610</v>
      </c>
      <c r="F344">
        <v>0.33100000000000002</v>
      </c>
      <c r="G344" s="105">
        <v>41610</v>
      </c>
      <c r="H344">
        <v>0.42199999999999999</v>
      </c>
      <c r="I344" s="105">
        <v>41610</v>
      </c>
      <c r="J344">
        <v>0.502</v>
      </c>
    </row>
    <row r="345" spans="1:10">
      <c r="A345" s="105">
        <v>41607</v>
      </c>
      <c r="B345">
        <v>0.16600000000000001</v>
      </c>
      <c r="C345" s="105">
        <v>41607</v>
      </c>
      <c r="D345">
        <v>0.23400000000000001</v>
      </c>
      <c r="E345" s="105">
        <v>41607</v>
      </c>
      <c r="F345">
        <v>0.33</v>
      </c>
      <c r="G345" s="105">
        <v>41607</v>
      </c>
      <c r="H345">
        <v>0.42099999999999999</v>
      </c>
      <c r="I345" s="105">
        <v>41607</v>
      </c>
      <c r="J345">
        <v>0.501</v>
      </c>
    </row>
    <row r="346" spans="1:10">
      <c r="A346" s="105">
        <v>41606</v>
      </c>
      <c r="B346">
        <v>0.16300000000000001</v>
      </c>
      <c r="C346" s="105">
        <v>41606</v>
      </c>
      <c r="D346">
        <v>0.23300000000000001</v>
      </c>
      <c r="E346" s="105">
        <v>41606</v>
      </c>
      <c r="F346">
        <v>0.32900000000000001</v>
      </c>
      <c r="G346" s="105">
        <v>41606</v>
      </c>
      <c r="H346">
        <v>0.42</v>
      </c>
      <c r="I346" s="105">
        <v>41606</v>
      </c>
      <c r="J346">
        <v>0.5</v>
      </c>
    </row>
    <row r="347" spans="1:10">
      <c r="A347" s="105">
        <v>41605</v>
      </c>
      <c r="B347">
        <v>0.14699999999999999</v>
      </c>
      <c r="C347" s="105">
        <v>41605</v>
      </c>
      <c r="D347">
        <v>0.23</v>
      </c>
      <c r="E347" s="105">
        <v>41605</v>
      </c>
      <c r="F347">
        <v>0.32700000000000001</v>
      </c>
      <c r="G347" s="105">
        <v>41605</v>
      </c>
      <c r="H347">
        <v>0.41799999999999998</v>
      </c>
      <c r="I347" s="105">
        <v>41605</v>
      </c>
      <c r="J347">
        <v>0.497</v>
      </c>
    </row>
    <row r="348" spans="1:10">
      <c r="A348" s="105">
        <v>41604</v>
      </c>
      <c r="B348">
        <v>0.14599999999999999</v>
      </c>
      <c r="C348" s="105">
        <v>41604</v>
      </c>
      <c r="D348">
        <v>0.23</v>
      </c>
      <c r="E348" s="105">
        <v>41604</v>
      </c>
      <c r="F348">
        <v>0.33</v>
      </c>
      <c r="G348" s="105">
        <v>41604</v>
      </c>
      <c r="H348">
        <v>0.42</v>
      </c>
      <c r="I348" s="105">
        <v>41604</v>
      </c>
      <c r="J348">
        <v>0.5</v>
      </c>
    </row>
    <row r="349" spans="1:10">
      <c r="A349" s="105">
        <v>41603</v>
      </c>
      <c r="B349">
        <v>0.13900000000000001</v>
      </c>
      <c r="C349" s="105">
        <v>41603</v>
      </c>
      <c r="D349">
        <v>0.22700000000000001</v>
      </c>
      <c r="E349" s="105">
        <v>41603</v>
      </c>
      <c r="F349">
        <v>0.32600000000000001</v>
      </c>
      <c r="G349" s="105">
        <v>41603</v>
      </c>
      <c r="H349">
        <v>0.41799999999999998</v>
      </c>
      <c r="I349" s="105">
        <v>41603</v>
      </c>
      <c r="J349">
        <v>0.498</v>
      </c>
    </row>
    <row r="350" spans="1:10">
      <c r="A350" s="105">
        <v>41600</v>
      </c>
      <c r="B350">
        <v>0.13300000000000001</v>
      </c>
      <c r="C350" s="105">
        <v>41600</v>
      </c>
      <c r="D350">
        <v>0.223</v>
      </c>
      <c r="E350" s="105">
        <v>41600</v>
      </c>
      <c r="F350">
        <v>0.32100000000000001</v>
      </c>
      <c r="G350" s="105">
        <v>41600</v>
      </c>
      <c r="H350">
        <v>0.41299999999999998</v>
      </c>
      <c r="I350" s="105">
        <v>41600</v>
      </c>
      <c r="J350">
        <v>0.49199999999999999</v>
      </c>
    </row>
    <row r="351" spans="1:10">
      <c r="A351" s="105">
        <v>41599</v>
      </c>
      <c r="B351">
        <v>0.126</v>
      </c>
      <c r="C351" s="105">
        <v>41599</v>
      </c>
      <c r="D351">
        <v>0.217</v>
      </c>
      <c r="E351" s="105">
        <v>41599</v>
      </c>
      <c r="F351">
        <v>0.316</v>
      </c>
      <c r="G351" s="105">
        <v>41599</v>
      </c>
      <c r="H351">
        <v>0.40899999999999997</v>
      </c>
      <c r="I351" s="105">
        <v>41599</v>
      </c>
      <c r="J351">
        <v>0.48899999999999999</v>
      </c>
    </row>
    <row r="352" spans="1:10">
      <c r="A352" s="105">
        <v>41598</v>
      </c>
      <c r="B352">
        <v>0.124</v>
      </c>
      <c r="C352" s="105">
        <v>41598</v>
      </c>
      <c r="D352">
        <v>0.219</v>
      </c>
      <c r="E352" s="105">
        <v>41598</v>
      </c>
      <c r="F352">
        <v>0.318</v>
      </c>
      <c r="G352" s="105">
        <v>41598</v>
      </c>
      <c r="H352">
        <v>0.41399999999999998</v>
      </c>
      <c r="I352" s="105">
        <v>41598</v>
      </c>
      <c r="J352">
        <v>0.495</v>
      </c>
    </row>
    <row r="353" spans="1:10">
      <c r="A353" s="105">
        <v>41597</v>
      </c>
      <c r="B353">
        <v>0.124</v>
      </c>
      <c r="C353" s="105">
        <v>41597</v>
      </c>
      <c r="D353">
        <v>0.218</v>
      </c>
      <c r="E353" s="105">
        <v>41597</v>
      </c>
      <c r="F353">
        <v>0.31900000000000001</v>
      </c>
      <c r="G353" s="105">
        <v>41597</v>
      </c>
      <c r="H353">
        <v>0.41599999999999998</v>
      </c>
      <c r="I353" s="105">
        <v>41597</v>
      </c>
      <c r="J353">
        <v>0.496</v>
      </c>
    </row>
    <row r="354" spans="1:10">
      <c r="A354" s="105">
        <v>41596</v>
      </c>
      <c r="B354">
        <v>0.123</v>
      </c>
      <c r="C354" s="105">
        <v>41596</v>
      </c>
      <c r="D354">
        <v>0.218</v>
      </c>
      <c r="E354" s="105">
        <v>41596</v>
      </c>
      <c r="F354">
        <v>0.31900000000000001</v>
      </c>
      <c r="G354" s="105">
        <v>41596</v>
      </c>
      <c r="H354">
        <v>0.41599999999999998</v>
      </c>
      <c r="I354" s="105">
        <v>41596</v>
      </c>
      <c r="J354">
        <v>0.497</v>
      </c>
    </row>
    <row r="355" spans="1:10">
      <c r="A355" s="105">
        <v>41593</v>
      </c>
      <c r="B355">
        <v>0.123</v>
      </c>
      <c r="C355" s="105">
        <v>41593</v>
      </c>
      <c r="D355">
        <v>0.218</v>
      </c>
      <c r="E355" s="105">
        <v>41593</v>
      </c>
      <c r="F355">
        <v>0.318</v>
      </c>
      <c r="G355" s="105">
        <v>41593</v>
      </c>
      <c r="H355">
        <v>0.41499999999999998</v>
      </c>
      <c r="I355" s="105">
        <v>41593</v>
      </c>
      <c r="J355">
        <v>0.496</v>
      </c>
    </row>
    <row r="356" spans="1:10">
      <c r="A356" s="105">
        <v>41592</v>
      </c>
      <c r="B356">
        <v>0.123</v>
      </c>
      <c r="C356" s="105">
        <v>41592</v>
      </c>
      <c r="D356">
        <v>0.217</v>
      </c>
      <c r="E356" s="105">
        <v>41592</v>
      </c>
      <c r="F356">
        <v>0.31900000000000001</v>
      </c>
      <c r="G356" s="105">
        <v>41592</v>
      </c>
      <c r="H356">
        <v>0.41499999999999998</v>
      </c>
      <c r="I356" s="105">
        <v>41592</v>
      </c>
      <c r="J356">
        <v>0.496</v>
      </c>
    </row>
    <row r="357" spans="1:10">
      <c r="A357" s="105">
        <v>41591</v>
      </c>
      <c r="B357">
        <v>0.123</v>
      </c>
      <c r="C357" s="105">
        <v>41591</v>
      </c>
      <c r="D357">
        <v>0.218</v>
      </c>
      <c r="E357" s="105">
        <v>41591</v>
      </c>
      <c r="F357">
        <v>0.32</v>
      </c>
      <c r="G357" s="105">
        <v>41591</v>
      </c>
      <c r="H357">
        <v>0.41799999999999998</v>
      </c>
      <c r="I357" s="105">
        <v>41591</v>
      </c>
      <c r="J357">
        <v>0.5</v>
      </c>
    </row>
    <row r="358" spans="1:10">
      <c r="A358" s="105">
        <v>41590</v>
      </c>
      <c r="B358">
        <v>0.123</v>
      </c>
      <c r="C358" s="105">
        <v>41590</v>
      </c>
      <c r="D358">
        <v>0.218</v>
      </c>
      <c r="E358" s="105">
        <v>41590</v>
      </c>
      <c r="F358">
        <v>0.32200000000000001</v>
      </c>
      <c r="G358" s="105">
        <v>41590</v>
      </c>
      <c r="H358">
        <v>0.41899999999999998</v>
      </c>
      <c r="I358" s="105">
        <v>41590</v>
      </c>
      <c r="J358">
        <v>0.501</v>
      </c>
    </row>
    <row r="359" spans="1:10">
      <c r="A359" s="105">
        <v>41589</v>
      </c>
      <c r="B359">
        <v>0.122</v>
      </c>
      <c r="C359" s="105">
        <v>41589</v>
      </c>
      <c r="D359">
        <v>0.218</v>
      </c>
      <c r="E359" s="105">
        <v>41589</v>
      </c>
      <c r="F359">
        <v>0.32200000000000001</v>
      </c>
      <c r="G359" s="105">
        <v>41589</v>
      </c>
      <c r="H359">
        <v>0.41699999999999998</v>
      </c>
      <c r="I359" s="105">
        <v>41589</v>
      </c>
      <c r="J359">
        <v>0.502</v>
      </c>
    </row>
    <row r="360" spans="1:10">
      <c r="A360" s="105">
        <v>41586</v>
      </c>
      <c r="B360">
        <v>0.122</v>
      </c>
      <c r="C360" s="105">
        <v>41586</v>
      </c>
      <c r="D360">
        <v>0.217</v>
      </c>
      <c r="E360" s="105">
        <v>41586</v>
      </c>
      <c r="F360">
        <v>0.32400000000000001</v>
      </c>
      <c r="G360" s="105">
        <v>41586</v>
      </c>
      <c r="H360">
        <v>0.42</v>
      </c>
      <c r="I360" s="105">
        <v>41586</v>
      </c>
      <c r="J360">
        <v>0.50600000000000001</v>
      </c>
    </row>
    <row r="361" spans="1:10">
      <c r="A361" s="105">
        <v>41585</v>
      </c>
      <c r="B361">
        <v>0.129</v>
      </c>
      <c r="C361" s="105">
        <v>41585</v>
      </c>
      <c r="D361">
        <v>0.22800000000000001</v>
      </c>
      <c r="E361" s="105">
        <v>41585</v>
      </c>
      <c r="F361">
        <v>0.34100000000000003</v>
      </c>
      <c r="G361" s="105">
        <v>41585</v>
      </c>
      <c r="H361">
        <v>0.44500000000000001</v>
      </c>
      <c r="I361" s="105">
        <v>41585</v>
      </c>
      <c r="J361">
        <v>0.53400000000000003</v>
      </c>
    </row>
    <row r="362" spans="1:10">
      <c r="A362" s="105">
        <v>41584</v>
      </c>
      <c r="B362">
        <v>0.13</v>
      </c>
      <c r="C362" s="105">
        <v>41584</v>
      </c>
      <c r="D362">
        <v>0.22800000000000001</v>
      </c>
      <c r="E362" s="105">
        <v>41584</v>
      </c>
      <c r="F362">
        <v>0.34</v>
      </c>
      <c r="G362" s="105">
        <v>41584</v>
      </c>
      <c r="H362">
        <v>0.44600000000000001</v>
      </c>
      <c r="I362" s="105">
        <v>41584</v>
      </c>
      <c r="J362">
        <v>0.53500000000000003</v>
      </c>
    </row>
    <row r="363" spans="1:10">
      <c r="A363" s="105">
        <v>41583</v>
      </c>
      <c r="B363">
        <v>0.129</v>
      </c>
      <c r="C363" s="105">
        <v>41583</v>
      </c>
      <c r="D363">
        <v>0.22700000000000001</v>
      </c>
      <c r="E363" s="105">
        <v>41583</v>
      </c>
      <c r="F363">
        <v>0.34100000000000003</v>
      </c>
      <c r="G363" s="105">
        <v>41583</v>
      </c>
      <c r="H363">
        <v>0.44600000000000001</v>
      </c>
      <c r="I363" s="105">
        <v>41583</v>
      </c>
      <c r="J363">
        <v>0.53400000000000003</v>
      </c>
    </row>
    <row r="364" spans="1:10">
      <c r="A364" s="105">
        <v>41582</v>
      </c>
      <c r="B364">
        <v>0.129</v>
      </c>
      <c r="C364" s="105">
        <v>41582</v>
      </c>
      <c r="D364">
        <v>0.22700000000000001</v>
      </c>
      <c r="E364" s="105">
        <v>41582</v>
      </c>
      <c r="F364">
        <v>0.34200000000000003</v>
      </c>
      <c r="G364" s="105">
        <v>41582</v>
      </c>
      <c r="H364">
        <v>0.44600000000000001</v>
      </c>
      <c r="I364" s="105">
        <v>41582</v>
      </c>
      <c r="J364">
        <v>0.53200000000000003</v>
      </c>
    </row>
    <row r="365" spans="1:10">
      <c r="A365" s="105">
        <v>41579</v>
      </c>
      <c r="B365">
        <v>0.129</v>
      </c>
      <c r="C365" s="105">
        <v>41579</v>
      </c>
      <c r="D365">
        <v>0.22600000000000001</v>
      </c>
      <c r="E365" s="105">
        <v>41579</v>
      </c>
      <c r="F365">
        <v>0.34100000000000003</v>
      </c>
      <c r="G365" s="105">
        <v>41579</v>
      </c>
      <c r="H365">
        <v>0.44500000000000001</v>
      </c>
      <c r="I365" s="105">
        <v>41579</v>
      </c>
      <c r="J365">
        <v>0.53300000000000003</v>
      </c>
    </row>
    <row r="366" spans="1:10">
      <c r="A366" s="105">
        <v>41578</v>
      </c>
      <c r="B366">
        <v>0.13</v>
      </c>
      <c r="C366" s="105">
        <v>41578</v>
      </c>
      <c r="D366">
        <v>0.23</v>
      </c>
      <c r="E366" s="105">
        <v>41578</v>
      </c>
      <c r="F366">
        <v>0.35099999999999998</v>
      </c>
      <c r="G366" s="105">
        <v>41578</v>
      </c>
      <c r="H366">
        <v>0.45800000000000002</v>
      </c>
      <c r="I366" s="105">
        <v>41578</v>
      </c>
      <c r="J366">
        <v>0.54800000000000004</v>
      </c>
    </row>
    <row r="367" spans="1:10">
      <c r="A367" s="105">
        <v>41577</v>
      </c>
      <c r="B367">
        <v>0.129</v>
      </c>
      <c r="C367" s="105">
        <v>41577</v>
      </c>
      <c r="D367">
        <v>0.22800000000000001</v>
      </c>
      <c r="E367" s="105">
        <v>41577</v>
      </c>
      <c r="F367">
        <v>0.34899999999999998</v>
      </c>
      <c r="G367" s="105">
        <v>41577</v>
      </c>
      <c r="H367">
        <v>0.45800000000000002</v>
      </c>
      <c r="I367" s="105">
        <v>41577</v>
      </c>
      <c r="J367">
        <v>0.54800000000000004</v>
      </c>
    </row>
    <row r="368" spans="1:10">
      <c r="A368" s="105">
        <v>41576</v>
      </c>
      <c r="B368">
        <v>0.129</v>
      </c>
      <c r="C368" s="105">
        <v>41576</v>
      </c>
      <c r="D368">
        <v>0.22800000000000001</v>
      </c>
      <c r="E368" s="105">
        <v>41576</v>
      </c>
      <c r="F368">
        <v>0.34799999999999998</v>
      </c>
      <c r="G368" s="105">
        <v>41576</v>
      </c>
      <c r="H368">
        <v>0.45800000000000002</v>
      </c>
      <c r="I368" s="105">
        <v>41576</v>
      </c>
      <c r="J368">
        <v>0.55000000000000004</v>
      </c>
    </row>
    <row r="369" spans="1:10">
      <c r="A369" s="105">
        <v>41575</v>
      </c>
      <c r="B369">
        <v>0.13</v>
      </c>
      <c r="C369" s="105">
        <v>41575</v>
      </c>
      <c r="D369">
        <v>0.22900000000000001</v>
      </c>
      <c r="E369" s="105">
        <v>41575</v>
      </c>
      <c r="F369">
        <v>0.34899999999999998</v>
      </c>
      <c r="G369" s="105">
        <v>41575</v>
      </c>
      <c r="H369">
        <v>0.46</v>
      </c>
      <c r="I369" s="105">
        <v>41575</v>
      </c>
      <c r="J369">
        <v>0.55300000000000005</v>
      </c>
    </row>
    <row r="370" spans="1:10">
      <c r="A370" s="105">
        <v>41572</v>
      </c>
      <c r="B370">
        <v>0.13</v>
      </c>
      <c r="C370" s="105">
        <v>41572</v>
      </c>
      <c r="D370">
        <v>0.22800000000000001</v>
      </c>
      <c r="E370" s="105">
        <v>41572</v>
      </c>
      <c r="F370">
        <v>0.34499999999999997</v>
      </c>
      <c r="G370" s="105">
        <v>41572</v>
      </c>
      <c r="H370">
        <v>0.45600000000000002</v>
      </c>
      <c r="I370" s="105">
        <v>41572</v>
      </c>
      <c r="J370">
        <v>0.54700000000000004</v>
      </c>
    </row>
    <row r="371" spans="1:10">
      <c r="A371" s="105">
        <v>41571</v>
      </c>
      <c r="B371">
        <v>0.129</v>
      </c>
      <c r="C371" s="105">
        <v>41571</v>
      </c>
      <c r="D371">
        <v>0.22500000000000001</v>
      </c>
      <c r="E371" s="105">
        <v>41571</v>
      </c>
      <c r="F371">
        <v>0.34300000000000003</v>
      </c>
      <c r="G371" s="105">
        <v>41571</v>
      </c>
      <c r="H371">
        <v>0.45100000000000001</v>
      </c>
      <c r="I371" s="105">
        <v>41571</v>
      </c>
      <c r="J371">
        <v>0.54200000000000004</v>
      </c>
    </row>
    <row r="372" spans="1:10">
      <c r="A372" s="105">
        <v>41570</v>
      </c>
      <c r="B372">
        <v>0.129</v>
      </c>
      <c r="C372" s="105">
        <v>41570</v>
      </c>
      <c r="D372">
        <v>0.222</v>
      </c>
      <c r="E372" s="105">
        <v>41570</v>
      </c>
      <c r="F372">
        <v>0.34</v>
      </c>
      <c r="G372" s="105">
        <v>41570</v>
      </c>
      <c r="H372">
        <v>0.44700000000000001</v>
      </c>
      <c r="I372" s="105">
        <v>41570</v>
      </c>
      <c r="J372">
        <v>0.53700000000000003</v>
      </c>
    </row>
    <row r="373" spans="1:10">
      <c r="A373" s="105">
        <v>41569</v>
      </c>
      <c r="B373">
        <v>0.128</v>
      </c>
      <c r="C373" s="105">
        <v>41569</v>
      </c>
      <c r="D373">
        <v>0.223</v>
      </c>
      <c r="E373" s="105">
        <v>41569</v>
      </c>
      <c r="F373">
        <v>0.34</v>
      </c>
      <c r="G373" s="105">
        <v>41569</v>
      </c>
      <c r="H373">
        <v>0.44900000000000001</v>
      </c>
      <c r="I373" s="105">
        <v>41569</v>
      </c>
      <c r="J373">
        <v>0.53900000000000003</v>
      </c>
    </row>
    <row r="374" spans="1:10">
      <c r="A374" s="105">
        <v>41568</v>
      </c>
      <c r="B374">
        <v>0.128</v>
      </c>
      <c r="C374" s="105">
        <v>41568</v>
      </c>
      <c r="D374">
        <v>0.223</v>
      </c>
      <c r="E374" s="105">
        <v>41568</v>
      </c>
      <c r="F374">
        <v>0.33900000000000002</v>
      </c>
      <c r="G374" s="105">
        <v>41568</v>
      </c>
      <c r="H374">
        <v>0.44800000000000001</v>
      </c>
      <c r="I374" s="105">
        <v>41568</v>
      </c>
      <c r="J374">
        <v>0.53800000000000003</v>
      </c>
    </row>
    <row r="375" spans="1:10">
      <c r="A375" s="105">
        <v>41565</v>
      </c>
      <c r="B375">
        <v>0.128</v>
      </c>
      <c r="C375" s="105">
        <v>41565</v>
      </c>
      <c r="D375">
        <v>0.224</v>
      </c>
      <c r="E375" s="105">
        <v>41565</v>
      </c>
      <c r="F375">
        <v>0.33900000000000002</v>
      </c>
      <c r="G375" s="105">
        <v>41565</v>
      </c>
      <c r="H375">
        <v>0.44600000000000001</v>
      </c>
      <c r="I375" s="105">
        <v>41565</v>
      </c>
      <c r="J375">
        <v>0.53700000000000003</v>
      </c>
    </row>
    <row r="376" spans="1:10">
      <c r="A376" s="105">
        <v>41564</v>
      </c>
      <c r="B376">
        <v>0.127</v>
      </c>
      <c r="C376" s="105">
        <v>41564</v>
      </c>
      <c r="D376">
        <v>0.224</v>
      </c>
      <c r="E376" s="105">
        <v>41564</v>
      </c>
      <c r="F376">
        <v>0.34</v>
      </c>
      <c r="G376" s="105">
        <v>41564</v>
      </c>
      <c r="H376">
        <v>0.44700000000000001</v>
      </c>
      <c r="I376" s="105">
        <v>41564</v>
      </c>
      <c r="J376">
        <v>0.53800000000000003</v>
      </c>
    </row>
    <row r="377" spans="1:10">
      <c r="A377" s="105">
        <v>41563</v>
      </c>
      <c r="B377">
        <v>0.127</v>
      </c>
      <c r="C377" s="105">
        <v>41563</v>
      </c>
      <c r="D377">
        <v>0.22500000000000001</v>
      </c>
      <c r="E377" s="105">
        <v>41563</v>
      </c>
      <c r="F377">
        <v>0.34</v>
      </c>
      <c r="G377" s="105">
        <v>41563</v>
      </c>
      <c r="H377">
        <v>0.45</v>
      </c>
      <c r="I377" s="105">
        <v>41563</v>
      </c>
      <c r="J377">
        <v>0.54100000000000004</v>
      </c>
    </row>
    <row r="378" spans="1:10">
      <c r="A378" s="105">
        <v>41562</v>
      </c>
      <c r="B378">
        <v>0.127</v>
      </c>
      <c r="C378" s="105">
        <v>41562</v>
      </c>
      <c r="D378">
        <v>0.22500000000000001</v>
      </c>
      <c r="E378" s="105">
        <v>41562</v>
      </c>
      <c r="F378">
        <v>0.34</v>
      </c>
      <c r="G378" s="105">
        <v>41562</v>
      </c>
      <c r="H378">
        <v>0.44800000000000001</v>
      </c>
      <c r="I378" s="105">
        <v>41562</v>
      </c>
      <c r="J378">
        <v>0.54</v>
      </c>
    </row>
    <row r="379" spans="1:10">
      <c r="A379" s="105">
        <v>41561</v>
      </c>
      <c r="B379">
        <v>0.127</v>
      </c>
      <c r="C379" s="105">
        <v>41561</v>
      </c>
      <c r="D379">
        <v>0.22700000000000001</v>
      </c>
      <c r="E379" s="105">
        <v>41561</v>
      </c>
      <c r="F379">
        <v>0.34100000000000003</v>
      </c>
      <c r="G379" s="105">
        <v>41561</v>
      </c>
      <c r="H379">
        <v>0.45</v>
      </c>
      <c r="I379" s="105">
        <v>41561</v>
      </c>
      <c r="J379">
        <v>0.54100000000000004</v>
      </c>
    </row>
    <row r="380" spans="1:10">
      <c r="A380" s="105">
        <v>41558</v>
      </c>
      <c r="B380">
        <v>0.128</v>
      </c>
      <c r="C380" s="105">
        <v>41558</v>
      </c>
      <c r="D380">
        <v>0.22700000000000001</v>
      </c>
      <c r="E380" s="105">
        <v>41558</v>
      </c>
      <c r="F380">
        <v>0.34</v>
      </c>
      <c r="G380" s="105">
        <v>41558</v>
      </c>
      <c r="H380">
        <v>0.44900000000000001</v>
      </c>
      <c r="I380" s="105">
        <v>41558</v>
      </c>
      <c r="J380">
        <v>0.54</v>
      </c>
    </row>
    <row r="381" spans="1:10">
      <c r="A381" s="105">
        <v>41557</v>
      </c>
      <c r="B381">
        <v>0.128</v>
      </c>
      <c r="C381" s="105">
        <v>41557</v>
      </c>
      <c r="D381">
        <v>0.22700000000000001</v>
      </c>
      <c r="E381" s="105">
        <v>41557</v>
      </c>
      <c r="F381">
        <v>0.34</v>
      </c>
      <c r="G381" s="105">
        <v>41557</v>
      </c>
      <c r="H381">
        <v>0.45</v>
      </c>
      <c r="I381" s="105">
        <v>41557</v>
      </c>
      <c r="J381">
        <v>0.54100000000000004</v>
      </c>
    </row>
    <row r="382" spans="1:10">
      <c r="A382" s="105">
        <v>41556</v>
      </c>
      <c r="B382">
        <v>0.129</v>
      </c>
      <c r="C382" s="105">
        <v>41556</v>
      </c>
      <c r="D382">
        <v>0.22800000000000001</v>
      </c>
      <c r="E382" s="105">
        <v>41556</v>
      </c>
      <c r="F382">
        <v>0.34100000000000003</v>
      </c>
      <c r="G382" s="105">
        <v>41556</v>
      </c>
      <c r="H382">
        <v>0.44900000000000001</v>
      </c>
      <c r="I382" s="105">
        <v>41556</v>
      </c>
      <c r="J382">
        <v>0.54</v>
      </c>
    </row>
    <row r="383" spans="1:10">
      <c r="A383" s="105">
        <v>41555</v>
      </c>
      <c r="B383">
        <v>0.128</v>
      </c>
      <c r="C383" s="105">
        <v>41555</v>
      </c>
      <c r="D383">
        <v>0.22700000000000001</v>
      </c>
      <c r="E383" s="105">
        <v>41555</v>
      </c>
      <c r="F383">
        <v>0.34</v>
      </c>
      <c r="G383" s="105">
        <v>41555</v>
      </c>
      <c r="H383">
        <v>0.44800000000000001</v>
      </c>
      <c r="I383" s="105">
        <v>41555</v>
      </c>
      <c r="J383">
        <v>0.53900000000000003</v>
      </c>
    </row>
    <row r="384" spans="1:10">
      <c r="A384" s="105">
        <v>41554</v>
      </c>
      <c r="B384">
        <v>0.128</v>
      </c>
      <c r="C384" s="105">
        <v>41554</v>
      </c>
      <c r="D384">
        <v>0.22500000000000001</v>
      </c>
      <c r="E384" s="105">
        <v>41554</v>
      </c>
      <c r="F384">
        <v>0.33900000000000002</v>
      </c>
      <c r="G384" s="105">
        <v>41554</v>
      </c>
      <c r="H384">
        <v>0.44600000000000001</v>
      </c>
      <c r="I384" s="105">
        <v>41554</v>
      </c>
      <c r="J384">
        <v>0.53600000000000003</v>
      </c>
    </row>
    <row r="385" spans="1:10">
      <c r="A385" s="105">
        <v>41551</v>
      </c>
      <c r="B385">
        <v>0.128</v>
      </c>
      <c r="C385" s="105">
        <v>41551</v>
      </c>
      <c r="D385">
        <v>0.22500000000000001</v>
      </c>
      <c r="E385" s="105">
        <v>41551</v>
      </c>
      <c r="F385">
        <v>0.33800000000000002</v>
      </c>
      <c r="G385" s="105">
        <v>41551</v>
      </c>
      <c r="H385">
        <v>0.44600000000000001</v>
      </c>
      <c r="I385" s="105">
        <v>41551</v>
      </c>
      <c r="J385">
        <v>0.53700000000000003</v>
      </c>
    </row>
    <row r="386" spans="1:10">
      <c r="A386" s="105">
        <v>41550</v>
      </c>
      <c r="B386">
        <v>0.127</v>
      </c>
      <c r="C386" s="105">
        <v>41550</v>
      </c>
      <c r="D386">
        <v>0.224</v>
      </c>
      <c r="E386" s="105">
        <v>41550</v>
      </c>
      <c r="F386">
        <v>0.33800000000000002</v>
      </c>
      <c r="G386" s="105">
        <v>41550</v>
      </c>
      <c r="H386">
        <v>0.44600000000000001</v>
      </c>
      <c r="I386" s="105">
        <v>41550</v>
      </c>
      <c r="J386">
        <v>0.53700000000000003</v>
      </c>
    </row>
    <row r="387" spans="1:10">
      <c r="A387" s="105">
        <v>41549</v>
      </c>
      <c r="B387">
        <v>0.128</v>
      </c>
      <c r="C387" s="105">
        <v>41549</v>
      </c>
      <c r="D387">
        <v>0.22500000000000001</v>
      </c>
      <c r="E387" s="105">
        <v>41549</v>
      </c>
      <c r="F387">
        <v>0.33700000000000002</v>
      </c>
      <c r="G387" s="105">
        <v>41549</v>
      </c>
      <c r="H387">
        <v>0.44500000000000001</v>
      </c>
      <c r="I387" s="105">
        <v>41549</v>
      </c>
      <c r="J387">
        <v>0.53600000000000003</v>
      </c>
    </row>
    <row r="388" spans="1:10">
      <c r="A388" s="105">
        <v>41548</v>
      </c>
      <c r="B388">
        <v>0.128</v>
      </c>
      <c r="C388" s="105">
        <v>41548</v>
      </c>
      <c r="D388">
        <v>0.22500000000000001</v>
      </c>
      <c r="E388" s="105">
        <v>41548</v>
      </c>
      <c r="F388">
        <v>0.33800000000000002</v>
      </c>
      <c r="G388" s="105">
        <v>41548</v>
      </c>
      <c r="H388">
        <v>0.44700000000000001</v>
      </c>
      <c r="I388" s="105">
        <v>41548</v>
      </c>
      <c r="J388">
        <v>0.53700000000000003</v>
      </c>
    </row>
    <row r="389" spans="1:10">
      <c r="A389" s="105">
        <v>41547</v>
      </c>
      <c r="B389">
        <v>0.128</v>
      </c>
      <c r="C389" s="105">
        <v>41547</v>
      </c>
      <c r="D389">
        <v>0.22500000000000001</v>
      </c>
      <c r="E389" s="105">
        <v>41547</v>
      </c>
      <c r="F389">
        <v>0.34</v>
      </c>
      <c r="G389" s="105">
        <v>41547</v>
      </c>
      <c r="H389">
        <v>0.44800000000000001</v>
      </c>
      <c r="I389" s="105">
        <v>41547</v>
      </c>
      <c r="J389">
        <v>0.53900000000000003</v>
      </c>
    </row>
    <row r="390" spans="1:10">
      <c r="A390" s="105">
        <v>41544</v>
      </c>
      <c r="B390">
        <v>0.127</v>
      </c>
      <c r="C390" s="105">
        <v>41544</v>
      </c>
      <c r="D390">
        <v>0.224</v>
      </c>
      <c r="E390" s="105">
        <v>41544</v>
      </c>
      <c r="F390">
        <v>0.33800000000000002</v>
      </c>
      <c r="G390" s="105">
        <v>41544</v>
      </c>
      <c r="H390">
        <v>0.44600000000000001</v>
      </c>
      <c r="I390" s="105">
        <v>41544</v>
      </c>
      <c r="J390">
        <v>0.53800000000000003</v>
      </c>
    </row>
    <row r="391" spans="1:10">
      <c r="A391" s="105">
        <v>41543</v>
      </c>
      <c r="B391">
        <v>0.129</v>
      </c>
      <c r="C391" s="105">
        <v>41543</v>
      </c>
      <c r="D391">
        <v>0.221</v>
      </c>
      <c r="E391" s="105">
        <v>41543</v>
      </c>
      <c r="F391">
        <v>0.33700000000000002</v>
      </c>
      <c r="G391" s="105">
        <v>41543</v>
      </c>
      <c r="H391">
        <v>0.44500000000000001</v>
      </c>
      <c r="I391" s="105">
        <v>41543</v>
      </c>
      <c r="J391">
        <v>0.53700000000000003</v>
      </c>
    </row>
    <row r="392" spans="1:10">
      <c r="A392" s="105">
        <v>41542</v>
      </c>
      <c r="B392">
        <v>0.128</v>
      </c>
      <c r="C392" s="105">
        <v>41542</v>
      </c>
      <c r="D392">
        <v>0.221</v>
      </c>
      <c r="E392" s="105">
        <v>41542</v>
      </c>
      <c r="F392">
        <v>0.33700000000000002</v>
      </c>
      <c r="G392" s="105">
        <v>41542</v>
      </c>
      <c r="H392">
        <v>0.44500000000000001</v>
      </c>
      <c r="I392" s="105">
        <v>41542</v>
      </c>
      <c r="J392">
        <v>0.53600000000000003</v>
      </c>
    </row>
    <row r="393" spans="1:10">
      <c r="A393" s="105">
        <v>41541</v>
      </c>
      <c r="B393">
        <v>0.128</v>
      </c>
      <c r="C393" s="105">
        <v>41541</v>
      </c>
      <c r="D393">
        <v>0.221</v>
      </c>
      <c r="E393" s="105">
        <v>41541</v>
      </c>
      <c r="F393">
        <v>0.33600000000000002</v>
      </c>
      <c r="G393" s="105">
        <v>41541</v>
      </c>
      <c r="H393">
        <v>0.44400000000000001</v>
      </c>
      <c r="I393" s="105">
        <v>41541</v>
      </c>
      <c r="J393">
        <v>0.53400000000000003</v>
      </c>
    </row>
    <row r="394" spans="1:10">
      <c r="A394" s="105">
        <v>41540</v>
      </c>
      <c r="B394">
        <v>0.128</v>
      </c>
      <c r="C394" s="105">
        <v>41540</v>
      </c>
      <c r="D394">
        <v>0.221</v>
      </c>
      <c r="E394" s="105">
        <v>41540</v>
      </c>
      <c r="F394">
        <v>0.33700000000000002</v>
      </c>
      <c r="G394" s="105">
        <v>41540</v>
      </c>
      <c r="H394">
        <v>0.44500000000000001</v>
      </c>
      <c r="I394" s="105">
        <v>41540</v>
      </c>
      <c r="J394">
        <v>0.53800000000000003</v>
      </c>
    </row>
    <row r="395" spans="1:10">
      <c r="A395" s="105">
        <v>41537</v>
      </c>
      <c r="B395">
        <v>0.128</v>
      </c>
      <c r="C395" s="105">
        <v>41537</v>
      </c>
      <c r="D395">
        <v>0.221</v>
      </c>
      <c r="E395" s="105">
        <v>41537</v>
      </c>
      <c r="F395">
        <v>0.33500000000000002</v>
      </c>
      <c r="G395" s="105">
        <v>41537</v>
      </c>
      <c r="H395">
        <v>0.44400000000000001</v>
      </c>
      <c r="I395" s="105">
        <v>41537</v>
      </c>
      <c r="J395">
        <v>0.53600000000000003</v>
      </c>
    </row>
    <row r="396" spans="1:10">
      <c r="A396" s="105">
        <v>41536</v>
      </c>
      <c r="B396">
        <v>0.128</v>
      </c>
      <c r="C396" s="105">
        <v>41536</v>
      </c>
      <c r="D396">
        <v>0.221</v>
      </c>
      <c r="E396" s="105">
        <v>41536</v>
      </c>
      <c r="F396">
        <v>0.33700000000000002</v>
      </c>
      <c r="G396" s="105">
        <v>41536</v>
      </c>
      <c r="H396">
        <v>0.44500000000000001</v>
      </c>
      <c r="I396" s="105">
        <v>41536</v>
      </c>
      <c r="J396">
        <v>0.53700000000000003</v>
      </c>
    </row>
    <row r="397" spans="1:10">
      <c r="A397" s="105">
        <v>41535</v>
      </c>
      <c r="B397">
        <v>0.127</v>
      </c>
      <c r="C397" s="105">
        <v>41535</v>
      </c>
      <c r="D397">
        <v>0.222</v>
      </c>
      <c r="E397" s="105">
        <v>41535</v>
      </c>
      <c r="F397">
        <v>0.34</v>
      </c>
      <c r="G397" s="105">
        <v>41535</v>
      </c>
      <c r="H397">
        <v>0.44900000000000001</v>
      </c>
      <c r="I397" s="105">
        <v>41535</v>
      </c>
      <c r="J397">
        <v>0.54300000000000004</v>
      </c>
    </row>
    <row r="398" spans="1:10">
      <c r="A398" s="105">
        <v>41534</v>
      </c>
      <c r="B398">
        <v>0.127</v>
      </c>
      <c r="C398" s="105">
        <v>41534</v>
      </c>
      <c r="D398">
        <v>0.222</v>
      </c>
      <c r="E398" s="105">
        <v>41534</v>
      </c>
      <c r="F398">
        <v>0.33900000000000002</v>
      </c>
      <c r="G398" s="105">
        <v>41534</v>
      </c>
      <c r="H398">
        <v>0.44800000000000001</v>
      </c>
      <c r="I398" s="105">
        <v>41534</v>
      </c>
      <c r="J398">
        <v>0.54200000000000004</v>
      </c>
    </row>
    <row r="399" spans="1:10">
      <c r="A399" s="105">
        <v>41533</v>
      </c>
      <c r="B399">
        <v>0.128</v>
      </c>
      <c r="C399" s="105">
        <v>41533</v>
      </c>
      <c r="D399">
        <v>0.223</v>
      </c>
      <c r="E399" s="105">
        <v>41533</v>
      </c>
      <c r="F399">
        <v>0.33800000000000002</v>
      </c>
      <c r="G399" s="105">
        <v>41533</v>
      </c>
      <c r="H399">
        <v>0.44700000000000001</v>
      </c>
      <c r="I399" s="105">
        <v>41533</v>
      </c>
      <c r="J399">
        <v>0.54200000000000004</v>
      </c>
    </row>
    <row r="400" spans="1:10">
      <c r="A400" s="105">
        <v>41530</v>
      </c>
      <c r="B400">
        <v>0.127</v>
      </c>
      <c r="C400" s="105">
        <v>41530</v>
      </c>
      <c r="D400">
        <v>0.223</v>
      </c>
      <c r="E400" s="105">
        <v>41530</v>
      </c>
      <c r="F400">
        <v>0.34200000000000003</v>
      </c>
      <c r="G400" s="105">
        <v>41530</v>
      </c>
      <c r="H400">
        <v>0.45200000000000001</v>
      </c>
      <c r="I400" s="105">
        <v>41530</v>
      </c>
      <c r="J400">
        <v>0.54800000000000004</v>
      </c>
    </row>
    <row r="401" spans="1:10">
      <c r="A401" s="105">
        <v>41529</v>
      </c>
      <c r="B401">
        <v>0.127</v>
      </c>
      <c r="C401" s="105">
        <v>41529</v>
      </c>
      <c r="D401">
        <v>0.224</v>
      </c>
      <c r="E401" s="105">
        <v>41529</v>
      </c>
      <c r="F401">
        <v>0.34100000000000003</v>
      </c>
      <c r="G401" s="105">
        <v>41529</v>
      </c>
      <c r="H401">
        <v>0.45100000000000001</v>
      </c>
      <c r="I401" s="105">
        <v>41529</v>
      </c>
      <c r="J401">
        <v>0.54700000000000004</v>
      </c>
    </row>
    <row r="402" spans="1:10">
      <c r="A402" s="105">
        <v>41528</v>
      </c>
      <c r="B402">
        <v>0.128</v>
      </c>
      <c r="C402" s="105">
        <v>41528</v>
      </c>
      <c r="D402">
        <v>0.224</v>
      </c>
      <c r="E402" s="105">
        <v>41528</v>
      </c>
      <c r="F402">
        <v>0.34200000000000003</v>
      </c>
      <c r="G402" s="105">
        <v>41528</v>
      </c>
      <c r="H402">
        <v>0.45200000000000001</v>
      </c>
      <c r="I402" s="105">
        <v>41528</v>
      </c>
      <c r="J402">
        <v>0.55000000000000004</v>
      </c>
    </row>
    <row r="403" spans="1:10">
      <c r="A403" s="105">
        <v>41527</v>
      </c>
      <c r="B403">
        <v>0.129</v>
      </c>
      <c r="C403" s="105">
        <v>41527</v>
      </c>
      <c r="D403">
        <v>0.22500000000000001</v>
      </c>
      <c r="E403" s="105">
        <v>41527</v>
      </c>
      <c r="F403">
        <v>0.34300000000000003</v>
      </c>
      <c r="G403" s="105">
        <v>41527</v>
      </c>
      <c r="H403">
        <v>0.45200000000000001</v>
      </c>
      <c r="I403" s="105">
        <v>41527</v>
      </c>
      <c r="J403">
        <v>0.54900000000000004</v>
      </c>
    </row>
    <row r="404" spans="1:10">
      <c r="A404" s="105">
        <v>41526</v>
      </c>
      <c r="B404">
        <v>0.129</v>
      </c>
      <c r="C404" s="105">
        <v>41526</v>
      </c>
      <c r="D404">
        <v>0.22500000000000001</v>
      </c>
      <c r="E404" s="105">
        <v>41526</v>
      </c>
      <c r="F404">
        <v>0.34200000000000003</v>
      </c>
      <c r="G404" s="105">
        <v>41526</v>
      </c>
      <c r="H404">
        <v>0.45200000000000001</v>
      </c>
      <c r="I404" s="105">
        <v>41526</v>
      </c>
      <c r="J404">
        <v>0.54700000000000004</v>
      </c>
    </row>
    <row r="405" spans="1:10">
      <c r="A405" s="105">
        <v>41523</v>
      </c>
      <c r="B405">
        <v>0.129</v>
      </c>
      <c r="C405" s="105">
        <v>41523</v>
      </c>
      <c r="D405">
        <v>0.22500000000000001</v>
      </c>
      <c r="E405" s="105">
        <v>41523</v>
      </c>
      <c r="F405">
        <v>0.34399999999999997</v>
      </c>
      <c r="G405" s="105">
        <v>41523</v>
      </c>
      <c r="H405">
        <v>0.45600000000000002</v>
      </c>
      <c r="I405" s="105">
        <v>41523</v>
      </c>
      <c r="J405">
        <v>0.55100000000000005</v>
      </c>
    </row>
    <row r="406" spans="1:10">
      <c r="A406" s="105">
        <v>41522</v>
      </c>
      <c r="B406">
        <v>0.129</v>
      </c>
      <c r="C406" s="105">
        <v>41522</v>
      </c>
      <c r="D406">
        <v>0.22500000000000001</v>
      </c>
      <c r="E406" s="105">
        <v>41522</v>
      </c>
      <c r="F406">
        <v>0.34399999999999997</v>
      </c>
      <c r="G406" s="105">
        <v>41522</v>
      </c>
      <c r="H406">
        <v>0.45500000000000002</v>
      </c>
      <c r="I406" s="105">
        <v>41522</v>
      </c>
      <c r="J406">
        <v>0.55100000000000005</v>
      </c>
    </row>
    <row r="407" spans="1:10">
      <c r="A407" s="105">
        <v>41521</v>
      </c>
      <c r="B407">
        <v>0.129</v>
      </c>
      <c r="C407" s="105">
        <v>41521</v>
      </c>
      <c r="D407">
        <v>0.22500000000000001</v>
      </c>
      <c r="E407" s="105">
        <v>41521</v>
      </c>
      <c r="F407">
        <v>0.34300000000000003</v>
      </c>
      <c r="G407" s="105">
        <v>41521</v>
      </c>
      <c r="H407">
        <v>0.45300000000000001</v>
      </c>
      <c r="I407" s="105">
        <v>41521</v>
      </c>
      <c r="J407">
        <v>0.54900000000000004</v>
      </c>
    </row>
    <row r="408" spans="1:10">
      <c r="A408" s="105">
        <v>41520</v>
      </c>
      <c r="B408">
        <v>0.129</v>
      </c>
      <c r="C408" s="105">
        <v>41520</v>
      </c>
      <c r="D408">
        <v>0.22500000000000001</v>
      </c>
      <c r="E408" s="105">
        <v>41520</v>
      </c>
      <c r="F408">
        <v>0.34200000000000003</v>
      </c>
      <c r="G408" s="105">
        <v>41520</v>
      </c>
      <c r="H408">
        <v>0.45300000000000001</v>
      </c>
      <c r="I408" s="105">
        <v>41520</v>
      </c>
      <c r="J408">
        <v>0.54800000000000004</v>
      </c>
    </row>
    <row r="409" spans="1:10">
      <c r="A409" s="105">
        <v>41519</v>
      </c>
      <c r="B409">
        <v>0.129</v>
      </c>
      <c r="C409" s="105">
        <v>41519</v>
      </c>
      <c r="D409">
        <v>0.22500000000000001</v>
      </c>
      <c r="E409" s="105">
        <v>41519</v>
      </c>
      <c r="F409">
        <v>0.34399999999999997</v>
      </c>
      <c r="G409" s="105">
        <v>41519</v>
      </c>
      <c r="H409">
        <v>0.45400000000000001</v>
      </c>
      <c r="I409" s="105">
        <v>41519</v>
      </c>
      <c r="J409">
        <v>0.55000000000000004</v>
      </c>
    </row>
    <row r="410" spans="1:10">
      <c r="A410" s="105">
        <v>41516</v>
      </c>
      <c r="B410">
        <v>0.129</v>
      </c>
      <c r="C410" s="105">
        <v>41516</v>
      </c>
      <c r="D410">
        <v>0.224</v>
      </c>
      <c r="E410" s="105">
        <v>41516</v>
      </c>
      <c r="F410">
        <v>0.34300000000000003</v>
      </c>
      <c r="G410" s="105">
        <v>41516</v>
      </c>
      <c r="H410">
        <v>0.45</v>
      </c>
      <c r="I410" s="105">
        <v>41516</v>
      </c>
      <c r="J410">
        <v>0.54500000000000004</v>
      </c>
    </row>
    <row r="411" spans="1:10">
      <c r="A411" s="105">
        <v>41515</v>
      </c>
      <c r="B411">
        <v>0.128</v>
      </c>
      <c r="C411" s="105">
        <v>41515</v>
      </c>
      <c r="D411">
        <v>0.22500000000000001</v>
      </c>
      <c r="E411" s="105">
        <v>41515</v>
      </c>
      <c r="F411">
        <v>0.34499999999999997</v>
      </c>
      <c r="G411" s="105">
        <v>41515</v>
      </c>
      <c r="H411">
        <v>0.45200000000000001</v>
      </c>
      <c r="I411" s="105">
        <v>41515</v>
      </c>
      <c r="J411">
        <v>0.54700000000000004</v>
      </c>
    </row>
    <row r="412" spans="1:10">
      <c r="A412" s="105">
        <v>41514</v>
      </c>
      <c r="B412">
        <v>0.128</v>
      </c>
      <c r="C412" s="105">
        <v>41514</v>
      </c>
      <c r="D412">
        <v>0.22500000000000001</v>
      </c>
      <c r="E412" s="105">
        <v>41514</v>
      </c>
      <c r="F412">
        <v>0.34399999999999997</v>
      </c>
      <c r="G412" s="105">
        <v>41514</v>
      </c>
      <c r="H412">
        <v>0.45200000000000001</v>
      </c>
      <c r="I412" s="105">
        <v>41514</v>
      </c>
      <c r="J412">
        <v>0.54700000000000004</v>
      </c>
    </row>
    <row r="413" spans="1:10">
      <c r="A413" s="105">
        <v>41513</v>
      </c>
      <c r="B413">
        <v>0.127</v>
      </c>
      <c r="C413" s="105">
        <v>41513</v>
      </c>
      <c r="D413">
        <v>0.22500000000000001</v>
      </c>
      <c r="E413" s="105">
        <v>41513</v>
      </c>
      <c r="F413">
        <v>0.34499999999999997</v>
      </c>
      <c r="G413" s="105">
        <v>41513</v>
      </c>
      <c r="H413">
        <v>0.45200000000000001</v>
      </c>
      <c r="I413" s="105">
        <v>41513</v>
      </c>
      <c r="J413">
        <v>0.55000000000000004</v>
      </c>
    </row>
    <row r="414" spans="1:10">
      <c r="A414" s="105">
        <v>41512</v>
      </c>
      <c r="B414">
        <v>0.127</v>
      </c>
      <c r="C414" s="105">
        <v>41512</v>
      </c>
      <c r="D414">
        <v>0.22500000000000001</v>
      </c>
      <c r="E414" s="105">
        <v>41512</v>
      </c>
      <c r="F414">
        <v>0.34499999999999997</v>
      </c>
      <c r="G414" s="105">
        <v>41512</v>
      </c>
      <c r="H414">
        <v>0.45400000000000001</v>
      </c>
      <c r="I414" s="105">
        <v>41512</v>
      </c>
      <c r="J414">
        <v>0.55300000000000005</v>
      </c>
    </row>
    <row r="415" spans="1:10">
      <c r="A415" s="105">
        <v>41509</v>
      </c>
      <c r="B415">
        <v>0.127</v>
      </c>
      <c r="C415" s="105">
        <v>41509</v>
      </c>
      <c r="D415">
        <v>0.22500000000000001</v>
      </c>
      <c r="E415" s="105">
        <v>41509</v>
      </c>
      <c r="F415">
        <v>0.34399999999999997</v>
      </c>
      <c r="G415" s="105">
        <v>41509</v>
      </c>
      <c r="H415">
        <v>0.45400000000000001</v>
      </c>
      <c r="I415" s="105">
        <v>41509</v>
      </c>
      <c r="J415">
        <v>0.55200000000000005</v>
      </c>
    </row>
    <row r="416" spans="1:10">
      <c r="A416" s="105">
        <v>41508</v>
      </c>
      <c r="B416">
        <v>0.126</v>
      </c>
      <c r="C416" s="105">
        <v>41508</v>
      </c>
      <c r="D416">
        <v>0.224</v>
      </c>
      <c r="E416" s="105">
        <v>41508</v>
      </c>
      <c r="F416">
        <v>0.34300000000000003</v>
      </c>
      <c r="G416" s="105">
        <v>41508</v>
      </c>
      <c r="H416">
        <v>0.45200000000000001</v>
      </c>
      <c r="I416" s="105">
        <v>41508</v>
      </c>
      <c r="J416">
        <v>0.54900000000000004</v>
      </c>
    </row>
    <row r="417" spans="1:10">
      <c r="A417" s="105">
        <v>41507</v>
      </c>
      <c r="B417">
        <v>0.126</v>
      </c>
      <c r="C417" s="105">
        <v>41507</v>
      </c>
      <c r="D417">
        <v>0.224</v>
      </c>
      <c r="E417" s="105">
        <v>41507</v>
      </c>
      <c r="F417">
        <v>0.34100000000000003</v>
      </c>
      <c r="G417" s="105">
        <v>41507</v>
      </c>
      <c r="H417">
        <v>0.44900000000000001</v>
      </c>
      <c r="I417" s="105">
        <v>41507</v>
      </c>
      <c r="J417">
        <v>0.54400000000000004</v>
      </c>
    </row>
    <row r="418" spans="1:10">
      <c r="A418" s="105">
        <v>41506</v>
      </c>
      <c r="B418">
        <v>0.127</v>
      </c>
      <c r="C418" s="105">
        <v>41506</v>
      </c>
      <c r="D418">
        <v>0.22500000000000001</v>
      </c>
      <c r="E418" s="105">
        <v>41506</v>
      </c>
      <c r="F418">
        <v>0.34200000000000003</v>
      </c>
      <c r="G418" s="105">
        <v>41506</v>
      </c>
      <c r="H418">
        <v>0.45</v>
      </c>
      <c r="I418" s="105">
        <v>41506</v>
      </c>
      <c r="J418">
        <v>0.54400000000000004</v>
      </c>
    </row>
    <row r="419" spans="1:10">
      <c r="A419" s="105">
        <v>41505</v>
      </c>
      <c r="B419">
        <v>0.127</v>
      </c>
      <c r="C419" s="105">
        <v>41505</v>
      </c>
      <c r="D419">
        <v>0.22600000000000001</v>
      </c>
      <c r="E419" s="105">
        <v>41505</v>
      </c>
      <c r="F419">
        <v>0.34200000000000003</v>
      </c>
      <c r="G419" s="105">
        <v>41505</v>
      </c>
      <c r="H419">
        <v>0.45</v>
      </c>
      <c r="I419" s="105">
        <v>41505</v>
      </c>
      <c r="J419">
        <v>0.54500000000000004</v>
      </c>
    </row>
    <row r="420" spans="1:10">
      <c r="A420" s="105">
        <v>41502</v>
      </c>
      <c r="B420">
        <v>0.128</v>
      </c>
      <c r="C420" s="105">
        <v>41502</v>
      </c>
      <c r="D420">
        <v>0.22600000000000001</v>
      </c>
      <c r="E420" s="105">
        <v>41502</v>
      </c>
      <c r="F420">
        <v>0.34200000000000003</v>
      </c>
      <c r="G420" s="105">
        <v>41502</v>
      </c>
      <c r="H420">
        <v>0.45</v>
      </c>
      <c r="I420" s="105">
        <v>41502</v>
      </c>
      <c r="J420">
        <v>0.54600000000000004</v>
      </c>
    </row>
    <row r="421" spans="1:10">
      <c r="A421" s="105">
        <v>41501</v>
      </c>
      <c r="B421">
        <v>0.128</v>
      </c>
      <c r="C421" s="105">
        <v>41501</v>
      </c>
      <c r="D421">
        <v>0.22600000000000001</v>
      </c>
      <c r="E421" s="105">
        <v>41501</v>
      </c>
      <c r="F421">
        <v>0.34200000000000003</v>
      </c>
      <c r="G421" s="105">
        <v>41501</v>
      </c>
      <c r="H421">
        <v>0.44900000000000001</v>
      </c>
      <c r="I421" s="105">
        <v>41501</v>
      </c>
      <c r="J421">
        <v>0.54300000000000004</v>
      </c>
    </row>
    <row r="422" spans="1:10">
      <c r="A422" s="105">
        <v>41500</v>
      </c>
      <c r="B422">
        <v>0.128</v>
      </c>
      <c r="C422" s="105">
        <v>41500</v>
      </c>
      <c r="D422">
        <v>0.22600000000000001</v>
      </c>
      <c r="E422" s="105">
        <v>41500</v>
      </c>
      <c r="F422">
        <v>0.34300000000000003</v>
      </c>
      <c r="G422" s="105">
        <v>41500</v>
      </c>
      <c r="H422">
        <v>0.44800000000000001</v>
      </c>
      <c r="I422" s="105">
        <v>41500</v>
      </c>
      <c r="J422">
        <v>0.54400000000000004</v>
      </c>
    </row>
    <row r="423" spans="1:10">
      <c r="A423" s="105">
        <v>41499</v>
      </c>
      <c r="B423">
        <v>0.128</v>
      </c>
      <c r="C423" s="105">
        <v>41499</v>
      </c>
      <c r="D423">
        <v>0.22500000000000001</v>
      </c>
      <c r="E423" s="105">
        <v>41499</v>
      </c>
      <c r="F423">
        <v>0.34</v>
      </c>
      <c r="G423" s="105">
        <v>41499</v>
      </c>
      <c r="H423">
        <v>0.443</v>
      </c>
      <c r="I423" s="105">
        <v>41499</v>
      </c>
      <c r="J423">
        <v>0.53700000000000003</v>
      </c>
    </row>
    <row r="424" spans="1:10">
      <c r="A424" s="105">
        <v>41498</v>
      </c>
      <c r="B424">
        <v>0.129</v>
      </c>
      <c r="C424" s="105">
        <v>41498</v>
      </c>
      <c r="D424">
        <v>0.22600000000000001</v>
      </c>
      <c r="E424" s="105">
        <v>41498</v>
      </c>
      <c r="F424">
        <v>0.34100000000000003</v>
      </c>
      <c r="G424" s="105">
        <v>41498</v>
      </c>
      <c r="H424">
        <v>0.443</v>
      </c>
      <c r="I424" s="105">
        <v>41498</v>
      </c>
      <c r="J424">
        <v>0.53600000000000003</v>
      </c>
    </row>
    <row r="425" spans="1:10">
      <c r="A425" s="105">
        <v>41495</v>
      </c>
      <c r="B425">
        <v>0.128</v>
      </c>
      <c r="C425" s="105">
        <v>41495</v>
      </c>
      <c r="D425">
        <v>0.22700000000000001</v>
      </c>
      <c r="E425" s="105">
        <v>41495</v>
      </c>
      <c r="F425">
        <v>0.34100000000000003</v>
      </c>
      <c r="G425" s="105">
        <v>41495</v>
      </c>
      <c r="H425">
        <v>0.44400000000000001</v>
      </c>
      <c r="I425" s="105">
        <v>41495</v>
      </c>
      <c r="J425">
        <v>0.53800000000000003</v>
      </c>
    </row>
    <row r="426" spans="1:10">
      <c r="A426" s="105">
        <v>41494</v>
      </c>
      <c r="B426">
        <v>0.128</v>
      </c>
      <c r="C426" s="105">
        <v>41494</v>
      </c>
      <c r="D426">
        <v>0.22700000000000001</v>
      </c>
      <c r="E426" s="105">
        <v>41494</v>
      </c>
      <c r="F426">
        <v>0.34100000000000003</v>
      </c>
      <c r="G426" s="105">
        <v>41494</v>
      </c>
      <c r="H426">
        <v>0.443</v>
      </c>
      <c r="I426" s="105">
        <v>41494</v>
      </c>
      <c r="J426">
        <v>0.53700000000000003</v>
      </c>
    </row>
    <row r="427" spans="1:10">
      <c r="A427" s="105">
        <v>41493</v>
      </c>
      <c r="B427">
        <v>0.128</v>
      </c>
      <c r="C427" s="105">
        <v>41493</v>
      </c>
      <c r="D427">
        <v>0.22700000000000001</v>
      </c>
      <c r="E427" s="105">
        <v>41493</v>
      </c>
      <c r="F427">
        <v>0.34100000000000003</v>
      </c>
      <c r="G427" s="105">
        <v>41493</v>
      </c>
      <c r="H427">
        <v>0.443</v>
      </c>
      <c r="I427" s="105">
        <v>41493</v>
      </c>
      <c r="J427">
        <v>0.53600000000000003</v>
      </c>
    </row>
    <row r="428" spans="1:10">
      <c r="A428" s="105">
        <v>41492</v>
      </c>
      <c r="B428">
        <v>0.128</v>
      </c>
      <c r="C428" s="105">
        <v>41492</v>
      </c>
      <c r="D428">
        <v>0.22800000000000001</v>
      </c>
      <c r="E428" s="105">
        <v>41492</v>
      </c>
      <c r="F428">
        <v>0.34200000000000003</v>
      </c>
      <c r="G428" s="105">
        <v>41492</v>
      </c>
      <c r="H428">
        <v>0.443</v>
      </c>
      <c r="I428" s="105">
        <v>41492</v>
      </c>
      <c r="J428">
        <v>0.53600000000000003</v>
      </c>
    </row>
    <row r="429" spans="1:10">
      <c r="A429" s="105">
        <v>41491</v>
      </c>
      <c r="B429">
        <v>0.128</v>
      </c>
      <c r="C429" s="105">
        <v>41491</v>
      </c>
      <c r="D429">
        <v>0.22700000000000001</v>
      </c>
      <c r="E429" s="105">
        <v>41491</v>
      </c>
      <c r="F429">
        <v>0.34100000000000003</v>
      </c>
      <c r="G429" s="105">
        <v>41491</v>
      </c>
      <c r="H429">
        <v>0.442</v>
      </c>
      <c r="I429" s="105">
        <v>41491</v>
      </c>
      <c r="J429">
        <v>0.53500000000000003</v>
      </c>
    </row>
    <row r="430" spans="1:10">
      <c r="A430" s="105">
        <v>41488</v>
      </c>
      <c r="B430">
        <v>0.129</v>
      </c>
      <c r="C430" s="105">
        <v>41488</v>
      </c>
      <c r="D430">
        <v>0.22800000000000001</v>
      </c>
      <c r="E430" s="105">
        <v>41488</v>
      </c>
      <c r="F430">
        <v>0.34100000000000003</v>
      </c>
      <c r="G430" s="105">
        <v>41488</v>
      </c>
      <c r="H430">
        <v>0.44400000000000001</v>
      </c>
      <c r="I430" s="105">
        <v>41488</v>
      </c>
      <c r="J430">
        <v>0.53600000000000003</v>
      </c>
    </row>
    <row r="431" spans="1:10">
      <c r="A431" s="105">
        <v>41487</v>
      </c>
      <c r="B431">
        <v>0.13</v>
      </c>
      <c r="C431" s="105">
        <v>41487</v>
      </c>
      <c r="D431">
        <v>0.22800000000000001</v>
      </c>
      <c r="E431" s="105">
        <v>41487</v>
      </c>
      <c r="F431">
        <v>0.34</v>
      </c>
      <c r="G431" s="105">
        <v>41487</v>
      </c>
      <c r="H431">
        <v>0.441</v>
      </c>
      <c r="I431" s="105">
        <v>41487</v>
      </c>
      <c r="J431">
        <v>0.53100000000000003</v>
      </c>
    </row>
    <row r="432" spans="1:10">
      <c r="A432" s="105">
        <v>41486</v>
      </c>
      <c r="B432">
        <v>0.13100000000000001</v>
      </c>
      <c r="C432" s="105">
        <v>41486</v>
      </c>
      <c r="D432">
        <v>0.22800000000000001</v>
      </c>
      <c r="E432" s="105">
        <v>41486</v>
      </c>
      <c r="F432">
        <v>0.34100000000000003</v>
      </c>
      <c r="G432" s="105">
        <v>41486</v>
      </c>
      <c r="H432">
        <v>0.443</v>
      </c>
      <c r="I432" s="105">
        <v>41486</v>
      </c>
      <c r="J432">
        <v>0.53600000000000003</v>
      </c>
    </row>
    <row r="433" spans="1:10">
      <c r="A433" s="105">
        <v>41485</v>
      </c>
      <c r="B433">
        <v>0.13100000000000001</v>
      </c>
      <c r="C433" s="105">
        <v>41485</v>
      </c>
      <c r="D433">
        <v>0.22700000000000001</v>
      </c>
      <c r="E433" s="105">
        <v>41485</v>
      </c>
      <c r="F433">
        <v>0.34100000000000003</v>
      </c>
      <c r="G433" s="105">
        <v>41485</v>
      </c>
      <c r="H433">
        <v>0.442</v>
      </c>
      <c r="I433" s="105">
        <v>41485</v>
      </c>
      <c r="J433">
        <v>0.53500000000000003</v>
      </c>
    </row>
    <row r="434" spans="1:10">
      <c r="A434" s="105">
        <v>41484</v>
      </c>
      <c r="B434">
        <v>0.13</v>
      </c>
      <c r="C434" s="105">
        <v>41484</v>
      </c>
      <c r="D434">
        <v>0.22600000000000001</v>
      </c>
      <c r="E434" s="105">
        <v>41484</v>
      </c>
      <c r="F434">
        <v>0.34200000000000003</v>
      </c>
      <c r="G434" s="105">
        <v>41484</v>
      </c>
      <c r="H434">
        <v>0.44</v>
      </c>
      <c r="I434" s="105">
        <v>41484</v>
      </c>
      <c r="J434">
        <v>0.53500000000000003</v>
      </c>
    </row>
    <row r="435" spans="1:10">
      <c r="A435" s="105">
        <v>41481</v>
      </c>
      <c r="B435">
        <v>0.13200000000000001</v>
      </c>
      <c r="C435" s="105">
        <v>41481</v>
      </c>
      <c r="D435">
        <v>0.22600000000000001</v>
      </c>
      <c r="E435" s="105">
        <v>41481</v>
      </c>
      <c r="F435">
        <v>0.34300000000000003</v>
      </c>
      <c r="G435" s="105">
        <v>41481</v>
      </c>
      <c r="H435">
        <v>0.441</v>
      </c>
      <c r="I435" s="105">
        <v>41481</v>
      </c>
      <c r="J435">
        <v>0.53500000000000003</v>
      </c>
    </row>
    <row r="436" spans="1:10">
      <c r="A436" s="105">
        <v>41480</v>
      </c>
      <c r="B436">
        <v>0.13100000000000001</v>
      </c>
      <c r="C436" s="105">
        <v>41480</v>
      </c>
      <c r="D436">
        <v>0.22500000000000001</v>
      </c>
      <c r="E436" s="105">
        <v>41480</v>
      </c>
      <c r="F436">
        <v>0.34399999999999997</v>
      </c>
      <c r="G436" s="105">
        <v>41480</v>
      </c>
      <c r="H436">
        <v>0.443</v>
      </c>
      <c r="I436" s="105">
        <v>41480</v>
      </c>
      <c r="J436">
        <v>0.53700000000000003</v>
      </c>
    </row>
    <row r="437" spans="1:10">
      <c r="A437" s="105">
        <v>41479</v>
      </c>
      <c r="B437">
        <v>0.13100000000000001</v>
      </c>
      <c r="C437" s="105">
        <v>41479</v>
      </c>
      <c r="D437">
        <v>0.22500000000000001</v>
      </c>
      <c r="E437" s="105">
        <v>41479</v>
      </c>
      <c r="F437">
        <v>0.34300000000000003</v>
      </c>
      <c r="G437" s="105">
        <v>41479</v>
      </c>
      <c r="H437">
        <v>0.442</v>
      </c>
      <c r="I437" s="105">
        <v>41479</v>
      </c>
      <c r="J437">
        <v>0.53500000000000003</v>
      </c>
    </row>
    <row r="438" spans="1:10">
      <c r="A438" s="105">
        <v>41478</v>
      </c>
      <c r="B438">
        <v>0.128</v>
      </c>
      <c r="C438" s="105">
        <v>41478</v>
      </c>
      <c r="D438">
        <v>0.224</v>
      </c>
      <c r="E438" s="105">
        <v>41478</v>
      </c>
      <c r="F438">
        <v>0.34</v>
      </c>
      <c r="G438" s="105">
        <v>41478</v>
      </c>
      <c r="H438">
        <v>0.437</v>
      </c>
      <c r="I438" s="105">
        <v>41478</v>
      </c>
      <c r="J438">
        <v>0.53</v>
      </c>
    </row>
    <row r="439" spans="1:10">
      <c r="A439" s="105">
        <v>41477</v>
      </c>
      <c r="B439">
        <v>0.125</v>
      </c>
      <c r="C439" s="105">
        <v>41477</v>
      </c>
      <c r="D439">
        <v>0.221</v>
      </c>
      <c r="E439" s="105">
        <v>41477</v>
      </c>
      <c r="F439">
        <v>0.33400000000000002</v>
      </c>
      <c r="G439" s="105">
        <v>41477</v>
      </c>
      <c r="H439">
        <v>0.43</v>
      </c>
      <c r="I439" s="105">
        <v>41477</v>
      </c>
      <c r="J439">
        <v>0.52</v>
      </c>
    </row>
    <row r="440" spans="1:10">
      <c r="A440" s="105">
        <v>41474</v>
      </c>
      <c r="B440">
        <v>0.123</v>
      </c>
      <c r="C440" s="105">
        <v>41474</v>
      </c>
      <c r="D440">
        <v>0.22</v>
      </c>
      <c r="E440" s="105">
        <v>41474</v>
      </c>
      <c r="F440">
        <v>0.33</v>
      </c>
      <c r="G440" s="105">
        <v>41474</v>
      </c>
      <c r="H440">
        <v>0.42499999999999999</v>
      </c>
      <c r="I440" s="105">
        <v>41474</v>
      </c>
      <c r="J440">
        <v>0.51500000000000001</v>
      </c>
    </row>
    <row r="441" spans="1:10">
      <c r="A441" s="105">
        <v>41473</v>
      </c>
      <c r="B441">
        <v>0.122</v>
      </c>
      <c r="C441" s="105">
        <v>41473</v>
      </c>
      <c r="D441">
        <v>0.22</v>
      </c>
      <c r="E441" s="105">
        <v>41473</v>
      </c>
      <c r="F441">
        <v>0.32900000000000001</v>
      </c>
      <c r="G441" s="105">
        <v>41473</v>
      </c>
      <c r="H441">
        <v>0.42499999999999999</v>
      </c>
      <c r="I441" s="105">
        <v>41473</v>
      </c>
      <c r="J441">
        <v>0.51500000000000001</v>
      </c>
    </row>
    <row r="442" spans="1:10">
      <c r="A442" s="105">
        <v>41472</v>
      </c>
      <c r="B442">
        <v>0.122</v>
      </c>
      <c r="C442" s="105">
        <v>41472</v>
      </c>
      <c r="D442">
        <v>0.22</v>
      </c>
      <c r="E442" s="105">
        <v>41472</v>
      </c>
      <c r="F442">
        <v>0.33100000000000002</v>
      </c>
      <c r="G442" s="105">
        <v>41472</v>
      </c>
      <c r="H442">
        <v>0.42899999999999999</v>
      </c>
      <c r="I442" s="105">
        <v>41472</v>
      </c>
      <c r="J442">
        <v>0.52100000000000002</v>
      </c>
    </row>
    <row r="443" spans="1:10">
      <c r="A443" s="105">
        <v>41471</v>
      </c>
      <c r="B443">
        <v>0.123</v>
      </c>
      <c r="C443" s="105">
        <v>41471</v>
      </c>
      <c r="D443">
        <v>0.219</v>
      </c>
      <c r="E443" s="105">
        <v>41471</v>
      </c>
      <c r="F443">
        <v>0.33200000000000002</v>
      </c>
      <c r="G443" s="105">
        <v>41471</v>
      </c>
      <c r="H443">
        <v>0.43</v>
      </c>
      <c r="I443" s="105">
        <v>41471</v>
      </c>
      <c r="J443">
        <v>0.52200000000000002</v>
      </c>
    </row>
    <row r="444" spans="1:10">
      <c r="A444" s="105">
        <v>41470</v>
      </c>
      <c r="B444">
        <v>0.122</v>
      </c>
      <c r="C444" s="105">
        <v>41470</v>
      </c>
      <c r="D444">
        <v>0.219</v>
      </c>
      <c r="E444" s="105">
        <v>41470</v>
      </c>
      <c r="F444">
        <v>0.33200000000000002</v>
      </c>
      <c r="G444" s="105">
        <v>41470</v>
      </c>
      <c r="H444">
        <v>0.43</v>
      </c>
      <c r="I444" s="105">
        <v>41470</v>
      </c>
      <c r="J444">
        <v>0.52200000000000002</v>
      </c>
    </row>
    <row r="445" spans="1:10">
      <c r="A445" s="105">
        <v>41467</v>
      </c>
      <c r="B445">
        <v>0.123</v>
      </c>
      <c r="C445" s="105">
        <v>41467</v>
      </c>
      <c r="D445">
        <v>0.22</v>
      </c>
      <c r="E445" s="105">
        <v>41467</v>
      </c>
      <c r="F445">
        <v>0.33100000000000002</v>
      </c>
      <c r="G445" s="105">
        <v>41467</v>
      </c>
      <c r="H445">
        <v>0.42899999999999999</v>
      </c>
      <c r="I445" s="105">
        <v>41467</v>
      </c>
      <c r="J445">
        <v>0.51900000000000002</v>
      </c>
    </row>
    <row r="446" spans="1:10">
      <c r="A446" s="105">
        <v>41466</v>
      </c>
      <c r="B446">
        <v>0.123</v>
      </c>
      <c r="C446" s="105">
        <v>41466</v>
      </c>
      <c r="D446">
        <v>0.218</v>
      </c>
      <c r="E446" s="105">
        <v>41466</v>
      </c>
      <c r="F446">
        <v>0.33</v>
      </c>
      <c r="G446" s="105">
        <v>41466</v>
      </c>
      <c r="H446">
        <v>0.42599999999999999</v>
      </c>
      <c r="I446" s="105">
        <v>41466</v>
      </c>
      <c r="J446">
        <v>0.51700000000000002</v>
      </c>
    </row>
    <row r="447" spans="1:10">
      <c r="A447" s="105">
        <v>41465</v>
      </c>
      <c r="B447">
        <v>0.123</v>
      </c>
      <c r="C447" s="105">
        <v>41465</v>
      </c>
      <c r="D447">
        <v>0.217</v>
      </c>
      <c r="E447" s="105">
        <v>41465</v>
      </c>
      <c r="F447">
        <v>0.33</v>
      </c>
      <c r="G447" s="105">
        <v>41465</v>
      </c>
      <c r="H447">
        <v>0.42299999999999999</v>
      </c>
      <c r="I447" s="105">
        <v>41465</v>
      </c>
      <c r="J447">
        <v>0.51200000000000001</v>
      </c>
    </row>
    <row r="448" spans="1:10">
      <c r="A448" s="105">
        <v>41464</v>
      </c>
      <c r="B448">
        <v>0.123</v>
      </c>
      <c r="C448" s="105">
        <v>41464</v>
      </c>
      <c r="D448">
        <v>0.217</v>
      </c>
      <c r="E448" s="105">
        <v>41464</v>
      </c>
      <c r="F448">
        <v>0.32800000000000001</v>
      </c>
      <c r="G448" s="105">
        <v>41464</v>
      </c>
      <c r="H448">
        <v>0.42199999999999999</v>
      </c>
      <c r="I448" s="105">
        <v>41464</v>
      </c>
      <c r="J448">
        <v>0.51</v>
      </c>
    </row>
    <row r="449" spans="1:10">
      <c r="A449" s="105">
        <v>41463</v>
      </c>
      <c r="B449">
        <v>0.122</v>
      </c>
      <c r="C449" s="105">
        <v>41463</v>
      </c>
      <c r="D449">
        <v>0.217</v>
      </c>
      <c r="E449" s="105">
        <v>41463</v>
      </c>
      <c r="F449">
        <v>0.32800000000000001</v>
      </c>
      <c r="G449" s="105">
        <v>41463</v>
      </c>
      <c r="H449">
        <v>0.42399999999999999</v>
      </c>
      <c r="I449" s="105">
        <v>41463</v>
      </c>
      <c r="J449">
        <v>0.51300000000000001</v>
      </c>
    </row>
    <row r="450" spans="1:10">
      <c r="A450" s="105">
        <v>41460</v>
      </c>
      <c r="B450">
        <v>0.122</v>
      </c>
      <c r="C450" s="105">
        <v>41460</v>
      </c>
      <c r="D450">
        <v>0.217</v>
      </c>
      <c r="E450" s="105">
        <v>41460</v>
      </c>
      <c r="F450">
        <v>0.33</v>
      </c>
      <c r="G450" s="105">
        <v>41460</v>
      </c>
      <c r="H450">
        <v>0.42799999999999999</v>
      </c>
      <c r="I450" s="105">
        <v>41460</v>
      </c>
      <c r="J450">
        <v>0.51900000000000002</v>
      </c>
    </row>
    <row r="451" spans="1:10">
      <c r="A451" s="105">
        <v>41459</v>
      </c>
      <c r="B451">
        <v>0.123</v>
      </c>
      <c r="C451" s="105">
        <v>41459</v>
      </c>
      <c r="D451">
        <v>0.222</v>
      </c>
      <c r="E451" s="105">
        <v>41459</v>
      </c>
      <c r="F451">
        <v>0.34200000000000003</v>
      </c>
      <c r="G451" s="105">
        <v>41459</v>
      </c>
      <c r="H451">
        <v>0.443</v>
      </c>
      <c r="I451" s="105">
        <v>41459</v>
      </c>
      <c r="J451">
        <v>0.53400000000000003</v>
      </c>
    </row>
    <row r="452" spans="1:10">
      <c r="A452" s="105">
        <v>41458</v>
      </c>
      <c r="B452">
        <v>0.122</v>
      </c>
      <c r="C452" s="105">
        <v>41458</v>
      </c>
      <c r="D452">
        <v>0.222</v>
      </c>
      <c r="E452" s="105">
        <v>41458</v>
      </c>
      <c r="F452">
        <v>0.34200000000000003</v>
      </c>
      <c r="G452" s="105">
        <v>41458</v>
      </c>
      <c r="H452">
        <v>0.443</v>
      </c>
      <c r="I452" s="105">
        <v>41458</v>
      </c>
      <c r="J452">
        <v>0.53400000000000003</v>
      </c>
    </row>
    <row r="453" spans="1:10">
      <c r="A453" s="105">
        <v>41457</v>
      </c>
      <c r="B453">
        <v>0.122</v>
      </c>
      <c r="C453" s="105">
        <v>41457</v>
      </c>
      <c r="D453">
        <v>0.221</v>
      </c>
      <c r="E453" s="105">
        <v>41457</v>
      </c>
      <c r="F453">
        <v>0.34100000000000003</v>
      </c>
      <c r="G453" s="105">
        <v>41457</v>
      </c>
      <c r="H453">
        <v>0.441</v>
      </c>
      <c r="I453" s="105">
        <v>41457</v>
      </c>
      <c r="J453">
        <v>0.53400000000000003</v>
      </c>
    </row>
    <row r="454" spans="1:10">
      <c r="A454" s="105">
        <v>41456</v>
      </c>
      <c r="B454">
        <v>0.121</v>
      </c>
      <c r="C454" s="105">
        <v>41456</v>
      </c>
      <c r="D454">
        <v>0.222</v>
      </c>
      <c r="E454" s="105">
        <v>41456</v>
      </c>
      <c r="F454">
        <v>0.34</v>
      </c>
      <c r="G454" s="105">
        <v>41456</v>
      </c>
      <c r="H454">
        <v>0.44</v>
      </c>
      <c r="I454" s="105">
        <v>41456</v>
      </c>
      <c r="J454">
        <v>0.53400000000000003</v>
      </c>
    </row>
    <row r="455" spans="1:10">
      <c r="A455" s="105">
        <v>41453</v>
      </c>
      <c r="B455">
        <v>0.123</v>
      </c>
      <c r="C455" s="105">
        <v>41453</v>
      </c>
      <c r="D455">
        <v>0.218</v>
      </c>
      <c r="E455" s="105">
        <v>41453</v>
      </c>
      <c r="F455">
        <v>0.33500000000000002</v>
      </c>
      <c r="G455" s="105">
        <v>41453</v>
      </c>
      <c r="H455">
        <v>0.435</v>
      </c>
      <c r="I455" s="105">
        <v>41453</v>
      </c>
      <c r="J455">
        <v>0.52700000000000002</v>
      </c>
    </row>
    <row r="456" spans="1:10">
      <c r="A456" s="105">
        <v>41452</v>
      </c>
      <c r="B456">
        <v>0.124</v>
      </c>
      <c r="C456" s="105">
        <v>41452</v>
      </c>
      <c r="D456">
        <v>0.219</v>
      </c>
      <c r="E456" s="105">
        <v>41452</v>
      </c>
      <c r="F456">
        <v>0.33700000000000002</v>
      </c>
      <c r="G456" s="105">
        <v>41452</v>
      </c>
      <c r="H456">
        <v>0.435</v>
      </c>
      <c r="I456" s="105">
        <v>41452</v>
      </c>
      <c r="J456">
        <v>0.52900000000000003</v>
      </c>
    </row>
    <row r="457" spans="1:10">
      <c r="A457" s="105">
        <v>41451</v>
      </c>
      <c r="B457">
        <v>0.126</v>
      </c>
      <c r="C457" s="105">
        <v>41451</v>
      </c>
      <c r="D457">
        <v>0.222</v>
      </c>
      <c r="E457" s="105">
        <v>41451</v>
      </c>
      <c r="F457">
        <v>0.34300000000000003</v>
      </c>
      <c r="G457" s="105">
        <v>41451</v>
      </c>
      <c r="H457">
        <v>0.44400000000000001</v>
      </c>
      <c r="I457" s="105">
        <v>41451</v>
      </c>
      <c r="J457">
        <v>0.53900000000000003</v>
      </c>
    </row>
    <row r="458" spans="1:10">
      <c r="A458" s="105">
        <v>41450</v>
      </c>
      <c r="B458">
        <v>0.128</v>
      </c>
      <c r="C458" s="105">
        <v>41450</v>
      </c>
      <c r="D458">
        <v>0.22500000000000001</v>
      </c>
      <c r="E458" s="105">
        <v>41450</v>
      </c>
      <c r="F458">
        <v>0.34499999999999997</v>
      </c>
      <c r="G458" s="105">
        <v>41450</v>
      </c>
      <c r="H458">
        <v>0.44600000000000001</v>
      </c>
      <c r="I458" s="105">
        <v>41450</v>
      </c>
      <c r="J458">
        <v>0.54100000000000004</v>
      </c>
    </row>
    <row r="459" spans="1:10">
      <c r="A459" s="105">
        <v>41449</v>
      </c>
      <c r="B459">
        <v>0.128</v>
      </c>
      <c r="C459" s="105">
        <v>41449</v>
      </c>
      <c r="D459">
        <v>0.221</v>
      </c>
      <c r="E459" s="105">
        <v>41449</v>
      </c>
      <c r="F459">
        <v>0.34100000000000003</v>
      </c>
      <c r="G459" s="105">
        <v>41449</v>
      </c>
      <c r="H459">
        <v>0.442</v>
      </c>
      <c r="I459" s="105">
        <v>41449</v>
      </c>
      <c r="J459">
        <v>0.53500000000000003</v>
      </c>
    </row>
    <row r="460" spans="1:10">
      <c r="A460" s="105">
        <v>41446</v>
      </c>
      <c r="B460">
        <v>0.127</v>
      </c>
      <c r="C460" s="105">
        <v>41446</v>
      </c>
      <c r="D460">
        <v>0.216</v>
      </c>
      <c r="E460" s="105">
        <v>41446</v>
      </c>
      <c r="F460">
        <v>0.33300000000000002</v>
      </c>
      <c r="G460" s="105">
        <v>41446</v>
      </c>
      <c r="H460">
        <v>0.432</v>
      </c>
      <c r="I460" s="105">
        <v>41446</v>
      </c>
      <c r="J460">
        <v>0.52400000000000002</v>
      </c>
    </row>
    <row r="461" spans="1:10">
      <c r="A461" s="105">
        <v>41445</v>
      </c>
      <c r="B461">
        <v>0.125</v>
      </c>
      <c r="C461" s="105">
        <v>41445</v>
      </c>
      <c r="D461">
        <v>0.214</v>
      </c>
      <c r="E461" s="105">
        <v>41445</v>
      </c>
      <c r="F461">
        <v>0.32900000000000001</v>
      </c>
      <c r="G461" s="105">
        <v>41445</v>
      </c>
      <c r="H461">
        <v>0.42499999999999999</v>
      </c>
      <c r="I461" s="105">
        <v>41445</v>
      </c>
      <c r="J461">
        <v>0.51600000000000001</v>
      </c>
    </row>
    <row r="462" spans="1:10">
      <c r="A462" s="105">
        <v>41444</v>
      </c>
      <c r="B462">
        <v>0.123</v>
      </c>
      <c r="C462" s="105">
        <v>41444</v>
      </c>
      <c r="D462">
        <v>0.21199999999999999</v>
      </c>
      <c r="E462" s="105">
        <v>41444</v>
      </c>
      <c r="F462">
        <v>0.32300000000000001</v>
      </c>
      <c r="G462" s="105">
        <v>41444</v>
      </c>
      <c r="H462">
        <v>0.41599999999999998</v>
      </c>
      <c r="I462" s="105">
        <v>41444</v>
      </c>
      <c r="J462">
        <v>0.50600000000000001</v>
      </c>
    </row>
    <row r="463" spans="1:10">
      <c r="A463" s="105">
        <v>41443</v>
      </c>
      <c r="B463">
        <v>0.122</v>
      </c>
      <c r="C463" s="105">
        <v>41443</v>
      </c>
      <c r="D463">
        <v>0.21</v>
      </c>
      <c r="E463" s="105">
        <v>41443</v>
      </c>
      <c r="F463">
        <v>0.32</v>
      </c>
      <c r="G463" s="105">
        <v>41443</v>
      </c>
      <c r="H463">
        <v>0.41299999999999998</v>
      </c>
      <c r="I463" s="105">
        <v>41443</v>
      </c>
      <c r="J463">
        <v>0.503</v>
      </c>
    </row>
    <row r="464" spans="1:10">
      <c r="A464" s="105">
        <v>41442</v>
      </c>
      <c r="B464">
        <v>0.12</v>
      </c>
      <c r="C464" s="105">
        <v>41442</v>
      </c>
      <c r="D464">
        <v>0.21</v>
      </c>
      <c r="E464" s="105">
        <v>41442</v>
      </c>
      <c r="F464">
        <v>0.31900000000000001</v>
      </c>
      <c r="G464" s="105">
        <v>41442</v>
      </c>
      <c r="H464">
        <v>0.41299999999999998</v>
      </c>
      <c r="I464" s="105">
        <v>41442</v>
      </c>
      <c r="J464">
        <v>0.501</v>
      </c>
    </row>
    <row r="465" spans="1:10">
      <c r="A465" s="105">
        <v>41439</v>
      </c>
      <c r="B465">
        <v>0.121</v>
      </c>
      <c r="C465" s="105">
        <v>41439</v>
      </c>
      <c r="D465">
        <v>0.20899999999999999</v>
      </c>
      <c r="E465" s="105">
        <v>41439</v>
      </c>
      <c r="F465">
        <v>0.31900000000000001</v>
      </c>
      <c r="G465" s="105">
        <v>41439</v>
      </c>
      <c r="H465">
        <v>0.41499999999999998</v>
      </c>
      <c r="I465" s="105">
        <v>41439</v>
      </c>
      <c r="J465">
        <v>0.504</v>
      </c>
    </row>
    <row r="466" spans="1:10">
      <c r="A466" s="105">
        <v>41438</v>
      </c>
      <c r="B466">
        <v>0.12</v>
      </c>
      <c r="C466" s="105">
        <v>41438</v>
      </c>
      <c r="D466">
        <v>0.20899999999999999</v>
      </c>
      <c r="E466" s="105">
        <v>41438</v>
      </c>
      <c r="F466">
        <v>0.32</v>
      </c>
      <c r="G466" s="105">
        <v>41438</v>
      </c>
      <c r="H466">
        <v>0.41399999999999998</v>
      </c>
      <c r="I466" s="105">
        <v>41438</v>
      </c>
      <c r="J466">
        <v>0.504</v>
      </c>
    </row>
    <row r="467" spans="1:10">
      <c r="A467" s="105">
        <v>41437</v>
      </c>
      <c r="B467">
        <v>0.12</v>
      </c>
      <c r="C467" s="105">
        <v>41437</v>
      </c>
      <c r="D467">
        <v>0.20799999999999999</v>
      </c>
      <c r="E467" s="105">
        <v>41437</v>
      </c>
      <c r="F467">
        <v>0.31900000000000001</v>
      </c>
      <c r="G467" s="105">
        <v>41437</v>
      </c>
      <c r="H467">
        <v>0.41299999999999998</v>
      </c>
      <c r="I467" s="105">
        <v>41437</v>
      </c>
      <c r="J467">
        <v>0.504</v>
      </c>
    </row>
    <row r="468" spans="1:10">
      <c r="A468" s="105">
        <v>41436</v>
      </c>
      <c r="B468">
        <v>0.11899999999999999</v>
      </c>
      <c r="C468" s="105">
        <v>41436</v>
      </c>
      <c r="D468">
        <v>0.20499999999999999</v>
      </c>
      <c r="E468" s="105">
        <v>41436</v>
      </c>
      <c r="F468">
        <v>0.315</v>
      </c>
      <c r="G468" s="105">
        <v>41436</v>
      </c>
      <c r="H468">
        <v>0.41199999999999998</v>
      </c>
      <c r="I468" s="105">
        <v>41436</v>
      </c>
      <c r="J468">
        <v>0.502</v>
      </c>
    </row>
    <row r="469" spans="1:10">
      <c r="A469" s="105">
        <v>41435</v>
      </c>
      <c r="B469">
        <v>0.115</v>
      </c>
      <c r="C469" s="105">
        <v>41435</v>
      </c>
      <c r="D469">
        <v>0.20399999999999999</v>
      </c>
      <c r="E469" s="105">
        <v>41435</v>
      </c>
      <c r="F469">
        <v>0.312</v>
      </c>
      <c r="G469" s="105">
        <v>41435</v>
      </c>
      <c r="H469">
        <v>0.40600000000000003</v>
      </c>
      <c r="I469" s="105">
        <v>41435</v>
      </c>
      <c r="J469">
        <v>0.495</v>
      </c>
    </row>
    <row r="470" spans="1:10">
      <c r="A470" s="105">
        <v>41432</v>
      </c>
      <c r="B470">
        <v>0.115</v>
      </c>
      <c r="C470" s="105">
        <v>41432</v>
      </c>
      <c r="D470">
        <v>0.20300000000000001</v>
      </c>
      <c r="E470" s="105">
        <v>41432</v>
      </c>
      <c r="F470">
        <v>0.308</v>
      </c>
      <c r="G470" s="105">
        <v>41432</v>
      </c>
      <c r="H470">
        <v>0.40100000000000002</v>
      </c>
      <c r="I470" s="105">
        <v>41432</v>
      </c>
      <c r="J470">
        <v>0.49</v>
      </c>
    </row>
    <row r="471" spans="1:10">
      <c r="A471" s="105">
        <v>41431</v>
      </c>
      <c r="B471">
        <v>0.114</v>
      </c>
      <c r="C471" s="105">
        <v>41431</v>
      </c>
      <c r="D471">
        <v>0.2</v>
      </c>
      <c r="E471" s="105">
        <v>41431</v>
      </c>
      <c r="F471">
        <v>0.3</v>
      </c>
      <c r="G471" s="105">
        <v>41431</v>
      </c>
      <c r="H471">
        <v>0.39200000000000002</v>
      </c>
      <c r="I471" s="105">
        <v>41431</v>
      </c>
      <c r="J471">
        <v>0.48</v>
      </c>
    </row>
    <row r="472" spans="1:10">
      <c r="A472" s="105">
        <v>41430</v>
      </c>
      <c r="B472">
        <v>0.114</v>
      </c>
      <c r="C472" s="105">
        <v>41430</v>
      </c>
      <c r="D472">
        <v>0.2</v>
      </c>
      <c r="E472" s="105">
        <v>41430</v>
      </c>
      <c r="F472">
        <v>0.3</v>
      </c>
      <c r="G472" s="105">
        <v>41430</v>
      </c>
      <c r="H472">
        <v>0.39200000000000002</v>
      </c>
      <c r="I472" s="105">
        <v>41430</v>
      </c>
      <c r="J472">
        <v>0.48099999999999998</v>
      </c>
    </row>
    <row r="473" spans="1:10">
      <c r="A473" s="105">
        <v>41429</v>
      </c>
      <c r="B473">
        <v>0.114</v>
      </c>
      <c r="C473" s="105">
        <v>41429</v>
      </c>
      <c r="D473">
        <v>0.2</v>
      </c>
      <c r="E473" s="105">
        <v>41429</v>
      </c>
      <c r="F473">
        <v>0.3</v>
      </c>
      <c r="G473" s="105">
        <v>41429</v>
      </c>
      <c r="H473">
        <v>0.39200000000000002</v>
      </c>
      <c r="I473" s="105">
        <v>41429</v>
      </c>
      <c r="J473">
        <v>0.48199999999999998</v>
      </c>
    </row>
    <row r="474" spans="1:10">
      <c r="A474" s="105">
        <v>41428</v>
      </c>
      <c r="B474">
        <v>0.113</v>
      </c>
      <c r="C474" s="105">
        <v>41428</v>
      </c>
      <c r="D474">
        <v>0.2</v>
      </c>
      <c r="E474" s="105">
        <v>41428</v>
      </c>
      <c r="F474">
        <v>0.29899999999999999</v>
      </c>
      <c r="G474" s="105">
        <v>41428</v>
      </c>
      <c r="H474">
        <v>0.38900000000000001</v>
      </c>
      <c r="I474" s="105">
        <v>41428</v>
      </c>
      <c r="J474">
        <v>0.47799999999999998</v>
      </c>
    </row>
    <row r="475" spans="1:10">
      <c r="A475" s="105">
        <v>41425</v>
      </c>
      <c r="B475">
        <v>0.113</v>
      </c>
      <c r="C475" s="105">
        <v>41425</v>
      </c>
      <c r="D475">
        <v>0.2</v>
      </c>
      <c r="E475" s="105">
        <v>41425</v>
      </c>
      <c r="F475">
        <v>0.29799999999999999</v>
      </c>
      <c r="G475" s="105">
        <v>41425</v>
      </c>
      <c r="H475">
        <v>0.39</v>
      </c>
      <c r="I475" s="105">
        <v>41425</v>
      </c>
      <c r="J475">
        <v>0.47799999999999998</v>
      </c>
    </row>
    <row r="476" spans="1:10">
      <c r="A476" s="105">
        <v>41424</v>
      </c>
      <c r="B476">
        <v>0.112</v>
      </c>
      <c r="C476" s="105">
        <v>41424</v>
      </c>
      <c r="D476">
        <v>0.2</v>
      </c>
      <c r="E476" s="105">
        <v>41424</v>
      </c>
      <c r="F476">
        <v>0.29899999999999999</v>
      </c>
      <c r="G476" s="105">
        <v>41424</v>
      </c>
      <c r="H476">
        <v>0.39200000000000002</v>
      </c>
      <c r="I476" s="105">
        <v>41424</v>
      </c>
      <c r="J476">
        <v>0.48</v>
      </c>
    </row>
    <row r="477" spans="1:10">
      <c r="A477" s="105">
        <v>41423</v>
      </c>
      <c r="B477">
        <v>0.112</v>
      </c>
      <c r="C477" s="105">
        <v>41423</v>
      </c>
      <c r="D477">
        <v>0.2</v>
      </c>
      <c r="E477" s="105">
        <v>41423</v>
      </c>
      <c r="F477">
        <v>0.29799999999999999</v>
      </c>
      <c r="G477" s="105">
        <v>41423</v>
      </c>
      <c r="H477">
        <v>0.39</v>
      </c>
      <c r="I477" s="105">
        <v>41423</v>
      </c>
      <c r="J477">
        <v>0.47599999999999998</v>
      </c>
    </row>
    <row r="478" spans="1:10">
      <c r="A478" s="105">
        <v>41422</v>
      </c>
      <c r="B478">
        <v>0.112</v>
      </c>
      <c r="C478" s="105">
        <v>41422</v>
      </c>
      <c r="D478">
        <v>0.19900000000000001</v>
      </c>
      <c r="E478" s="105">
        <v>41422</v>
      </c>
      <c r="F478">
        <v>0.29699999999999999</v>
      </c>
      <c r="G478" s="105">
        <v>41422</v>
      </c>
      <c r="H478">
        <v>0.38800000000000001</v>
      </c>
      <c r="I478" s="105">
        <v>41422</v>
      </c>
      <c r="J478">
        <v>0.47299999999999998</v>
      </c>
    </row>
    <row r="479" spans="1:10">
      <c r="A479" s="105">
        <v>41421</v>
      </c>
      <c r="B479">
        <v>0.112</v>
      </c>
      <c r="C479" s="105">
        <v>41421</v>
      </c>
      <c r="D479">
        <v>0.20100000000000001</v>
      </c>
      <c r="E479" s="105">
        <v>41421</v>
      </c>
      <c r="F479">
        <v>0.29499999999999998</v>
      </c>
      <c r="G479" s="105">
        <v>41421</v>
      </c>
      <c r="H479">
        <v>0.38900000000000001</v>
      </c>
      <c r="I479" s="105">
        <v>41421</v>
      </c>
      <c r="J479">
        <v>0.47399999999999998</v>
      </c>
    </row>
    <row r="480" spans="1:10">
      <c r="A480" s="105">
        <v>41418</v>
      </c>
      <c r="B480">
        <v>0.112</v>
      </c>
      <c r="C480" s="105">
        <v>41418</v>
      </c>
      <c r="D480">
        <v>0.2</v>
      </c>
      <c r="E480" s="105">
        <v>41418</v>
      </c>
      <c r="F480">
        <v>0.29399999999999998</v>
      </c>
      <c r="G480" s="105">
        <v>41418</v>
      </c>
      <c r="H480">
        <v>0.38900000000000001</v>
      </c>
      <c r="I480" s="105">
        <v>41418</v>
      </c>
      <c r="J480">
        <v>0.47399999999999998</v>
      </c>
    </row>
    <row r="481" spans="1:10">
      <c r="A481" s="105">
        <v>41417</v>
      </c>
      <c r="B481">
        <v>0.112</v>
      </c>
      <c r="C481" s="105">
        <v>41417</v>
      </c>
      <c r="D481">
        <v>0.19900000000000001</v>
      </c>
      <c r="E481" s="105">
        <v>41417</v>
      </c>
      <c r="F481">
        <v>0.29299999999999998</v>
      </c>
      <c r="G481" s="105">
        <v>41417</v>
      </c>
      <c r="H481">
        <v>0.38700000000000001</v>
      </c>
      <c r="I481" s="105">
        <v>41417</v>
      </c>
      <c r="J481">
        <v>0.47299999999999998</v>
      </c>
    </row>
    <row r="482" spans="1:10">
      <c r="A482" s="105">
        <v>41416</v>
      </c>
      <c r="B482">
        <v>0.112</v>
      </c>
      <c r="C482" s="105">
        <v>41416</v>
      </c>
      <c r="D482">
        <v>0.19900000000000001</v>
      </c>
      <c r="E482" s="105">
        <v>41416</v>
      </c>
      <c r="F482">
        <v>0.29299999999999998</v>
      </c>
      <c r="G482" s="105">
        <v>41416</v>
      </c>
      <c r="H482">
        <v>0.38800000000000001</v>
      </c>
      <c r="I482" s="105">
        <v>41416</v>
      </c>
      <c r="J482">
        <v>0.47499999999999998</v>
      </c>
    </row>
    <row r="483" spans="1:10">
      <c r="A483" s="105">
        <v>41415</v>
      </c>
      <c r="B483">
        <v>0.112</v>
      </c>
      <c r="C483" s="105">
        <v>41415</v>
      </c>
      <c r="D483">
        <v>0.19800000000000001</v>
      </c>
      <c r="E483" s="105">
        <v>41415</v>
      </c>
      <c r="F483">
        <v>0.29299999999999998</v>
      </c>
      <c r="G483" s="105">
        <v>41415</v>
      </c>
      <c r="H483">
        <v>0.38700000000000001</v>
      </c>
      <c r="I483" s="105">
        <v>41415</v>
      </c>
      <c r="J483">
        <v>0.47499999999999998</v>
      </c>
    </row>
    <row r="484" spans="1:10">
      <c r="A484" s="105">
        <v>41414</v>
      </c>
      <c r="B484">
        <v>0.112</v>
      </c>
      <c r="C484" s="105">
        <v>41414</v>
      </c>
      <c r="D484">
        <v>0.19900000000000001</v>
      </c>
      <c r="E484" s="105">
        <v>41414</v>
      </c>
      <c r="F484">
        <v>0.29399999999999998</v>
      </c>
      <c r="G484" s="105">
        <v>41414</v>
      </c>
      <c r="H484">
        <v>0.38700000000000001</v>
      </c>
      <c r="I484" s="105">
        <v>41414</v>
      </c>
      <c r="J484">
        <v>0.47699999999999998</v>
      </c>
    </row>
    <row r="485" spans="1:10">
      <c r="A485" s="105">
        <v>41411</v>
      </c>
      <c r="B485">
        <v>0.112</v>
      </c>
      <c r="C485" s="105">
        <v>41411</v>
      </c>
      <c r="D485">
        <v>0.2</v>
      </c>
      <c r="E485" s="105">
        <v>41411</v>
      </c>
      <c r="F485">
        <v>0.29699999999999999</v>
      </c>
      <c r="G485" s="105">
        <v>41411</v>
      </c>
      <c r="H485">
        <v>0.38800000000000001</v>
      </c>
      <c r="I485" s="105">
        <v>41411</v>
      </c>
      <c r="J485">
        <v>0.47899999999999998</v>
      </c>
    </row>
    <row r="486" spans="1:10">
      <c r="A486" s="105">
        <v>41410</v>
      </c>
      <c r="B486">
        <v>0.112</v>
      </c>
      <c r="C486" s="105">
        <v>41410</v>
      </c>
      <c r="D486">
        <v>0.20200000000000001</v>
      </c>
      <c r="E486" s="105">
        <v>41410</v>
      </c>
      <c r="F486">
        <v>0.30099999999999999</v>
      </c>
      <c r="G486" s="105">
        <v>41410</v>
      </c>
      <c r="H486">
        <v>0.39500000000000002</v>
      </c>
      <c r="I486" s="105">
        <v>41410</v>
      </c>
      <c r="J486">
        <v>0.48599999999999999</v>
      </c>
    </row>
    <row r="487" spans="1:10">
      <c r="A487" s="105">
        <v>41409</v>
      </c>
      <c r="B487">
        <v>0.112</v>
      </c>
      <c r="C487" s="105">
        <v>41409</v>
      </c>
      <c r="D487">
        <v>0.20300000000000001</v>
      </c>
      <c r="E487" s="105">
        <v>41409</v>
      </c>
      <c r="F487">
        <v>0.30299999999999999</v>
      </c>
      <c r="G487" s="105">
        <v>41409</v>
      </c>
      <c r="H487">
        <v>0.4</v>
      </c>
      <c r="I487" s="105">
        <v>41409</v>
      </c>
      <c r="J487">
        <v>0.49099999999999999</v>
      </c>
    </row>
    <row r="488" spans="1:10">
      <c r="A488" s="105">
        <v>41408</v>
      </c>
      <c r="B488">
        <v>0.112</v>
      </c>
      <c r="C488" s="105">
        <v>41408</v>
      </c>
      <c r="D488">
        <v>0.20300000000000001</v>
      </c>
      <c r="E488" s="105">
        <v>41408</v>
      </c>
      <c r="F488">
        <v>0.30299999999999999</v>
      </c>
      <c r="G488" s="105">
        <v>41408</v>
      </c>
      <c r="H488">
        <v>0.4</v>
      </c>
      <c r="I488" s="105">
        <v>41408</v>
      </c>
      <c r="J488">
        <v>0.49099999999999999</v>
      </c>
    </row>
    <row r="489" spans="1:10">
      <c r="A489" s="105">
        <v>41407</v>
      </c>
      <c r="B489">
        <v>0.112</v>
      </c>
      <c r="C489" s="105">
        <v>41407</v>
      </c>
      <c r="D489">
        <v>0.20300000000000001</v>
      </c>
      <c r="E489" s="105">
        <v>41407</v>
      </c>
      <c r="F489">
        <v>0.30299999999999999</v>
      </c>
      <c r="G489" s="105">
        <v>41407</v>
      </c>
      <c r="H489">
        <v>0.39900000000000002</v>
      </c>
      <c r="I489" s="105">
        <v>41407</v>
      </c>
      <c r="J489">
        <v>0.49</v>
      </c>
    </row>
    <row r="490" spans="1:10">
      <c r="A490" s="105">
        <v>41404</v>
      </c>
      <c r="B490">
        <v>0.112</v>
      </c>
      <c r="C490" s="105">
        <v>41404</v>
      </c>
      <c r="D490">
        <v>0.20300000000000001</v>
      </c>
      <c r="E490" s="105">
        <v>41404</v>
      </c>
      <c r="F490">
        <v>0.30299999999999999</v>
      </c>
      <c r="G490" s="105">
        <v>41404</v>
      </c>
      <c r="H490">
        <v>0.39900000000000002</v>
      </c>
      <c r="I490" s="105">
        <v>41404</v>
      </c>
      <c r="J490">
        <v>0.48899999999999999</v>
      </c>
    </row>
    <row r="491" spans="1:10">
      <c r="A491" s="105">
        <v>41403</v>
      </c>
      <c r="B491">
        <v>0.112</v>
      </c>
      <c r="C491" s="105">
        <v>41403</v>
      </c>
      <c r="D491">
        <v>0.20300000000000001</v>
      </c>
      <c r="E491" s="105">
        <v>41403</v>
      </c>
      <c r="F491">
        <v>0.30199999999999999</v>
      </c>
      <c r="G491" s="105">
        <v>41403</v>
      </c>
      <c r="H491">
        <v>0.39700000000000002</v>
      </c>
      <c r="I491" s="105">
        <v>41403</v>
      </c>
      <c r="J491">
        <v>0.48799999999999999</v>
      </c>
    </row>
    <row r="492" spans="1:10">
      <c r="A492" s="105">
        <v>41402</v>
      </c>
      <c r="B492">
        <v>0.112</v>
      </c>
      <c r="C492" s="105">
        <v>41402</v>
      </c>
      <c r="D492">
        <v>0.20300000000000001</v>
      </c>
      <c r="E492" s="105">
        <v>41402</v>
      </c>
      <c r="F492">
        <v>0.30299999999999999</v>
      </c>
      <c r="G492" s="105">
        <v>41402</v>
      </c>
      <c r="H492">
        <v>0.39800000000000002</v>
      </c>
      <c r="I492" s="105">
        <v>41402</v>
      </c>
      <c r="J492">
        <v>0.49099999999999999</v>
      </c>
    </row>
    <row r="493" spans="1:10">
      <c r="A493" s="105">
        <v>41401</v>
      </c>
      <c r="B493">
        <v>0.112</v>
      </c>
      <c r="C493" s="105">
        <v>41401</v>
      </c>
      <c r="D493">
        <v>0.20200000000000001</v>
      </c>
      <c r="E493" s="105">
        <v>41401</v>
      </c>
      <c r="F493">
        <v>0.30199999999999999</v>
      </c>
      <c r="G493" s="105">
        <v>41401</v>
      </c>
      <c r="H493">
        <v>0.39800000000000002</v>
      </c>
      <c r="I493" s="105">
        <v>41401</v>
      </c>
      <c r="J493">
        <v>0.49</v>
      </c>
    </row>
    <row r="494" spans="1:10">
      <c r="A494" s="105">
        <v>41400</v>
      </c>
      <c r="B494">
        <v>0.113</v>
      </c>
      <c r="C494" s="105">
        <v>41400</v>
      </c>
      <c r="D494">
        <v>0.20200000000000001</v>
      </c>
      <c r="E494" s="105">
        <v>41400</v>
      </c>
      <c r="F494">
        <v>0.30199999999999999</v>
      </c>
      <c r="G494" s="105">
        <v>41400</v>
      </c>
      <c r="H494">
        <v>0.39700000000000002</v>
      </c>
      <c r="I494" s="105">
        <v>41400</v>
      </c>
      <c r="J494">
        <v>0.49</v>
      </c>
    </row>
    <row r="495" spans="1:10">
      <c r="A495" s="105">
        <v>41397</v>
      </c>
      <c r="B495">
        <v>0.113</v>
      </c>
      <c r="C495" s="105">
        <v>41397</v>
      </c>
      <c r="D495">
        <v>0.20100000000000001</v>
      </c>
      <c r="E495" s="105">
        <v>41397</v>
      </c>
      <c r="F495">
        <v>0.30199999999999999</v>
      </c>
      <c r="G495" s="105">
        <v>41397</v>
      </c>
      <c r="H495">
        <v>0.39800000000000002</v>
      </c>
      <c r="I495" s="105">
        <v>41397</v>
      </c>
      <c r="J495">
        <v>0.49299999999999999</v>
      </c>
    </row>
    <row r="496" spans="1:10">
      <c r="A496" s="105">
        <v>41396</v>
      </c>
      <c r="B496">
        <v>0.11600000000000001</v>
      </c>
      <c r="C496" s="105">
        <v>41396</v>
      </c>
      <c r="D496">
        <v>0.20699999999999999</v>
      </c>
      <c r="E496" s="105">
        <v>41396</v>
      </c>
      <c r="F496">
        <v>0.313</v>
      </c>
      <c r="G496" s="105">
        <v>41396</v>
      </c>
      <c r="H496">
        <v>0.41099999999999998</v>
      </c>
      <c r="I496" s="105">
        <v>41396</v>
      </c>
      <c r="J496">
        <v>0.51</v>
      </c>
    </row>
    <row r="497" spans="1:10">
      <c r="A497" s="105">
        <v>41394</v>
      </c>
      <c r="B497">
        <v>0.11600000000000001</v>
      </c>
      <c r="C497" s="105">
        <v>41394</v>
      </c>
      <c r="D497">
        <v>0.20699999999999999</v>
      </c>
      <c r="E497" s="105">
        <v>41394</v>
      </c>
      <c r="F497">
        <v>0.315</v>
      </c>
      <c r="G497" s="105">
        <v>41394</v>
      </c>
      <c r="H497">
        <v>0.41099999999999998</v>
      </c>
      <c r="I497" s="105">
        <v>41394</v>
      </c>
      <c r="J497">
        <v>0.51</v>
      </c>
    </row>
    <row r="498" spans="1:10">
      <c r="A498" s="105">
        <v>41393</v>
      </c>
      <c r="B498">
        <v>0.11700000000000001</v>
      </c>
      <c r="C498" s="105">
        <v>41393</v>
      </c>
      <c r="D498">
        <v>0.20699999999999999</v>
      </c>
      <c r="E498" s="105">
        <v>41393</v>
      </c>
      <c r="F498">
        <v>0.317</v>
      </c>
      <c r="G498" s="105">
        <v>41393</v>
      </c>
      <c r="H498">
        <v>0.41299999999999998</v>
      </c>
      <c r="I498" s="105">
        <v>41393</v>
      </c>
      <c r="J498">
        <v>0.51300000000000001</v>
      </c>
    </row>
    <row r="499" spans="1:10">
      <c r="A499" s="105">
        <v>41390</v>
      </c>
      <c r="B499">
        <v>0.11700000000000001</v>
      </c>
      <c r="C499" s="105">
        <v>41390</v>
      </c>
      <c r="D499">
        <v>0.20699999999999999</v>
      </c>
      <c r="E499" s="105">
        <v>41390</v>
      </c>
      <c r="F499">
        <v>0.318</v>
      </c>
      <c r="G499" s="105">
        <v>41390</v>
      </c>
      <c r="H499">
        <v>0.41499999999999998</v>
      </c>
      <c r="I499" s="105">
        <v>41390</v>
      </c>
      <c r="J499">
        <v>0.51500000000000001</v>
      </c>
    </row>
    <row r="500" spans="1:10">
      <c r="A500" s="105">
        <v>41389</v>
      </c>
      <c r="B500">
        <v>0.11700000000000001</v>
      </c>
      <c r="C500" s="105">
        <v>41389</v>
      </c>
      <c r="D500">
        <v>0.20599999999999999</v>
      </c>
      <c r="E500" s="105">
        <v>41389</v>
      </c>
      <c r="F500">
        <v>0.318</v>
      </c>
      <c r="G500" s="105">
        <v>41389</v>
      </c>
      <c r="H500">
        <v>0.41599999999999998</v>
      </c>
      <c r="I500" s="105">
        <v>41389</v>
      </c>
      <c r="J500">
        <v>0.51500000000000001</v>
      </c>
    </row>
    <row r="501" spans="1:10">
      <c r="A501" s="105">
        <v>41388</v>
      </c>
      <c r="B501">
        <v>0.11799999999999999</v>
      </c>
      <c r="C501" s="105">
        <v>41388</v>
      </c>
      <c r="D501">
        <v>0.20599999999999999</v>
      </c>
      <c r="E501" s="105">
        <v>41388</v>
      </c>
      <c r="F501">
        <v>0.31900000000000001</v>
      </c>
      <c r="G501" s="105">
        <v>41388</v>
      </c>
      <c r="H501">
        <v>0.41799999999999998</v>
      </c>
      <c r="I501" s="105">
        <v>41388</v>
      </c>
      <c r="J501">
        <v>0.51800000000000002</v>
      </c>
    </row>
    <row r="502" spans="1:10">
      <c r="A502" s="105">
        <v>41387</v>
      </c>
      <c r="B502">
        <v>0.11799999999999999</v>
      </c>
      <c r="C502" s="105">
        <v>41387</v>
      </c>
      <c r="D502">
        <v>0.20699999999999999</v>
      </c>
      <c r="E502" s="105">
        <v>41387</v>
      </c>
      <c r="F502">
        <v>0.32</v>
      </c>
      <c r="G502" s="105">
        <v>41387</v>
      </c>
      <c r="H502">
        <v>0.42</v>
      </c>
      <c r="I502" s="105">
        <v>41387</v>
      </c>
      <c r="J502">
        <v>0.52</v>
      </c>
    </row>
    <row r="503" spans="1:10">
      <c r="A503" s="105">
        <v>41386</v>
      </c>
      <c r="B503">
        <v>0.11799999999999999</v>
      </c>
      <c r="C503" s="105">
        <v>41386</v>
      </c>
      <c r="D503">
        <v>0.20799999999999999</v>
      </c>
      <c r="E503" s="105">
        <v>41386</v>
      </c>
      <c r="F503">
        <v>0.32200000000000001</v>
      </c>
      <c r="G503" s="105">
        <v>41386</v>
      </c>
      <c r="H503">
        <v>0.42299999999999999</v>
      </c>
      <c r="I503" s="105">
        <v>41386</v>
      </c>
      <c r="J503">
        <v>0.52500000000000002</v>
      </c>
    </row>
    <row r="504" spans="1:10">
      <c r="A504" s="105">
        <v>41383</v>
      </c>
      <c r="B504">
        <v>0.11799999999999999</v>
      </c>
      <c r="C504" s="105">
        <v>41383</v>
      </c>
      <c r="D504">
        <v>0.20799999999999999</v>
      </c>
      <c r="E504" s="105">
        <v>41383</v>
      </c>
      <c r="F504">
        <v>0.32200000000000001</v>
      </c>
      <c r="G504" s="105">
        <v>41383</v>
      </c>
      <c r="H504">
        <v>0.42399999999999999</v>
      </c>
      <c r="I504" s="105">
        <v>41383</v>
      </c>
      <c r="J504">
        <v>0.52600000000000002</v>
      </c>
    </row>
    <row r="505" spans="1:10">
      <c r="A505" s="105">
        <v>41382</v>
      </c>
      <c r="B505">
        <v>0.11799999999999999</v>
      </c>
      <c r="C505" s="105">
        <v>41382</v>
      </c>
      <c r="D505">
        <v>0.20799999999999999</v>
      </c>
      <c r="E505" s="105">
        <v>41382</v>
      </c>
      <c r="F505">
        <v>0.32200000000000001</v>
      </c>
      <c r="G505" s="105">
        <v>41382</v>
      </c>
      <c r="H505">
        <v>0.42499999999999999</v>
      </c>
      <c r="I505" s="105">
        <v>41382</v>
      </c>
      <c r="J505">
        <v>0.52600000000000002</v>
      </c>
    </row>
    <row r="506" spans="1:10">
      <c r="A506" s="105">
        <v>41381</v>
      </c>
      <c r="B506">
        <v>0.11799999999999999</v>
      </c>
      <c r="C506" s="105">
        <v>41381</v>
      </c>
      <c r="D506">
        <v>0.21</v>
      </c>
      <c r="E506" s="105">
        <v>41381</v>
      </c>
      <c r="F506">
        <v>0.32500000000000001</v>
      </c>
      <c r="G506" s="105">
        <v>41381</v>
      </c>
      <c r="H506">
        <v>0.43</v>
      </c>
      <c r="I506" s="105">
        <v>41381</v>
      </c>
      <c r="J506">
        <v>0.53100000000000003</v>
      </c>
    </row>
    <row r="507" spans="1:10">
      <c r="A507" s="105">
        <v>41380</v>
      </c>
      <c r="B507">
        <v>0.11899999999999999</v>
      </c>
      <c r="C507" s="105">
        <v>41380</v>
      </c>
      <c r="D507">
        <v>0.21</v>
      </c>
      <c r="E507" s="105">
        <v>41380</v>
      </c>
      <c r="F507">
        <v>0.32600000000000001</v>
      </c>
      <c r="G507" s="105">
        <v>41380</v>
      </c>
      <c r="H507">
        <v>0.42899999999999999</v>
      </c>
      <c r="I507" s="105">
        <v>41380</v>
      </c>
      <c r="J507">
        <v>0.53</v>
      </c>
    </row>
    <row r="508" spans="1:10">
      <c r="A508" s="105">
        <v>41379</v>
      </c>
      <c r="B508">
        <v>0.11899999999999999</v>
      </c>
      <c r="C508" s="105">
        <v>41379</v>
      </c>
      <c r="D508">
        <v>0.21</v>
      </c>
      <c r="E508" s="105">
        <v>41379</v>
      </c>
      <c r="F508">
        <v>0.32700000000000001</v>
      </c>
      <c r="G508" s="105">
        <v>41379</v>
      </c>
      <c r="H508">
        <v>0.43</v>
      </c>
      <c r="I508" s="105">
        <v>41379</v>
      </c>
      <c r="J508">
        <v>0.53300000000000003</v>
      </c>
    </row>
    <row r="509" spans="1:10">
      <c r="A509" s="105">
        <v>41376</v>
      </c>
      <c r="B509">
        <v>0.11799999999999999</v>
      </c>
      <c r="C509" s="105">
        <v>41376</v>
      </c>
      <c r="D509">
        <v>0.21</v>
      </c>
      <c r="E509" s="105">
        <v>41376</v>
      </c>
      <c r="F509">
        <v>0.32700000000000001</v>
      </c>
      <c r="G509" s="105">
        <v>41376</v>
      </c>
      <c r="H509">
        <v>0.43099999999999999</v>
      </c>
      <c r="I509" s="105">
        <v>41376</v>
      </c>
      <c r="J509">
        <v>0.53400000000000003</v>
      </c>
    </row>
    <row r="510" spans="1:10">
      <c r="A510" s="105">
        <v>41375</v>
      </c>
      <c r="B510">
        <v>0.11899999999999999</v>
      </c>
      <c r="C510" s="105">
        <v>41375</v>
      </c>
      <c r="D510">
        <v>0.21099999999999999</v>
      </c>
      <c r="E510" s="105">
        <v>41375</v>
      </c>
      <c r="F510">
        <v>0.32900000000000001</v>
      </c>
      <c r="G510" s="105">
        <v>41375</v>
      </c>
      <c r="H510">
        <v>0.434</v>
      </c>
      <c r="I510" s="105">
        <v>41375</v>
      </c>
      <c r="J510">
        <v>0.53600000000000003</v>
      </c>
    </row>
    <row r="511" spans="1:10">
      <c r="A511" s="105">
        <v>41374</v>
      </c>
      <c r="B511">
        <v>0.11899999999999999</v>
      </c>
      <c r="C511" s="105">
        <v>41374</v>
      </c>
      <c r="D511">
        <v>0.21099999999999999</v>
      </c>
      <c r="E511" s="105">
        <v>41374</v>
      </c>
      <c r="F511">
        <v>0.32900000000000001</v>
      </c>
      <c r="G511" s="105">
        <v>41374</v>
      </c>
      <c r="H511">
        <v>0.434</v>
      </c>
      <c r="I511" s="105">
        <v>41374</v>
      </c>
      <c r="J511">
        <v>0.53700000000000003</v>
      </c>
    </row>
    <row r="512" spans="1:10">
      <c r="A512" s="105">
        <v>41373</v>
      </c>
      <c r="B512">
        <v>0.11899999999999999</v>
      </c>
      <c r="C512" s="105">
        <v>41373</v>
      </c>
      <c r="D512">
        <v>0.21099999999999999</v>
      </c>
      <c r="E512" s="105">
        <v>41373</v>
      </c>
      <c r="F512">
        <v>0.32800000000000001</v>
      </c>
      <c r="G512" s="105">
        <v>41373</v>
      </c>
      <c r="H512">
        <v>0.433</v>
      </c>
      <c r="I512" s="105">
        <v>41373</v>
      </c>
      <c r="J512">
        <v>0.53600000000000003</v>
      </c>
    </row>
    <row r="513" spans="1:10">
      <c r="A513" s="105">
        <v>41372</v>
      </c>
      <c r="B513">
        <v>0.11799999999999999</v>
      </c>
      <c r="C513" s="105">
        <v>41372</v>
      </c>
      <c r="D513">
        <v>0.21</v>
      </c>
      <c r="E513" s="105">
        <v>41372</v>
      </c>
      <c r="F513">
        <v>0.32700000000000001</v>
      </c>
      <c r="G513" s="105">
        <v>41372</v>
      </c>
      <c r="H513">
        <v>0.43099999999999999</v>
      </c>
      <c r="I513" s="105">
        <v>41372</v>
      </c>
      <c r="J513">
        <v>0.53400000000000003</v>
      </c>
    </row>
    <row r="514" spans="1:10">
      <c r="A514" s="105">
        <v>41369</v>
      </c>
      <c r="B514">
        <v>0.11799999999999999</v>
      </c>
      <c r="C514" s="105">
        <v>41369</v>
      </c>
      <c r="D514">
        <v>0.21</v>
      </c>
      <c r="E514" s="105">
        <v>41369</v>
      </c>
      <c r="F514">
        <v>0.32600000000000001</v>
      </c>
      <c r="G514" s="105">
        <v>41369</v>
      </c>
      <c r="H514">
        <v>0.43099999999999999</v>
      </c>
      <c r="I514" s="105">
        <v>41369</v>
      </c>
      <c r="J514">
        <v>0.53400000000000003</v>
      </c>
    </row>
    <row r="515" spans="1:10">
      <c r="A515" s="105">
        <v>41368</v>
      </c>
      <c r="B515">
        <v>0.11799999999999999</v>
      </c>
      <c r="C515" s="105">
        <v>41368</v>
      </c>
      <c r="D515">
        <v>0.21</v>
      </c>
      <c r="E515" s="105">
        <v>41368</v>
      </c>
      <c r="F515">
        <v>0.33</v>
      </c>
      <c r="G515" s="105">
        <v>41368</v>
      </c>
      <c r="H515">
        <v>0.435</v>
      </c>
      <c r="I515" s="105">
        <v>41368</v>
      </c>
      <c r="J515">
        <v>0.54</v>
      </c>
    </row>
    <row r="516" spans="1:10">
      <c r="A516" s="105">
        <v>41367</v>
      </c>
      <c r="B516">
        <v>0.11700000000000001</v>
      </c>
      <c r="C516" s="105">
        <v>41367</v>
      </c>
      <c r="D516">
        <v>0.21</v>
      </c>
      <c r="E516" s="105">
        <v>41367</v>
      </c>
      <c r="F516">
        <v>0.33100000000000002</v>
      </c>
      <c r="G516" s="105">
        <v>41367</v>
      </c>
      <c r="H516">
        <v>0.436</v>
      </c>
      <c r="I516" s="105">
        <v>41367</v>
      </c>
      <c r="J516">
        <v>0.54</v>
      </c>
    </row>
    <row r="517" spans="1:10">
      <c r="A517" s="105">
        <v>41366</v>
      </c>
      <c r="B517">
        <v>0.11700000000000001</v>
      </c>
      <c r="C517" s="105">
        <v>41366</v>
      </c>
      <c r="D517">
        <v>0.21</v>
      </c>
      <c r="E517" s="105">
        <v>41366</v>
      </c>
      <c r="F517">
        <v>0.33200000000000002</v>
      </c>
      <c r="G517" s="105">
        <v>41366</v>
      </c>
      <c r="H517">
        <v>0.438</v>
      </c>
      <c r="I517" s="105">
        <v>41366</v>
      </c>
      <c r="J517">
        <v>0.54400000000000004</v>
      </c>
    </row>
    <row r="518" spans="1:10">
      <c r="A518" s="105">
        <v>41361</v>
      </c>
      <c r="B518">
        <v>0.11700000000000001</v>
      </c>
      <c r="C518" s="105">
        <v>41361</v>
      </c>
      <c r="D518">
        <v>0.21099999999999999</v>
      </c>
      <c r="E518" s="105">
        <v>41361</v>
      </c>
      <c r="F518">
        <v>0.33500000000000002</v>
      </c>
      <c r="G518" s="105">
        <v>41361</v>
      </c>
      <c r="H518">
        <v>0.44</v>
      </c>
      <c r="I518" s="105">
        <v>41361</v>
      </c>
      <c r="J518">
        <v>0.54700000000000004</v>
      </c>
    </row>
    <row r="519" spans="1:10">
      <c r="A519" s="105">
        <v>41360</v>
      </c>
      <c r="B519">
        <v>0.11700000000000001</v>
      </c>
      <c r="C519" s="105">
        <v>41360</v>
      </c>
      <c r="D519">
        <v>0.21199999999999999</v>
      </c>
      <c r="E519" s="105">
        <v>41360</v>
      </c>
      <c r="F519">
        <v>0.33500000000000002</v>
      </c>
      <c r="G519" s="105">
        <v>41360</v>
      </c>
      <c r="H519">
        <v>0.44</v>
      </c>
      <c r="I519" s="105">
        <v>41360</v>
      </c>
      <c r="J519">
        <v>0.54500000000000004</v>
      </c>
    </row>
    <row r="520" spans="1:10">
      <c r="A520" s="105">
        <v>41359</v>
      </c>
      <c r="B520">
        <v>0.11899999999999999</v>
      </c>
      <c r="C520" s="105">
        <v>41359</v>
      </c>
      <c r="D520">
        <v>0.21299999999999999</v>
      </c>
      <c r="E520" s="105">
        <v>41359</v>
      </c>
      <c r="F520">
        <v>0.33700000000000002</v>
      </c>
      <c r="G520" s="105">
        <v>41359</v>
      </c>
      <c r="H520">
        <v>0.443</v>
      </c>
      <c r="I520" s="105">
        <v>41359</v>
      </c>
      <c r="J520">
        <v>0.54700000000000004</v>
      </c>
    </row>
    <row r="521" spans="1:10">
      <c r="A521" s="105">
        <v>41358</v>
      </c>
      <c r="B521">
        <v>0.11899999999999999</v>
      </c>
      <c r="C521" s="105">
        <v>41358</v>
      </c>
      <c r="D521">
        <v>0.214</v>
      </c>
      <c r="E521" s="105">
        <v>41358</v>
      </c>
      <c r="F521">
        <v>0.33600000000000002</v>
      </c>
      <c r="G521" s="105">
        <v>41358</v>
      </c>
      <c r="H521">
        <v>0.44400000000000001</v>
      </c>
      <c r="I521" s="105">
        <v>41358</v>
      </c>
      <c r="J521">
        <v>0.54900000000000004</v>
      </c>
    </row>
    <row r="522" spans="1:10">
      <c r="A522" s="105">
        <v>41355</v>
      </c>
      <c r="B522">
        <v>0.12</v>
      </c>
      <c r="C522" s="105">
        <v>41355</v>
      </c>
      <c r="D522">
        <v>0.215</v>
      </c>
      <c r="E522" s="105">
        <v>41355</v>
      </c>
      <c r="F522">
        <v>0.33900000000000002</v>
      </c>
      <c r="G522" s="105">
        <v>41355</v>
      </c>
      <c r="H522">
        <v>0.44900000000000001</v>
      </c>
      <c r="I522" s="105">
        <v>41355</v>
      </c>
      <c r="J522">
        <v>0.55300000000000005</v>
      </c>
    </row>
    <row r="523" spans="1:10">
      <c r="A523" s="105">
        <v>41354</v>
      </c>
      <c r="B523">
        <v>0.11799999999999999</v>
      </c>
      <c r="C523" s="105">
        <v>41354</v>
      </c>
      <c r="D523">
        <v>0.21099999999999999</v>
      </c>
      <c r="E523" s="105">
        <v>41354</v>
      </c>
      <c r="F523">
        <v>0.33400000000000002</v>
      </c>
      <c r="G523" s="105">
        <v>41354</v>
      </c>
      <c r="H523">
        <v>0.44600000000000001</v>
      </c>
      <c r="I523" s="105">
        <v>41354</v>
      </c>
      <c r="J523">
        <v>0.55000000000000004</v>
      </c>
    </row>
    <row r="524" spans="1:10">
      <c r="A524" s="105">
        <v>41353</v>
      </c>
      <c r="B524">
        <v>0.11799999999999999</v>
      </c>
      <c r="C524" s="105">
        <v>41353</v>
      </c>
      <c r="D524">
        <v>0.21</v>
      </c>
      <c r="E524" s="105">
        <v>41353</v>
      </c>
      <c r="F524">
        <v>0.33500000000000002</v>
      </c>
      <c r="G524" s="105">
        <v>41353</v>
      </c>
      <c r="H524">
        <v>0.44500000000000001</v>
      </c>
      <c r="I524" s="105">
        <v>41353</v>
      </c>
      <c r="J524">
        <v>0.55100000000000005</v>
      </c>
    </row>
    <row r="525" spans="1:10">
      <c r="A525" s="105">
        <v>41352</v>
      </c>
      <c r="B525">
        <v>0.11799999999999999</v>
      </c>
      <c r="C525" s="105">
        <v>41352</v>
      </c>
      <c r="D525">
        <v>0.20699999999999999</v>
      </c>
      <c r="E525" s="105">
        <v>41352</v>
      </c>
      <c r="F525">
        <v>0.33</v>
      </c>
      <c r="G525" s="105">
        <v>41352</v>
      </c>
      <c r="H525">
        <v>0.44</v>
      </c>
      <c r="I525" s="105">
        <v>41352</v>
      </c>
      <c r="J525">
        <v>0.54500000000000004</v>
      </c>
    </row>
    <row r="526" spans="1:10">
      <c r="A526" s="105">
        <v>41351</v>
      </c>
      <c r="B526">
        <v>0.11899999999999999</v>
      </c>
      <c r="C526" s="105">
        <v>41351</v>
      </c>
      <c r="D526">
        <v>0.20599999999999999</v>
      </c>
      <c r="E526" s="105">
        <v>41351</v>
      </c>
      <c r="F526">
        <v>0.32600000000000001</v>
      </c>
      <c r="G526" s="105">
        <v>41351</v>
      </c>
      <c r="H526">
        <v>0.437</v>
      </c>
      <c r="I526" s="105">
        <v>41351</v>
      </c>
      <c r="J526">
        <v>0.54300000000000004</v>
      </c>
    </row>
    <row r="527" spans="1:10">
      <c r="A527" s="105">
        <v>41348</v>
      </c>
      <c r="B527">
        <v>0.11799999999999999</v>
      </c>
      <c r="C527" s="105">
        <v>41348</v>
      </c>
      <c r="D527">
        <v>0.20399999999999999</v>
      </c>
      <c r="E527" s="105">
        <v>41348</v>
      </c>
      <c r="F527">
        <v>0.32600000000000001</v>
      </c>
      <c r="G527" s="105">
        <v>41348</v>
      </c>
      <c r="H527">
        <v>0.437</v>
      </c>
      <c r="I527" s="105">
        <v>41348</v>
      </c>
      <c r="J527">
        <v>0.54300000000000004</v>
      </c>
    </row>
    <row r="528" spans="1:10">
      <c r="A528" s="105">
        <v>41347</v>
      </c>
      <c r="B528">
        <v>0.11799999999999999</v>
      </c>
      <c r="C528" s="105">
        <v>41347</v>
      </c>
      <c r="D528">
        <v>0.20399999999999999</v>
      </c>
      <c r="E528" s="105">
        <v>41347</v>
      </c>
      <c r="F528">
        <v>0.32600000000000001</v>
      </c>
      <c r="G528" s="105">
        <v>41347</v>
      </c>
      <c r="H528">
        <v>0.437</v>
      </c>
      <c r="I528" s="105">
        <v>41347</v>
      </c>
      <c r="J528">
        <v>0.54400000000000004</v>
      </c>
    </row>
    <row r="529" spans="1:10">
      <c r="A529" s="105">
        <v>41346</v>
      </c>
      <c r="B529">
        <v>0.11799999999999999</v>
      </c>
      <c r="C529" s="105">
        <v>41346</v>
      </c>
      <c r="D529">
        <v>0.20300000000000001</v>
      </c>
      <c r="E529" s="105">
        <v>41346</v>
      </c>
      <c r="F529">
        <v>0.32500000000000001</v>
      </c>
      <c r="G529" s="105">
        <v>41346</v>
      </c>
      <c r="H529">
        <v>0.436</v>
      </c>
      <c r="I529" s="105">
        <v>41346</v>
      </c>
      <c r="J529">
        <v>0.54200000000000004</v>
      </c>
    </row>
    <row r="530" spans="1:10">
      <c r="A530" s="105">
        <v>41345</v>
      </c>
      <c r="B530">
        <v>0.11799999999999999</v>
      </c>
      <c r="C530" s="105">
        <v>41345</v>
      </c>
      <c r="D530">
        <v>0.20100000000000001</v>
      </c>
      <c r="E530" s="105">
        <v>41345</v>
      </c>
      <c r="F530">
        <v>0.32600000000000001</v>
      </c>
      <c r="G530" s="105">
        <v>41345</v>
      </c>
      <c r="H530">
        <v>0.436</v>
      </c>
      <c r="I530" s="105">
        <v>41345</v>
      </c>
      <c r="J530">
        <v>0.54300000000000004</v>
      </c>
    </row>
    <row r="531" spans="1:10">
      <c r="A531" s="105">
        <v>41344</v>
      </c>
      <c r="B531">
        <v>0.11700000000000001</v>
      </c>
      <c r="C531" s="105">
        <v>41344</v>
      </c>
      <c r="D531">
        <v>0.20100000000000001</v>
      </c>
      <c r="E531" s="105">
        <v>41344</v>
      </c>
      <c r="F531">
        <v>0.32600000000000001</v>
      </c>
      <c r="G531" s="105">
        <v>41344</v>
      </c>
      <c r="H531">
        <v>0.436</v>
      </c>
      <c r="I531" s="105">
        <v>41344</v>
      </c>
      <c r="J531">
        <v>0.54200000000000004</v>
      </c>
    </row>
    <row r="532" spans="1:10">
      <c r="A532" s="105">
        <v>41341</v>
      </c>
      <c r="B532">
        <v>0.11799999999999999</v>
      </c>
      <c r="C532" s="105">
        <v>41341</v>
      </c>
      <c r="D532">
        <v>0.20100000000000001</v>
      </c>
      <c r="E532" s="105">
        <v>41341</v>
      </c>
      <c r="F532">
        <v>0.32400000000000001</v>
      </c>
      <c r="G532" s="105">
        <v>41341</v>
      </c>
      <c r="H532">
        <v>0.434</v>
      </c>
      <c r="I532" s="105">
        <v>41341</v>
      </c>
      <c r="J532">
        <v>0.54100000000000004</v>
      </c>
    </row>
    <row r="533" spans="1:10">
      <c r="A533" s="105">
        <v>41340</v>
      </c>
      <c r="B533">
        <v>0.11799999999999999</v>
      </c>
      <c r="C533" s="105">
        <v>41340</v>
      </c>
      <c r="D533">
        <v>0.2</v>
      </c>
      <c r="E533" s="105">
        <v>41340</v>
      </c>
      <c r="F533">
        <v>0.32100000000000001</v>
      </c>
      <c r="G533" s="105">
        <v>41340</v>
      </c>
      <c r="H533">
        <v>0.43</v>
      </c>
      <c r="I533" s="105">
        <v>41340</v>
      </c>
      <c r="J533">
        <v>0.53800000000000003</v>
      </c>
    </row>
    <row r="534" spans="1:10">
      <c r="A534" s="105">
        <v>41339</v>
      </c>
      <c r="B534">
        <v>0.11799999999999999</v>
      </c>
      <c r="C534" s="105">
        <v>41339</v>
      </c>
      <c r="D534">
        <v>0.2</v>
      </c>
      <c r="E534" s="105">
        <v>41339</v>
      </c>
      <c r="F534">
        <v>0.32100000000000001</v>
      </c>
      <c r="G534" s="105">
        <v>41339</v>
      </c>
      <c r="H534">
        <v>0.432</v>
      </c>
      <c r="I534" s="105">
        <v>41339</v>
      </c>
      <c r="J534">
        <v>0.54</v>
      </c>
    </row>
    <row r="535" spans="1:10">
      <c r="A535" s="105">
        <v>41338</v>
      </c>
      <c r="B535">
        <v>0.11700000000000001</v>
      </c>
      <c r="C535" s="105">
        <v>41338</v>
      </c>
      <c r="D535">
        <v>0.2</v>
      </c>
      <c r="E535" s="105">
        <v>41338</v>
      </c>
      <c r="F535">
        <v>0.32200000000000001</v>
      </c>
      <c r="G535" s="105">
        <v>41338</v>
      </c>
      <c r="H535">
        <v>0.434</v>
      </c>
      <c r="I535" s="105">
        <v>41338</v>
      </c>
      <c r="J535">
        <v>0.54300000000000004</v>
      </c>
    </row>
    <row r="536" spans="1:10">
      <c r="A536" s="105">
        <v>41337</v>
      </c>
      <c r="B536">
        <v>0.11700000000000001</v>
      </c>
      <c r="C536" s="105">
        <v>41337</v>
      </c>
      <c r="D536">
        <v>0.20200000000000001</v>
      </c>
      <c r="E536" s="105">
        <v>41337</v>
      </c>
      <c r="F536">
        <v>0.32400000000000001</v>
      </c>
      <c r="G536" s="105">
        <v>41337</v>
      </c>
      <c r="H536">
        <v>0.436</v>
      </c>
      <c r="I536" s="105">
        <v>41337</v>
      </c>
      <c r="J536">
        <v>0.54400000000000004</v>
      </c>
    </row>
    <row r="537" spans="1:10">
      <c r="A537" s="105">
        <v>41334</v>
      </c>
      <c r="B537">
        <v>0.11700000000000001</v>
      </c>
      <c r="C537" s="105">
        <v>41334</v>
      </c>
      <c r="D537">
        <v>0.20599999999999999</v>
      </c>
      <c r="E537" s="105">
        <v>41334</v>
      </c>
      <c r="F537">
        <v>0.32800000000000001</v>
      </c>
      <c r="G537" s="105">
        <v>41334</v>
      </c>
      <c r="H537">
        <v>0.441</v>
      </c>
      <c r="I537" s="105">
        <v>41334</v>
      </c>
      <c r="J537">
        <v>0.54900000000000004</v>
      </c>
    </row>
    <row r="538" spans="1:10">
      <c r="A538" s="105">
        <v>41333</v>
      </c>
      <c r="B538">
        <v>0.11799999999999999</v>
      </c>
      <c r="C538" s="105">
        <v>41333</v>
      </c>
      <c r="D538">
        <v>0.20899999999999999</v>
      </c>
      <c r="E538" s="105">
        <v>41333</v>
      </c>
      <c r="F538">
        <v>0.33400000000000002</v>
      </c>
      <c r="G538" s="105">
        <v>41333</v>
      </c>
      <c r="H538">
        <v>0.44800000000000001</v>
      </c>
      <c r="I538" s="105">
        <v>41333</v>
      </c>
      <c r="J538">
        <v>0.55700000000000005</v>
      </c>
    </row>
    <row r="539" spans="1:10">
      <c r="A539" s="105">
        <v>41332</v>
      </c>
      <c r="B539">
        <v>0.11799999999999999</v>
      </c>
      <c r="C539" s="105">
        <v>41332</v>
      </c>
      <c r="D539">
        <v>0.21</v>
      </c>
      <c r="E539" s="105">
        <v>41332</v>
      </c>
      <c r="F539">
        <v>0.33600000000000002</v>
      </c>
      <c r="G539" s="105">
        <v>41332</v>
      </c>
      <c r="H539">
        <v>0.45100000000000001</v>
      </c>
      <c r="I539" s="105">
        <v>41332</v>
      </c>
      <c r="J539">
        <v>0.56000000000000005</v>
      </c>
    </row>
    <row r="540" spans="1:10">
      <c r="A540" s="105">
        <v>41331</v>
      </c>
      <c r="B540">
        <v>0.11700000000000001</v>
      </c>
      <c r="C540" s="105">
        <v>41331</v>
      </c>
      <c r="D540">
        <v>0.21</v>
      </c>
      <c r="E540" s="105">
        <v>41331</v>
      </c>
      <c r="F540">
        <v>0.33800000000000002</v>
      </c>
      <c r="G540" s="105">
        <v>41331</v>
      </c>
      <c r="H540">
        <v>0.45500000000000002</v>
      </c>
      <c r="I540" s="105">
        <v>41331</v>
      </c>
      <c r="J540">
        <v>0.56499999999999995</v>
      </c>
    </row>
    <row r="541" spans="1:10">
      <c r="A541" s="105">
        <v>41330</v>
      </c>
      <c r="B541">
        <v>0.11700000000000001</v>
      </c>
      <c r="C541" s="105">
        <v>41330</v>
      </c>
      <c r="D541">
        <v>0.21299999999999999</v>
      </c>
      <c r="E541" s="105">
        <v>41330</v>
      </c>
      <c r="F541">
        <v>0.34300000000000003</v>
      </c>
      <c r="G541" s="105">
        <v>41330</v>
      </c>
      <c r="H541">
        <v>0.46100000000000002</v>
      </c>
      <c r="I541" s="105">
        <v>41330</v>
      </c>
      <c r="J541">
        <v>0.57099999999999995</v>
      </c>
    </row>
    <row r="542" spans="1:10">
      <c r="A542" s="105">
        <v>41327</v>
      </c>
      <c r="B542">
        <v>0.11899999999999999</v>
      </c>
      <c r="C542" s="105">
        <v>41327</v>
      </c>
      <c r="D542">
        <v>0.218</v>
      </c>
      <c r="E542" s="105">
        <v>41327</v>
      </c>
      <c r="F542">
        <v>0.35199999999999998</v>
      </c>
      <c r="G542" s="105">
        <v>41327</v>
      </c>
      <c r="H542">
        <v>0.47099999999999997</v>
      </c>
      <c r="I542" s="105">
        <v>41327</v>
      </c>
      <c r="J542">
        <v>0.58099999999999996</v>
      </c>
    </row>
    <row r="543" spans="1:10">
      <c r="A543" s="105">
        <v>41326</v>
      </c>
      <c r="B543">
        <v>0.11899999999999999</v>
      </c>
      <c r="C543" s="105">
        <v>41326</v>
      </c>
      <c r="D543">
        <v>0.22</v>
      </c>
      <c r="E543" s="105">
        <v>41326</v>
      </c>
      <c r="F543">
        <v>0.35399999999999998</v>
      </c>
      <c r="G543" s="105">
        <v>41326</v>
      </c>
      <c r="H543">
        <v>0.47299999999999998</v>
      </c>
      <c r="I543" s="105">
        <v>41326</v>
      </c>
      <c r="J543">
        <v>0.58299999999999996</v>
      </c>
    </row>
    <row r="544" spans="1:10">
      <c r="A544" s="105">
        <v>41325</v>
      </c>
      <c r="B544">
        <v>0.12</v>
      </c>
      <c r="C544" s="105">
        <v>41325</v>
      </c>
      <c r="D544">
        <v>0.221</v>
      </c>
      <c r="E544" s="105">
        <v>41325</v>
      </c>
      <c r="F544">
        <v>0.35599999999999998</v>
      </c>
      <c r="G544" s="105">
        <v>41325</v>
      </c>
      <c r="H544">
        <v>0.47499999999999998</v>
      </c>
      <c r="I544" s="105">
        <v>41325</v>
      </c>
      <c r="J544">
        <v>0.58499999999999996</v>
      </c>
    </row>
    <row r="545" spans="1:10">
      <c r="A545" s="105">
        <v>41324</v>
      </c>
      <c r="B545">
        <v>0.12</v>
      </c>
      <c r="C545" s="105">
        <v>41324</v>
      </c>
      <c r="D545">
        <v>0.221</v>
      </c>
      <c r="E545" s="105">
        <v>41324</v>
      </c>
      <c r="F545">
        <v>0.35699999999999998</v>
      </c>
      <c r="G545" s="105">
        <v>41324</v>
      </c>
      <c r="H545">
        <v>0.47599999999999998</v>
      </c>
      <c r="I545" s="105">
        <v>41324</v>
      </c>
      <c r="J545">
        <v>0.58599999999999997</v>
      </c>
    </row>
    <row r="546" spans="1:10">
      <c r="A546" s="105">
        <v>41323</v>
      </c>
      <c r="B546">
        <v>0.12</v>
      </c>
      <c r="C546" s="105">
        <v>41323</v>
      </c>
      <c r="D546">
        <v>0.223</v>
      </c>
      <c r="E546" s="105">
        <v>41323</v>
      </c>
      <c r="F546">
        <v>0.35899999999999999</v>
      </c>
      <c r="G546" s="105">
        <v>41323</v>
      </c>
      <c r="H546">
        <v>0.47699999999999998</v>
      </c>
      <c r="I546" s="105">
        <v>41323</v>
      </c>
      <c r="J546">
        <v>0.58899999999999997</v>
      </c>
    </row>
    <row r="547" spans="1:10">
      <c r="A547" s="105">
        <v>41320</v>
      </c>
      <c r="B547">
        <v>0.12</v>
      </c>
      <c r="C547" s="105">
        <v>41320</v>
      </c>
      <c r="D547">
        <v>0.22500000000000001</v>
      </c>
      <c r="E547" s="105">
        <v>41320</v>
      </c>
      <c r="F547">
        <v>0.36299999999999999</v>
      </c>
      <c r="G547" s="105">
        <v>41320</v>
      </c>
      <c r="H547">
        <v>0.48099999999999998</v>
      </c>
      <c r="I547" s="105">
        <v>41320</v>
      </c>
      <c r="J547">
        <v>0.59299999999999997</v>
      </c>
    </row>
    <row r="548" spans="1:10">
      <c r="A548" s="105">
        <v>41319</v>
      </c>
      <c r="B548">
        <v>0.121</v>
      </c>
      <c r="C548" s="105">
        <v>41319</v>
      </c>
      <c r="D548">
        <v>0.22600000000000001</v>
      </c>
      <c r="E548" s="105">
        <v>41319</v>
      </c>
      <c r="F548">
        <v>0.36699999999999999</v>
      </c>
      <c r="G548" s="105">
        <v>41319</v>
      </c>
      <c r="H548">
        <v>0.48599999999999999</v>
      </c>
      <c r="I548" s="105">
        <v>41319</v>
      </c>
      <c r="J548">
        <v>0.59799999999999998</v>
      </c>
    </row>
    <row r="549" spans="1:10">
      <c r="A549" s="105">
        <v>41318</v>
      </c>
      <c r="B549">
        <v>0.121</v>
      </c>
      <c r="C549" s="105">
        <v>41318</v>
      </c>
      <c r="D549">
        <v>0.22600000000000001</v>
      </c>
      <c r="E549" s="105">
        <v>41318</v>
      </c>
      <c r="F549">
        <v>0.36899999999999999</v>
      </c>
      <c r="G549" s="105">
        <v>41318</v>
      </c>
      <c r="H549">
        <v>0.48899999999999999</v>
      </c>
      <c r="I549" s="105">
        <v>41318</v>
      </c>
      <c r="J549">
        <v>0.60199999999999998</v>
      </c>
    </row>
    <row r="550" spans="1:10">
      <c r="A550" s="105">
        <v>41317</v>
      </c>
      <c r="B550">
        <v>0.121</v>
      </c>
      <c r="C550" s="105">
        <v>41317</v>
      </c>
      <c r="D550">
        <v>0.22600000000000001</v>
      </c>
      <c r="E550" s="105">
        <v>41317</v>
      </c>
      <c r="F550">
        <v>0.36899999999999999</v>
      </c>
      <c r="G550" s="105">
        <v>41317</v>
      </c>
      <c r="H550">
        <v>0.49</v>
      </c>
      <c r="I550" s="105">
        <v>41317</v>
      </c>
      <c r="J550">
        <v>0.60399999999999998</v>
      </c>
    </row>
    <row r="551" spans="1:10">
      <c r="A551" s="105">
        <v>41316</v>
      </c>
      <c r="B551">
        <v>0.121</v>
      </c>
      <c r="C551" s="105">
        <v>41316</v>
      </c>
      <c r="D551">
        <v>0.22700000000000001</v>
      </c>
      <c r="E551" s="105">
        <v>41316</v>
      </c>
      <c r="F551">
        <v>0.371</v>
      </c>
      <c r="G551" s="105">
        <v>41316</v>
      </c>
      <c r="H551">
        <v>0.49099999999999999</v>
      </c>
      <c r="I551" s="105">
        <v>41316</v>
      </c>
      <c r="J551">
        <v>0.60599999999999998</v>
      </c>
    </row>
    <row r="552" spans="1:10">
      <c r="A552" s="105">
        <v>41313</v>
      </c>
      <c r="B552">
        <v>0.12</v>
      </c>
      <c r="C552" s="105">
        <v>41313</v>
      </c>
      <c r="D552">
        <v>0.22700000000000001</v>
      </c>
      <c r="E552" s="105">
        <v>41313</v>
      </c>
      <c r="F552">
        <v>0.372</v>
      </c>
      <c r="G552" s="105">
        <v>41313</v>
      </c>
      <c r="H552">
        <v>0.49399999999999999</v>
      </c>
      <c r="I552" s="105">
        <v>41313</v>
      </c>
      <c r="J552">
        <v>0.60899999999999999</v>
      </c>
    </row>
    <row r="553" spans="1:10">
      <c r="A553" s="105">
        <v>41312</v>
      </c>
      <c r="B553">
        <v>0.122</v>
      </c>
      <c r="C553" s="105">
        <v>41312</v>
      </c>
      <c r="D553">
        <v>0.23200000000000001</v>
      </c>
      <c r="E553" s="105">
        <v>41312</v>
      </c>
      <c r="F553">
        <v>0.378</v>
      </c>
      <c r="G553" s="105">
        <v>41312</v>
      </c>
      <c r="H553">
        <v>0.501</v>
      </c>
      <c r="I553" s="105">
        <v>41312</v>
      </c>
      <c r="J553">
        <v>0.61699999999999999</v>
      </c>
    </row>
    <row r="554" spans="1:10">
      <c r="A554" s="105">
        <v>41311</v>
      </c>
      <c r="B554">
        <v>0.123</v>
      </c>
      <c r="C554" s="105">
        <v>41311</v>
      </c>
      <c r="D554">
        <v>0.23300000000000001</v>
      </c>
      <c r="E554" s="105">
        <v>41311</v>
      </c>
      <c r="F554">
        <v>0.379</v>
      </c>
      <c r="G554" s="105">
        <v>41311</v>
      </c>
      <c r="H554">
        <v>0.501</v>
      </c>
      <c r="I554" s="105">
        <v>41311</v>
      </c>
      <c r="J554">
        <v>0.61599999999999999</v>
      </c>
    </row>
    <row r="555" spans="1:10">
      <c r="A555" s="105">
        <v>41310</v>
      </c>
      <c r="B555">
        <v>0.123</v>
      </c>
      <c r="C555" s="105">
        <v>41310</v>
      </c>
      <c r="D555">
        <v>0.23300000000000001</v>
      </c>
      <c r="E555" s="105">
        <v>41310</v>
      </c>
      <c r="F555">
        <v>0.38</v>
      </c>
      <c r="G555" s="105">
        <v>41310</v>
      </c>
      <c r="H555">
        <v>0.501</v>
      </c>
      <c r="I555" s="105">
        <v>41310</v>
      </c>
      <c r="J555">
        <v>0.61799999999999999</v>
      </c>
    </row>
    <row r="556" spans="1:10">
      <c r="A556" s="105">
        <v>41309</v>
      </c>
      <c r="B556">
        <v>0.123</v>
      </c>
      <c r="C556" s="105">
        <v>41309</v>
      </c>
      <c r="D556">
        <v>0.23300000000000001</v>
      </c>
      <c r="E556" s="105">
        <v>41309</v>
      </c>
      <c r="F556">
        <v>0.38</v>
      </c>
      <c r="G556" s="105">
        <v>41309</v>
      </c>
      <c r="H556">
        <v>0.503</v>
      </c>
      <c r="I556" s="105">
        <v>41309</v>
      </c>
      <c r="J556">
        <v>0.621</v>
      </c>
    </row>
    <row r="557" spans="1:10">
      <c r="A557" s="105">
        <v>41306</v>
      </c>
      <c r="B557">
        <v>0.122</v>
      </c>
      <c r="C557" s="105">
        <v>41306</v>
      </c>
      <c r="D557">
        <v>0.23400000000000001</v>
      </c>
      <c r="E557" s="105">
        <v>41306</v>
      </c>
      <c r="F557">
        <v>0.38</v>
      </c>
      <c r="G557" s="105">
        <v>41306</v>
      </c>
      <c r="H557">
        <v>0.504</v>
      </c>
      <c r="I557" s="105">
        <v>41306</v>
      </c>
      <c r="J557">
        <v>0.622</v>
      </c>
    </row>
    <row r="558" spans="1:10">
      <c r="A558" s="105">
        <v>41305</v>
      </c>
      <c r="B558">
        <v>0.121</v>
      </c>
      <c r="C558" s="105">
        <v>41305</v>
      </c>
      <c r="D558">
        <v>0.23200000000000001</v>
      </c>
      <c r="E558" s="105">
        <v>41305</v>
      </c>
      <c r="F558">
        <v>0.378</v>
      </c>
      <c r="G558" s="105">
        <v>41305</v>
      </c>
      <c r="H558">
        <v>0.503</v>
      </c>
      <c r="I558" s="105">
        <v>41305</v>
      </c>
      <c r="J558">
        <v>0.62</v>
      </c>
    </row>
    <row r="559" spans="1:10">
      <c r="A559" s="105">
        <v>41304</v>
      </c>
      <c r="B559">
        <v>0.12</v>
      </c>
      <c r="C559" s="105">
        <v>41304</v>
      </c>
      <c r="D559">
        <v>0.23</v>
      </c>
      <c r="E559" s="105">
        <v>41304</v>
      </c>
      <c r="F559">
        <v>0.376</v>
      </c>
      <c r="G559" s="105">
        <v>41304</v>
      </c>
      <c r="H559">
        <v>0.502</v>
      </c>
      <c r="I559" s="105">
        <v>41304</v>
      </c>
      <c r="J559">
        <v>0.61899999999999999</v>
      </c>
    </row>
    <row r="560" spans="1:10">
      <c r="A560" s="105">
        <v>41303</v>
      </c>
      <c r="B560">
        <v>0.11799999999999999</v>
      </c>
      <c r="C560" s="105">
        <v>41303</v>
      </c>
      <c r="D560">
        <v>0.22600000000000001</v>
      </c>
      <c r="E560" s="105">
        <v>41303</v>
      </c>
      <c r="F560">
        <v>0.373</v>
      </c>
      <c r="G560" s="105">
        <v>41303</v>
      </c>
      <c r="H560">
        <v>0.497</v>
      </c>
      <c r="I560" s="105">
        <v>41303</v>
      </c>
      <c r="J560">
        <v>0.61099999999999999</v>
      </c>
    </row>
    <row r="561" spans="1:10">
      <c r="A561" s="105">
        <v>41302</v>
      </c>
      <c r="B561">
        <v>0.11700000000000001</v>
      </c>
      <c r="C561" s="105">
        <v>41302</v>
      </c>
      <c r="D561">
        <v>0.224</v>
      </c>
      <c r="E561" s="105">
        <v>41302</v>
      </c>
      <c r="F561">
        <v>0.37</v>
      </c>
      <c r="G561" s="105">
        <v>41302</v>
      </c>
      <c r="H561">
        <v>0.49299999999999999</v>
      </c>
      <c r="I561" s="105">
        <v>41302</v>
      </c>
      <c r="J561">
        <v>0.60899999999999999</v>
      </c>
    </row>
    <row r="562" spans="1:10">
      <c r="A562" s="105">
        <v>41299</v>
      </c>
      <c r="B562">
        <v>0.113</v>
      </c>
      <c r="C562" s="105">
        <v>41299</v>
      </c>
      <c r="D562">
        <v>0.214</v>
      </c>
      <c r="E562" s="105">
        <v>41299</v>
      </c>
      <c r="F562">
        <v>0.35599999999999998</v>
      </c>
      <c r="G562" s="105">
        <v>41299</v>
      </c>
      <c r="H562">
        <v>0.47599999999999998</v>
      </c>
      <c r="I562" s="105">
        <v>41299</v>
      </c>
      <c r="J562">
        <v>0.59</v>
      </c>
    </row>
    <row r="563" spans="1:10">
      <c r="A563" s="105">
        <v>41298</v>
      </c>
      <c r="B563">
        <v>0.113</v>
      </c>
      <c r="C563" s="105">
        <v>41298</v>
      </c>
      <c r="D563">
        <v>0.21099999999999999</v>
      </c>
      <c r="E563" s="105">
        <v>41298</v>
      </c>
      <c r="F563">
        <v>0.35299999999999998</v>
      </c>
      <c r="G563" s="105">
        <v>41298</v>
      </c>
      <c r="H563">
        <v>0.47299999999999998</v>
      </c>
      <c r="I563" s="105">
        <v>41298</v>
      </c>
      <c r="J563">
        <v>0.58499999999999996</v>
      </c>
    </row>
    <row r="564" spans="1:10">
      <c r="A564" s="105">
        <v>41297</v>
      </c>
      <c r="B564">
        <v>0.112</v>
      </c>
      <c r="C564" s="105">
        <v>41297</v>
      </c>
      <c r="D564">
        <v>0.20899999999999999</v>
      </c>
      <c r="E564" s="105">
        <v>41297</v>
      </c>
      <c r="F564">
        <v>0.35299999999999998</v>
      </c>
      <c r="G564" s="105">
        <v>41297</v>
      </c>
      <c r="H564">
        <v>0.47199999999999998</v>
      </c>
      <c r="I564" s="105">
        <v>41297</v>
      </c>
      <c r="J564">
        <v>0.58599999999999997</v>
      </c>
    </row>
    <row r="565" spans="1:10">
      <c r="A565" s="105">
        <v>41296</v>
      </c>
      <c r="B565">
        <v>0.112</v>
      </c>
      <c r="C565" s="105">
        <v>41296</v>
      </c>
      <c r="D565">
        <v>0.20899999999999999</v>
      </c>
      <c r="E565" s="105">
        <v>41296</v>
      </c>
      <c r="F565">
        <v>0.35299999999999998</v>
      </c>
      <c r="G565" s="105">
        <v>41296</v>
      </c>
      <c r="H565">
        <v>0.47299999999999998</v>
      </c>
      <c r="I565" s="105">
        <v>41296</v>
      </c>
      <c r="J565">
        <v>0.58599999999999997</v>
      </c>
    </row>
    <row r="566" spans="1:10">
      <c r="A566" s="105">
        <v>41295</v>
      </c>
      <c r="B566">
        <v>0.112</v>
      </c>
      <c r="C566" s="105">
        <v>41295</v>
      </c>
      <c r="D566">
        <v>0.20899999999999999</v>
      </c>
      <c r="E566" s="105">
        <v>41295</v>
      </c>
      <c r="F566">
        <v>0.35299999999999998</v>
      </c>
      <c r="G566" s="105">
        <v>41295</v>
      </c>
      <c r="H566">
        <v>0.47299999999999998</v>
      </c>
      <c r="I566" s="105">
        <v>41295</v>
      </c>
      <c r="J566">
        <v>0.58699999999999997</v>
      </c>
    </row>
    <row r="567" spans="1:10">
      <c r="A567" s="105">
        <v>41292</v>
      </c>
      <c r="B567">
        <v>0.112</v>
      </c>
      <c r="C567" s="105">
        <v>41292</v>
      </c>
      <c r="D567">
        <v>0.20899999999999999</v>
      </c>
      <c r="E567" s="105">
        <v>41292</v>
      </c>
      <c r="F567">
        <v>0.35099999999999998</v>
      </c>
      <c r="G567" s="105">
        <v>41292</v>
      </c>
      <c r="H567">
        <v>0.47399999999999998</v>
      </c>
      <c r="I567" s="105">
        <v>41292</v>
      </c>
      <c r="J567">
        <v>0.58699999999999997</v>
      </c>
    </row>
    <row r="568" spans="1:10">
      <c r="A568" s="105">
        <v>41291</v>
      </c>
      <c r="B568">
        <v>0.112</v>
      </c>
      <c r="C568" s="105">
        <v>41291</v>
      </c>
      <c r="D568">
        <v>0.20399999999999999</v>
      </c>
      <c r="E568" s="105">
        <v>41291</v>
      </c>
      <c r="F568">
        <v>0.34399999999999997</v>
      </c>
      <c r="G568" s="105">
        <v>41291</v>
      </c>
      <c r="H568">
        <v>0.46300000000000002</v>
      </c>
      <c r="I568" s="105">
        <v>41291</v>
      </c>
      <c r="J568">
        <v>0.57399999999999995</v>
      </c>
    </row>
    <row r="569" spans="1:10">
      <c r="A569" s="105">
        <v>41290</v>
      </c>
      <c r="B569">
        <v>0.111</v>
      </c>
      <c r="C569" s="105">
        <v>41290</v>
      </c>
      <c r="D569">
        <v>0.20100000000000001</v>
      </c>
      <c r="E569" s="105">
        <v>41290</v>
      </c>
      <c r="F569">
        <v>0.34</v>
      </c>
      <c r="G569" s="105">
        <v>41290</v>
      </c>
      <c r="H569">
        <v>0.45800000000000002</v>
      </c>
      <c r="I569" s="105">
        <v>41290</v>
      </c>
      <c r="J569">
        <v>0.56999999999999995</v>
      </c>
    </row>
    <row r="570" spans="1:10">
      <c r="A570" s="105">
        <v>41289</v>
      </c>
      <c r="B570">
        <v>0.112</v>
      </c>
      <c r="C570" s="105">
        <v>41289</v>
      </c>
      <c r="D570">
        <v>0.20200000000000001</v>
      </c>
      <c r="E570" s="105">
        <v>41289</v>
      </c>
      <c r="F570">
        <v>0.34100000000000003</v>
      </c>
      <c r="G570" s="105">
        <v>41289</v>
      </c>
      <c r="H570">
        <v>0.45700000000000002</v>
      </c>
      <c r="I570" s="105">
        <v>41289</v>
      </c>
      <c r="J570">
        <v>0.56999999999999995</v>
      </c>
    </row>
    <row r="571" spans="1:10">
      <c r="A571" s="105">
        <v>41288</v>
      </c>
      <c r="B571">
        <v>0.112</v>
      </c>
      <c r="C571" s="105">
        <v>41288</v>
      </c>
      <c r="D571">
        <v>0.19900000000000001</v>
      </c>
      <c r="E571" s="105">
        <v>41288</v>
      </c>
      <c r="F571">
        <v>0.33700000000000002</v>
      </c>
      <c r="G571" s="105">
        <v>41288</v>
      </c>
      <c r="H571">
        <v>0.45400000000000001</v>
      </c>
      <c r="I571" s="105">
        <v>41288</v>
      </c>
      <c r="J571">
        <v>0.56599999999999995</v>
      </c>
    </row>
    <row r="572" spans="1:10">
      <c r="A572" s="105">
        <v>41285</v>
      </c>
      <c r="B572">
        <v>0.111</v>
      </c>
      <c r="C572" s="105">
        <v>41285</v>
      </c>
      <c r="D572">
        <v>0.19500000000000001</v>
      </c>
      <c r="E572" s="105">
        <v>41285</v>
      </c>
      <c r="F572">
        <v>0.33100000000000002</v>
      </c>
      <c r="G572" s="105">
        <v>41285</v>
      </c>
      <c r="H572">
        <v>0.44600000000000001</v>
      </c>
      <c r="I572" s="105">
        <v>41285</v>
      </c>
      <c r="J572">
        <v>0.55900000000000005</v>
      </c>
    </row>
    <row r="573" spans="1:10">
      <c r="A573" s="105">
        <v>41284</v>
      </c>
      <c r="B573">
        <v>0.11</v>
      </c>
      <c r="C573" s="105">
        <v>41284</v>
      </c>
      <c r="D573">
        <v>0.19</v>
      </c>
      <c r="E573" s="105">
        <v>41284</v>
      </c>
      <c r="F573">
        <v>0.32500000000000001</v>
      </c>
      <c r="G573" s="105">
        <v>41284</v>
      </c>
      <c r="H573">
        <v>0.437</v>
      </c>
      <c r="I573" s="105">
        <v>41284</v>
      </c>
      <c r="J573">
        <v>0.55000000000000004</v>
      </c>
    </row>
    <row r="574" spans="1:10">
      <c r="A574" s="105">
        <v>41283</v>
      </c>
      <c r="B574">
        <v>0.11</v>
      </c>
      <c r="C574" s="105">
        <v>41283</v>
      </c>
      <c r="D574">
        <v>0.192</v>
      </c>
      <c r="E574" s="105">
        <v>41283</v>
      </c>
      <c r="F574">
        <v>0.32600000000000001</v>
      </c>
      <c r="G574" s="105">
        <v>41283</v>
      </c>
      <c r="H574">
        <v>0.439</v>
      </c>
      <c r="I574" s="105">
        <v>41283</v>
      </c>
      <c r="J574">
        <v>0.55100000000000005</v>
      </c>
    </row>
    <row r="575" spans="1:10">
      <c r="A575" s="105">
        <v>41282</v>
      </c>
      <c r="B575">
        <v>0.11</v>
      </c>
      <c r="C575" s="105">
        <v>41282</v>
      </c>
      <c r="D575">
        <v>0.192</v>
      </c>
      <c r="E575" s="105">
        <v>41282</v>
      </c>
      <c r="F575">
        <v>0.32600000000000001</v>
      </c>
      <c r="G575" s="105">
        <v>41282</v>
      </c>
      <c r="H575">
        <v>0.439</v>
      </c>
      <c r="I575" s="105">
        <v>41282</v>
      </c>
      <c r="J575">
        <v>0.55100000000000005</v>
      </c>
    </row>
    <row r="576" spans="1:10">
      <c r="A576" s="105">
        <v>41281</v>
      </c>
      <c r="B576">
        <v>0.11</v>
      </c>
      <c r="C576" s="105">
        <v>41281</v>
      </c>
      <c r="D576">
        <v>0.192</v>
      </c>
      <c r="E576" s="105">
        <v>41281</v>
      </c>
      <c r="F576">
        <v>0.32500000000000001</v>
      </c>
      <c r="G576" s="105">
        <v>41281</v>
      </c>
      <c r="H576">
        <v>0.439</v>
      </c>
      <c r="I576" s="105">
        <v>41281</v>
      </c>
      <c r="J576">
        <v>0.55000000000000004</v>
      </c>
    </row>
    <row r="577" spans="1:10">
      <c r="A577" s="105">
        <v>41278</v>
      </c>
      <c r="B577">
        <v>0.11</v>
      </c>
      <c r="C577" s="105">
        <v>41278</v>
      </c>
      <c r="D577">
        <v>0.191</v>
      </c>
      <c r="E577" s="105">
        <v>41278</v>
      </c>
      <c r="F577">
        <v>0.32400000000000001</v>
      </c>
      <c r="G577" s="105">
        <v>41278</v>
      </c>
      <c r="H577">
        <v>0.438</v>
      </c>
      <c r="I577" s="105">
        <v>41278</v>
      </c>
      <c r="J577">
        <v>0.54900000000000004</v>
      </c>
    </row>
    <row r="578" spans="1:10">
      <c r="A578" s="105">
        <v>41277</v>
      </c>
      <c r="B578">
        <v>0.109</v>
      </c>
      <c r="C578" s="105">
        <v>41277</v>
      </c>
      <c r="D578">
        <v>0.189</v>
      </c>
      <c r="E578" s="105">
        <v>41277</v>
      </c>
      <c r="F578">
        <v>0.32</v>
      </c>
      <c r="G578" s="105">
        <v>41277</v>
      </c>
      <c r="H578">
        <v>0.434</v>
      </c>
      <c r="I578" s="105">
        <v>41277</v>
      </c>
      <c r="J578">
        <v>0.54400000000000004</v>
      </c>
    </row>
    <row r="579" spans="1:10">
      <c r="A579" s="105">
        <v>41276</v>
      </c>
      <c r="B579">
        <v>0.109</v>
      </c>
      <c r="C579" s="105">
        <v>41276</v>
      </c>
      <c r="D579">
        <v>0.188</v>
      </c>
      <c r="E579" s="105">
        <v>41276</v>
      </c>
      <c r="F579">
        <v>0.31900000000000001</v>
      </c>
      <c r="G579" s="105">
        <v>41276</v>
      </c>
      <c r="H579">
        <v>0.433</v>
      </c>
      <c r="I579" s="105">
        <v>41276</v>
      </c>
      <c r="J579">
        <v>0.54300000000000004</v>
      </c>
    </row>
    <row r="580" spans="1:10">
      <c r="A580" s="105">
        <v>41274</v>
      </c>
      <c r="B580">
        <v>0.109</v>
      </c>
      <c r="C580" s="105">
        <v>41274</v>
      </c>
      <c r="D580">
        <v>0.187</v>
      </c>
      <c r="E580" s="105">
        <v>41274</v>
      </c>
      <c r="F580">
        <v>0.32</v>
      </c>
      <c r="G580" s="105">
        <v>41274</v>
      </c>
      <c r="H580">
        <v>0.432</v>
      </c>
      <c r="I580" s="105">
        <v>41274</v>
      </c>
      <c r="J580">
        <v>0.54200000000000004</v>
      </c>
    </row>
    <row r="581" spans="1:10">
      <c r="A581" s="105">
        <v>41271</v>
      </c>
      <c r="B581">
        <v>0.109</v>
      </c>
      <c r="C581" s="105">
        <v>41271</v>
      </c>
      <c r="D581">
        <v>0.186</v>
      </c>
      <c r="E581" s="105">
        <v>41271</v>
      </c>
      <c r="F581">
        <v>0.32</v>
      </c>
      <c r="G581" s="105">
        <v>41271</v>
      </c>
      <c r="H581">
        <v>0.432</v>
      </c>
      <c r="I581" s="105">
        <v>41271</v>
      </c>
      <c r="J581">
        <v>0.54300000000000004</v>
      </c>
    </row>
    <row r="582" spans="1:10">
      <c r="A582" s="105">
        <v>41270</v>
      </c>
      <c r="B582">
        <v>0.111</v>
      </c>
      <c r="C582" s="105">
        <v>41270</v>
      </c>
      <c r="D582">
        <v>0.185</v>
      </c>
      <c r="E582" s="105">
        <v>41270</v>
      </c>
      <c r="F582">
        <v>0.31900000000000001</v>
      </c>
      <c r="G582" s="105">
        <v>41270</v>
      </c>
      <c r="H582">
        <v>0.43099999999999999</v>
      </c>
      <c r="I582" s="105">
        <v>41270</v>
      </c>
      <c r="J582">
        <v>0.54300000000000004</v>
      </c>
    </row>
    <row r="583" spans="1:10">
      <c r="A583" s="105">
        <v>41267</v>
      </c>
      <c r="B583">
        <v>0.11</v>
      </c>
      <c r="C583" s="105">
        <v>41267</v>
      </c>
      <c r="D583">
        <v>0.186</v>
      </c>
      <c r="E583" s="105">
        <v>41267</v>
      </c>
      <c r="F583">
        <v>0.31900000000000001</v>
      </c>
      <c r="G583" s="105">
        <v>41267</v>
      </c>
      <c r="H583">
        <v>0.43</v>
      </c>
      <c r="I583" s="105">
        <v>41267</v>
      </c>
      <c r="J583">
        <v>0.54400000000000004</v>
      </c>
    </row>
    <row r="584" spans="1:10">
      <c r="A584" s="105">
        <v>41264</v>
      </c>
      <c r="B584">
        <v>0.11</v>
      </c>
      <c r="C584" s="105">
        <v>41264</v>
      </c>
      <c r="D584">
        <v>0.184</v>
      </c>
      <c r="E584" s="105">
        <v>41264</v>
      </c>
      <c r="F584">
        <v>0.318</v>
      </c>
      <c r="G584" s="105">
        <v>41264</v>
      </c>
      <c r="H584">
        <v>0.42899999999999999</v>
      </c>
      <c r="I584" s="105">
        <v>41264</v>
      </c>
      <c r="J584">
        <v>0.54300000000000004</v>
      </c>
    </row>
    <row r="585" spans="1:10">
      <c r="A585" s="105">
        <v>41263</v>
      </c>
      <c r="B585">
        <v>0.11</v>
      </c>
      <c r="C585" s="105">
        <v>41263</v>
      </c>
      <c r="D585">
        <v>0.183</v>
      </c>
      <c r="E585" s="105">
        <v>41263</v>
      </c>
      <c r="F585">
        <v>0.318</v>
      </c>
      <c r="G585" s="105">
        <v>41263</v>
      </c>
      <c r="H585">
        <v>0.42899999999999999</v>
      </c>
      <c r="I585" s="105">
        <v>41263</v>
      </c>
      <c r="J585">
        <v>0.54300000000000004</v>
      </c>
    </row>
    <row r="586" spans="1:10">
      <c r="A586" s="105">
        <v>41262</v>
      </c>
      <c r="B586">
        <v>0.11</v>
      </c>
      <c r="C586" s="105">
        <v>41262</v>
      </c>
      <c r="D586">
        <v>0.183</v>
      </c>
      <c r="E586" s="105">
        <v>41262</v>
      </c>
      <c r="F586">
        <v>0.318</v>
      </c>
      <c r="G586" s="105">
        <v>41262</v>
      </c>
      <c r="H586">
        <v>0.42899999999999999</v>
      </c>
      <c r="I586" s="105">
        <v>41262</v>
      </c>
      <c r="J586">
        <v>0.54200000000000004</v>
      </c>
    </row>
    <row r="587" spans="1:10">
      <c r="A587" s="105">
        <v>41261</v>
      </c>
      <c r="B587">
        <v>0.11</v>
      </c>
      <c r="C587" s="105">
        <v>41261</v>
      </c>
      <c r="D587">
        <v>0.184</v>
      </c>
      <c r="E587" s="105">
        <v>41261</v>
      </c>
      <c r="F587">
        <v>0.318</v>
      </c>
      <c r="G587" s="105">
        <v>41261</v>
      </c>
      <c r="H587">
        <v>0.42899999999999999</v>
      </c>
      <c r="I587" s="105">
        <v>41261</v>
      </c>
      <c r="J587">
        <v>0.54</v>
      </c>
    </row>
    <row r="588" spans="1:10">
      <c r="A588" s="105">
        <v>41260</v>
      </c>
      <c r="B588">
        <v>0.11</v>
      </c>
      <c r="C588" s="105">
        <v>41260</v>
      </c>
      <c r="D588">
        <v>0.184</v>
      </c>
      <c r="E588" s="105">
        <v>41260</v>
      </c>
      <c r="F588">
        <v>0.317</v>
      </c>
      <c r="G588" s="105">
        <v>41260</v>
      </c>
      <c r="H588">
        <v>0.42799999999999999</v>
      </c>
      <c r="I588" s="105">
        <v>41260</v>
      </c>
      <c r="J588">
        <v>0.53900000000000003</v>
      </c>
    </row>
    <row r="589" spans="1:10">
      <c r="A589" s="105">
        <v>41257</v>
      </c>
      <c r="B589">
        <v>0.11</v>
      </c>
      <c r="C589" s="105">
        <v>41257</v>
      </c>
      <c r="D589">
        <v>0.184</v>
      </c>
      <c r="E589" s="105">
        <v>41257</v>
      </c>
      <c r="F589">
        <v>0.316</v>
      </c>
      <c r="G589" s="105">
        <v>41257</v>
      </c>
      <c r="H589">
        <v>0.42599999999999999</v>
      </c>
      <c r="I589" s="105">
        <v>41257</v>
      </c>
      <c r="J589">
        <v>0.53700000000000003</v>
      </c>
    </row>
    <row r="590" spans="1:10">
      <c r="A590" s="105">
        <v>41256</v>
      </c>
      <c r="B590">
        <v>0.11</v>
      </c>
      <c r="C590" s="105">
        <v>41256</v>
      </c>
      <c r="D590">
        <v>0.183</v>
      </c>
      <c r="E590" s="105">
        <v>41256</v>
      </c>
      <c r="F590">
        <v>0.317</v>
      </c>
      <c r="G590" s="105">
        <v>41256</v>
      </c>
      <c r="H590">
        <v>0.42599999999999999</v>
      </c>
      <c r="I590" s="105">
        <v>41256</v>
      </c>
      <c r="J590">
        <v>0.53900000000000003</v>
      </c>
    </row>
    <row r="591" spans="1:10">
      <c r="A591" s="105">
        <v>41255</v>
      </c>
      <c r="B591">
        <v>0.11</v>
      </c>
      <c r="C591" s="105">
        <v>41255</v>
      </c>
      <c r="D591">
        <v>0.183</v>
      </c>
      <c r="E591" s="105">
        <v>41255</v>
      </c>
      <c r="F591">
        <v>0.318</v>
      </c>
      <c r="G591" s="105">
        <v>41255</v>
      </c>
      <c r="H591">
        <v>0.42799999999999999</v>
      </c>
      <c r="I591" s="105">
        <v>41255</v>
      </c>
      <c r="J591">
        <v>0.54</v>
      </c>
    </row>
    <row r="592" spans="1:10">
      <c r="A592" s="105">
        <v>41254</v>
      </c>
      <c r="B592">
        <v>0.11</v>
      </c>
      <c r="C592" s="105">
        <v>41254</v>
      </c>
      <c r="D592">
        <v>0.18099999999999999</v>
      </c>
      <c r="E592" s="105">
        <v>41254</v>
      </c>
      <c r="F592">
        <v>0.316</v>
      </c>
      <c r="G592" s="105">
        <v>41254</v>
      </c>
      <c r="H592">
        <v>0.42699999999999999</v>
      </c>
      <c r="I592" s="105">
        <v>41254</v>
      </c>
      <c r="J592">
        <v>0.54</v>
      </c>
    </row>
    <row r="593" spans="1:10">
      <c r="A593" s="105">
        <v>41253</v>
      </c>
      <c r="B593">
        <v>0.11</v>
      </c>
      <c r="C593" s="105">
        <v>41253</v>
      </c>
      <c r="D593">
        <v>0.183</v>
      </c>
      <c r="E593" s="105">
        <v>41253</v>
      </c>
      <c r="F593">
        <v>0.32200000000000001</v>
      </c>
      <c r="G593" s="105">
        <v>41253</v>
      </c>
      <c r="H593">
        <v>0.432</v>
      </c>
      <c r="I593" s="105">
        <v>41253</v>
      </c>
      <c r="J593">
        <v>0.54700000000000004</v>
      </c>
    </row>
    <row r="594" spans="1:10">
      <c r="A594" s="105">
        <v>41250</v>
      </c>
      <c r="B594">
        <v>0.111</v>
      </c>
      <c r="C594" s="105">
        <v>41250</v>
      </c>
      <c r="D594">
        <v>0.187</v>
      </c>
      <c r="E594" s="105">
        <v>41250</v>
      </c>
      <c r="F594">
        <v>0.33</v>
      </c>
      <c r="G594" s="105">
        <v>41250</v>
      </c>
      <c r="H594">
        <v>0.442</v>
      </c>
      <c r="I594" s="105">
        <v>41250</v>
      </c>
      <c r="J594">
        <v>0.55800000000000005</v>
      </c>
    </row>
    <row r="595" spans="1:10">
      <c r="A595" s="105">
        <v>41249</v>
      </c>
      <c r="B595">
        <v>0.112</v>
      </c>
      <c r="C595" s="105">
        <v>41249</v>
      </c>
      <c r="D595">
        <v>0.19</v>
      </c>
      <c r="E595" s="105">
        <v>41249</v>
      </c>
      <c r="F595">
        <v>0.33900000000000002</v>
      </c>
      <c r="G595" s="105">
        <v>41249</v>
      </c>
      <c r="H595">
        <v>0.45200000000000001</v>
      </c>
      <c r="I595" s="105">
        <v>41249</v>
      </c>
      <c r="J595">
        <v>0.56999999999999995</v>
      </c>
    </row>
    <row r="596" spans="1:10">
      <c r="A596" s="105">
        <v>41248</v>
      </c>
      <c r="B596">
        <v>0.113</v>
      </c>
      <c r="C596" s="105">
        <v>41248</v>
      </c>
      <c r="D596">
        <v>0.19</v>
      </c>
      <c r="E596" s="105">
        <v>41248</v>
      </c>
      <c r="F596">
        <v>0.34</v>
      </c>
      <c r="G596" s="105">
        <v>41248</v>
      </c>
      <c r="H596">
        <v>0.45400000000000001</v>
      </c>
      <c r="I596" s="105">
        <v>41248</v>
      </c>
      <c r="J596">
        <v>0.57299999999999995</v>
      </c>
    </row>
    <row r="597" spans="1:10">
      <c r="A597" s="105">
        <v>41247</v>
      </c>
      <c r="B597">
        <v>0.113</v>
      </c>
      <c r="C597" s="105">
        <v>41247</v>
      </c>
      <c r="D597">
        <v>0.191</v>
      </c>
      <c r="E597" s="105">
        <v>41247</v>
      </c>
      <c r="F597">
        <v>0.34100000000000003</v>
      </c>
      <c r="G597" s="105">
        <v>41247</v>
      </c>
      <c r="H597">
        <v>0.45600000000000002</v>
      </c>
      <c r="I597" s="105">
        <v>41247</v>
      </c>
      <c r="J597">
        <v>0.57399999999999995</v>
      </c>
    </row>
    <row r="598" spans="1:10">
      <c r="A598" s="105">
        <v>41246</v>
      </c>
      <c r="B598">
        <v>0.113</v>
      </c>
      <c r="C598" s="105">
        <v>41246</v>
      </c>
      <c r="D598">
        <v>0.19</v>
      </c>
      <c r="E598" s="105">
        <v>41246</v>
      </c>
      <c r="F598">
        <v>0.34200000000000003</v>
      </c>
      <c r="G598" s="105">
        <v>41246</v>
      </c>
      <c r="H598">
        <v>0.45600000000000002</v>
      </c>
      <c r="I598" s="105">
        <v>41246</v>
      </c>
      <c r="J598">
        <v>0.57399999999999995</v>
      </c>
    </row>
    <row r="599" spans="1:10">
      <c r="A599" s="105">
        <v>41243</v>
      </c>
      <c r="B599">
        <v>0.113</v>
      </c>
      <c r="C599" s="105">
        <v>41243</v>
      </c>
      <c r="D599">
        <v>0.191</v>
      </c>
      <c r="E599" s="105">
        <v>41243</v>
      </c>
      <c r="F599">
        <v>0.34399999999999997</v>
      </c>
      <c r="G599" s="105">
        <v>41243</v>
      </c>
      <c r="H599">
        <v>0.45600000000000002</v>
      </c>
      <c r="I599" s="105">
        <v>41243</v>
      </c>
      <c r="J599">
        <v>0.57399999999999995</v>
      </c>
    </row>
    <row r="600" spans="1:10">
      <c r="A600" s="105">
        <v>41242</v>
      </c>
      <c r="B600">
        <v>0.112</v>
      </c>
      <c r="C600" s="105">
        <v>41242</v>
      </c>
      <c r="D600">
        <v>0.19</v>
      </c>
      <c r="E600" s="105">
        <v>41242</v>
      </c>
      <c r="F600">
        <v>0.34499999999999997</v>
      </c>
      <c r="G600" s="105">
        <v>41242</v>
      </c>
      <c r="H600">
        <v>0.45700000000000002</v>
      </c>
      <c r="I600" s="105">
        <v>41242</v>
      </c>
      <c r="J600">
        <v>0.57599999999999996</v>
      </c>
    </row>
    <row r="601" spans="1:10">
      <c r="A601" s="105">
        <v>41241</v>
      </c>
      <c r="B601">
        <v>0.107</v>
      </c>
      <c r="C601" s="105">
        <v>41241</v>
      </c>
      <c r="D601">
        <v>0.188</v>
      </c>
      <c r="E601" s="105">
        <v>41241</v>
      </c>
      <c r="F601">
        <v>0.34699999999999998</v>
      </c>
      <c r="G601" s="105">
        <v>41241</v>
      </c>
      <c r="H601">
        <v>0.45900000000000002</v>
      </c>
      <c r="I601" s="105">
        <v>41241</v>
      </c>
      <c r="J601">
        <v>0.57799999999999996</v>
      </c>
    </row>
    <row r="602" spans="1:10">
      <c r="A602" s="105">
        <v>41240</v>
      </c>
      <c r="B602">
        <v>0.107</v>
      </c>
      <c r="C602" s="105">
        <v>41240</v>
      </c>
      <c r="D602">
        <v>0.189</v>
      </c>
      <c r="E602" s="105">
        <v>41240</v>
      </c>
      <c r="F602">
        <v>0.34799999999999998</v>
      </c>
      <c r="G602" s="105">
        <v>41240</v>
      </c>
      <c r="H602">
        <v>0.46</v>
      </c>
      <c r="I602" s="105">
        <v>41240</v>
      </c>
      <c r="J602">
        <v>0.57999999999999996</v>
      </c>
    </row>
    <row r="603" spans="1:10">
      <c r="A603" s="105">
        <v>41239</v>
      </c>
      <c r="B603">
        <v>0.107</v>
      </c>
      <c r="C603" s="105">
        <v>41239</v>
      </c>
      <c r="D603">
        <v>0.189</v>
      </c>
      <c r="E603" s="105">
        <v>41239</v>
      </c>
      <c r="F603">
        <v>0.34899999999999998</v>
      </c>
      <c r="G603" s="105">
        <v>41239</v>
      </c>
      <c r="H603">
        <v>0.46100000000000002</v>
      </c>
      <c r="I603" s="105">
        <v>41239</v>
      </c>
      <c r="J603">
        <v>0.57999999999999996</v>
      </c>
    </row>
    <row r="604" spans="1:10">
      <c r="A604" s="105">
        <v>41236</v>
      </c>
      <c r="B604">
        <v>0.107</v>
      </c>
      <c r="C604" s="105">
        <v>41236</v>
      </c>
      <c r="D604">
        <v>0.19</v>
      </c>
      <c r="E604" s="105">
        <v>41236</v>
      </c>
      <c r="F604">
        <v>0.35099999999999998</v>
      </c>
      <c r="G604" s="105">
        <v>41236</v>
      </c>
      <c r="H604">
        <v>0.46300000000000002</v>
      </c>
      <c r="I604" s="105">
        <v>41236</v>
      </c>
      <c r="J604">
        <v>0.58099999999999996</v>
      </c>
    </row>
    <row r="605" spans="1:10">
      <c r="A605" s="105">
        <v>41235</v>
      </c>
      <c r="B605">
        <v>0.107</v>
      </c>
      <c r="C605" s="105">
        <v>41235</v>
      </c>
      <c r="D605">
        <v>0.19</v>
      </c>
      <c r="E605" s="105">
        <v>41235</v>
      </c>
      <c r="F605">
        <v>0.35099999999999998</v>
      </c>
      <c r="G605" s="105">
        <v>41235</v>
      </c>
      <c r="H605">
        <v>0.46400000000000002</v>
      </c>
      <c r="I605" s="105">
        <v>41235</v>
      </c>
      <c r="J605">
        <v>0.58099999999999996</v>
      </c>
    </row>
    <row r="606" spans="1:10">
      <c r="A606" s="105">
        <v>41234</v>
      </c>
      <c r="B606">
        <v>0.107</v>
      </c>
      <c r="C606" s="105">
        <v>41234</v>
      </c>
      <c r="D606">
        <v>0.19</v>
      </c>
      <c r="E606" s="105">
        <v>41234</v>
      </c>
      <c r="F606">
        <v>0.35199999999999998</v>
      </c>
      <c r="G606" s="105">
        <v>41234</v>
      </c>
      <c r="H606">
        <v>0.46600000000000003</v>
      </c>
      <c r="I606" s="105">
        <v>41234</v>
      </c>
      <c r="J606">
        <v>0.58199999999999996</v>
      </c>
    </row>
    <row r="607" spans="1:10">
      <c r="A607" s="105">
        <v>41233</v>
      </c>
      <c r="B607">
        <v>0.107</v>
      </c>
      <c r="C607" s="105">
        <v>41233</v>
      </c>
      <c r="D607">
        <v>0.19</v>
      </c>
      <c r="E607" s="105">
        <v>41233</v>
      </c>
      <c r="F607">
        <v>0.35199999999999998</v>
      </c>
      <c r="G607" s="105">
        <v>41233</v>
      </c>
      <c r="H607">
        <v>0.46700000000000003</v>
      </c>
      <c r="I607" s="105">
        <v>41233</v>
      </c>
      <c r="J607">
        <v>0.58199999999999996</v>
      </c>
    </row>
    <row r="608" spans="1:10">
      <c r="A608" s="105">
        <v>41232</v>
      </c>
      <c r="B608">
        <v>0.108</v>
      </c>
      <c r="C608" s="105">
        <v>41232</v>
      </c>
      <c r="D608">
        <v>0.191</v>
      </c>
      <c r="E608" s="105">
        <v>41232</v>
      </c>
      <c r="F608">
        <v>0.35399999999999998</v>
      </c>
      <c r="G608" s="105">
        <v>41232</v>
      </c>
      <c r="H608">
        <v>0.46899999999999997</v>
      </c>
      <c r="I608" s="105">
        <v>41232</v>
      </c>
      <c r="J608">
        <v>0.58199999999999996</v>
      </c>
    </row>
    <row r="609" spans="1:10">
      <c r="A609" s="105">
        <v>41229</v>
      </c>
      <c r="B609">
        <v>0.108</v>
      </c>
      <c r="C609" s="105">
        <v>41229</v>
      </c>
      <c r="D609">
        <v>0.191</v>
      </c>
      <c r="E609" s="105">
        <v>41229</v>
      </c>
      <c r="F609">
        <v>0.35599999999999998</v>
      </c>
      <c r="G609" s="105">
        <v>41229</v>
      </c>
      <c r="H609">
        <v>0.47099999999999997</v>
      </c>
      <c r="I609" s="105">
        <v>41229</v>
      </c>
      <c r="J609">
        <v>0.58299999999999996</v>
      </c>
    </row>
    <row r="610" spans="1:10">
      <c r="A610" s="105">
        <v>41228</v>
      </c>
      <c r="B610">
        <v>0.108</v>
      </c>
      <c r="C610" s="105">
        <v>41228</v>
      </c>
      <c r="D610">
        <v>0.191</v>
      </c>
      <c r="E610" s="105">
        <v>41228</v>
      </c>
      <c r="F610">
        <v>0.35699999999999998</v>
      </c>
      <c r="G610" s="105">
        <v>41228</v>
      </c>
      <c r="H610">
        <v>0.47199999999999998</v>
      </c>
      <c r="I610" s="105">
        <v>41228</v>
      </c>
      <c r="J610">
        <v>0.58399999999999996</v>
      </c>
    </row>
    <row r="611" spans="1:10">
      <c r="A611" s="105">
        <v>41227</v>
      </c>
      <c r="B611">
        <v>0.108</v>
      </c>
      <c r="C611" s="105">
        <v>41227</v>
      </c>
      <c r="D611">
        <v>0.191</v>
      </c>
      <c r="E611" s="105">
        <v>41227</v>
      </c>
      <c r="F611">
        <v>0.35799999999999998</v>
      </c>
      <c r="G611" s="105">
        <v>41227</v>
      </c>
      <c r="H611">
        <v>0.47399999999999998</v>
      </c>
      <c r="I611" s="105">
        <v>41227</v>
      </c>
      <c r="J611">
        <v>0.58499999999999996</v>
      </c>
    </row>
    <row r="612" spans="1:10">
      <c r="A612" s="105">
        <v>41226</v>
      </c>
      <c r="B612">
        <v>0.108</v>
      </c>
      <c r="C612" s="105">
        <v>41226</v>
      </c>
      <c r="D612">
        <v>0.192</v>
      </c>
      <c r="E612" s="105">
        <v>41226</v>
      </c>
      <c r="F612">
        <v>0.36099999999999999</v>
      </c>
      <c r="G612" s="105">
        <v>41226</v>
      </c>
      <c r="H612">
        <v>0.47599999999999998</v>
      </c>
      <c r="I612" s="105">
        <v>41226</v>
      </c>
      <c r="J612">
        <v>0.58599999999999997</v>
      </c>
    </row>
    <row r="613" spans="1:10">
      <c r="A613" s="105">
        <v>41225</v>
      </c>
      <c r="B613">
        <v>0.108</v>
      </c>
      <c r="C613" s="105">
        <v>41225</v>
      </c>
      <c r="D613">
        <v>0.192</v>
      </c>
      <c r="E613" s="105">
        <v>41225</v>
      </c>
      <c r="F613">
        <v>0.36299999999999999</v>
      </c>
      <c r="G613" s="105">
        <v>41225</v>
      </c>
      <c r="H613">
        <v>0.47799999999999998</v>
      </c>
      <c r="I613" s="105">
        <v>41225</v>
      </c>
      <c r="J613">
        <v>0.58699999999999997</v>
      </c>
    </row>
    <row r="614" spans="1:10">
      <c r="A614" s="105">
        <v>41222</v>
      </c>
      <c r="B614">
        <v>0.109</v>
      </c>
      <c r="C614" s="105">
        <v>41222</v>
      </c>
      <c r="D614">
        <v>0.193</v>
      </c>
      <c r="E614" s="105">
        <v>41222</v>
      </c>
      <c r="F614">
        <v>0.36599999999999999</v>
      </c>
      <c r="G614" s="105">
        <v>41222</v>
      </c>
      <c r="H614">
        <v>0.48099999999999998</v>
      </c>
      <c r="I614" s="105">
        <v>41222</v>
      </c>
      <c r="J614">
        <v>0.58899999999999997</v>
      </c>
    </row>
    <row r="615" spans="1:10">
      <c r="A615" s="105">
        <v>41221</v>
      </c>
      <c r="B615">
        <v>0.109</v>
      </c>
      <c r="C615" s="105">
        <v>41221</v>
      </c>
      <c r="D615">
        <v>0.19400000000000001</v>
      </c>
      <c r="E615" s="105">
        <v>41221</v>
      </c>
      <c r="F615">
        <v>0.37</v>
      </c>
      <c r="G615" s="105">
        <v>41221</v>
      </c>
      <c r="H615">
        <v>0.48499999999999999</v>
      </c>
      <c r="I615" s="105">
        <v>41221</v>
      </c>
      <c r="J615">
        <v>0.59199999999999997</v>
      </c>
    </row>
    <row r="616" spans="1:10">
      <c r="A616" s="105">
        <v>41220</v>
      </c>
      <c r="B616">
        <v>0.109</v>
      </c>
      <c r="C616" s="105">
        <v>41220</v>
      </c>
      <c r="D616">
        <v>0.19600000000000001</v>
      </c>
      <c r="E616" s="105">
        <v>41220</v>
      </c>
      <c r="F616">
        <v>0.375</v>
      </c>
      <c r="G616" s="105">
        <v>41220</v>
      </c>
      <c r="H616">
        <v>0.49</v>
      </c>
      <c r="I616" s="105">
        <v>41220</v>
      </c>
      <c r="J616">
        <v>0.59699999999999998</v>
      </c>
    </row>
    <row r="617" spans="1:10">
      <c r="A617" s="105">
        <v>41219</v>
      </c>
      <c r="B617">
        <v>0.109</v>
      </c>
      <c r="C617" s="105">
        <v>41219</v>
      </c>
      <c r="D617">
        <v>0.19600000000000001</v>
      </c>
      <c r="E617" s="105">
        <v>41219</v>
      </c>
      <c r="F617">
        <v>0.377</v>
      </c>
      <c r="G617" s="105">
        <v>41219</v>
      </c>
      <c r="H617">
        <v>0.49399999999999999</v>
      </c>
      <c r="I617" s="105">
        <v>41219</v>
      </c>
      <c r="J617">
        <v>0.60199999999999998</v>
      </c>
    </row>
    <row r="618" spans="1:10">
      <c r="A618" s="105">
        <v>41218</v>
      </c>
      <c r="B618">
        <v>0.109</v>
      </c>
      <c r="C618" s="105">
        <v>41218</v>
      </c>
      <c r="D618">
        <v>0.19600000000000001</v>
      </c>
      <c r="E618" s="105">
        <v>41218</v>
      </c>
      <c r="F618">
        <v>0.38100000000000001</v>
      </c>
      <c r="G618" s="105">
        <v>41218</v>
      </c>
      <c r="H618">
        <v>0.499</v>
      </c>
      <c r="I618" s="105">
        <v>41218</v>
      </c>
      <c r="J618">
        <v>0.60699999999999998</v>
      </c>
    </row>
    <row r="619" spans="1:10">
      <c r="A619" s="105">
        <v>41215</v>
      </c>
      <c r="B619">
        <v>0.11</v>
      </c>
      <c r="C619" s="105">
        <v>41215</v>
      </c>
      <c r="D619">
        <v>0.19700000000000001</v>
      </c>
      <c r="E619" s="105">
        <v>41215</v>
      </c>
      <c r="F619">
        <v>0.38500000000000001</v>
      </c>
      <c r="G619" s="105">
        <v>41215</v>
      </c>
      <c r="H619">
        <v>0.503</v>
      </c>
      <c r="I619" s="105">
        <v>41215</v>
      </c>
      <c r="J619">
        <v>0.61099999999999999</v>
      </c>
    </row>
    <row r="620" spans="1:10">
      <c r="A620" s="105">
        <v>41214</v>
      </c>
      <c r="B620">
        <v>0.11</v>
      </c>
      <c r="C620" s="105">
        <v>41214</v>
      </c>
      <c r="D620">
        <v>0.19700000000000001</v>
      </c>
      <c r="E620" s="105">
        <v>41214</v>
      </c>
      <c r="F620">
        <v>0.38700000000000001</v>
      </c>
      <c r="G620" s="105">
        <v>41214</v>
      </c>
      <c r="H620">
        <v>0.50600000000000001</v>
      </c>
      <c r="I620" s="105">
        <v>41214</v>
      </c>
      <c r="J620">
        <v>0.61499999999999999</v>
      </c>
    </row>
    <row r="621" spans="1:10">
      <c r="A621" s="105">
        <v>41213</v>
      </c>
      <c r="B621">
        <v>0.11</v>
      </c>
      <c r="C621" s="105">
        <v>41213</v>
      </c>
      <c r="D621">
        <v>0.19700000000000001</v>
      </c>
      <c r="E621" s="105">
        <v>41213</v>
      </c>
      <c r="F621">
        <v>0.38900000000000001</v>
      </c>
      <c r="G621" s="105">
        <v>41213</v>
      </c>
      <c r="H621">
        <v>0.50700000000000001</v>
      </c>
      <c r="I621" s="105">
        <v>41213</v>
      </c>
      <c r="J621">
        <v>0.61799999999999999</v>
      </c>
    </row>
    <row r="622" spans="1:10">
      <c r="A622" s="105">
        <v>41212</v>
      </c>
      <c r="B622">
        <v>0.11</v>
      </c>
      <c r="C622" s="105">
        <v>41212</v>
      </c>
      <c r="D622">
        <v>0.19800000000000001</v>
      </c>
      <c r="E622" s="105">
        <v>41212</v>
      </c>
      <c r="F622">
        <v>0.39100000000000001</v>
      </c>
      <c r="G622" s="105">
        <v>41212</v>
      </c>
      <c r="H622">
        <v>0.51</v>
      </c>
      <c r="I622" s="105">
        <v>41212</v>
      </c>
      <c r="J622">
        <v>0.621</v>
      </c>
    </row>
    <row r="623" spans="1:10">
      <c r="A623" s="105">
        <v>41211</v>
      </c>
      <c r="B623">
        <v>0.11</v>
      </c>
      <c r="C623" s="105">
        <v>41211</v>
      </c>
      <c r="D623">
        <v>0.19600000000000001</v>
      </c>
      <c r="E623" s="105">
        <v>41211</v>
      </c>
      <c r="F623">
        <v>0.39400000000000002</v>
      </c>
      <c r="G623" s="105">
        <v>41211</v>
      </c>
      <c r="H623">
        <v>0.51200000000000001</v>
      </c>
      <c r="I623" s="105">
        <v>41211</v>
      </c>
      <c r="J623">
        <v>0.624</v>
      </c>
    </row>
    <row r="624" spans="1:10">
      <c r="A624" s="105">
        <v>41208</v>
      </c>
      <c r="B624">
        <v>0.11</v>
      </c>
      <c r="C624" s="105">
        <v>41208</v>
      </c>
      <c r="D624">
        <v>0.19900000000000001</v>
      </c>
      <c r="E624" s="105">
        <v>41208</v>
      </c>
      <c r="F624">
        <v>0.39600000000000002</v>
      </c>
      <c r="G624" s="105">
        <v>41208</v>
      </c>
      <c r="H624">
        <v>0.51500000000000001</v>
      </c>
      <c r="I624" s="105">
        <v>41208</v>
      </c>
      <c r="J624">
        <v>0.627</v>
      </c>
    </row>
    <row r="625" spans="1:10">
      <c r="A625" s="105">
        <v>41207</v>
      </c>
      <c r="B625">
        <v>0.11</v>
      </c>
      <c r="C625" s="105">
        <v>41207</v>
      </c>
      <c r="D625">
        <v>0.20100000000000001</v>
      </c>
      <c r="E625" s="105">
        <v>41207</v>
      </c>
      <c r="F625">
        <v>0.39800000000000002</v>
      </c>
      <c r="G625" s="105">
        <v>41207</v>
      </c>
      <c r="H625">
        <v>0.51700000000000002</v>
      </c>
      <c r="I625" s="105">
        <v>41207</v>
      </c>
      <c r="J625">
        <v>0.63100000000000001</v>
      </c>
    </row>
    <row r="626" spans="1:10">
      <c r="A626" s="105">
        <v>41206</v>
      </c>
      <c r="B626">
        <v>0.11</v>
      </c>
      <c r="C626" s="105">
        <v>41206</v>
      </c>
      <c r="D626">
        <v>0.20200000000000001</v>
      </c>
      <c r="E626" s="105">
        <v>41206</v>
      </c>
      <c r="F626">
        <v>0.39900000000000002</v>
      </c>
      <c r="G626" s="105">
        <v>41206</v>
      </c>
      <c r="H626">
        <v>0.51900000000000002</v>
      </c>
      <c r="I626" s="105">
        <v>41206</v>
      </c>
      <c r="J626">
        <v>0.63400000000000001</v>
      </c>
    </row>
    <row r="627" spans="1:10">
      <c r="A627" s="105">
        <v>41205</v>
      </c>
      <c r="B627">
        <v>0.11</v>
      </c>
      <c r="C627" s="105">
        <v>41205</v>
      </c>
      <c r="D627">
        <v>0.20300000000000001</v>
      </c>
      <c r="E627" s="105">
        <v>41205</v>
      </c>
      <c r="F627">
        <v>0.40200000000000002</v>
      </c>
      <c r="G627" s="105">
        <v>41205</v>
      </c>
      <c r="H627">
        <v>0.52100000000000002</v>
      </c>
      <c r="I627" s="105">
        <v>41205</v>
      </c>
      <c r="J627">
        <v>0.63800000000000001</v>
      </c>
    </row>
    <row r="628" spans="1:10">
      <c r="A628" s="105">
        <v>41204</v>
      </c>
      <c r="B628">
        <v>0.11</v>
      </c>
      <c r="C628" s="105">
        <v>41204</v>
      </c>
      <c r="D628">
        <v>0.20399999999999999</v>
      </c>
      <c r="E628" s="105">
        <v>41204</v>
      </c>
      <c r="F628">
        <v>0.40500000000000003</v>
      </c>
      <c r="G628" s="105">
        <v>41204</v>
      </c>
      <c r="H628">
        <v>0.52300000000000002</v>
      </c>
      <c r="I628" s="105">
        <v>41204</v>
      </c>
      <c r="J628">
        <v>0.64</v>
      </c>
    </row>
    <row r="629" spans="1:10">
      <c r="A629" s="105">
        <v>41201</v>
      </c>
      <c r="B629">
        <v>0.11</v>
      </c>
      <c r="C629" s="105">
        <v>41201</v>
      </c>
      <c r="D629">
        <v>0.20399999999999999</v>
      </c>
      <c r="E629" s="105">
        <v>41201</v>
      </c>
      <c r="F629">
        <v>0.40500000000000003</v>
      </c>
      <c r="G629" s="105">
        <v>41201</v>
      </c>
      <c r="H629">
        <v>0.52400000000000002</v>
      </c>
      <c r="I629" s="105">
        <v>41201</v>
      </c>
      <c r="J629">
        <v>0.64100000000000001</v>
      </c>
    </row>
    <row r="630" spans="1:10">
      <c r="A630" s="105">
        <v>41200</v>
      </c>
      <c r="B630">
        <v>0.11</v>
      </c>
      <c r="C630" s="105">
        <v>41200</v>
      </c>
      <c r="D630">
        <v>0.20499999999999999</v>
      </c>
      <c r="E630" s="105">
        <v>41200</v>
      </c>
      <c r="F630">
        <v>0.40600000000000003</v>
      </c>
      <c r="G630" s="105">
        <v>41200</v>
      </c>
      <c r="H630">
        <v>0.52500000000000002</v>
      </c>
      <c r="I630" s="105">
        <v>41200</v>
      </c>
      <c r="J630">
        <v>0.64300000000000002</v>
      </c>
    </row>
    <row r="631" spans="1:10">
      <c r="A631" s="105">
        <v>41199</v>
      </c>
      <c r="B631">
        <v>0.111</v>
      </c>
      <c r="C631" s="105">
        <v>41199</v>
      </c>
      <c r="D631">
        <v>0.20699999999999999</v>
      </c>
      <c r="E631" s="105">
        <v>41199</v>
      </c>
      <c r="F631">
        <v>0.40899999999999997</v>
      </c>
      <c r="G631" s="105">
        <v>41199</v>
      </c>
      <c r="H631">
        <v>0.52900000000000003</v>
      </c>
      <c r="I631" s="105">
        <v>41199</v>
      </c>
      <c r="J631">
        <v>0.64800000000000002</v>
      </c>
    </row>
    <row r="632" spans="1:10">
      <c r="A632" s="105">
        <v>41198</v>
      </c>
      <c r="B632">
        <v>0.111</v>
      </c>
      <c r="C632" s="105">
        <v>41198</v>
      </c>
      <c r="D632">
        <v>0.20799999999999999</v>
      </c>
      <c r="E632" s="105">
        <v>41198</v>
      </c>
      <c r="F632">
        <v>0.41299999999999998</v>
      </c>
      <c r="G632" s="105">
        <v>41198</v>
      </c>
      <c r="H632">
        <v>0.53200000000000003</v>
      </c>
      <c r="I632" s="105">
        <v>41198</v>
      </c>
      <c r="J632">
        <v>0.65100000000000002</v>
      </c>
    </row>
    <row r="633" spans="1:10">
      <c r="A633" s="105">
        <v>41197</v>
      </c>
      <c r="B633">
        <v>0.111</v>
      </c>
      <c r="C633" s="105">
        <v>41197</v>
      </c>
      <c r="D633">
        <v>0.20899999999999999</v>
      </c>
      <c r="E633" s="105">
        <v>41197</v>
      </c>
      <c r="F633">
        <v>0.41399999999999998</v>
      </c>
      <c r="G633" s="105">
        <v>41197</v>
      </c>
      <c r="H633">
        <v>0.53400000000000003</v>
      </c>
      <c r="I633" s="105">
        <v>41197</v>
      </c>
      <c r="J633">
        <v>0.65200000000000002</v>
      </c>
    </row>
    <row r="634" spans="1:10">
      <c r="A634" s="105">
        <v>41194</v>
      </c>
      <c r="B634">
        <v>0.111</v>
      </c>
      <c r="C634" s="105">
        <v>41194</v>
      </c>
      <c r="D634">
        <v>0.21</v>
      </c>
      <c r="E634" s="105">
        <v>41194</v>
      </c>
      <c r="F634">
        <v>0.41499999999999998</v>
      </c>
      <c r="G634" s="105">
        <v>41194</v>
      </c>
      <c r="H634">
        <v>0.53600000000000003</v>
      </c>
      <c r="I634" s="105">
        <v>41194</v>
      </c>
      <c r="J634">
        <v>0.65400000000000003</v>
      </c>
    </row>
    <row r="635" spans="1:10">
      <c r="A635" s="105">
        <v>41193</v>
      </c>
      <c r="B635">
        <v>0.111</v>
      </c>
      <c r="C635" s="105">
        <v>41193</v>
      </c>
      <c r="D635">
        <v>0.21</v>
      </c>
      <c r="E635" s="105">
        <v>41193</v>
      </c>
      <c r="F635">
        <v>0.41599999999999998</v>
      </c>
      <c r="G635" s="105">
        <v>41193</v>
      </c>
      <c r="H635">
        <v>0.53800000000000003</v>
      </c>
      <c r="I635" s="105">
        <v>41193</v>
      </c>
      <c r="J635">
        <v>0.65500000000000003</v>
      </c>
    </row>
    <row r="636" spans="1:10">
      <c r="A636" s="105">
        <v>41192</v>
      </c>
      <c r="B636">
        <v>0.111</v>
      </c>
      <c r="C636" s="105">
        <v>41192</v>
      </c>
      <c r="D636">
        <v>0.21099999999999999</v>
      </c>
      <c r="E636" s="105">
        <v>41192</v>
      </c>
      <c r="F636">
        <v>0.41699999999999998</v>
      </c>
      <c r="G636" s="105">
        <v>41192</v>
      </c>
      <c r="H636">
        <v>0.54</v>
      </c>
      <c r="I636" s="105">
        <v>41192</v>
      </c>
      <c r="J636">
        <v>0.65900000000000003</v>
      </c>
    </row>
    <row r="637" spans="1:10">
      <c r="A637" s="105">
        <v>41191</v>
      </c>
      <c r="B637">
        <v>0.111</v>
      </c>
      <c r="C637" s="105">
        <v>41191</v>
      </c>
      <c r="D637">
        <v>0.21199999999999999</v>
      </c>
      <c r="E637" s="105">
        <v>41191</v>
      </c>
      <c r="F637">
        <v>0.42099999999999999</v>
      </c>
      <c r="G637" s="105">
        <v>41191</v>
      </c>
      <c r="H637">
        <v>0.54300000000000004</v>
      </c>
      <c r="I637" s="105">
        <v>41191</v>
      </c>
      <c r="J637">
        <v>0.66200000000000003</v>
      </c>
    </row>
    <row r="638" spans="1:10">
      <c r="A638" s="105">
        <v>41190</v>
      </c>
      <c r="B638">
        <v>0.112</v>
      </c>
      <c r="C638" s="105">
        <v>41190</v>
      </c>
      <c r="D638">
        <v>0.214</v>
      </c>
      <c r="E638" s="105">
        <v>41190</v>
      </c>
      <c r="F638">
        <v>0.42299999999999999</v>
      </c>
      <c r="G638" s="105">
        <v>41190</v>
      </c>
      <c r="H638">
        <v>0.54700000000000004</v>
      </c>
      <c r="I638" s="105">
        <v>41190</v>
      </c>
      <c r="J638">
        <v>0.66600000000000004</v>
      </c>
    </row>
    <row r="639" spans="1:10">
      <c r="A639" s="105">
        <v>41187</v>
      </c>
      <c r="B639">
        <v>0.112</v>
      </c>
      <c r="C639" s="105">
        <v>41187</v>
      </c>
      <c r="D639">
        <v>0.215</v>
      </c>
      <c r="E639" s="105">
        <v>41187</v>
      </c>
      <c r="F639">
        <v>0.42499999999999999</v>
      </c>
      <c r="G639" s="105">
        <v>41187</v>
      </c>
      <c r="H639">
        <v>0.55100000000000005</v>
      </c>
      <c r="I639" s="105">
        <v>41187</v>
      </c>
      <c r="J639">
        <v>0.67</v>
      </c>
    </row>
    <row r="640" spans="1:10">
      <c r="A640" s="105">
        <v>41186</v>
      </c>
      <c r="B640">
        <v>0.112</v>
      </c>
      <c r="C640" s="105">
        <v>41186</v>
      </c>
      <c r="D640">
        <v>0.216</v>
      </c>
      <c r="E640" s="105">
        <v>41186</v>
      </c>
      <c r="F640">
        <v>0.42899999999999999</v>
      </c>
      <c r="G640" s="105">
        <v>41186</v>
      </c>
      <c r="H640">
        <v>0.55500000000000005</v>
      </c>
      <c r="I640" s="105">
        <v>41186</v>
      </c>
      <c r="J640">
        <v>0.67500000000000004</v>
      </c>
    </row>
    <row r="641" spans="1:10">
      <c r="A641" s="105">
        <v>41185</v>
      </c>
      <c r="B641">
        <v>0.114</v>
      </c>
      <c r="C641" s="105">
        <v>41185</v>
      </c>
      <c r="D641">
        <v>0.218</v>
      </c>
      <c r="E641" s="105">
        <v>41185</v>
      </c>
      <c r="F641">
        <v>0.432</v>
      </c>
      <c r="G641" s="105">
        <v>41185</v>
      </c>
      <c r="H641">
        <v>0.55800000000000005</v>
      </c>
      <c r="I641" s="105">
        <v>41185</v>
      </c>
      <c r="J641">
        <v>0.67700000000000005</v>
      </c>
    </row>
    <row r="642" spans="1:10">
      <c r="A642" s="105">
        <v>41184</v>
      </c>
      <c r="B642">
        <v>0.115</v>
      </c>
      <c r="C642" s="105">
        <v>41184</v>
      </c>
      <c r="D642">
        <v>0.22</v>
      </c>
      <c r="E642" s="105">
        <v>41184</v>
      </c>
      <c r="F642">
        <v>0.435</v>
      </c>
      <c r="G642" s="105">
        <v>41184</v>
      </c>
      <c r="H642">
        <v>0.56299999999999994</v>
      </c>
      <c r="I642" s="105">
        <v>41184</v>
      </c>
      <c r="J642">
        <v>0.68100000000000005</v>
      </c>
    </row>
    <row r="643" spans="1:10">
      <c r="A643" s="105">
        <v>41183</v>
      </c>
      <c r="B643">
        <v>0.11600000000000001</v>
      </c>
      <c r="C643" s="105">
        <v>41183</v>
      </c>
      <c r="D643">
        <v>0.223</v>
      </c>
      <c r="E643" s="105">
        <v>41183</v>
      </c>
      <c r="F643">
        <v>0.438</v>
      </c>
      <c r="G643" s="105">
        <v>41183</v>
      </c>
      <c r="H643">
        <v>0.56699999999999995</v>
      </c>
      <c r="I643" s="105">
        <v>41183</v>
      </c>
      <c r="J643">
        <v>0.68500000000000005</v>
      </c>
    </row>
    <row r="644" spans="1:10">
      <c r="A644" s="105">
        <v>41180</v>
      </c>
      <c r="B644">
        <v>0.115</v>
      </c>
      <c r="C644" s="105">
        <v>41180</v>
      </c>
      <c r="D644">
        <v>0.22</v>
      </c>
      <c r="E644" s="105">
        <v>41180</v>
      </c>
      <c r="F644">
        <v>0.437</v>
      </c>
      <c r="G644" s="105">
        <v>41180</v>
      </c>
      <c r="H644">
        <v>0.56599999999999995</v>
      </c>
      <c r="I644" s="105">
        <v>41180</v>
      </c>
      <c r="J644">
        <v>0.68400000000000005</v>
      </c>
    </row>
    <row r="645" spans="1:10">
      <c r="A645" s="105">
        <v>41179</v>
      </c>
      <c r="B645">
        <v>0.115</v>
      </c>
      <c r="C645" s="105">
        <v>41179</v>
      </c>
      <c r="D645">
        <v>0.221</v>
      </c>
      <c r="E645" s="105">
        <v>41179</v>
      </c>
      <c r="F645">
        <v>0.442</v>
      </c>
      <c r="G645" s="105">
        <v>41179</v>
      </c>
      <c r="H645">
        <v>0.57099999999999995</v>
      </c>
      <c r="I645" s="105">
        <v>41179</v>
      </c>
      <c r="J645">
        <v>0.69</v>
      </c>
    </row>
    <row r="646" spans="1:10">
      <c r="A646" s="105">
        <v>41178</v>
      </c>
      <c r="B646">
        <v>0.11700000000000001</v>
      </c>
      <c r="C646" s="105">
        <v>41178</v>
      </c>
      <c r="D646">
        <v>0.222</v>
      </c>
      <c r="E646" s="105">
        <v>41178</v>
      </c>
      <c r="F646">
        <v>0.44600000000000001</v>
      </c>
      <c r="G646" s="105">
        <v>41178</v>
      </c>
      <c r="H646">
        <v>0.57599999999999996</v>
      </c>
      <c r="I646" s="105">
        <v>41178</v>
      </c>
      <c r="J646">
        <v>0.69399999999999995</v>
      </c>
    </row>
    <row r="647" spans="1:10">
      <c r="A647" s="105">
        <v>41177</v>
      </c>
      <c r="B647">
        <v>0.11700000000000001</v>
      </c>
      <c r="C647" s="105">
        <v>41177</v>
      </c>
      <c r="D647">
        <v>0.222</v>
      </c>
      <c r="E647" s="105">
        <v>41177</v>
      </c>
      <c r="F647">
        <v>0.44800000000000001</v>
      </c>
      <c r="G647" s="105">
        <v>41177</v>
      </c>
      <c r="H647">
        <v>0.57699999999999996</v>
      </c>
      <c r="I647" s="105">
        <v>41177</v>
      </c>
      <c r="J647">
        <v>0.69699999999999995</v>
      </c>
    </row>
    <row r="648" spans="1:10">
      <c r="A648" s="105">
        <v>41176</v>
      </c>
      <c r="B648">
        <v>0.11600000000000001</v>
      </c>
      <c r="C648" s="105">
        <v>41176</v>
      </c>
      <c r="D648">
        <v>0.22500000000000001</v>
      </c>
      <c r="E648" s="105">
        <v>41176</v>
      </c>
      <c r="F648">
        <v>0.45200000000000001</v>
      </c>
      <c r="G648" s="105">
        <v>41176</v>
      </c>
      <c r="H648">
        <v>0.58299999999999996</v>
      </c>
      <c r="I648" s="105">
        <v>41176</v>
      </c>
      <c r="J648">
        <v>0.70299999999999996</v>
      </c>
    </row>
    <row r="649" spans="1:10">
      <c r="A649" s="105">
        <v>41173</v>
      </c>
      <c r="B649">
        <v>0.115</v>
      </c>
      <c r="C649" s="105">
        <v>41173</v>
      </c>
      <c r="D649">
        <v>0.22800000000000001</v>
      </c>
      <c r="E649" s="105">
        <v>41173</v>
      </c>
      <c r="F649">
        <v>0.45700000000000002</v>
      </c>
      <c r="G649" s="105">
        <v>41173</v>
      </c>
      <c r="H649">
        <v>0.59</v>
      </c>
      <c r="I649" s="105">
        <v>41173</v>
      </c>
      <c r="J649">
        <v>0.71099999999999997</v>
      </c>
    </row>
    <row r="650" spans="1:10">
      <c r="A650" s="105">
        <v>41172</v>
      </c>
      <c r="B650">
        <v>0.11600000000000001</v>
      </c>
      <c r="C650" s="105">
        <v>41172</v>
      </c>
      <c r="D650">
        <v>0.23300000000000001</v>
      </c>
      <c r="E650" s="105">
        <v>41172</v>
      </c>
      <c r="F650">
        <v>0.46500000000000002</v>
      </c>
      <c r="G650" s="105">
        <v>41172</v>
      </c>
      <c r="H650">
        <v>0.59799999999999998</v>
      </c>
      <c r="I650" s="105">
        <v>41172</v>
      </c>
      <c r="J650">
        <v>0.71899999999999997</v>
      </c>
    </row>
    <row r="651" spans="1:10">
      <c r="A651" s="105">
        <v>41171</v>
      </c>
      <c r="B651">
        <v>0.11799999999999999</v>
      </c>
      <c r="C651" s="105">
        <v>41171</v>
      </c>
      <c r="D651">
        <v>0.23799999999999999</v>
      </c>
      <c r="E651" s="105">
        <v>41171</v>
      </c>
      <c r="F651">
        <v>0.47199999999999998</v>
      </c>
      <c r="G651" s="105">
        <v>41171</v>
      </c>
      <c r="H651">
        <v>0.60699999999999998</v>
      </c>
      <c r="I651" s="105">
        <v>41171</v>
      </c>
      <c r="J651">
        <v>0.72799999999999998</v>
      </c>
    </row>
    <row r="652" spans="1:10">
      <c r="A652" s="105">
        <v>41170</v>
      </c>
      <c r="B652">
        <v>0.11899999999999999</v>
      </c>
      <c r="C652" s="105">
        <v>41170</v>
      </c>
      <c r="D652">
        <v>0.24399999999999999</v>
      </c>
      <c r="E652" s="105">
        <v>41170</v>
      </c>
      <c r="F652">
        <v>0.47599999999999998</v>
      </c>
      <c r="G652" s="105">
        <v>41170</v>
      </c>
      <c r="H652">
        <v>0.61399999999999999</v>
      </c>
      <c r="I652" s="105">
        <v>41170</v>
      </c>
      <c r="J652">
        <v>0.73499999999999999</v>
      </c>
    </row>
    <row r="653" spans="1:10">
      <c r="A653" s="105">
        <v>41169</v>
      </c>
      <c r="B653">
        <v>0.12</v>
      </c>
      <c r="C653" s="105">
        <v>41169</v>
      </c>
      <c r="D653">
        <v>0.248</v>
      </c>
      <c r="E653" s="105">
        <v>41169</v>
      </c>
      <c r="F653">
        <v>0.48199999999999998</v>
      </c>
      <c r="G653" s="105">
        <v>41169</v>
      </c>
      <c r="H653">
        <v>0.62</v>
      </c>
      <c r="I653" s="105">
        <v>41169</v>
      </c>
      <c r="J653">
        <v>0.74199999999999999</v>
      </c>
    </row>
    <row r="654" spans="1:10">
      <c r="A654" s="105">
        <v>41166</v>
      </c>
      <c r="B654">
        <v>0.12</v>
      </c>
      <c r="C654" s="105">
        <v>41166</v>
      </c>
      <c r="D654">
        <v>0.25</v>
      </c>
      <c r="E654" s="105">
        <v>41166</v>
      </c>
      <c r="F654">
        <v>0.48699999999999999</v>
      </c>
      <c r="G654" s="105">
        <v>41166</v>
      </c>
      <c r="H654">
        <v>0.625</v>
      </c>
      <c r="I654" s="105">
        <v>41166</v>
      </c>
      <c r="J654">
        <v>0.746</v>
      </c>
    </row>
    <row r="655" spans="1:10">
      <c r="A655" s="105">
        <v>41165</v>
      </c>
      <c r="B655">
        <v>0.12</v>
      </c>
      <c r="C655" s="105">
        <v>41165</v>
      </c>
      <c r="D655">
        <v>0.252</v>
      </c>
      <c r="E655" s="105">
        <v>41165</v>
      </c>
      <c r="F655">
        <v>0.49299999999999999</v>
      </c>
      <c r="G655" s="105">
        <v>41165</v>
      </c>
      <c r="H655">
        <v>0.63</v>
      </c>
      <c r="I655" s="105">
        <v>41165</v>
      </c>
      <c r="J655">
        <v>0.75</v>
      </c>
    </row>
    <row r="656" spans="1:10">
      <c r="A656" s="105">
        <v>41164</v>
      </c>
      <c r="B656">
        <v>0.12</v>
      </c>
      <c r="C656" s="105">
        <v>41164</v>
      </c>
      <c r="D656">
        <v>0.255</v>
      </c>
      <c r="E656" s="105">
        <v>41164</v>
      </c>
      <c r="F656">
        <v>0.496</v>
      </c>
      <c r="G656" s="105">
        <v>41164</v>
      </c>
      <c r="H656">
        <v>0.63300000000000001</v>
      </c>
      <c r="I656" s="105">
        <v>41164</v>
      </c>
      <c r="J656">
        <v>0.753</v>
      </c>
    </row>
    <row r="657" spans="1:10">
      <c r="A657" s="105">
        <v>41163</v>
      </c>
      <c r="B657">
        <v>0.12</v>
      </c>
      <c r="C657" s="105">
        <v>41163</v>
      </c>
      <c r="D657">
        <v>0.25800000000000001</v>
      </c>
      <c r="E657" s="105">
        <v>41163</v>
      </c>
      <c r="F657">
        <v>0.501</v>
      </c>
      <c r="G657" s="105">
        <v>41163</v>
      </c>
      <c r="H657">
        <v>0.63600000000000001</v>
      </c>
      <c r="I657" s="105">
        <v>41163</v>
      </c>
      <c r="J657">
        <v>0.75900000000000001</v>
      </c>
    </row>
    <row r="658" spans="1:10">
      <c r="A658" s="105">
        <v>41162</v>
      </c>
      <c r="B658">
        <v>0.12</v>
      </c>
      <c r="C658" s="105">
        <v>41162</v>
      </c>
      <c r="D658">
        <v>0.26100000000000001</v>
      </c>
      <c r="E658" s="105">
        <v>41162</v>
      </c>
      <c r="F658">
        <v>0.50900000000000001</v>
      </c>
      <c r="G658" s="105">
        <v>41162</v>
      </c>
      <c r="H658">
        <v>0.64300000000000002</v>
      </c>
      <c r="I658" s="105">
        <v>41162</v>
      </c>
      <c r="J658">
        <v>0.76600000000000001</v>
      </c>
    </row>
    <row r="659" spans="1:10">
      <c r="A659" s="105">
        <v>41159</v>
      </c>
      <c r="B659">
        <v>0.121</v>
      </c>
      <c r="C659" s="105">
        <v>41159</v>
      </c>
      <c r="D659">
        <v>0.26500000000000001</v>
      </c>
      <c r="E659" s="105">
        <v>41159</v>
      </c>
      <c r="F659">
        <v>0.51500000000000001</v>
      </c>
      <c r="G659" s="105">
        <v>41159</v>
      </c>
      <c r="H659">
        <v>0.64900000000000002</v>
      </c>
      <c r="I659" s="105">
        <v>41159</v>
      </c>
      <c r="J659">
        <v>0.77300000000000002</v>
      </c>
    </row>
    <row r="660" spans="1:10">
      <c r="A660" s="105">
        <v>41158</v>
      </c>
      <c r="B660">
        <v>0.121</v>
      </c>
      <c r="C660" s="105">
        <v>41158</v>
      </c>
      <c r="D660">
        <v>0.26600000000000001</v>
      </c>
      <c r="E660" s="105">
        <v>41158</v>
      </c>
      <c r="F660">
        <v>0.51800000000000002</v>
      </c>
      <c r="G660" s="105">
        <v>41158</v>
      </c>
      <c r="H660">
        <v>0.65400000000000003</v>
      </c>
      <c r="I660" s="105">
        <v>41158</v>
      </c>
      <c r="J660">
        <v>0.77600000000000002</v>
      </c>
    </row>
    <row r="661" spans="1:10">
      <c r="A661" s="105">
        <v>41157</v>
      </c>
      <c r="B661">
        <v>0.121</v>
      </c>
      <c r="C661" s="105">
        <v>41157</v>
      </c>
      <c r="D661">
        <v>0.26900000000000002</v>
      </c>
      <c r="E661" s="105">
        <v>41157</v>
      </c>
      <c r="F661">
        <v>0.52100000000000002</v>
      </c>
      <c r="G661" s="105">
        <v>41157</v>
      </c>
      <c r="H661">
        <v>0.65800000000000003</v>
      </c>
      <c r="I661" s="105">
        <v>41157</v>
      </c>
      <c r="J661">
        <v>0.78200000000000003</v>
      </c>
    </row>
    <row r="662" spans="1:10">
      <c r="A662" s="105">
        <v>41156</v>
      </c>
      <c r="B662">
        <v>0.122</v>
      </c>
      <c r="C662" s="105">
        <v>41156</v>
      </c>
      <c r="D662">
        <v>0.27300000000000002</v>
      </c>
      <c r="E662" s="105">
        <v>41156</v>
      </c>
      <c r="F662">
        <v>0.52800000000000002</v>
      </c>
      <c r="G662" s="105">
        <v>41156</v>
      </c>
      <c r="H662">
        <v>0.66600000000000004</v>
      </c>
      <c r="I662" s="105">
        <v>41156</v>
      </c>
      <c r="J662">
        <v>0.79100000000000004</v>
      </c>
    </row>
    <row r="663" spans="1:10">
      <c r="A663" s="105">
        <v>41155</v>
      </c>
      <c r="B663">
        <v>0.122</v>
      </c>
      <c r="C663" s="105">
        <v>41155</v>
      </c>
      <c r="D663">
        <v>0.27600000000000002</v>
      </c>
      <c r="E663" s="105">
        <v>41155</v>
      </c>
      <c r="F663">
        <v>0.53300000000000003</v>
      </c>
      <c r="G663" s="105">
        <v>41155</v>
      </c>
      <c r="H663">
        <v>0.67300000000000004</v>
      </c>
      <c r="I663" s="105">
        <v>41155</v>
      </c>
      <c r="J663">
        <v>0.79800000000000004</v>
      </c>
    </row>
    <row r="664" spans="1:10">
      <c r="A664" s="105">
        <v>41152</v>
      </c>
      <c r="B664">
        <v>0.121</v>
      </c>
      <c r="C664" s="105">
        <v>41152</v>
      </c>
      <c r="D664">
        <v>0.27800000000000002</v>
      </c>
      <c r="E664" s="105">
        <v>41152</v>
      </c>
      <c r="F664">
        <v>0.53700000000000003</v>
      </c>
      <c r="G664" s="105">
        <v>41152</v>
      </c>
      <c r="H664">
        <v>0.67900000000000005</v>
      </c>
      <c r="I664" s="105">
        <v>41152</v>
      </c>
      <c r="J664">
        <v>0.80500000000000005</v>
      </c>
    </row>
    <row r="665" spans="1:10">
      <c r="A665" s="105">
        <v>41151</v>
      </c>
      <c r="B665">
        <v>0.121</v>
      </c>
      <c r="C665" s="105">
        <v>41151</v>
      </c>
      <c r="D665">
        <v>0.28299999999999997</v>
      </c>
      <c r="E665" s="105">
        <v>41151</v>
      </c>
      <c r="F665">
        <v>0.54400000000000004</v>
      </c>
      <c r="G665" s="105">
        <v>41151</v>
      </c>
      <c r="H665">
        <v>0.68500000000000005</v>
      </c>
      <c r="I665" s="105">
        <v>41151</v>
      </c>
      <c r="J665">
        <v>0.81200000000000006</v>
      </c>
    </row>
    <row r="666" spans="1:10">
      <c r="A666" s="105">
        <v>41150</v>
      </c>
      <c r="B666">
        <v>0.122</v>
      </c>
      <c r="C666" s="105">
        <v>41150</v>
      </c>
      <c r="D666">
        <v>0.28799999999999998</v>
      </c>
      <c r="E666" s="105">
        <v>41150</v>
      </c>
      <c r="F666">
        <v>0.54900000000000004</v>
      </c>
      <c r="G666" s="105">
        <v>41150</v>
      </c>
      <c r="H666">
        <v>0.68899999999999995</v>
      </c>
      <c r="I666" s="105">
        <v>41150</v>
      </c>
      <c r="J666">
        <v>0.81899999999999995</v>
      </c>
    </row>
    <row r="667" spans="1:10">
      <c r="A667" s="105">
        <v>41149</v>
      </c>
      <c r="B667">
        <v>0.122</v>
      </c>
      <c r="C667" s="105">
        <v>41149</v>
      </c>
      <c r="D667">
        <v>0.28999999999999998</v>
      </c>
      <c r="E667" s="105">
        <v>41149</v>
      </c>
      <c r="F667">
        <v>0.55300000000000005</v>
      </c>
      <c r="G667" s="105">
        <v>41149</v>
      </c>
      <c r="H667">
        <v>0.69299999999999995</v>
      </c>
      <c r="I667" s="105">
        <v>41149</v>
      </c>
      <c r="J667">
        <v>0.82499999999999996</v>
      </c>
    </row>
    <row r="668" spans="1:10">
      <c r="A668" s="105">
        <v>41148</v>
      </c>
      <c r="B668">
        <v>0.122</v>
      </c>
      <c r="C668" s="105">
        <v>41148</v>
      </c>
      <c r="D668">
        <v>0.29299999999999998</v>
      </c>
      <c r="E668" s="105">
        <v>41148</v>
      </c>
      <c r="F668">
        <v>0.55800000000000005</v>
      </c>
      <c r="G668" s="105">
        <v>41148</v>
      </c>
      <c r="H668">
        <v>0.69699999999999995</v>
      </c>
      <c r="I668" s="105">
        <v>41148</v>
      </c>
      <c r="J668">
        <v>0.83199999999999996</v>
      </c>
    </row>
    <row r="669" spans="1:10">
      <c r="A669" s="105">
        <v>41145</v>
      </c>
      <c r="B669">
        <v>0.124</v>
      </c>
      <c r="C669" s="105">
        <v>41145</v>
      </c>
      <c r="D669">
        <v>0.29499999999999998</v>
      </c>
      <c r="E669" s="105">
        <v>41145</v>
      </c>
      <c r="F669">
        <v>0.56399999999999995</v>
      </c>
      <c r="G669" s="105">
        <v>41145</v>
      </c>
      <c r="H669">
        <v>0.70199999999999996</v>
      </c>
      <c r="I669" s="105">
        <v>41145</v>
      </c>
      <c r="J669">
        <v>0.83599999999999997</v>
      </c>
    </row>
    <row r="670" spans="1:10">
      <c r="A670" s="105">
        <v>41144</v>
      </c>
      <c r="B670">
        <v>0.126</v>
      </c>
      <c r="C670" s="105">
        <v>41144</v>
      </c>
      <c r="D670">
        <v>0.30299999999999999</v>
      </c>
      <c r="E670" s="105">
        <v>41144</v>
      </c>
      <c r="F670">
        <v>0.57199999999999995</v>
      </c>
      <c r="G670" s="105">
        <v>41144</v>
      </c>
      <c r="H670">
        <v>0.71099999999999997</v>
      </c>
      <c r="I670" s="105">
        <v>41144</v>
      </c>
      <c r="J670">
        <v>0.84399999999999997</v>
      </c>
    </row>
    <row r="671" spans="1:10">
      <c r="A671" s="105">
        <v>41143</v>
      </c>
      <c r="B671">
        <v>0.127</v>
      </c>
      <c r="C671" s="105">
        <v>41143</v>
      </c>
      <c r="D671">
        <v>0.31</v>
      </c>
      <c r="E671" s="105">
        <v>41143</v>
      </c>
      <c r="F671">
        <v>0.58199999999999996</v>
      </c>
      <c r="G671" s="105">
        <v>41143</v>
      </c>
      <c r="H671">
        <v>0.71899999999999997</v>
      </c>
      <c r="I671" s="105">
        <v>41143</v>
      </c>
      <c r="J671">
        <v>0.85199999999999998</v>
      </c>
    </row>
    <row r="672" spans="1:10">
      <c r="A672" s="105">
        <v>41142</v>
      </c>
      <c r="B672">
        <v>0.128</v>
      </c>
      <c r="C672" s="105">
        <v>41142</v>
      </c>
      <c r="D672">
        <v>0.318</v>
      </c>
      <c r="E672" s="105">
        <v>41142</v>
      </c>
      <c r="F672">
        <v>0.59099999999999997</v>
      </c>
      <c r="G672" s="105">
        <v>41142</v>
      </c>
      <c r="H672">
        <v>0.72799999999999998</v>
      </c>
      <c r="I672" s="105">
        <v>41142</v>
      </c>
      <c r="J672">
        <v>0.86</v>
      </c>
    </row>
    <row r="673" spans="1:10">
      <c r="A673" s="105">
        <v>41141</v>
      </c>
      <c r="B673">
        <v>0.13</v>
      </c>
      <c r="C673" s="105">
        <v>41141</v>
      </c>
      <c r="D673">
        <v>0.32500000000000001</v>
      </c>
      <c r="E673" s="105">
        <v>41141</v>
      </c>
      <c r="F673">
        <v>0.6</v>
      </c>
      <c r="G673" s="105">
        <v>41141</v>
      </c>
      <c r="H673">
        <v>0.73499999999999999</v>
      </c>
      <c r="I673" s="105">
        <v>41141</v>
      </c>
      <c r="J673">
        <v>0.86699999999999999</v>
      </c>
    </row>
    <row r="674" spans="1:10">
      <c r="A674" s="105">
        <v>41138</v>
      </c>
      <c r="B674">
        <v>0.13300000000000001</v>
      </c>
      <c r="C674" s="105">
        <v>41138</v>
      </c>
      <c r="D674">
        <v>0.33400000000000002</v>
      </c>
      <c r="E674" s="105">
        <v>41138</v>
      </c>
      <c r="F674">
        <v>0.60699999999999998</v>
      </c>
      <c r="G674" s="105">
        <v>41138</v>
      </c>
      <c r="H674">
        <v>0.74399999999999999</v>
      </c>
      <c r="I674" s="105">
        <v>41138</v>
      </c>
      <c r="J674">
        <v>0.875</v>
      </c>
    </row>
    <row r="675" spans="1:10">
      <c r="A675" s="105">
        <v>41137</v>
      </c>
      <c r="B675">
        <v>0.13300000000000001</v>
      </c>
      <c r="C675" s="105">
        <v>41137</v>
      </c>
      <c r="D675">
        <v>0.33900000000000002</v>
      </c>
      <c r="E675" s="105">
        <v>41137</v>
      </c>
      <c r="F675">
        <v>0.61299999999999999</v>
      </c>
      <c r="G675" s="105">
        <v>41137</v>
      </c>
      <c r="H675">
        <v>0.749</v>
      </c>
      <c r="I675" s="105">
        <v>41137</v>
      </c>
      <c r="J675">
        <v>0.88200000000000001</v>
      </c>
    </row>
    <row r="676" spans="1:10">
      <c r="A676" s="105">
        <v>41136</v>
      </c>
      <c r="B676">
        <v>0.13300000000000001</v>
      </c>
      <c r="C676" s="105">
        <v>41136</v>
      </c>
      <c r="D676">
        <v>0.34100000000000003</v>
      </c>
      <c r="E676" s="105">
        <v>41136</v>
      </c>
      <c r="F676">
        <v>0.61499999999999999</v>
      </c>
      <c r="G676" s="105">
        <v>41136</v>
      </c>
      <c r="H676">
        <v>0.753</v>
      </c>
      <c r="I676" s="105">
        <v>41136</v>
      </c>
      <c r="J676">
        <v>0.88700000000000001</v>
      </c>
    </row>
    <row r="677" spans="1:10">
      <c r="A677" s="105">
        <v>41135</v>
      </c>
      <c r="B677">
        <v>0.13400000000000001</v>
      </c>
      <c r="C677" s="105">
        <v>41135</v>
      </c>
      <c r="D677">
        <v>0.34499999999999997</v>
      </c>
      <c r="E677" s="105">
        <v>41135</v>
      </c>
      <c r="F677">
        <v>0.62</v>
      </c>
      <c r="G677" s="105">
        <v>41135</v>
      </c>
      <c r="H677">
        <v>0.75800000000000001</v>
      </c>
      <c r="I677" s="105">
        <v>41135</v>
      </c>
      <c r="J677">
        <v>0.89300000000000002</v>
      </c>
    </row>
    <row r="678" spans="1:10">
      <c r="A678" s="105">
        <v>41134</v>
      </c>
      <c r="B678">
        <v>0.13500000000000001</v>
      </c>
      <c r="C678" s="105">
        <v>41134</v>
      </c>
      <c r="D678">
        <v>0.34899999999999998</v>
      </c>
      <c r="E678" s="105">
        <v>41134</v>
      </c>
      <c r="F678">
        <v>0.625</v>
      </c>
      <c r="G678" s="105">
        <v>41134</v>
      </c>
      <c r="H678">
        <v>0.76300000000000001</v>
      </c>
      <c r="I678" s="105">
        <v>41134</v>
      </c>
      <c r="J678">
        <v>0.89700000000000002</v>
      </c>
    </row>
    <row r="679" spans="1:10">
      <c r="A679" s="105">
        <v>41131</v>
      </c>
      <c r="B679">
        <v>0.13700000000000001</v>
      </c>
      <c r="C679" s="105">
        <v>41131</v>
      </c>
      <c r="D679">
        <v>0.35299999999999998</v>
      </c>
      <c r="E679" s="105">
        <v>41131</v>
      </c>
      <c r="F679">
        <v>0.63100000000000001</v>
      </c>
      <c r="G679" s="105">
        <v>41131</v>
      </c>
      <c r="H679">
        <v>0.77</v>
      </c>
      <c r="I679" s="105">
        <v>41131</v>
      </c>
      <c r="J679">
        <v>0.90300000000000002</v>
      </c>
    </row>
    <row r="680" spans="1:10">
      <c r="A680" s="105">
        <v>41130</v>
      </c>
      <c r="B680">
        <v>0.13800000000000001</v>
      </c>
      <c r="C680" s="105">
        <v>41130</v>
      </c>
      <c r="D680">
        <v>0.36</v>
      </c>
      <c r="E680" s="105">
        <v>41130</v>
      </c>
      <c r="F680">
        <v>0.64</v>
      </c>
      <c r="G680" s="105">
        <v>41130</v>
      </c>
      <c r="H680">
        <v>0.77700000000000002</v>
      </c>
      <c r="I680" s="105">
        <v>41130</v>
      </c>
      <c r="J680">
        <v>0.91</v>
      </c>
    </row>
    <row r="681" spans="1:10">
      <c r="A681" s="105">
        <v>41129</v>
      </c>
      <c r="B681">
        <v>0.13900000000000001</v>
      </c>
      <c r="C681" s="105">
        <v>41129</v>
      </c>
      <c r="D681">
        <v>0.36599999999999999</v>
      </c>
      <c r="E681" s="105">
        <v>41129</v>
      </c>
      <c r="F681">
        <v>0.64800000000000002</v>
      </c>
      <c r="G681" s="105">
        <v>41129</v>
      </c>
      <c r="H681">
        <v>0.78400000000000003</v>
      </c>
      <c r="I681" s="105">
        <v>41129</v>
      </c>
      <c r="J681">
        <v>0.91800000000000004</v>
      </c>
    </row>
    <row r="682" spans="1:10">
      <c r="A682" s="105">
        <v>41128</v>
      </c>
      <c r="B682">
        <v>0.13900000000000001</v>
      </c>
      <c r="C682" s="105">
        <v>41128</v>
      </c>
      <c r="D682">
        <v>0.37</v>
      </c>
      <c r="E682" s="105">
        <v>41128</v>
      </c>
      <c r="F682">
        <v>0.65300000000000002</v>
      </c>
      <c r="G682" s="105">
        <v>41128</v>
      </c>
      <c r="H682">
        <v>0.79</v>
      </c>
      <c r="I682" s="105">
        <v>41128</v>
      </c>
      <c r="J682">
        <v>0.92200000000000004</v>
      </c>
    </row>
    <row r="683" spans="1:10">
      <c r="A683" s="105">
        <v>41127</v>
      </c>
      <c r="B683">
        <v>0.13900000000000001</v>
      </c>
      <c r="C683" s="105">
        <v>41127</v>
      </c>
      <c r="D683">
        <v>0.374</v>
      </c>
      <c r="E683" s="105">
        <v>41127</v>
      </c>
      <c r="F683">
        <v>0.65800000000000003</v>
      </c>
      <c r="G683" s="105">
        <v>41127</v>
      </c>
      <c r="H683">
        <v>0.79600000000000004</v>
      </c>
      <c r="I683" s="105">
        <v>41127</v>
      </c>
      <c r="J683">
        <v>0.92700000000000005</v>
      </c>
    </row>
    <row r="684" spans="1:10">
      <c r="A684" s="105">
        <v>41124</v>
      </c>
      <c r="B684">
        <v>0.13900000000000001</v>
      </c>
      <c r="C684" s="105">
        <v>41124</v>
      </c>
      <c r="D684">
        <v>0.375</v>
      </c>
      <c r="E684" s="105">
        <v>41124</v>
      </c>
      <c r="F684">
        <v>0.65900000000000003</v>
      </c>
      <c r="G684" s="105">
        <v>41124</v>
      </c>
      <c r="H684">
        <v>0.79700000000000004</v>
      </c>
      <c r="I684" s="105">
        <v>41124</v>
      </c>
      <c r="J684">
        <v>0.93</v>
      </c>
    </row>
    <row r="685" spans="1:10">
      <c r="A685" s="105">
        <v>41123</v>
      </c>
      <c r="B685">
        <v>0.14000000000000001</v>
      </c>
      <c r="C685" s="105">
        <v>41123</v>
      </c>
      <c r="D685">
        <v>0.375</v>
      </c>
      <c r="E685" s="105">
        <v>41123</v>
      </c>
      <c r="F685">
        <v>0.65700000000000003</v>
      </c>
      <c r="G685" s="105">
        <v>41123</v>
      </c>
      <c r="H685">
        <v>0.79700000000000004</v>
      </c>
      <c r="I685" s="105">
        <v>41123</v>
      </c>
      <c r="J685">
        <v>0.92900000000000005</v>
      </c>
    </row>
    <row r="686" spans="1:10">
      <c r="A686" s="105">
        <v>41122</v>
      </c>
      <c r="B686">
        <v>0.14399999999999999</v>
      </c>
      <c r="C686" s="105">
        <v>41122</v>
      </c>
      <c r="D686">
        <v>0.38100000000000001</v>
      </c>
      <c r="E686" s="105">
        <v>41122</v>
      </c>
      <c r="F686">
        <v>0.66400000000000003</v>
      </c>
      <c r="G686" s="105">
        <v>41122</v>
      </c>
      <c r="H686">
        <v>0.80500000000000005</v>
      </c>
      <c r="I686" s="105">
        <v>41122</v>
      </c>
      <c r="J686">
        <v>0.93700000000000006</v>
      </c>
    </row>
    <row r="687" spans="1:10">
      <c r="A687" s="105">
        <v>41121</v>
      </c>
      <c r="B687">
        <v>0.14899999999999999</v>
      </c>
      <c r="C687" s="105">
        <v>41121</v>
      </c>
      <c r="D687">
        <v>0.38900000000000001</v>
      </c>
      <c r="E687" s="105">
        <v>41121</v>
      </c>
      <c r="F687">
        <v>0.67100000000000004</v>
      </c>
      <c r="G687" s="105">
        <v>41121</v>
      </c>
      <c r="H687">
        <v>0.81200000000000006</v>
      </c>
      <c r="I687" s="105">
        <v>41121</v>
      </c>
      <c r="J687">
        <v>0.94599999999999995</v>
      </c>
    </row>
    <row r="688" spans="1:10">
      <c r="A688" s="105">
        <v>41120</v>
      </c>
      <c r="B688">
        <v>0.153</v>
      </c>
      <c r="C688" s="105">
        <v>41120</v>
      </c>
      <c r="D688">
        <v>0.40100000000000002</v>
      </c>
      <c r="E688" s="105">
        <v>41120</v>
      </c>
      <c r="F688">
        <v>0.68</v>
      </c>
      <c r="G688" s="105">
        <v>41120</v>
      </c>
      <c r="H688">
        <v>0.82399999999999995</v>
      </c>
      <c r="I688" s="105">
        <v>41120</v>
      </c>
      <c r="J688">
        <v>0.95599999999999996</v>
      </c>
    </row>
    <row r="689" spans="1:10">
      <c r="A689" s="105">
        <v>41117</v>
      </c>
      <c r="B689">
        <v>0.16</v>
      </c>
      <c r="C689" s="105">
        <v>41117</v>
      </c>
      <c r="D689">
        <v>0.41499999999999998</v>
      </c>
      <c r="E689" s="105">
        <v>41117</v>
      </c>
      <c r="F689">
        <v>0.69799999999999995</v>
      </c>
      <c r="G689" s="105">
        <v>41117</v>
      </c>
      <c r="H689">
        <v>0.84199999999999997</v>
      </c>
      <c r="I689" s="105">
        <v>41117</v>
      </c>
      <c r="J689">
        <v>0.97599999999999998</v>
      </c>
    </row>
    <row r="690" spans="1:10">
      <c r="A690" s="105">
        <v>41116</v>
      </c>
      <c r="B690">
        <v>0.16200000000000001</v>
      </c>
      <c r="C690" s="105">
        <v>41116</v>
      </c>
      <c r="D690">
        <v>0.42199999999999999</v>
      </c>
      <c r="E690" s="105">
        <v>41116</v>
      </c>
      <c r="F690">
        <v>0.70799999999999996</v>
      </c>
      <c r="G690" s="105">
        <v>41116</v>
      </c>
      <c r="H690">
        <v>0.85299999999999998</v>
      </c>
      <c r="I690" s="105">
        <v>41116</v>
      </c>
      <c r="J690">
        <v>0.98299999999999998</v>
      </c>
    </row>
    <row r="691" spans="1:10">
      <c r="A691" s="105">
        <v>41115</v>
      </c>
      <c r="B691">
        <v>0.16500000000000001</v>
      </c>
      <c r="C691" s="105">
        <v>41115</v>
      </c>
      <c r="D691">
        <v>0.42699999999999999</v>
      </c>
      <c r="E691" s="105">
        <v>41115</v>
      </c>
      <c r="F691">
        <v>0.71199999999999997</v>
      </c>
      <c r="G691" s="105">
        <v>41115</v>
      </c>
      <c r="H691">
        <v>0.85799999999999998</v>
      </c>
      <c r="I691" s="105">
        <v>41115</v>
      </c>
      <c r="J691">
        <v>0.98899999999999999</v>
      </c>
    </row>
    <row r="692" spans="1:10">
      <c r="A692" s="105">
        <v>41114</v>
      </c>
      <c r="B692">
        <v>0.16900000000000001</v>
      </c>
      <c r="C692" s="105">
        <v>41114</v>
      </c>
      <c r="D692">
        <v>0.435</v>
      </c>
      <c r="E692" s="105">
        <v>41114</v>
      </c>
      <c r="F692">
        <v>0.72099999999999997</v>
      </c>
      <c r="G692" s="105">
        <v>41114</v>
      </c>
      <c r="H692">
        <v>0.86499999999999999</v>
      </c>
      <c r="I692" s="105">
        <v>41114</v>
      </c>
      <c r="J692">
        <v>0.99399999999999999</v>
      </c>
    </row>
    <row r="693" spans="1:10">
      <c r="A693" s="105">
        <v>41113</v>
      </c>
      <c r="B693">
        <v>0.17299999999999999</v>
      </c>
      <c r="C693" s="105">
        <v>41113</v>
      </c>
      <c r="D693">
        <v>0.442</v>
      </c>
      <c r="E693" s="105">
        <v>41113</v>
      </c>
      <c r="F693">
        <v>0.72599999999999998</v>
      </c>
      <c r="G693" s="105">
        <v>41113</v>
      </c>
      <c r="H693">
        <v>0.871</v>
      </c>
      <c r="I693" s="105">
        <v>41113</v>
      </c>
      <c r="J693">
        <v>1</v>
      </c>
    </row>
    <row r="694" spans="1:10">
      <c r="A694" s="105">
        <v>41110</v>
      </c>
      <c r="B694">
        <v>0.17599999999999999</v>
      </c>
      <c r="C694" s="105">
        <v>41110</v>
      </c>
      <c r="D694">
        <v>0.45100000000000001</v>
      </c>
      <c r="E694" s="105">
        <v>41110</v>
      </c>
      <c r="F694">
        <v>0.73499999999999999</v>
      </c>
      <c r="G694" s="105">
        <v>41110</v>
      </c>
      <c r="H694">
        <v>0.88300000000000001</v>
      </c>
      <c r="I694" s="105">
        <v>41110</v>
      </c>
      <c r="J694">
        <v>1.0109999999999999</v>
      </c>
    </row>
    <row r="695" spans="1:10">
      <c r="A695" s="105">
        <v>41109</v>
      </c>
      <c r="B695">
        <v>0.17699999999999999</v>
      </c>
      <c r="C695" s="105">
        <v>41109</v>
      </c>
      <c r="D695">
        <v>0.45800000000000002</v>
      </c>
      <c r="E695" s="105">
        <v>41109</v>
      </c>
      <c r="F695">
        <v>0.74299999999999999</v>
      </c>
      <c r="G695" s="105">
        <v>41109</v>
      </c>
      <c r="H695">
        <v>0.89100000000000001</v>
      </c>
      <c r="I695" s="105">
        <v>41109</v>
      </c>
      <c r="J695">
        <v>1.0209999999999999</v>
      </c>
    </row>
    <row r="696" spans="1:10">
      <c r="A696" s="105">
        <v>41108</v>
      </c>
      <c r="B696">
        <v>0.17899999999999999</v>
      </c>
      <c r="C696" s="105">
        <v>41108</v>
      </c>
      <c r="D696">
        <v>0.46400000000000002</v>
      </c>
      <c r="E696" s="105">
        <v>41108</v>
      </c>
      <c r="F696">
        <v>0.748</v>
      </c>
      <c r="G696" s="105">
        <v>41108</v>
      </c>
      <c r="H696">
        <v>0.89900000000000002</v>
      </c>
      <c r="I696" s="105">
        <v>41108</v>
      </c>
      <c r="J696">
        <v>1.03</v>
      </c>
    </row>
    <row r="697" spans="1:10">
      <c r="A697" s="105">
        <v>41107</v>
      </c>
      <c r="B697">
        <v>0.183</v>
      </c>
      <c r="C697" s="105">
        <v>41107</v>
      </c>
      <c r="D697">
        <v>0.47</v>
      </c>
      <c r="E697" s="105">
        <v>41107</v>
      </c>
      <c r="F697">
        <v>0.754</v>
      </c>
      <c r="G697" s="105">
        <v>41107</v>
      </c>
      <c r="H697">
        <v>0.90500000000000003</v>
      </c>
      <c r="I697" s="105">
        <v>41107</v>
      </c>
      <c r="J697">
        <v>1.036</v>
      </c>
    </row>
    <row r="698" spans="1:10">
      <c r="A698" s="105">
        <v>41106</v>
      </c>
      <c r="B698">
        <v>0.187</v>
      </c>
      <c r="C698" s="105">
        <v>41106</v>
      </c>
      <c r="D698">
        <v>0.47699999999999998</v>
      </c>
      <c r="E698" s="105">
        <v>41106</v>
      </c>
      <c r="F698">
        <v>0.76</v>
      </c>
      <c r="G698" s="105">
        <v>41106</v>
      </c>
      <c r="H698">
        <v>0.91200000000000003</v>
      </c>
      <c r="I698" s="105">
        <v>41106</v>
      </c>
      <c r="J698">
        <v>1.044</v>
      </c>
    </row>
    <row r="699" spans="1:10">
      <c r="A699" s="105">
        <v>41103</v>
      </c>
      <c r="B699">
        <v>0.19400000000000001</v>
      </c>
      <c r="C699" s="105">
        <v>41103</v>
      </c>
      <c r="D699">
        <v>0.48599999999999999</v>
      </c>
      <c r="E699" s="105">
        <v>41103</v>
      </c>
      <c r="F699">
        <v>0.76700000000000002</v>
      </c>
      <c r="G699" s="105">
        <v>41103</v>
      </c>
      <c r="H699">
        <v>0.92100000000000004</v>
      </c>
      <c r="I699" s="105">
        <v>41103</v>
      </c>
      <c r="J699">
        <v>1.054</v>
      </c>
    </row>
    <row r="700" spans="1:10">
      <c r="A700" s="105">
        <v>41102</v>
      </c>
      <c r="B700">
        <v>0.20200000000000001</v>
      </c>
      <c r="C700" s="105">
        <v>41102</v>
      </c>
      <c r="D700">
        <v>0.497</v>
      </c>
      <c r="E700" s="105">
        <v>41102</v>
      </c>
      <c r="F700">
        <v>0.77900000000000003</v>
      </c>
      <c r="G700" s="105">
        <v>41102</v>
      </c>
      <c r="H700">
        <v>0.93100000000000005</v>
      </c>
      <c r="I700" s="105">
        <v>41102</v>
      </c>
      <c r="J700">
        <v>1.0660000000000001</v>
      </c>
    </row>
    <row r="701" spans="1:10">
      <c r="A701" s="105">
        <v>41101</v>
      </c>
      <c r="B701">
        <v>0.21299999999999999</v>
      </c>
      <c r="C701" s="105">
        <v>41101</v>
      </c>
      <c r="D701">
        <v>0.51200000000000001</v>
      </c>
      <c r="E701" s="105">
        <v>41101</v>
      </c>
      <c r="F701">
        <v>0.79500000000000004</v>
      </c>
      <c r="G701" s="105">
        <v>41101</v>
      </c>
      <c r="H701">
        <v>0.94699999999999995</v>
      </c>
      <c r="I701" s="105">
        <v>41101</v>
      </c>
      <c r="J701">
        <v>1.0840000000000001</v>
      </c>
    </row>
    <row r="702" spans="1:10">
      <c r="A702" s="105">
        <v>41100</v>
      </c>
      <c r="B702">
        <v>0.223</v>
      </c>
      <c r="C702" s="105">
        <v>41100</v>
      </c>
      <c r="D702">
        <v>0.52100000000000002</v>
      </c>
      <c r="E702" s="105">
        <v>41100</v>
      </c>
      <c r="F702">
        <v>0.80500000000000005</v>
      </c>
      <c r="G702" s="105">
        <v>41100</v>
      </c>
      <c r="H702">
        <v>0.95799999999999996</v>
      </c>
      <c r="I702" s="105">
        <v>41100</v>
      </c>
      <c r="J702">
        <v>1.095</v>
      </c>
    </row>
    <row r="703" spans="1:10">
      <c r="A703" s="105">
        <v>41099</v>
      </c>
      <c r="B703">
        <v>0.23499999999999999</v>
      </c>
      <c r="C703" s="105">
        <v>41099</v>
      </c>
      <c r="D703">
        <v>0.53100000000000003</v>
      </c>
      <c r="E703" s="105">
        <v>41099</v>
      </c>
      <c r="F703">
        <v>0.81699999999999995</v>
      </c>
      <c r="G703" s="105">
        <v>41099</v>
      </c>
      <c r="H703">
        <v>0.96599999999999997</v>
      </c>
      <c r="I703" s="105">
        <v>41099</v>
      </c>
      <c r="J703">
        <v>1.1040000000000001</v>
      </c>
    </row>
    <row r="704" spans="1:10">
      <c r="A704" s="105">
        <v>41096</v>
      </c>
      <c r="B704">
        <v>0.255</v>
      </c>
      <c r="C704" s="105">
        <v>41096</v>
      </c>
      <c r="D704">
        <v>0.54900000000000004</v>
      </c>
      <c r="E704" s="105">
        <v>41096</v>
      </c>
      <c r="F704">
        <v>0.83099999999999996</v>
      </c>
      <c r="G704" s="105">
        <v>41096</v>
      </c>
      <c r="H704">
        <v>0.98</v>
      </c>
      <c r="I704" s="105">
        <v>41096</v>
      </c>
      <c r="J704">
        <v>1.1180000000000001</v>
      </c>
    </row>
    <row r="705" spans="1:10">
      <c r="A705" s="105">
        <v>41095</v>
      </c>
      <c r="B705">
        <v>0.36199999999999999</v>
      </c>
      <c r="C705" s="105">
        <v>41095</v>
      </c>
      <c r="D705">
        <v>0.64100000000000001</v>
      </c>
      <c r="E705" s="105">
        <v>41095</v>
      </c>
      <c r="F705">
        <v>0.92</v>
      </c>
      <c r="G705" s="105">
        <v>41095</v>
      </c>
      <c r="H705">
        <v>1.0669999999999999</v>
      </c>
      <c r="I705" s="105">
        <v>41095</v>
      </c>
      <c r="J705">
        <v>1.202</v>
      </c>
    </row>
    <row r="706" spans="1:10">
      <c r="A706" s="105">
        <v>41094</v>
      </c>
      <c r="B706">
        <v>0.36699999999999999</v>
      </c>
      <c r="C706" s="105">
        <v>41094</v>
      </c>
      <c r="D706">
        <v>0.64500000000000002</v>
      </c>
      <c r="E706" s="105">
        <v>41094</v>
      </c>
      <c r="F706">
        <v>0.92300000000000004</v>
      </c>
      <c r="G706" s="105">
        <v>41094</v>
      </c>
      <c r="H706">
        <v>1.07</v>
      </c>
      <c r="I706" s="105">
        <v>41094</v>
      </c>
      <c r="J706">
        <v>1.206</v>
      </c>
    </row>
    <row r="707" spans="1:10">
      <c r="A707" s="105">
        <v>41093</v>
      </c>
      <c r="B707">
        <v>0.371</v>
      </c>
      <c r="C707" s="105">
        <v>41093</v>
      </c>
      <c r="D707">
        <v>0.65</v>
      </c>
      <c r="E707" s="105">
        <v>41093</v>
      </c>
      <c r="F707">
        <v>0.92600000000000005</v>
      </c>
      <c r="G707" s="105">
        <v>41093</v>
      </c>
      <c r="H707">
        <v>1.075</v>
      </c>
      <c r="I707" s="105">
        <v>41093</v>
      </c>
      <c r="J707">
        <v>1.21</v>
      </c>
    </row>
    <row r="708" spans="1:10">
      <c r="A708" s="105">
        <v>41092</v>
      </c>
      <c r="B708">
        <v>0.372</v>
      </c>
      <c r="C708" s="105">
        <v>41092</v>
      </c>
      <c r="D708">
        <v>0.65200000000000002</v>
      </c>
      <c r="E708" s="105">
        <v>41092</v>
      </c>
      <c r="F708">
        <v>0.92800000000000005</v>
      </c>
      <c r="G708" s="105">
        <v>41092</v>
      </c>
      <c r="H708">
        <v>1.077</v>
      </c>
      <c r="I708" s="105">
        <v>41092</v>
      </c>
      <c r="J708">
        <v>1.2130000000000001</v>
      </c>
    </row>
    <row r="709" spans="1:10">
      <c r="A709" s="105">
        <v>41089</v>
      </c>
      <c r="B709">
        <v>0.373</v>
      </c>
      <c r="C709" s="105">
        <v>41089</v>
      </c>
      <c r="D709">
        <v>0.65300000000000002</v>
      </c>
      <c r="E709" s="105">
        <v>41089</v>
      </c>
      <c r="F709">
        <v>0.93</v>
      </c>
      <c r="G709" s="105">
        <v>41089</v>
      </c>
      <c r="H709">
        <v>1.0760000000000001</v>
      </c>
      <c r="I709" s="105">
        <v>41089</v>
      </c>
      <c r="J709">
        <v>1.2130000000000001</v>
      </c>
    </row>
    <row r="710" spans="1:10">
      <c r="A710" s="105">
        <v>41088</v>
      </c>
      <c r="B710">
        <v>0.374</v>
      </c>
      <c r="C710" s="105">
        <v>41088</v>
      </c>
      <c r="D710">
        <v>0.65300000000000002</v>
      </c>
      <c r="E710" s="105">
        <v>41088</v>
      </c>
      <c r="F710">
        <v>0.92900000000000005</v>
      </c>
      <c r="G710" s="105">
        <v>41088</v>
      </c>
      <c r="H710">
        <v>1.075</v>
      </c>
      <c r="I710" s="105">
        <v>41088</v>
      </c>
      <c r="J710">
        <v>1.2130000000000001</v>
      </c>
    </row>
    <row r="711" spans="1:10">
      <c r="A711" s="105">
        <v>41087</v>
      </c>
      <c r="B711">
        <v>0.376</v>
      </c>
      <c r="C711" s="105">
        <v>41087</v>
      </c>
      <c r="D711">
        <v>0.65200000000000002</v>
      </c>
      <c r="E711" s="105">
        <v>41087</v>
      </c>
      <c r="F711">
        <v>0.92600000000000005</v>
      </c>
      <c r="G711" s="105">
        <v>41087</v>
      </c>
      <c r="H711">
        <v>1.0740000000000001</v>
      </c>
      <c r="I711" s="105">
        <v>41087</v>
      </c>
      <c r="J711">
        <v>1.212</v>
      </c>
    </row>
    <row r="712" spans="1:10">
      <c r="A712" s="105">
        <v>41086</v>
      </c>
      <c r="B712">
        <v>0.376</v>
      </c>
      <c r="C712" s="105">
        <v>41086</v>
      </c>
      <c r="D712">
        <v>0.65300000000000002</v>
      </c>
      <c r="E712" s="105">
        <v>41086</v>
      </c>
      <c r="F712">
        <v>0.92800000000000005</v>
      </c>
      <c r="G712" s="105">
        <v>41086</v>
      </c>
      <c r="H712">
        <v>1.0740000000000001</v>
      </c>
      <c r="I712" s="105">
        <v>41086</v>
      </c>
      <c r="J712">
        <v>1.2130000000000001</v>
      </c>
    </row>
    <row r="713" spans="1:10">
      <c r="A713" s="105">
        <v>41085</v>
      </c>
      <c r="B713">
        <v>0.376</v>
      </c>
      <c r="C713" s="105">
        <v>41085</v>
      </c>
      <c r="D713">
        <v>0.65300000000000002</v>
      </c>
      <c r="E713" s="105">
        <v>41085</v>
      </c>
      <c r="F713">
        <v>0.92600000000000005</v>
      </c>
      <c r="G713" s="105">
        <v>41085</v>
      </c>
      <c r="H713">
        <v>1.0740000000000001</v>
      </c>
      <c r="I713" s="105">
        <v>41085</v>
      </c>
      <c r="J713">
        <v>1.212</v>
      </c>
    </row>
    <row r="714" spans="1:10">
      <c r="A714" s="105">
        <v>41082</v>
      </c>
      <c r="B714">
        <v>0.377</v>
      </c>
      <c r="C714" s="105">
        <v>41082</v>
      </c>
      <c r="D714">
        <v>0.65400000000000003</v>
      </c>
      <c r="E714" s="105">
        <v>41082</v>
      </c>
      <c r="F714">
        <v>0.92800000000000005</v>
      </c>
      <c r="G714" s="105">
        <v>41082</v>
      </c>
      <c r="H714">
        <v>1.075</v>
      </c>
      <c r="I714" s="105">
        <v>41082</v>
      </c>
      <c r="J714">
        <v>1.212</v>
      </c>
    </row>
    <row r="715" spans="1:10">
      <c r="A715" s="105">
        <v>41081</v>
      </c>
      <c r="B715">
        <v>0.378</v>
      </c>
      <c r="C715" s="105">
        <v>41081</v>
      </c>
      <c r="D715">
        <v>0.65500000000000003</v>
      </c>
      <c r="E715" s="105">
        <v>41081</v>
      </c>
      <c r="F715">
        <v>0.92900000000000005</v>
      </c>
      <c r="G715" s="105">
        <v>41081</v>
      </c>
      <c r="H715">
        <v>1.077</v>
      </c>
      <c r="I715" s="105">
        <v>41081</v>
      </c>
      <c r="J715">
        <v>1.214</v>
      </c>
    </row>
    <row r="716" spans="1:10">
      <c r="A716" s="105">
        <v>41080</v>
      </c>
      <c r="B716">
        <v>0.379</v>
      </c>
      <c r="C716" s="105">
        <v>41080</v>
      </c>
      <c r="D716">
        <v>0.65700000000000003</v>
      </c>
      <c r="E716" s="105">
        <v>41080</v>
      </c>
      <c r="F716">
        <v>0.93</v>
      </c>
      <c r="G716" s="105">
        <v>41080</v>
      </c>
      <c r="H716">
        <v>1.077</v>
      </c>
      <c r="I716" s="105">
        <v>41080</v>
      </c>
      <c r="J716">
        <v>1.214</v>
      </c>
    </row>
    <row r="717" spans="1:10">
      <c r="A717" s="105">
        <v>41079</v>
      </c>
      <c r="B717">
        <v>0.379</v>
      </c>
      <c r="C717" s="105">
        <v>41079</v>
      </c>
      <c r="D717">
        <v>0.65700000000000003</v>
      </c>
      <c r="E717" s="105">
        <v>41079</v>
      </c>
      <c r="F717">
        <v>0.93</v>
      </c>
      <c r="G717" s="105">
        <v>41079</v>
      </c>
      <c r="H717">
        <v>1.0760000000000001</v>
      </c>
      <c r="I717" s="105">
        <v>41079</v>
      </c>
      <c r="J717">
        <v>1.214</v>
      </c>
    </row>
    <row r="718" spans="1:10">
      <c r="A718" s="105">
        <v>41078</v>
      </c>
      <c r="B718">
        <v>0.38100000000000001</v>
      </c>
      <c r="C718" s="105">
        <v>41078</v>
      </c>
      <c r="D718">
        <v>0.65900000000000003</v>
      </c>
      <c r="E718" s="105">
        <v>41078</v>
      </c>
      <c r="F718">
        <v>0.93400000000000005</v>
      </c>
      <c r="G718" s="105">
        <v>41078</v>
      </c>
      <c r="H718">
        <v>1.0820000000000001</v>
      </c>
      <c r="I718" s="105">
        <v>41078</v>
      </c>
      <c r="J718">
        <v>1.2210000000000001</v>
      </c>
    </row>
    <row r="719" spans="1:10">
      <c r="A719" s="105">
        <v>41075</v>
      </c>
      <c r="B719">
        <v>0.38200000000000001</v>
      </c>
      <c r="C719" s="105">
        <v>41075</v>
      </c>
      <c r="D719">
        <v>0.66200000000000003</v>
      </c>
      <c r="E719" s="105">
        <v>41075</v>
      </c>
      <c r="F719">
        <v>0.93899999999999995</v>
      </c>
      <c r="G719" s="105">
        <v>41075</v>
      </c>
      <c r="H719">
        <v>1.0860000000000001</v>
      </c>
      <c r="I719" s="105">
        <v>41075</v>
      </c>
      <c r="J719">
        <v>1.226</v>
      </c>
    </row>
    <row r="720" spans="1:10">
      <c r="A720" s="105">
        <v>41074</v>
      </c>
      <c r="B720">
        <v>0.38300000000000001</v>
      </c>
      <c r="C720" s="105">
        <v>41074</v>
      </c>
      <c r="D720">
        <v>0.66300000000000003</v>
      </c>
      <c r="E720" s="105">
        <v>41074</v>
      </c>
      <c r="F720">
        <v>0.94099999999999995</v>
      </c>
      <c r="G720" s="105">
        <v>41074</v>
      </c>
      <c r="H720">
        <v>1.0900000000000001</v>
      </c>
      <c r="I720" s="105">
        <v>41074</v>
      </c>
      <c r="J720">
        <v>1.226</v>
      </c>
    </row>
    <row r="721" spans="1:10">
      <c r="A721" s="105">
        <v>41073</v>
      </c>
      <c r="B721">
        <v>0.38400000000000001</v>
      </c>
      <c r="C721" s="105">
        <v>41073</v>
      </c>
      <c r="D721">
        <v>0.66200000000000003</v>
      </c>
      <c r="E721" s="105">
        <v>41073</v>
      </c>
      <c r="F721">
        <v>0.93899999999999995</v>
      </c>
      <c r="G721" s="105">
        <v>41073</v>
      </c>
      <c r="H721">
        <v>1.0860000000000001</v>
      </c>
      <c r="I721" s="105">
        <v>41073</v>
      </c>
      <c r="J721">
        <v>1.224</v>
      </c>
    </row>
    <row r="722" spans="1:10">
      <c r="A722" s="105">
        <v>41072</v>
      </c>
      <c r="B722">
        <v>0.38300000000000001</v>
      </c>
      <c r="C722" s="105">
        <v>41072</v>
      </c>
      <c r="D722">
        <v>0.66100000000000003</v>
      </c>
      <c r="E722" s="105">
        <v>41072</v>
      </c>
      <c r="F722">
        <v>0.93700000000000006</v>
      </c>
      <c r="G722" s="105">
        <v>41072</v>
      </c>
      <c r="H722">
        <v>1.085</v>
      </c>
      <c r="I722" s="105">
        <v>41072</v>
      </c>
      <c r="J722">
        <v>1.2230000000000001</v>
      </c>
    </row>
    <row r="723" spans="1:10">
      <c r="A723" s="105">
        <v>41071</v>
      </c>
      <c r="B723">
        <v>0.38300000000000001</v>
      </c>
      <c r="C723" s="105">
        <v>41071</v>
      </c>
      <c r="D723">
        <v>0.66100000000000003</v>
      </c>
      <c r="E723" s="105">
        <v>41071</v>
      </c>
      <c r="F723">
        <v>0.93700000000000006</v>
      </c>
      <c r="G723" s="105">
        <v>41071</v>
      </c>
      <c r="H723">
        <v>1.0860000000000001</v>
      </c>
      <c r="I723" s="105">
        <v>41071</v>
      </c>
      <c r="J723">
        <v>1.222</v>
      </c>
    </row>
    <row r="724" spans="1:10">
      <c r="A724" s="105">
        <v>41068</v>
      </c>
      <c r="B724">
        <v>0.38300000000000001</v>
      </c>
      <c r="C724" s="105">
        <v>41068</v>
      </c>
      <c r="D724">
        <v>0.66300000000000003</v>
      </c>
      <c r="E724" s="105">
        <v>41068</v>
      </c>
      <c r="F724">
        <v>0.93899999999999995</v>
      </c>
      <c r="G724" s="105">
        <v>41068</v>
      </c>
      <c r="H724">
        <v>1.087</v>
      </c>
      <c r="I724" s="105">
        <v>41068</v>
      </c>
      <c r="J724">
        <v>1.222</v>
      </c>
    </row>
    <row r="725" spans="1:10">
      <c r="A725" s="105">
        <v>41067</v>
      </c>
      <c r="B725">
        <v>0.38300000000000001</v>
      </c>
      <c r="C725" s="105">
        <v>41067</v>
      </c>
      <c r="D725">
        <v>0.66300000000000003</v>
      </c>
      <c r="E725" s="105">
        <v>41067</v>
      </c>
      <c r="F725">
        <v>0.94</v>
      </c>
      <c r="G725" s="105">
        <v>41067</v>
      </c>
      <c r="H725">
        <v>1.087</v>
      </c>
      <c r="I725" s="105">
        <v>41067</v>
      </c>
      <c r="J725">
        <v>1.2230000000000001</v>
      </c>
    </row>
    <row r="726" spans="1:10">
      <c r="A726" s="105">
        <v>41066</v>
      </c>
      <c r="B726">
        <v>0.38100000000000001</v>
      </c>
      <c r="C726" s="105">
        <v>41066</v>
      </c>
      <c r="D726">
        <v>0.66300000000000003</v>
      </c>
      <c r="E726" s="105">
        <v>41066</v>
      </c>
      <c r="F726">
        <v>0.93899999999999995</v>
      </c>
      <c r="G726" s="105">
        <v>41066</v>
      </c>
      <c r="H726">
        <v>1.085</v>
      </c>
      <c r="I726" s="105">
        <v>41066</v>
      </c>
      <c r="J726">
        <v>1.2210000000000001</v>
      </c>
    </row>
    <row r="727" spans="1:10">
      <c r="A727" s="105">
        <v>41065</v>
      </c>
      <c r="B727">
        <v>0.38200000000000001</v>
      </c>
      <c r="C727" s="105">
        <v>41065</v>
      </c>
      <c r="D727">
        <v>0.66300000000000003</v>
      </c>
      <c r="E727" s="105">
        <v>41065</v>
      </c>
      <c r="F727">
        <v>0.94</v>
      </c>
      <c r="G727" s="105">
        <v>41065</v>
      </c>
      <c r="H727">
        <v>1.087</v>
      </c>
      <c r="I727" s="105">
        <v>41065</v>
      </c>
      <c r="J727">
        <v>1.2230000000000001</v>
      </c>
    </row>
    <row r="728" spans="1:10">
      <c r="A728" s="105">
        <v>41064</v>
      </c>
      <c r="B728">
        <v>0.38200000000000001</v>
      </c>
      <c r="C728" s="105">
        <v>41064</v>
      </c>
      <c r="D728">
        <v>0.66400000000000003</v>
      </c>
      <c r="E728" s="105">
        <v>41064</v>
      </c>
      <c r="F728">
        <v>0.94099999999999995</v>
      </c>
      <c r="G728" s="105">
        <v>41064</v>
      </c>
      <c r="H728">
        <v>1.087</v>
      </c>
      <c r="I728" s="105">
        <v>41064</v>
      </c>
      <c r="J728">
        <v>1.224</v>
      </c>
    </row>
    <row r="729" spans="1:10">
      <c r="A729" s="105">
        <v>41061</v>
      </c>
      <c r="B729">
        <v>0.38400000000000001</v>
      </c>
      <c r="C729" s="105">
        <v>41061</v>
      </c>
      <c r="D729">
        <v>0.66500000000000004</v>
      </c>
      <c r="E729" s="105">
        <v>41061</v>
      </c>
      <c r="F729">
        <v>0.94299999999999995</v>
      </c>
      <c r="G729" s="105">
        <v>41061</v>
      </c>
      <c r="H729">
        <v>1.0900000000000001</v>
      </c>
      <c r="I729" s="105">
        <v>41061</v>
      </c>
      <c r="J729">
        <v>1.228</v>
      </c>
    </row>
    <row r="730" spans="1:10">
      <c r="A730" s="105">
        <v>41060</v>
      </c>
      <c r="B730">
        <v>0.38600000000000001</v>
      </c>
      <c r="C730" s="105">
        <v>41060</v>
      </c>
      <c r="D730">
        <v>0.66800000000000004</v>
      </c>
      <c r="E730" s="105">
        <v>41060</v>
      </c>
      <c r="F730">
        <v>0.94599999999999995</v>
      </c>
      <c r="G730" s="105">
        <v>41060</v>
      </c>
      <c r="H730">
        <v>1.0940000000000001</v>
      </c>
      <c r="I730" s="105">
        <v>41060</v>
      </c>
      <c r="J730">
        <v>1.232</v>
      </c>
    </row>
    <row r="731" spans="1:10">
      <c r="A731" s="105">
        <v>41059</v>
      </c>
      <c r="B731">
        <v>0.38700000000000001</v>
      </c>
      <c r="C731" s="105">
        <v>41059</v>
      </c>
      <c r="D731">
        <v>0.67100000000000004</v>
      </c>
      <c r="E731" s="105">
        <v>41059</v>
      </c>
      <c r="F731">
        <v>0.94899999999999995</v>
      </c>
      <c r="G731" s="105">
        <v>41059</v>
      </c>
      <c r="H731">
        <v>1.097</v>
      </c>
      <c r="I731" s="105">
        <v>41059</v>
      </c>
      <c r="J731">
        <v>1.2370000000000001</v>
      </c>
    </row>
    <row r="732" spans="1:10">
      <c r="A732" s="105">
        <v>41058</v>
      </c>
      <c r="B732">
        <v>0.38600000000000001</v>
      </c>
      <c r="C732" s="105">
        <v>41058</v>
      </c>
      <c r="D732">
        <v>0.67300000000000004</v>
      </c>
      <c r="E732" s="105">
        <v>41058</v>
      </c>
      <c r="F732">
        <v>0.95099999999999996</v>
      </c>
      <c r="G732" s="105">
        <v>41058</v>
      </c>
      <c r="H732">
        <v>1.0980000000000001</v>
      </c>
      <c r="I732" s="105">
        <v>41058</v>
      </c>
      <c r="J732">
        <v>1.24</v>
      </c>
    </row>
    <row r="733" spans="1:10">
      <c r="A733" s="105">
        <v>41057</v>
      </c>
      <c r="B733">
        <v>0.38700000000000001</v>
      </c>
      <c r="C733" s="105">
        <v>41057</v>
      </c>
      <c r="D733">
        <v>0.67300000000000004</v>
      </c>
      <c r="E733" s="105">
        <v>41057</v>
      </c>
      <c r="F733">
        <v>0.95399999999999996</v>
      </c>
      <c r="G733" s="105">
        <v>41057</v>
      </c>
      <c r="H733">
        <v>1.1000000000000001</v>
      </c>
      <c r="I733" s="105">
        <v>41057</v>
      </c>
      <c r="J733">
        <v>1.242</v>
      </c>
    </row>
    <row r="734" spans="1:10">
      <c r="A734" s="105">
        <v>41054</v>
      </c>
      <c r="B734">
        <v>0.38700000000000001</v>
      </c>
      <c r="C734" s="105">
        <v>41054</v>
      </c>
      <c r="D734">
        <v>0.67500000000000004</v>
      </c>
      <c r="E734" s="105">
        <v>41054</v>
      </c>
      <c r="F734">
        <v>0.95599999999999996</v>
      </c>
      <c r="G734" s="105">
        <v>41054</v>
      </c>
      <c r="H734">
        <v>1.1040000000000001</v>
      </c>
      <c r="I734" s="105">
        <v>41054</v>
      </c>
      <c r="J734">
        <v>1.246</v>
      </c>
    </row>
    <row r="735" spans="1:10">
      <c r="A735" s="105">
        <v>41053</v>
      </c>
      <c r="B735">
        <v>0.38900000000000001</v>
      </c>
      <c r="C735" s="105">
        <v>41053</v>
      </c>
      <c r="D735">
        <v>0.67700000000000005</v>
      </c>
      <c r="E735" s="105">
        <v>41053</v>
      </c>
      <c r="F735">
        <v>0.96</v>
      </c>
      <c r="G735" s="105">
        <v>41053</v>
      </c>
      <c r="H735">
        <v>1.1080000000000001</v>
      </c>
      <c r="I735" s="105">
        <v>41053</v>
      </c>
      <c r="J735">
        <v>1.25</v>
      </c>
    </row>
    <row r="736" spans="1:10">
      <c r="A736" s="105">
        <v>41052</v>
      </c>
      <c r="B736">
        <v>0.39200000000000002</v>
      </c>
      <c r="C736" s="105">
        <v>41052</v>
      </c>
      <c r="D736">
        <v>0.68</v>
      </c>
      <c r="E736" s="105">
        <v>41052</v>
      </c>
      <c r="F736">
        <v>0.96399999999999997</v>
      </c>
      <c r="G736" s="105">
        <v>41052</v>
      </c>
      <c r="H736">
        <v>1.113</v>
      </c>
      <c r="I736" s="105">
        <v>41052</v>
      </c>
      <c r="J736">
        <v>1.2549999999999999</v>
      </c>
    </row>
    <row r="737" spans="1:10">
      <c r="A737" s="105">
        <v>41051</v>
      </c>
      <c r="B737">
        <v>0.39200000000000002</v>
      </c>
      <c r="C737" s="105">
        <v>41051</v>
      </c>
      <c r="D737">
        <v>0.68100000000000005</v>
      </c>
      <c r="E737" s="105">
        <v>41051</v>
      </c>
      <c r="F737">
        <v>0.96599999999999997</v>
      </c>
      <c r="G737" s="105">
        <v>41051</v>
      </c>
      <c r="H737">
        <v>1.115</v>
      </c>
      <c r="I737" s="105">
        <v>41051</v>
      </c>
      <c r="J737">
        <v>1.2589999999999999</v>
      </c>
    </row>
    <row r="738" spans="1:10">
      <c r="A738" s="105">
        <v>41050</v>
      </c>
      <c r="B738">
        <v>0.39300000000000002</v>
      </c>
      <c r="C738" s="105">
        <v>41050</v>
      </c>
      <c r="D738">
        <v>0.68200000000000005</v>
      </c>
      <c r="E738" s="105">
        <v>41050</v>
      </c>
      <c r="F738">
        <v>0.96899999999999997</v>
      </c>
      <c r="G738" s="105">
        <v>41050</v>
      </c>
      <c r="H738">
        <v>1.119</v>
      </c>
      <c r="I738" s="105">
        <v>41050</v>
      </c>
      <c r="J738">
        <v>1.264</v>
      </c>
    </row>
    <row r="739" spans="1:10">
      <c r="A739" s="105">
        <v>41047</v>
      </c>
      <c r="B739">
        <v>0.39400000000000002</v>
      </c>
      <c r="C739" s="105">
        <v>41047</v>
      </c>
      <c r="D739">
        <v>0.68400000000000005</v>
      </c>
      <c r="E739" s="105">
        <v>41047</v>
      </c>
      <c r="F739">
        <v>0.97199999999999998</v>
      </c>
      <c r="G739" s="105">
        <v>41047</v>
      </c>
      <c r="H739">
        <v>1.121</v>
      </c>
      <c r="I739" s="105">
        <v>41047</v>
      </c>
      <c r="J739">
        <v>1.2649999999999999</v>
      </c>
    </row>
    <row r="740" spans="1:10">
      <c r="A740" s="105">
        <v>41046</v>
      </c>
      <c r="B740">
        <v>0.39500000000000002</v>
      </c>
      <c r="C740" s="105">
        <v>41046</v>
      </c>
      <c r="D740">
        <v>0.68600000000000005</v>
      </c>
      <c r="E740" s="105">
        <v>41046</v>
      </c>
      <c r="F740">
        <v>0.97499999999999998</v>
      </c>
      <c r="G740" s="105">
        <v>41046</v>
      </c>
      <c r="H740">
        <v>1.1240000000000001</v>
      </c>
      <c r="I740" s="105">
        <v>41046</v>
      </c>
      <c r="J740">
        <v>1.2669999999999999</v>
      </c>
    </row>
    <row r="741" spans="1:10">
      <c r="A741" s="105">
        <v>41045</v>
      </c>
      <c r="B741">
        <v>0.39500000000000002</v>
      </c>
      <c r="C741" s="105">
        <v>41045</v>
      </c>
      <c r="D741">
        <v>0.68500000000000005</v>
      </c>
      <c r="E741" s="105">
        <v>41045</v>
      </c>
      <c r="F741">
        <v>0.97399999999999998</v>
      </c>
      <c r="G741" s="105">
        <v>41045</v>
      </c>
      <c r="H741">
        <v>1.1240000000000001</v>
      </c>
      <c r="I741" s="105">
        <v>41045</v>
      </c>
      <c r="J741">
        <v>1.268</v>
      </c>
    </row>
    <row r="742" spans="1:10">
      <c r="A742" s="105">
        <v>41044</v>
      </c>
      <c r="B742">
        <v>0.39600000000000002</v>
      </c>
      <c r="C742" s="105">
        <v>41044</v>
      </c>
      <c r="D742">
        <v>0.68700000000000006</v>
      </c>
      <c r="E742" s="105">
        <v>41044</v>
      </c>
      <c r="F742">
        <v>0.97499999999999998</v>
      </c>
      <c r="G742" s="105">
        <v>41044</v>
      </c>
      <c r="H742">
        <v>1.1259999999999999</v>
      </c>
      <c r="I742" s="105">
        <v>41044</v>
      </c>
      <c r="J742">
        <v>1.272</v>
      </c>
    </row>
    <row r="743" spans="1:10">
      <c r="A743" s="105">
        <v>41043</v>
      </c>
      <c r="B743">
        <v>0.39700000000000002</v>
      </c>
      <c r="C743" s="105">
        <v>41043</v>
      </c>
      <c r="D743">
        <v>0.68899999999999995</v>
      </c>
      <c r="E743" s="105">
        <v>41043</v>
      </c>
      <c r="F743">
        <v>0.97799999999999998</v>
      </c>
      <c r="G743" s="105">
        <v>41043</v>
      </c>
      <c r="H743">
        <v>1.1299999999999999</v>
      </c>
      <c r="I743" s="105">
        <v>41043</v>
      </c>
      <c r="J743">
        <v>1.276</v>
      </c>
    </row>
    <row r="744" spans="1:10">
      <c r="A744" s="105">
        <v>41040</v>
      </c>
      <c r="B744">
        <v>0.39800000000000002</v>
      </c>
      <c r="C744" s="105">
        <v>41040</v>
      </c>
      <c r="D744">
        <v>0.69</v>
      </c>
      <c r="E744" s="105">
        <v>41040</v>
      </c>
      <c r="F744">
        <v>0.97699999999999998</v>
      </c>
      <c r="G744" s="105">
        <v>41040</v>
      </c>
      <c r="H744">
        <v>1.129</v>
      </c>
      <c r="I744" s="105">
        <v>41040</v>
      </c>
      <c r="J744">
        <v>1.276</v>
      </c>
    </row>
    <row r="745" spans="1:10">
      <c r="A745" s="105">
        <v>41039</v>
      </c>
      <c r="B745">
        <v>0.39700000000000002</v>
      </c>
      <c r="C745" s="105">
        <v>41039</v>
      </c>
      <c r="D745">
        <v>0.69</v>
      </c>
      <c r="E745" s="105">
        <v>41039</v>
      </c>
      <c r="F745">
        <v>0.97699999999999998</v>
      </c>
      <c r="G745" s="105">
        <v>41039</v>
      </c>
      <c r="H745">
        <v>1.131</v>
      </c>
      <c r="I745" s="105">
        <v>41039</v>
      </c>
      <c r="J745">
        <v>1.276</v>
      </c>
    </row>
    <row r="746" spans="1:10">
      <c r="A746" s="105">
        <v>41038</v>
      </c>
      <c r="B746">
        <v>0.39700000000000002</v>
      </c>
      <c r="C746" s="105">
        <v>41038</v>
      </c>
      <c r="D746">
        <v>0.69099999999999995</v>
      </c>
      <c r="E746" s="105">
        <v>41038</v>
      </c>
      <c r="F746">
        <v>0.97799999999999998</v>
      </c>
      <c r="G746" s="105">
        <v>41038</v>
      </c>
      <c r="H746">
        <v>1.133</v>
      </c>
      <c r="I746" s="105">
        <v>41038</v>
      </c>
      <c r="J746">
        <v>1.2769999999999999</v>
      </c>
    </row>
    <row r="747" spans="1:10">
      <c r="A747" s="105">
        <v>41037</v>
      </c>
      <c r="B747">
        <v>0.39800000000000002</v>
      </c>
      <c r="C747" s="105">
        <v>41037</v>
      </c>
      <c r="D747">
        <v>0.69199999999999995</v>
      </c>
      <c r="E747" s="105">
        <v>41037</v>
      </c>
      <c r="F747">
        <v>0.98</v>
      </c>
      <c r="G747" s="105">
        <v>41037</v>
      </c>
      <c r="H747">
        <v>1.135</v>
      </c>
      <c r="I747" s="105">
        <v>41037</v>
      </c>
      <c r="J747">
        <v>1.2809999999999999</v>
      </c>
    </row>
    <row r="748" spans="1:10">
      <c r="A748" s="105">
        <v>41036</v>
      </c>
      <c r="B748">
        <v>0.39900000000000002</v>
      </c>
      <c r="C748" s="105">
        <v>41036</v>
      </c>
      <c r="D748">
        <v>0.69299999999999995</v>
      </c>
      <c r="E748" s="105">
        <v>41036</v>
      </c>
      <c r="F748">
        <v>0.98199999999999998</v>
      </c>
      <c r="G748" s="105">
        <v>41036</v>
      </c>
      <c r="H748">
        <v>1.1379999999999999</v>
      </c>
      <c r="I748" s="105">
        <v>41036</v>
      </c>
      <c r="J748">
        <v>1.284</v>
      </c>
    </row>
    <row r="749" spans="1:10">
      <c r="A749" s="105">
        <v>41033</v>
      </c>
      <c r="B749">
        <v>0.39900000000000002</v>
      </c>
      <c r="C749" s="105">
        <v>41033</v>
      </c>
      <c r="D749">
        <v>0.69699999999999995</v>
      </c>
      <c r="E749" s="105">
        <v>41033</v>
      </c>
      <c r="F749">
        <v>0.98499999999999999</v>
      </c>
      <c r="G749" s="105">
        <v>41033</v>
      </c>
      <c r="H749">
        <v>1.1419999999999999</v>
      </c>
      <c r="I749" s="105">
        <v>41033</v>
      </c>
      <c r="J749">
        <v>1.288</v>
      </c>
    </row>
    <row r="750" spans="1:10">
      <c r="A750" s="105">
        <v>41032</v>
      </c>
      <c r="B750">
        <v>0.39900000000000002</v>
      </c>
      <c r="C750" s="105">
        <v>41032</v>
      </c>
      <c r="D750">
        <v>0.7</v>
      </c>
      <c r="E750" s="105">
        <v>41032</v>
      </c>
      <c r="F750">
        <v>0.98799999999999999</v>
      </c>
      <c r="G750" s="105">
        <v>41032</v>
      </c>
      <c r="H750">
        <v>1.147</v>
      </c>
      <c r="I750" s="105">
        <v>41032</v>
      </c>
      <c r="J750">
        <v>1.2949999999999999</v>
      </c>
    </row>
    <row r="751" spans="1:10">
      <c r="A751" s="105">
        <v>41031</v>
      </c>
      <c r="B751">
        <v>0.40100000000000002</v>
      </c>
      <c r="C751" s="105">
        <v>41031</v>
      </c>
      <c r="D751">
        <v>0.70399999999999996</v>
      </c>
      <c r="E751" s="105">
        <v>41031</v>
      </c>
      <c r="F751">
        <v>0.99199999999999999</v>
      </c>
      <c r="G751" s="105">
        <v>41031</v>
      </c>
      <c r="H751">
        <v>1.1539999999999999</v>
      </c>
      <c r="I751" s="105">
        <v>41031</v>
      </c>
      <c r="J751">
        <v>1.3029999999999999</v>
      </c>
    </row>
    <row r="752" spans="1:10">
      <c r="A752" s="105">
        <v>41029</v>
      </c>
      <c r="B752">
        <v>0.4</v>
      </c>
      <c r="C752" s="105">
        <v>41029</v>
      </c>
      <c r="D752">
        <v>0.70799999999999996</v>
      </c>
      <c r="E752" s="105">
        <v>41029</v>
      </c>
      <c r="F752">
        <v>0.998</v>
      </c>
      <c r="G752" s="105">
        <v>41029</v>
      </c>
      <c r="H752">
        <v>1.163</v>
      </c>
      <c r="I752" s="105">
        <v>41029</v>
      </c>
      <c r="J752">
        <v>1.3109999999999999</v>
      </c>
    </row>
    <row r="753" spans="1:10">
      <c r="A753" s="105">
        <v>41026</v>
      </c>
      <c r="B753">
        <v>0.40200000000000002</v>
      </c>
      <c r="C753" s="105">
        <v>41026</v>
      </c>
      <c r="D753">
        <v>0.71499999999999997</v>
      </c>
      <c r="E753" s="105">
        <v>41026</v>
      </c>
      <c r="F753">
        <v>1.0069999999999999</v>
      </c>
      <c r="G753" s="105">
        <v>41026</v>
      </c>
      <c r="H753">
        <v>1.173</v>
      </c>
      <c r="I753" s="105">
        <v>41026</v>
      </c>
      <c r="J753">
        <v>1.321</v>
      </c>
    </row>
    <row r="754" spans="1:10">
      <c r="A754" s="105">
        <v>41025</v>
      </c>
      <c r="B754">
        <v>0.40200000000000002</v>
      </c>
      <c r="C754" s="105">
        <v>41025</v>
      </c>
      <c r="D754">
        <v>0.72</v>
      </c>
      <c r="E754" s="105">
        <v>41025</v>
      </c>
      <c r="F754">
        <v>1.0129999999999999</v>
      </c>
      <c r="G754" s="105">
        <v>41025</v>
      </c>
      <c r="H754">
        <v>1.181</v>
      </c>
      <c r="I754" s="105">
        <v>41025</v>
      </c>
      <c r="J754">
        <v>1.329</v>
      </c>
    </row>
    <row r="755" spans="1:10">
      <c r="A755" s="105">
        <v>41024</v>
      </c>
      <c r="B755">
        <v>0.40400000000000003</v>
      </c>
      <c r="C755" s="105">
        <v>41024</v>
      </c>
      <c r="D755">
        <v>0.72399999999999998</v>
      </c>
      <c r="E755" s="105">
        <v>41024</v>
      </c>
      <c r="F755">
        <v>1.018</v>
      </c>
      <c r="G755" s="105">
        <v>41024</v>
      </c>
      <c r="H755">
        <v>1.1859999999999999</v>
      </c>
      <c r="I755" s="105">
        <v>41024</v>
      </c>
      <c r="J755">
        <v>1.335</v>
      </c>
    </row>
    <row r="756" spans="1:10">
      <c r="A756" s="105">
        <v>41023</v>
      </c>
      <c r="B756">
        <v>0.40600000000000003</v>
      </c>
      <c r="C756" s="105">
        <v>41023</v>
      </c>
      <c r="D756">
        <v>0.72699999999999998</v>
      </c>
      <c r="E756" s="105">
        <v>41023</v>
      </c>
      <c r="F756">
        <v>1.024</v>
      </c>
      <c r="G756" s="105">
        <v>41023</v>
      </c>
      <c r="H756">
        <v>1.1919999999999999</v>
      </c>
      <c r="I756" s="105">
        <v>41023</v>
      </c>
      <c r="J756">
        <v>1.3420000000000001</v>
      </c>
    </row>
    <row r="757" spans="1:10">
      <c r="A757" s="105">
        <v>41022</v>
      </c>
      <c r="B757">
        <v>0.40600000000000003</v>
      </c>
      <c r="C757" s="105">
        <v>41022</v>
      </c>
      <c r="D757">
        <v>0.73099999999999998</v>
      </c>
      <c r="E757" s="105">
        <v>41022</v>
      </c>
      <c r="F757">
        <v>1.0269999999999999</v>
      </c>
      <c r="G757" s="105">
        <v>41022</v>
      </c>
      <c r="H757">
        <v>1.198</v>
      </c>
      <c r="I757" s="105">
        <v>41022</v>
      </c>
      <c r="J757">
        <v>1.3480000000000001</v>
      </c>
    </row>
    <row r="758" spans="1:10">
      <c r="A758" s="105">
        <v>41019</v>
      </c>
      <c r="B758">
        <v>0.40699999999999997</v>
      </c>
      <c r="C758" s="105">
        <v>41019</v>
      </c>
      <c r="D758">
        <v>0.73399999999999999</v>
      </c>
      <c r="E758" s="105">
        <v>41019</v>
      </c>
      <c r="F758">
        <v>1.0289999999999999</v>
      </c>
      <c r="G758" s="105">
        <v>41019</v>
      </c>
      <c r="H758">
        <v>1.2</v>
      </c>
      <c r="I758" s="105">
        <v>41019</v>
      </c>
      <c r="J758">
        <v>1.3520000000000001</v>
      </c>
    </row>
    <row r="759" spans="1:10">
      <c r="A759" s="105">
        <v>41018</v>
      </c>
      <c r="B759">
        <v>0.40699999999999997</v>
      </c>
      <c r="C759" s="105">
        <v>41018</v>
      </c>
      <c r="D759">
        <v>0.73699999999999999</v>
      </c>
      <c r="E759" s="105">
        <v>41018</v>
      </c>
      <c r="F759">
        <v>1.0329999999999999</v>
      </c>
      <c r="G759" s="105">
        <v>41018</v>
      </c>
      <c r="H759">
        <v>1.204</v>
      </c>
      <c r="I759" s="105">
        <v>41018</v>
      </c>
      <c r="J759">
        <v>1.357</v>
      </c>
    </row>
    <row r="760" spans="1:10">
      <c r="A760" s="105">
        <v>41017</v>
      </c>
      <c r="B760">
        <v>0.40799999999999997</v>
      </c>
      <c r="C760" s="105">
        <v>41017</v>
      </c>
      <c r="D760">
        <v>0.74099999999999999</v>
      </c>
      <c r="E760" s="105">
        <v>41017</v>
      </c>
      <c r="F760">
        <v>1.038</v>
      </c>
      <c r="G760" s="105">
        <v>41017</v>
      </c>
      <c r="H760">
        <v>1.2110000000000001</v>
      </c>
      <c r="I760" s="105">
        <v>41017</v>
      </c>
      <c r="J760">
        <v>1.3640000000000001</v>
      </c>
    </row>
    <row r="761" spans="1:10">
      <c r="A761" s="105">
        <v>41016</v>
      </c>
      <c r="B761">
        <v>0.40799999999999997</v>
      </c>
      <c r="C761" s="105">
        <v>41016</v>
      </c>
      <c r="D761">
        <v>0.746</v>
      </c>
      <c r="E761" s="105">
        <v>41016</v>
      </c>
      <c r="F761">
        <v>1.0409999999999999</v>
      </c>
      <c r="G761" s="105">
        <v>41016</v>
      </c>
      <c r="H761">
        <v>1.2170000000000001</v>
      </c>
      <c r="I761" s="105">
        <v>41016</v>
      </c>
      <c r="J761">
        <v>1.3720000000000001</v>
      </c>
    </row>
    <row r="762" spans="1:10">
      <c r="A762" s="105">
        <v>41015</v>
      </c>
      <c r="B762">
        <v>0.40899999999999997</v>
      </c>
      <c r="C762" s="105">
        <v>41015</v>
      </c>
      <c r="D762">
        <v>0.75</v>
      </c>
      <c r="E762" s="105">
        <v>41015</v>
      </c>
      <c r="F762">
        <v>1.044</v>
      </c>
      <c r="G762" s="105">
        <v>41015</v>
      </c>
      <c r="H762">
        <v>1.222</v>
      </c>
      <c r="I762" s="105">
        <v>41015</v>
      </c>
      <c r="J762">
        <v>1.375</v>
      </c>
    </row>
    <row r="763" spans="1:10">
      <c r="A763" s="105">
        <v>41012</v>
      </c>
      <c r="B763">
        <v>0.41</v>
      </c>
      <c r="C763" s="105">
        <v>41012</v>
      </c>
      <c r="D763">
        <v>0.753</v>
      </c>
      <c r="E763" s="105">
        <v>41012</v>
      </c>
      <c r="F763">
        <v>1.048</v>
      </c>
      <c r="G763" s="105">
        <v>41012</v>
      </c>
      <c r="H763">
        <v>1.226</v>
      </c>
      <c r="I763" s="105">
        <v>41012</v>
      </c>
      <c r="J763">
        <v>1.381</v>
      </c>
    </row>
    <row r="764" spans="1:10">
      <c r="A764" s="105">
        <v>41011</v>
      </c>
      <c r="B764">
        <v>0.41099999999999998</v>
      </c>
      <c r="C764" s="105">
        <v>41011</v>
      </c>
      <c r="D764">
        <v>0.75700000000000001</v>
      </c>
      <c r="E764" s="105">
        <v>41011</v>
      </c>
      <c r="F764">
        <v>1.0529999999999999</v>
      </c>
      <c r="G764" s="105">
        <v>41011</v>
      </c>
      <c r="H764">
        <v>1.232</v>
      </c>
      <c r="I764" s="105">
        <v>41011</v>
      </c>
      <c r="J764">
        <v>1.387</v>
      </c>
    </row>
    <row r="765" spans="1:10">
      <c r="A765" s="105">
        <v>41010</v>
      </c>
      <c r="B765">
        <v>0.41199999999999998</v>
      </c>
      <c r="C765" s="105">
        <v>41010</v>
      </c>
      <c r="D765">
        <v>0.76</v>
      </c>
      <c r="E765" s="105">
        <v>41010</v>
      </c>
      <c r="F765">
        <v>1.0569999999999999</v>
      </c>
      <c r="G765" s="105">
        <v>41010</v>
      </c>
      <c r="H765">
        <v>1.2370000000000001</v>
      </c>
      <c r="I765" s="105">
        <v>41010</v>
      </c>
      <c r="J765">
        <v>1.393</v>
      </c>
    </row>
    <row r="766" spans="1:10">
      <c r="A766" s="105">
        <v>41009</v>
      </c>
      <c r="B766">
        <v>0.41399999999999998</v>
      </c>
      <c r="C766" s="105">
        <v>41009</v>
      </c>
      <c r="D766">
        <v>0.76400000000000001</v>
      </c>
      <c r="E766" s="105">
        <v>41009</v>
      </c>
      <c r="F766">
        <v>1.0609999999999999</v>
      </c>
      <c r="G766" s="105">
        <v>41009</v>
      </c>
      <c r="H766">
        <v>1.244</v>
      </c>
      <c r="I766" s="105">
        <v>41009</v>
      </c>
      <c r="J766">
        <v>1.3979999999999999</v>
      </c>
    </row>
    <row r="767" spans="1:10">
      <c r="A767" s="105">
        <v>41004</v>
      </c>
      <c r="B767">
        <v>0.41399999999999998</v>
      </c>
      <c r="C767" s="105">
        <v>41004</v>
      </c>
      <c r="D767">
        <v>0.76600000000000001</v>
      </c>
      <c r="E767" s="105">
        <v>41004</v>
      </c>
      <c r="F767">
        <v>1.0640000000000001</v>
      </c>
      <c r="G767" s="105">
        <v>41004</v>
      </c>
      <c r="H767">
        <v>1.2470000000000001</v>
      </c>
      <c r="I767" s="105">
        <v>41004</v>
      </c>
      <c r="J767">
        <v>1.4019999999999999</v>
      </c>
    </row>
    <row r="768" spans="1:10">
      <c r="A768" s="105">
        <v>41003</v>
      </c>
      <c r="B768">
        <v>0.41499999999999998</v>
      </c>
      <c r="C768" s="105">
        <v>41003</v>
      </c>
      <c r="D768">
        <v>0.76800000000000002</v>
      </c>
      <c r="E768" s="105">
        <v>41003</v>
      </c>
      <c r="F768">
        <v>1.0669999999999999</v>
      </c>
      <c r="G768" s="105">
        <v>41003</v>
      </c>
      <c r="H768">
        <v>1.25</v>
      </c>
      <c r="I768" s="105">
        <v>41003</v>
      </c>
      <c r="J768">
        <v>1.405</v>
      </c>
    </row>
    <row r="769" spans="1:10">
      <c r="A769" s="105">
        <v>41002</v>
      </c>
      <c r="B769">
        <v>0.41599999999999998</v>
      </c>
      <c r="C769" s="105">
        <v>41002</v>
      </c>
      <c r="D769">
        <v>0.77</v>
      </c>
      <c r="E769" s="105">
        <v>41002</v>
      </c>
      <c r="F769">
        <v>1.07</v>
      </c>
      <c r="G769" s="105">
        <v>41002</v>
      </c>
      <c r="H769">
        <v>1.2529999999999999</v>
      </c>
      <c r="I769" s="105">
        <v>41002</v>
      </c>
      <c r="J769">
        <v>1.407</v>
      </c>
    </row>
    <row r="770" spans="1:10">
      <c r="A770" s="105">
        <v>41001</v>
      </c>
      <c r="B770">
        <v>0.41699999999999998</v>
      </c>
      <c r="C770" s="105">
        <v>41001</v>
      </c>
      <c r="D770">
        <v>0.77100000000000002</v>
      </c>
      <c r="E770" s="105">
        <v>41001</v>
      </c>
      <c r="F770">
        <v>1.0720000000000001</v>
      </c>
      <c r="G770" s="105">
        <v>41001</v>
      </c>
      <c r="H770">
        <v>1.2549999999999999</v>
      </c>
      <c r="I770" s="105">
        <v>41001</v>
      </c>
      <c r="J770">
        <v>1.41</v>
      </c>
    </row>
    <row r="771" spans="1:10">
      <c r="A771" s="105">
        <v>40998</v>
      </c>
      <c r="B771">
        <v>0.41899999999999998</v>
      </c>
      <c r="C771" s="105">
        <v>40998</v>
      </c>
      <c r="D771">
        <v>0.77700000000000002</v>
      </c>
      <c r="E771" s="105">
        <v>40998</v>
      </c>
      <c r="F771">
        <v>1.0780000000000001</v>
      </c>
      <c r="G771" s="105">
        <v>40998</v>
      </c>
      <c r="H771">
        <v>1.262</v>
      </c>
      <c r="I771" s="105">
        <v>40998</v>
      </c>
      <c r="J771">
        <v>1.4159999999999999</v>
      </c>
    </row>
    <row r="772" spans="1:10">
      <c r="A772" s="105">
        <v>40997</v>
      </c>
      <c r="B772">
        <v>0.42</v>
      </c>
      <c r="C772" s="105">
        <v>40997</v>
      </c>
      <c r="D772">
        <v>0.78300000000000003</v>
      </c>
      <c r="E772" s="105">
        <v>40997</v>
      </c>
      <c r="F772">
        <v>1.0840000000000001</v>
      </c>
      <c r="G772" s="105">
        <v>40997</v>
      </c>
      <c r="H772">
        <v>1.266</v>
      </c>
      <c r="I772" s="105">
        <v>40997</v>
      </c>
      <c r="J772">
        <v>1.42</v>
      </c>
    </row>
    <row r="773" spans="1:10">
      <c r="A773" s="105">
        <v>40996</v>
      </c>
      <c r="B773">
        <v>0.42299999999999999</v>
      </c>
      <c r="C773" s="105">
        <v>40996</v>
      </c>
      <c r="D773">
        <v>0.78700000000000003</v>
      </c>
      <c r="E773" s="105">
        <v>40996</v>
      </c>
      <c r="F773">
        <v>1.0900000000000001</v>
      </c>
      <c r="G773" s="105">
        <v>40996</v>
      </c>
      <c r="H773">
        <v>1.2729999999999999</v>
      </c>
      <c r="I773" s="105">
        <v>40996</v>
      </c>
      <c r="J773">
        <v>1.4259999999999999</v>
      </c>
    </row>
    <row r="774" spans="1:10">
      <c r="A774" s="105">
        <v>40995</v>
      </c>
      <c r="B774">
        <v>0.42599999999999999</v>
      </c>
      <c r="C774" s="105">
        <v>40995</v>
      </c>
      <c r="D774">
        <v>0.79400000000000004</v>
      </c>
      <c r="E774" s="105">
        <v>40995</v>
      </c>
      <c r="F774">
        <v>1.097</v>
      </c>
      <c r="G774" s="105">
        <v>40995</v>
      </c>
      <c r="H774">
        <v>1.2809999999999999</v>
      </c>
      <c r="I774" s="105">
        <v>40995</v>
      </c>
      <c r="J774">
        <v>1.4330000000000001</v>
      </c>
    </row>
    <row r="775" spans="1:10">
      <c r="A775" s="105">
        <v>40994</v>
      </c>
      <c r="B775">
        <v>0.42899999999999999</v>
      </c>
      <c r="C775" s="105">
        <v>40994</v>
      </c>
      <c r="D775">
        <v>0.8</v>
      </c>
      <c r="E775" s="105">
        <v>40994</v>
      </c>
      <c r="F775">
        <v>1.103</v>
      </c>
      <c r="G775" s="105">
        <v>40994</v>
      </c>
      <c r="H775">
        <v>1.2869999999999999</v>
      </c>
      <c r="I775" s="105">
        <v>40994</v>
      </c>
      <c r="J775">
        <v>1.44</v>
      </c>
    </row>
    <row r="776" spans="1:10">
      <c r="A776" s="105">
        <v>40991</v>
      </c>
      <c r="B776">
        <v>0.433</v>
      </c>
      <c r="C776" s="105">
        <v>40991</v>
      </c>
      <c r="D776">
        <v>0.80800000000000005</v>
      </c>
      <c r="E776" s="105">
        <v>40991</v>
      </c>
      <c r="F776">
        <v>1.1120000000000001</v>
      </c>
      <c r="G776" s="105">
        <v>40991</v>
      </c>
      <c r="H776">
        <v>1.2949999999999999</v>
      </c>
      <c r="I776" s="105">
        <v>40991</v>
      </c>
      <c r="J776">
        <v>1.448</v>
      </c>
    </row>
    <row r="777" spans="1:10">
      <c r="A777" s="105">
        <v>40990</v>
      </c>
      <c r="B777">
        <v>0.436</v>
      </c>
      <c r="C777" s="105">
        <v>40990</v>
      </c>
      <c r="D777">
        <v>0.81699999999999995</v>
      </c>
      <c r="E777" s="105">
        <v>40990</v>
      </c>
      <c r="F777">
        <v>1.1200000000000001</v>
      </c>
      <c r="G777" s="105">
        <v>40990</v>
      </c>
      <c r="H777">
        <v>1.304</v>
      </c>
      <c r="I777" s="105">
        <v>40990</v>
      </c>
      <c r="J777">
        <v>1.4550000000000001</v>
      </c>
    </row>
    <row r="778" spans="1:10">
      <c r="A778" s="105">
        <v>40989</v>
      </c>
      <c r="B778">
        <v>0.442</v>
      </c>
      <c r="C778" s="105">
        <v>40989</v>
      </c>
      <c r="D778">
        <v>0.82399999999999995</v>
      </c>
      <c r="E778" s="105">
        <v>40989</v>
      </c>
      <c r="F778">
        <v>1.127</v>
      </c>
      <c r="G778" s="105">
        <v>40989</v>
      </c>
      <c r="H778">
        <v>1.3129999999999999</v>
      </c>
      <c r="I778" s="105">
        <v>40989</v>
      </c>
      <c r="J778">
        <v>1.464</v>
      </c>
    </row>
    <row r="779" spans="1:10">
      <c r="A779" s="105">
        <v>40988</v>
      </c>
      <c r="B779">
        <v>0.44700000000000001</v>
      </c>
      <c r="C779" s="105">
        <v>40988</v>
      </c>
      <c r="D779">
        <v>0.83199999999999996</v>
      </c>
      <c r="E779" s="105">
        <v>40988</v>
      </c>
      <c r="F779">
        <v>1.1359999999999999</v>
      </c>
      <c r="G779" s="105">
        <v>40988</v>
      </c>
      <c r="H779">
        <v>1.321</v>
      </c>
      <c r="I779" s="105">
        <v>40988</v>
      </c>
      <c r="J779">
        <v>1.474</v>
      </c>
    </row>
    <row r="780" spans="1:10">
      <c r="A780" s="105">
        <v>40987</v>
      </c>
      <c r="B780">
        <v>0.45200000000000001</v>
      </c>
      <c r="C780" s="105">
        <v>40987</v>
      </c>
      <c r="D780">
        <v>0.84199999999999997</v>
      </c>
      <c r="E780" s="105">
        <v>40987</v>
      </c>
      <c r="F780">
        <v>1.1459999999999999</v>
      </c>
      <c r="G780" s="105">
        <v>40987</v>
      </c>
      <c r="H780">
        <v>1.331</v>
      </c>
      <c r="I780" s="105">
        <v>40987</v>
      </c>
      <c r="J780">
        <v>1.4850000000000001</v>
      </c>
    </row>
    <row r="781" spans="1:10">
      <c r="A781" s="105">
        <v>40984</v>
      </c>
      <c r="B781">
        <v>0.45800000000000002</v>
      </c>
      <c r="C781" s="105">
        <v>40984</v>
      </c>
      <c r="D781">
        <v>0.85299999999999998</v>
      </c>
      <c r="E781" s="105">
        <v>40984</v>
      </c>
      <c r="F781">
        <v>1.1579999999999999</v>
      </c>
      <c r="G781" s="105">
        <v>40984</v>
      </c>
      <c r="H781">
        <v>1.3420000000000001</v>
      </c>
      <c r="I781" s="105">
        <v>40984</v>
      </c>
      <c r="J781">
        <v>1.4950000000000001</v>
      </c>
    </row>
    <row r="782" spans="1:10">
      <c r="A782" s="105">
        <v>40983</v>
      </c>
      <c r="B782">
        <v>0.46500000000000002</v>
      </c>
      <c r="C782" s="105">
        <v>40983</v>
      </c>
      <c r="D782">
        <v>0.86199999999999999</v>
      </c>
      <c r="E782" s="105">
        <v>40983</v>
      </c>
      <c r="F782">
        <v>1.1679999999999999</v>
      </c>
      <c r="G782" s="105">
        <v>40983</v>
      </c>
      <c r="H782">
        <v>1.353</v>
      </c>
      <c r="I782" s="105">
        <v>40983</v>
      </c>
      <c r="J782">
        <v>1.5049999999999999</v>
      </c>
    </row>
    <row r="783" spans="1:10">
      <c r="A783" s="105">
        <v>40982</v>
      </c>
      <c r="B783">
        <v>0.47199999999999998</v>
      </c>
      <c r="C783" s="105">
        <v>40982</v>
      </c>
      <c r="D783">
        <v>0.871</v>
      </c>
      <c r="E783" s="105">
        <v>40982</v>
      </c>
      <c r="F783">
        <v>1.177</v>
      </c>
      <c r="G783" s="105">
        <v>40982</v>
      </c>
      <c r="H783">
        <v>1.3620000000000001</v>
      </c>
      <c r="I783" s="105">
        <v>40982</v>
      </c>
      <c r="J783">
        <v>1.5129999999999999</v>
      </c>
    </row>
    <row r="784" spans="1:10">
      <c r="A784" s="105">
        <v>40981</v>
      </c>
      <c r="B784">
        <v>0.47699999999999998</v>
      </c>
      <c r="C784" s="105">
        <v>40981</v>
      </c>
      <c r="D784">
        <v>0.876</v>
      </c>
      <c r="E784" s="105">
        <v>40981</v>
      </c>
      <c r="F784">
        <v>1.1830000000000001</v>
      </c>
      <c r="G784" s="105">
        <v>40981</v>
      </c>
      <c r="H784">
        <v>1.367</v>
      </c>
      <c r="I784" s="105">
        <v>40981</v>
      </c>
      <c r="J784">
        <v>1.5189999999999999</v>
      </c>
    </row>
    <row r="785" spans="1:10">
      <c r="A785" s="105">
        <v>40980</v>
      </c>
      <c r="B785">
        <v>0.48199999999999998</v>
      </c>
      <c r="C785" s="105">
        <v>40980</v>
      </c>
      <c r="D785">
        <v>0.88400000000000001</v>
      </c>
      <c r="E785" s="105">
        <v>40980</v>
      </c>
      <c r="F785">
        <v>1.1930000000000001</v>
      </c>
      <c r="G785" s="105">
        <v>40980</v>
      </c>
      <c r="H785">
        <v>1.3759999999999999</v>
      </c>
      <c r="I785" s="105">
        <v>40980</v>
      </c>
      <c r="J785">
        <v>1.5269999999999999</v>
      </c>
    </row>
    <row r="786" spans="1:10">
      <c r="A786" s="105">
        <v>40977</v>
      </c>
      <c r="B786">
        <v>0.49</v>
      </c>
      <c r="C786" s="105">
        <v>40977</v>
      </c>
      <c r="D786">
        <v>0.89400000000000002</v>
      </c>
      <c r="E786" s="105">
        <v>40977</v>
      </c>
      <c r="F786">
        <v>1.2030000000000001</v>
      </c>
      <c r="G786" s="105">
        <v>40977</v>
      </c>
      <c r="H786">
        <v>1.385</v>
      </c>
      <c r="I786" s="105">
        <v>40977</v>
      </c>
      <c r="J786">
        <v>1.5349999999999999</v>
      </c>
    </row>
    <row r="787" spans="1:10">
      <c r="A787" s="105">
        <v>40976</v>
      </c>
      <c r="B787">
        <v>0.495</v>
      </c>
      <c r="C787" s="105">
        <v>40976</v>
      </c>
      <c r="D787">
        <v>0.90200000000000002</v>
      </c>
      <c r="E787" s="105">
        <v>40976</v>
      </c>
      <c r="F787">
        <v>1.2130000000000001</v>
      </c>
      <c r="G787" s="105">
        <v>40976</v>
      </c>
      <c r="H787">
        <v>1.393</v>
      </c>
      <c r="I787" s="105">
        <v>40976</v>
      </c>
      <c r="J787">
        <v>1.544</v>
      </c>
    </row>
    <row r="788" spans="1:10">
      <c r="A788" s="105">
        <v>40975</v>
      </c>
      <c r="B788">
        <v>0.504</v>
      </c>
      <c r="C788" s="105">
        <v>40975</v>
      </c>
      <c r="D788">
        <v>0.91100000000000003</v>
      </c>
      <c r="E788" s="105">
        <v>40975</v>
      </c>
      <c r="F788">
        <v>1.2210000000000001</v>
      </c>
      <c r="G788" s="105">
        <v>40975</v>
      </c>
      <c r="H788">
        <v>1.401</v>
      </c>
      <c r="I788" s="105">
        <v>40975</v>
      </c>
      <c r="J788">
        <v>1.552</v>
      </c>
    </row>
    <row r="789" spans="1:10">
      <c r="A789" s="105">
        <v>40974</v>
      </c>
      <c r="B789">
        <v>0.51100000000000001</v>
      </c>
      <c r="C789" s="105">
        <v>40974</v>
      </c>
      <c r="D789">
        <v>0.92</v>
      </c>
      <c r="E789" s="105">
        <v>40974</v>
      </c>
      <c r="F789">
        <v>1.2290000000000001</v>
      </c>
      <c r="G789" s="105">
        <v>40974</v>
      </c>
      <c r="H789">
        <v>1.41</v>
      </c>
      <c r="I789" s="105">
        <v>40974</v>
      </c>
      <c r="J789">
        <v>1.5609999999999999</v>
      </c>
    </row>
    <row r="790" spans="1:10">
      <c r="A790" s="105">
        <v>40973</v>
      </c>
      <c r="B790">
        <v>0.52100000000000002</v>
      </c>
      <c r="C790" s="105">
        <v>40973</v>
      </c>
      <c r="D790">
        <v>0.93400000000000005</v>
      </c>
      <c r="E790" s="105">
        <v>40973</v>
      </c>
      <c r="F790">
        <v>1.242</v>
      </c>
      <c r="G790" s="105">
        <v>40973</v>
      </c>
      <c r="H790">
        <v>1.423</v>
      </c>
      <c r="I790" s="105">
        <v>40973</v>
      </c>
      <c r="J790">
        <v>1.5720000000000001</v>
      </c>
    </row>
    <row r="791" spans="1:10">
      <c r="A791" s="105">
        <v>40970</v>
      </c>
      <c r="B791">
        <v>0.53200000000000003</v>
      </c>
      <c r="C791" s="105">
        <v>40970</v>
      </c>
      <c r="D791">
        <v>0.94799999999999995</v>
      </c>
      <c r="E791" s="105">
        <v>40970</v>
      </c>
      <c r="F791">
        <v>1.254</v>
      </c>
      <c r="G791" s="105">
        <v>40970</v>
      </c>
      <c r="H791">
        <v>1.4350000000000001</v>
      </c>
      <c r="I791" s="105">
        <v>40970</v>
      </c>
      <c r="J791">
        <v>1.5840000000000001</v>
      </c>
    </row>
    <row r="792" spans="1:10">
      <c r="A792" s="105">
        <v>40969</v>
      </c>
      <c r="B792">
        <v>0.54900000000000004</v>
      </c>
      <c r="C792" s="105">
        <v>40969</v>
      </c>
      <c r="D792">
        <v>0.96699999999999997</v>
      </c>
      <c r="E792" s="105">
        <v>40969</v>
      </c>
      <c r="F792">
        <v>1.2669999999999999</v>
      </c>
      <c r="G792" s="105">
        <v>40969</v>
      </c>
      <c r="H792">
        <v>1.448</v>
      </c>
      <c r="I792" s="105">
        <v>40969</v>
      </c>
      <c r="J792">
        <v>1.599</v>
      </c>
    </row>
    <row r="793" spans="1:10">
      <c r="A793" s="105">
        <v>40968</v>
      </c>
      <c r="B793">
        <v>0.56399999999999995</v>
      </c>
      <c r="C793" s="105">
        <v>40968</v>
      </c>
      <c r="D793">
        <v>0.98299999999999998</v>
      </c>
      <c r="E793" s="105">
        <v>40968</v>
      </c>
      <c r="F793">
        <v>1.2789999999999999</v>
      </c>
      <c r="G793" s="105">
        <v>40968</v>
      </c>
      <c r="H793">
        <v>1.46</v>
      </c>
      <c r="I793" s="105">
        <v>40968</v>
      </c>
      <c r="J793">
        <v>1.6140000000000001</v>
      </c>
    </row>
    <row r="794" spans="1:10">
      <c r="A794" s="105">
        <v>40967</v>
      </c>
      <c r="B794">
        <v>0.57199999999999995</v>
      </c>
      <c r="C794" s="105">
        <v>40967</v>
      </c>
      <c r="D794">
        <v>0.99099999999999999</v>
      </c>
      <c r="E794" s="105">
        <v>40967</v>
      </c>
      <c r="F794">
        <v>1.2849999999999999</v>
      </c>
      <c r="G794" s="105">
        <v>40967</v>
      </c>
      <c r="H794">
        <v>1.468</v>
      </c>
      <c r="I794" s="105">
        <v>40967</v>
      </c>
      <c r="J794">
        <v>1.62</v>
      </c>
    </row>
    <row r="795" spans="1:10">
      <c r="A795" s="105">
        <v>40966</v>
      </c>
      <c r="B795">
        <v>0.57599999999999996</v>
      </c>
      <c r="C795" s="105">
        <v>40966</v>
      </c>
      <c r="D795">
        <v>0.997</v>
      </c>
      <c r="E795" s="105">
        <v>40966</v>
      </c>
      <c r="F795">
        <v>1.292</v>
      </c>
      <c r="G795" s="105">
        <v>40966</v>
      </c>
      <c r="H795">
        <v>1.474</v>
      </c>
      <c r="I795" s="105">
        <v>40966</v>
      </c>
      <c r="J795">
        <v>1.627</v>
      </c>
    </row>
    <row r="796" spans="1:10">
      <c r="A796" s="105">
        <v>40963</v>
      </c>
      <c r="B796">
        <v>0.58499999999999996</v>
      </c>
      <c r="C796" s="105">
        <v>40963</v>
      </c>
      <c r="D796">
        <v>1.006</v>
      </c>
      <c r="E796" s="105">
        <v>40963</v>
      </c>
      <c r="F796">
        <v>1.3009999999999999</v>
      </c>
      <c r="G796" s="105">
        <v>40963</v>
      </c>
      <c r="H796">
        <v>1.484</v>
      </c>
      <c r="I796" s="105">
        <v>40963</v>
      </c>
      <c r="J796">
        <v>1.6359999999999999</v>
      </c>
    </row>
    <row r="797" spans="1:10">
      <c r="A797" s="105">
        <v>40962</v>
      </c>
      <c r="B797">
        <v>0.59199999999999997</v>
      </c>
      <c r="C797" s="105">
        <v>40962</v>
      </c>
      <c r="D797">
        <v>1.014</v>
      </c>
      <c r="E797" s="105">
        <v>40962</v>
      </c>
      <c r="F797">
        <v>1.3089999999999999</v>
      </c>
      <c r="G797" s="105">
        <v>40962</v>
      </c>
      <c r="H797">
        <v>1.492</v>
      </c>
      <c r="I797" s="105">
        <v>40962</v>
      </c>
      <c r="J797">
        <v>1.6419999999999999</v>
      </c>
    </row>
    <row r="798" spans="1:10">
      <c r="A798" s="105">
        <v>40961</v>
      </c>
      <c r="B798">
        <v>0.59499999999999997</v>
      </c>
      <c r="C798" s="105">
        <v>40961</v>
      </c>
      <c r="D798">
        <v>1.0209999999999999</v>
      </c>
      <c r="E798" s="105">
        <v>40961</v>
      </c>
      <c r="F798">
        <v>1.3149999999999999</v>
      </c>
      <c r="G798" s="105">
        <v>40961</v>
      </c>
      <c r="H798">
        <v>1.496</v>
      </c>
      <c r="I798" s="105">
        <v>40961</v>
      </c>
      <c r="J798">
        <v>1.6479999999999999</v>
      </c>
    </row>
    <row r="799" spans="1:10">
      <c r="A799" s="105">
        <v>40960</v>
      </c>
      <c r="B799">
        <v>0.6</v>
      </c>
      <c r="C799" s="105">
        <v>40960</v>
      </c>
      <c r="D799">
        <v>1.026</v>
      </c>
      <c r="E799" s="105">
        <v>40960</v>
      </c>
      <c r="F799">
        <v>1.321</v>
      </c>
      <c r="G799" s="105">
        <v>40960</v>
      </c>
      <c r="H799">
        <v>1.5009999999999999</v>
      </c>
      <c r="I799" s="105">
        <v>40960</v>
      </c>
      <c r="J799">
        <v>1.6519999999999999</v>
      </c>
    </row>
    <row r="800" spans="1:10">
      <c r="A800" s="105">
        <v>40959</v>
      </c>
      <c r="B800">
        <v>0.60299999999999998</v>
      </c>
      <c r="C800" s="105">
        <v>40959</v>
      </c>
      <c r="D800">
        <v>1.0309999999999999</v>
      </c>
      <c r="E800" s="105">
        <v>40959</v>
      </c>
      <c r="F800">
        <v>1.3280000000000001</v>
      </c>
      <c r="G800" s="105">
        <v>40959</v>
      </c>
      <c r="H800">
        <v>1.5069999999999999</v>
      </c>
      <c r="I800" s="105">
        <v>40959</v>
      </c>
      <c r="J800">
        <v>1.6579999999999999</v>
      </c>
    </row>
    <row r="801" spans="1:10">
      <c r="A801" s="105">
        <v>40956</v>
      </c>
      <c r="B801">
        <v>0.61</v>
      </c>
      <c r="C801" s="105">
        <v>40956</v>
      </c>
      <c r="D801">
        <v>1.036</v>
      </c>
      <c r="E801" s="105">
        <v>40956</v>
      </c>
      <c r="F801">
        <v>1.3340000000000001</v>
      </c>
      <c r="G801" s="105">
        <v>40956</v>
      </c>
      <c r="H801">
        <v>1.514</v>
      </c>
      <c r="I801" s="105">
        <v>40956</v>
      </c>
      <c r="J801">
        <v>1.6639999999999999</v>
      </c>
    </row>
    <row r="802" spans="1:10">
      <c r="A802" s="105">
        <v>40955</v>
      </c>
      <c r="B802">
        <v>0.61499999999999999</v>
      </c>
      <c r="C802" s="105">
        <v>40955</v>
      </c>
      <c r="D802">
        <v>1.0409999999999999</v>
      </c>
      <c r="E802" s="105">
        <v>40955</v>
      </c>
      <c r="F802">
        <v>1.339</v>
      </c>
      <c r="G802" s="105">
        <v>40955</v>
      </c>
      <c r="H802">
        <v>1.52</v>
      </c>
      <c r="I802" s="105">
        <v>40955</v>
      </c>
      <c r="J802">
        <v>1.669</v>
      </c>
    </row>
    <row r="803" spans="1:10">
      <c r="A803" s="105">
        <v>40954</v>
      </c>
      <c r="B803">
        <v>0.62</v>
      </c>
      <c r="C803" s="105">
        <v>40954</v>
      </c>
      <c r="D803">
        <v>1.0449999999999999</v>
      </c>
      <c r="E803" s="105">
        <v>40954</v>
      </c>
      <c r="F803">
        <v>1.345</v>
      </c>
      <c r="G803" s="105">
        <v>40954</v>
      </c>
      <c r="H803">
        <v>1.5269999999999999</v>
      </c>
      <c r="I803" s="105">
        <v>40954</v>
      </c>
      <c r="J803">
        <v>1.675</v>
      </c>
    </row>
    <row r="804" spans="1:10">
      <c r="A804" s="105">
        <v>40953</v>
      </c>
      <c r="B804">
        <v>0.626</v>
      </c>
      <c r="C804" s="105">
        <v>40953</v>
      </c>
      <c r="D804">
        <v>1.0509999999999999</v>
      </c>
      <c r="E804" s="105">
        <v>40953</v>
      </c>
      <c r="F804">
        <v>1.3520000000000001</v>
      </c>
      <c r="G804" s="105">
        <v>40953</v>
      </c>
      <c r="H804">
        <v>1.5349999999999999</v>
      </c>
      <c r="I804" s="105">
        <v>40953</v>
      </c>
      <c r="J804">
        <v>1.6839999999999999</v>
      </c>
    </row>
    <row r="805" spans="1:10">
      <c r="A805" s="105">
        <v>40952</v>
      </c>
      <c r="B805">
        <v>0.63300000000000001</v>
      </c>
      <c r="C805" s="105">
        <v>40952</v>
      </c>
      <c r="D805">
        <v>1.0569999999999999</v>
      </c>
      <c r="E805" s="105">
        <v>40952</v>
      </c>
      <c r="F805">
        <v>1.359</v>
      </c>
      <c r="G805" s="105">
        <v>40952</v>
      </c>
      <c r="H805">
        <v>1.542</v>
      </c>
      <c r="I805" s="105">
        <v>40952</v>
      </c>
      <c r="J805">
        <v>1.6910000000000001</v>
      </c>
    </row>
    <row r="806" spans="1:10">
      <c r="A806" s="105">
        <v>40949</v>
      </c>
      <c r="B806">
        <v>0.64100000000000001</v>
      </c>
      <c r="C806" s="105">
        <v>40949</v>
      </c>
      <c r="D806">
        <v>1.0629999999999999</v>
      </c>
      <c r="E806" s="105">
        <v>40949</v>
      </c>
      <c r="F806">
        <v>1.365</v>
      </c>
      <c r="G806" s="105">
        <v>40949</v>
      </c>
      <c r="H806">
        <v>1.55</v>
      </c>
      <c r="I806" s="105">
        <v>40949</v>
      </c>
      <c r="J806">
        <v>1.6970000000000001</v>
      </c>
    </row>
    <row r="807" spans="1:10">
      <c r="A807" s="105">
        <v>40948</v>
      </c>
      <c r="B807">
        <v>0.64700000000000002</v>
      </c>
      <c r="C807" s="105">
        <v>40948</v>
      </c>
      <c r="D807">
        <v>1.07</v>
      </c>
      <c r="E807" s="105">
        <v>40948</v>
      </c>
      <c r="F807">
        <v>1.37</v>
      </c>
      <c r="G807" s="105">
        <v>40948</v>
      </c>
      <c r="H807">
        <v>1.5549999999999999</v>
      </c>
      <c r="I807" s="105">
        <v>40948</v>
      </c>
      <c r="J807">
        <v>1.702</v>
      </c>
    </row>
    <row r="808" spans="1:10">
      <c r="A808" s="105">
        <v>40947</v>
      </c>
      <c r="B808">
        <v>0.65500000000000003</v>
      </c>
      <c r="C808" s="105">
        <v>40947</v>
      </c>
      <c r="D808">
        <v>1.077</v>
      </c>
      <c r="E808" s="105">
        <v>40947</v>
      </c>
      <c r="F808">
        <v>1.377</v>
      </c>
      <c r="G808" s="105">
        <v>40947</v>
      </c>
      <c r="H808">
        <v>1.5629999999999999</v>
      </c>
      <c r="I808" s="105">
        <v>40947</v>
      </c>
      <c r="J808">
        <v>1.71</v>
      </c>
    </row>
    <row r="809" spans="1:10">
      <c r="A809" s="105">
        <v>40946</v>
      </c>
      <c r="B809">
        <v>0.66400000000000003</v>
      </c>
      <c r="C809" s="105">
        <v>40946</v>
      </c>
      <c r="D809">
        <v>1.0860000000000001</v>
      </c>
      <c r="E809" s="105">
        <v>40946</v>
      </c>
      <c r="F809">
        <v>1.385</v>
      </c>
      <c r="G809" s="105">
        <v>40946</v>
      </c>
      <c r="H809">
        <v>1.57</v>
      </c>
      <c r="I809" s="105">
        <v>40946</v>
      </c>
      <c r="J809">
        <v>1.7170000000000001</v>
      </c>
    </row>
    <row r="810" spans="1:10">
      <c r="A810" s="105">
        <v>40945</v>
      </c>
      <c r="B810">
        <v>0.67400000000000004</v>
      </c>
      <c r="C810" s="105">
        <v>40945</v>
      </c>
      <c r="D810">
        <v>1.0940000000000001</v>
      </c>
      <c r="E810" s="105">
        <v>40945</v>
      </c>
      <c r="F810">
        <v>1.391</v>
      </c>
      <c r="G810" s="105">
        <v>40945</v>
      </c>
      <c r="H810">
        <v>1.5760000000000001</v>
      </c>
      <c r="I810" s="105">
        <v>40945</v>
      </c>
      <c r="J810">
        <v>1.7250000000000001</v>
      </c>
    </row>
    <row r="811" spans="1:10">
      <c r="A811" s="105">
        <v>40942</v>
      </c>
      <c r="B811">
        <v>0.68200000000000005</v>
      </c>
      <c r="C811" s="105">
        <v>40942</v>
      </c>
      <c r="D811">
        <v>1.1020000000000001</v>
      </c>
      <c r="E811" s="105">
        <v>40942</v>
      </c>
      <c r="F811">
        <v>1.3959999999999999</v>
      </c>
      <c r="G811" s="105">
        <v>40942</v>
      </c>
      <c r="H811">
        <v>1.5820000000000001</v>
      </c>
      <c r="I811" s="105">
        <v>40942</v>
      </c>
      <c r="J811">
        <v>1.732</v>
      </c>
    </row>
    <row r="812" spans="1:10">
      <c r="A812" s="105">
        <v>40941</v>
      </c>
      <c r="B812">
        <v>0.69099999999999995</v>
      </c>
      <c r="C812" s="105">
        <v>40941</v>
      </c>
      <c r="D812">
        <v>1.1080000000000001</v>
      </c>
      <c r="E812" s="105">
        <v>40941</v>
      </c>
      <c r="F812">
        <v>1.401</v>
      </c>
      <c r="G812" s="105">
        <v>40941</v>
      </c>
      <c r="H812">
        <v>1.589</v>
      </c>
      <c r="I812" s="105">
        <v>40941</v>
      </c>
      <c r="J812">
        <v>1.7370000000000001</v>
      </c>
    </row>
    <row r="813" spans="1:10">
      <c r="A813" s="105">
        <v>40940</v>
      </c>
      <c r="B813">
        <v>0.70099999999999996</v>
      </c>
      <c r="C813" s="105">
        <v>40940</v>
      </c>
      <c r="D813">
        <v>1.115</v>
      </c>
      <c r="E813" s="105">
        <v>40940</v>
      </c>
      <c r="F813">
        <v>1.409</v>
      </c>
      <c r="G813" s="105">
        <v>40940</v>
      </c>
      <c r="H813">
        <v>1.595</v>
      </c>
      <c r="I813" s="105">
        <v>40940</v>
      </c>
      <c r="J813">
        <v>1.7450000000000001</v>
      </c>
    </row>
    <row r="814" spans="1:10">
      <c r="A814" s="105">
        <v>40939</v>
      </c>
      <c r="B814">
        <v>0.71299999999999997</v>
      </c>
      <c r="C814" s="105">
        <v>40939</v>
      </c>
      <c r="D814">
        <v>1.125</v>
      </c>
      <c r="E814" s="105">
        <v>40939</v>
      </c>
      <c r="F814">
        <v>1.4179999999999999</v>
      </c>
      <c r="G814" s="105">
        <v>40939</v>
      </c>
      <c r="H814">
        <v>1.605</v>
      </c>
      <c r="I814" s="105">
        <v>40939</v>
      </c>
      <c r="J814">
        <v>1.754</v>
      </c>
    </row>
    <row r="815" spans="1:10">
      <c r="A815" s="105">
        <v>40938</v>
      </c>
      <c r="B815">
        <v>0.72099999999999997</v>
      </c>
      <c r="C815" s="105">
        <v>40938</v>
      </c>
      <c r="D815">
        <v>1.131</v>
      </c>
      <c r="E815" s="105">
        <v>40938</v>
      </c>
      <c r="F815">
        <v>1.425</v>
      </c>
      <c r="G815" s="105">
        <v>40938</v>
      </c>
      <c r="H815">
        <v>1.6120000000000001</v>
      </c>
      <c r="I815" s="105">
        <v>40938</v>
      </c>
      <c r="J815">
        <v>1.762</v>
      </c>
    </row>
    <row r="816" spans="1:10">
      <c r="A816" s="105">
        <v>40935</v>
      </c>
      <c r="B816">
        <v>0.72799999999999998</v>
      </c>
      <c r="C816" s="105">
        <v>40935</v>
      </c>
      <c r="D816">
        <v>1.1379999999999999</v>
      </c>
      <c r="E816" s="105">
        <v>40935</v>
      </c>
      <c r="F816">
        <v>1.4330000000000001</v>
      </c>
      <c r="G816" s="105">
        <v>40935</v>
      </c>
      <c r="H816">
        <v>1.6180000000000001</v>
      </c>
      <c r="I816" s="105">
        <v>40935</v>
      </c>
      <c r="J816">
        <v>1.768</v>
      </c>
    </row>
    <row r="817" spans="1:10">
      <c r="A817" s="105">
        <v>40934</v>
      </c>
      <c r="B817">
        <v>0.73399999999999999</v>
      </c>
      <c r="C817" s="105">
        <v>40934</v>
      </c>
      <c r="D817">
        <v>1.1419999999999999</v>
      </c>
      <c r="E817" s="105">
        <v>40934</v>
      </c>
      <c r="F817">
        <v>1.4390000000000001</v>
      </c>
      <c r="G817" s="105">
        <v>40934</v>
      </c>
      <c r="H817">
        <v>1.621</v>
      </c>
      <c r="I817" s="105">
        <v>40934</v>
      </c>
      <c r="J817">
        <v>1.7729999999999999</v>
      </c>
    </row>
    <row r="818" spans="1:10">
      <c r="A818" s="105">
        <v>40933</v>
      </c>
      <c r="B818">
        <v>0.74299999999999999</v>
      </c>
      <c r="C818" s="105">
        <v>40933</v>
      </c>
      <c r="D818">
        <v>1.149</v>
      </c>
      <c r="E818" s="105">
        <v>40933</v>
      </c>
      <c r="F818">
        <v>1.446</v>
      </c>
      <c r="G818" s="105">
        <v>40933</v>
      </c>
      <c r="H818">
        <v>1.6279999999999999</v>
      </c>
      <c r="I818" s="105">
        <v>40933</v>
      </c>
      <c r="J818">
        <v>1.7789999999999999</v>
      </c>
    </row>
    <row r="819" spans="1:10">
      <c r="A819" s="105">
        <v>40932</v>
      </c>
      <c r="B819">
        <v>0.752</v>
      </c>
      <c r="C819" s="105">
        <v>40932</v>
      </c>
      <c r="D819">
        <v>1.1579999999999999</v>
      </c>
      <c r="E819" s="105">
        <v>40932</v>
      </c>
      <c r="F819">
        <v>1.4510000000000001</v>
      </c>
      <c r="G819" s="105">
        <v>40932</v>
      </c>
      <c r="H819">
        <v>1.6319999999999999</v>
      </c>
      <c r="I819" s="105">
        <v>40932</v>
      </c>
      <c r="J819">
        <v>1.784</v>
      </c>
    </row>
    <row r="820" spans="1:10">
      <c r="A820" s="105">
        <v>40931</v>
      </c>
      <c r="B820">
        <v>0.76400000000000001</v>
      </c>
      <c r="C820" s="105">
        <v>40931</v>
      </c>
      <c r="D820">
        <v>1.1679999999999999</v>
      </c>
      <c r="E820" s="105">
        <v>40931</v>
      </c>
      <c r="F820">
        <v>1.46</v>
      </c>
      <c r="G820" s="105">
        <v>40931</v>
      </c>
      <c r="H820">
        <v>1.6419999999999999</v>
      </c>
      <c r="I820" s="105">
        <v>40931</v>
      </c>
      <c r="J820">
        <v>1.7929999999999999</v>
      </c>
    </row>
    <row r="821" spans="1:10">
      <c r="A821" s="105">
        <v>40928</v>
      </c>
      <c r="B821">
        <v>0.77500000000000002</v>
      </c>
      <c r="C821" s="105">
        <v>40928</v>
      </c>
      <c r="D821">
        <v>1.1819999999999999</v>
      </c>
      <c r="E821" s="105">
        <v>40928</v>
      </c>
      <c r="F821">
        <v>1.4710000000000001</v>
      </c>
      <c r="G821" s="105">
        <v>40928</v>
      </c>
      <c r="H821">
        <v>1.6539999999999999</v>
      </c>
      <c r="I821" s="105">
        <v>40928</v>
      </c>
      <c r="J821">
        <v>1.804</v>
      </c>
    </row>
    <row r="822" spans="1:10">
      <c r="A822" s="105">
        <v>40927</v>
      </c>
      <c r="B822">
        <v>0.78800000000000003</v>
      </c>
      <c r="C822" s="105">
        <v>40927</v>
      </c>
      <c r="D822">
        <v>1.1950000000000001</v>
      </c>
      <c r="E822" s="105">
        <v>40927</v>
      </c>
      <c r="F822">
        <v>1.48</v>
      </c>
      <c r="G822" s="105">
        <v>40927</v>
      </c>
      <c r="H822">
        <v>1.663</v>
      </c>
      <c r="I822" s="105">
        <v>40927</v>
      </c>
      <c r="J822">
        <v>1.8120000000000001</v>
      </c>
    </row>
    <row r="823" spans="1:10">
      <c r="A823" s="105">
        <v>40926</v>
      </c>
      <c r="B823">
        <v>0.8</v>
      </c>
      <c r="C823" s="105">
        <v>40926</v>
      </c>
      <c r="D823">
        <v>1.204</v>
      </c>
      <c r="E823" s="105">
        <v>40926</v>
      </c>
      <c r="F823">
        <v>1.486</v>
      </c>
      <c r="G823" s="105">
        <v>40926</v>
      </c>
      <c r="H823">
        <v>1.669</v>
      </c>
      <c r="I823" s="105">
        <v>40926</v>
      </c>
      <c r="J823">
        <v>1.8180000000000001</v>
      </c>
    </row>
    <row r="824" spans="1:10">
      <c r="A824" s="105">
        <v>40925</v>
      </c>
      <c r="B824">
        <v>0.81200000000000006</v>
      </c>
      <c r="C824" s="105">
        <v>40925</v>
      </c>
      <c r="D824">
        <v>1.2130000000000001</v>
      </c>
      <c r="E824" s="105">
        <v>40925</v>
      </c>
      <c r="F824">
        <v>1.494</v>
      </c>
      <c r="G824" s="105">
        <v>40925</v>
      </c>
      <c r="H824">
        <v>1.677</v>
      </c>
      <c r="I824" s="105">
        <v>40925</v>
      </c>
      <c r="J824">
        <v>1.8260000000000001</v>
      </c>
    </row>
    <row r="825" spans="1:10">
      <c r="A825" s="105">
        <v>40924</v>
      </c>
      <c r="B825">
        <v>0.82899999999999996</v>
      </c>
      <c r="C825" s="105">
        <v>40924</v>
      </c>
      <c r="D825">
        <v>1.222</v>
      </c>
      <c r="E825" s="105">
        <v>40924</v>
      </c>
      <c r="F825">
        <v>1.5009999999999999</v>
      </c>
      <c r="G825" s="105">
        <v>40924</v>
      </c>
      <c r="H825">
        <v>1.6830000000000001</v>
      </c>
      <c r="I825" s="105">
        <v>40924</v>
      </c>
      <c r="J825">
        <v>1.8320000000000001</v>
      </c>
    </row>
    <row r="826" spans="1:10">
      <c r="A826" s="105">
        <v>40921</v>
      </c>
      <c r="B826">
        <v>0.84499999999999997</v>
      </c>
      <c r="C826" s="105">
        <v>40921</v>
      </c>
      <c r="D826">
        <v>1.2310000000000001</v>
      </c>
      <c r="E826" s="105">
        <v>40921</v>
      </c>
      <c r="F826">
        <v>1.514</v>
      </c>
      <c r="G826" s="105">
        <v>40921</v>
      </c>
      <c r="H826">
        <v>1.6919999999999999</v>
      </c>
      <c r="I826" s="105">
        <v>40921</v>
      </c>
      <c r="J826">
        <v>1.8420000000000001</v>
      </c>
    </row>
    <row r="827" spans="1:10">
      <c r="A827" s="105">
        <v>40920</v>
      </c>
      <c r="B827">
        <v>0.86399999999999999</v>
      </c>
      <c r="C827" s="105">
        <v>40920</v>
      </c>
      <c r="D827">
        <v>1.2450000000000001</v>
      </c>
      <c r="E827" s="105">
        <v>40920</v>
      </c>
      <c r="F827">
        <v>1.5269999999999999</v>
      </c>
      <c r="G827" s="105">
        <v>40920</v>
      </c>
      <c r="H827">
        <v>1.7050000000000001</v>
      </c>
      <c r="I827" s="105">
        <v>40920</v>
      </c>
      <c r="J827">
        <v>1.8560000000000001</v>
      </c>
    </row>
    <row r="828" spans="1:10">
      <c r="A828" s="105">
        <v>40919</v>
      </c>
      <c r="B828">
        <v>0.878</v>
      </c>
      <c r="C828" s="105">
        <v>40919</v>
      </c>
      <c r="D828">
        <v>1.2569999999999999</v>
      </c>
      <c r="E828" s="105">
        <v>40919</v>
      </c>
      <c r="F828">
        <v>1.538</v>
      </c>
      <c r="G828" s="105">
        <v>40919</v>
      </c>
      <c r="H828">
        <v>1.716</v>
      </c>
      <c r="I828" s="105">
        <v>40919</v>
      </c>
      <c r="J828">
        <v>1.8680000000000001</v>
      </c>
    </row>
    <row r="829" spans="1:10">
      <c r="A829" s="105">
        <v>40918</v>
      </c>
      <c r="B829">
        <v>0.89400000000000002</v>
      </c>
      <c r="C829" s="105">
        <v>40918</v>
      </c>
      <c r="D829">
        <v>1.2669999999999999</v>
      </c>
      <c r="E829" s="105">
        <v>40918</v>
      </c>
      <c r="F829">
        <v>1.5449999999999999</v>
      </c>
      <c r="G829" s="105">
        <v>40918</v>
      </c>
      <c r="H829">
        <v>1.7210000000000001</v>
      </c>
      <c r="I829" s="105">
        <v>40918</v>
      </c>
      <c r="J829">
        <v>1.875</v>
      </c>
    </row>
    <row r="830" spans="1:10">
      <c r="A830" s="105">
        <v>40917</v>
      </c>
      <c r="B830">
        <v>0.91200000000000003</v>
      </c>
      <c r="C830" s="105">
        <v>40917</v>
      </c>
      <c r="D830">
        <v>1.276</v>
      </c>
      <c r="E830" s="105">
        <v>40917</v>
      </c>
      <c r="F830">
        <v>1.5529999999999999</v>
      </c>
      <c r="G830" s="105">
        <v>40917</v>
      </c>
      <c r="H830">
        <v>1.728</v>
      </c>
      <c r="I830" s="105">
        <v>40917</v>
      </c>
      <c r="J830">
        <v>1.8819999999999999</v>
      </c>
    </row>
    <row r="831" spans="1:10">
      <c r="A831" s="105">
        <v>40914</v>
      </c>
      <c r="B831">
        <v>0.93</v>
      </c>
      <c r="C831" s="105">
        <v>40914</v>
      </c>
      <c r="D831">
        <v>1.288</v>
      </c>
      <c r="E831" s="105">
        <v>40914</v>
      </c>
      <c r="F831">
        <v>1.56</v>
      </c>
      <c r="G831" s="105">
        <v>40914</v>
      </c>
      <c r="H831">
        <v>1.7370000000000001</v>
      </c>
      <c r="I831" s="105">
        <v>40914</v>
      </c>
      <c r="J831">
        <v>1.89</v>
      </c>
    </row>
    <row r="832" spans="1:10">
      <c r="A832" s="105">
        <v>40913</v>
      </c>
      <c r="B832">
        <v>0.95099999999999996</v>
      </c>
      <c r="C832" s="105">
        <v>40913</v>
      </c>
      <c r="D832">
        <v>1.3029999999999999</v>
      </c>
      <c r="E832" s="105">
        <v>40913</v>
      </c>
      <c r="F832">
        <v>1.573</v>
      </c>
      <c r="G832" s="105">
        <v>40913</v>
      </c>
      <c r="H832">
        <v>1.7490000000000001</v>
      </c>
      <c r="I832" s="105">
        <v>40913</v>
      </c>
      <c r="J832">
        <v>1.903</v>
      </c>
    </row>
    <row r="833" spans="1:10">
      <c r="A833" s="105">
        <v>40912</v>
      </c>
      <c r="B833">
        <v>0.97</v>
      </c>
      <c r="C833" s="105">
        <v>40912</v>
      </c>
      <c r="D833">
        <v>1.319</v>
      </c>
      <c r="E833" s="105">
        <v>40912</v>
      </c>
      <c r="F833">
        <v>1.5860000000000001</v>
      </c>
      <c r="G833" s="105">
        <v>40912</v>
      </c>
      <c r="H833">
        <v>1.7629999999999999</v>
      </c>
      <c r="I833" s="105">
        <v>40912</v>
      </c>
      <c r="J833">
        <v>1.9179999999999999</v>
      </c>
    </row>
    <row r="834" spans="1:10">
      <c r="A834" s="105">
        <v>40911</v>
      </c>
      <c r="B834">
        <v>0.98799999999999999</v>
      </c>
      <c r="C834" s="105">
        <v>40911</v>
      </c>
      <c r="D834">
        <v>1.333</v>
      </c>
      <c r="E834" s="105">
        <v>40911</v>
      </c>
      <c r="F834">
        <v>1.5980000000000001</v>
      </c>
      <c r="G834" s="105">
        <v>40911</v>
      </c>
      <c r="H834">
        <v>1.7749999999999999</v>
      </c>
      <c r="I834" s="105">
        <v>40911</v>
      </c>
      <c r="J834">
        <v>1.93</v>
      </c>
    </row>
    <row r="835" spans="1:10">
      <c r="A835" s="105">
        <v>40910</v>
      </c>
      <c r="B835">
        <v>1.0049999999999999</v>
      </c>
      <c r="C835" s="105">
        <v>40910</v>
      </c>
      <c r="D835">
        <v>1.343</v>
      </c>
      <c r="E835" s="105">
        <v>40910</v>
      </c>
      <c r="F835">
        <v>1.6060000000000001</v>
      </c>
      <c r="G835" s="105">
        <v>40910</v>
      </c>
      <c r="H835">
        <v>1.782</v>
      </c>
      <c r="I835" s="105">
        <v>40910</v>
      </c>
      <c r="J835">
        <v>1.9370000000000001</v>
      </c>
    </row>
    <row r="836" spans="1:10">
      <c r="A836" s="105">
        <v>40907</v>
      </c>
      <c r="B836">
        <v>1.024</v>
      </c>
      <c r="C836" s="105">
        <v>40907</v>
      </c>
      <c r="D836">
        <v>1.3560000000000001</v>
      </c>
      <c r="E836" s="105">
        <v>40907</v>
      </c>
      <c r="F836">
        <v>1.617</v>
      </c>
      <c r="G836" s="105">
        <v>40907</v>
      </c>
      <c r="H836">
        <v>1.7909999999999999</v>
      </c>
      <c r="I836" s="105">
        <v>40907</v>
      </c>
      <c r="J836">
        <v>1.9470000000000001</v>
      </c>
    </row>
    <row r="837" spans="1:10">
      <c r="A837" s="105">
        <v>40906</v>
      </c>
      <c r="B837">
        <v>1.048</v>
      </c>
      <c r="C837" s="105">
        <v>40906</v>
      </c>
      <c r="D837">
        <v>1.369</v>
      </c>
      <c r="E837" s="105">
        <v>40906</v>
      </c>
      <c r="F837">
        <v>1.625</v>
      </c>
      <c r="G837" s="105">
        <v>40906</v>
      </c>
      <c r="H837">
        <v>1.7989999999999999</v>
      </c>
      <c r="I837" s="105">
        <v>40906</v>
      </c>
      <c r="J837">
        <v>1.9550000000000001</v>
      </c>
    </row>
    <row r="838" spans="1:10">
      <c r="A838" s="105">
        <v>40905</v>
      </c>
      <c r="B838">
        <v>1.083</v>
      </c>
      <c r="C838" s="105">
        <v>40905</v>
      </c>
      <c r="D838">
        <v>1.387</v>
      </c>
      <c r="E838" s="105">
        <v>40905</v>
      </c>
      <c r="F838">
        <v>1.64</v>
      </c>
      <c r="G838" s="105">
        <v>40905</v>
      </c>
      <c r="H838">
        <v>1.81</v>
      </c>
      <c r="I838" s="105">
        <v>40905</v>
      </c>
      <c r="J838">
        <v>1.9670000000000001</v>
      </c>
    </row>
    <row r="839" spans="1:10">
      <c r="A839" s="105">
        <v>40904</v>
      </c>
      <c r="B839">
        <v>1.097</v>
      </c>
      <c r="C839" s="105">
        <v>40904</v>
      </c>
      <c r="D839">
        <v>1.3959999999999999</v>
      </c>
      <c r="E839" s="105">
        <v>40904</v>
      </c>
      <c r="F839">
        <v>1.6479999999999999</v>
      </c>
      <c r="G839" s="105">
        <v>40904</v>
      </c>
      <c r="H839">
        <v>1.8180000000000001</v>
      </c>
      <c r="I839" s="105">
        <v>40904</v>
      </c>
      <c r="J839">
        <v>1.976</v>
      </c>
    </row>
    <row r="840" spans="1:10">
      <c r="A840" s="105">
        <v>40900</v>
      </c>
      <c r="B840">
        <v>1.109</v>
      </c>
      <c r="C840" s="105">
        <v>40900</v>
      </c>
      <c r="D840">
        <v>1.4039999999999999</v>
      </c>
      <c r="E840" s="105">
        <v>40900</v>
      </c>
      <c r="F840">
        <v>1.6579999999999999</v>
      </c>
      <c r="G840" s="105">
        <v>40900</v>
      </c>
      <c r="H840">
        <v>1.829</v>
      </c>
      <c r="I840" s="105">
        <v>40900</v>
      </c>
      <c r="J840">
        <v>1.988</v>
      </c>
    </row>
    <row r="841" spans="1:10">
      <c r="A841" s="105">
        <v>40899</v>
      </c>
      <c r="B841">
        <v>1.121</v>
      </c>
      <c r="C841" s="105">
        <v>40899</v>
      </c>
      <c r="D841">
        <v>1.41</v>
      </c>
      <c r="E841" s="105">
        <v>40899</v>
      </c>
      <c r="F841">
        <v>1.6619999999999999</v>
      </c>
      <c r="G841" s="105">
        <v>40899</v>
      </c>
      <c r="H841">
        <v>1.835</v>
      </c>
      <c r="I841" s="105">
        <v>40899</v>
      </c>
      <c r="J841">
        <v>1.9950000000000001</v>
      </c>
    </row>
    <row r="842" spans="1:10">
      <c r="A842" s="105">
        <v>40898</v>
      </c>
      <c r="B842">
        <v>1.131</v>
      </c>
      <c r="C842" s="105">
        <v>40898</v>
      </c>
      <c r="D842">
        <v>1.4159999999999999</v>
      </c>
      <c r="E842" s="105">
        <v>40898</v>
      </c>
      <c r="F842">
        <v>1.6659999999999999</v>
      </c>
      <c r="G842" s="105">
        <v>40898</v>
      </c>
      <c r="H842">
        <v>1.837</v>
      </c>
      <c r="I842" s="105">
        <v>40898</v>
      </c>
      <c r="J842">
        <v>1.9970000000000001</v>
      </c>
    </row>
    <row r="843" spans="1:10">
      <c r="A843" s="105">
        <v>40897</v>
      </c>
      <c r="B843">
        <v>1.1379999999999999</v>
      </c>
      <c r="C843" s="105">
        <v>40897</v>
      </c>
      <c r="D843">
        <v>1.4179999999999999</v>
      </c>
      <c r="E843" s="105">
        <v>40897</v>
      </c>
      <c r="F843">
        <v>1.667</v>
      </c>
      <c r="G843" s="105">
        <v>40897</v>
      </c>
      <c r="H843">
        <v>1.837</v>
      </c>
      <c r="I843" s="105">
        <v>40897</v>
      </c>
      <c r="J843">
        <v>2</v>
      </c>
    </row>
    <row r="844" spans="1:10">
      <c r="A844" s="105">
        <v>40896</v>
      </c>
      <c r="B844">
        <v>1.1379999999999999</v>
      </c>
      <c r="C844" s="105">
        <v>40896</v>
      </c>
      <c r="D844">
        <v>1.4179999999999999</v>
      </c>
      <c r="E844" s="105">
        <v>40896</v>
      </c>
      <c r="F844">
        <v>1.6679999999999999</v>
      </c>
      <c r="G844" s="105">
        <v>40896</v>
      </c>
      <c r="H844">
        <v>1.839</v>
      </c>
      <c r="I844" s="105">
        <v>40896</v>
      </c>
      <c r="J844">
        <v>2.0019999999999998</v>
      </c>
    </row>
    <row r="845" spans="1:10">
      <c r="A845" s="105">
        <v>40893</v>
      </c>
      <c r="B845">
        <v>1.137</v>
      </c>
      <c r="C845" s="105">
        <v>40893</v>
      </c>
      <c r="D845">
        <v>1.417</v>
      </c>
      <c r="E845" s="105">
        <v>40893</v>
      </c>
      <c r="F845">
        <v>1.667</v>
      </c>
      <c r="G845" s="105">
        <v>40893</v>
      </c>
      <c r="H845">
        <v>1.839</v>
      </c>
      <c r="I845" s="105">
        <v>40893</v>
      </c>
      <c r="J845">
        <v>2.0009999999999999</v>
      </c>
    </row>
    <row r="846" spans="1:10">
      <c r="A846" s="105">
        <v>40892</v>
      </c>
      <c r="B846">
        <v>1.139</v>
      </c>
      <c r="C846" s="105">
        <v>40892</v>
      </c>
      <c r="D846">
        <v>1.419</v>
      </c>
      <c r="E846" s="105">
        <v>40892</v>
      </c>
      <c r="F846">
        <v>1.667</v>
      </c>
      <c r="G846" s="105">
        <v>40892</v>
      </c>
      <c r="H846">
        <v>1.839</v>
      </c>
      <c r="I846" s="105">
        <v>40892</v>
      </c>
      <c r="J846">
        <v>2.0009999999999999</v>
      </c>
    </row>
    <row r="847" spans="1:10">
      <c r="A847" s="105">
        <v>40891</v>
      </c>
      <c r="B847">
        <v>1.1399999999999999</v>
      </c>
      <c r="C847" s="105">
        <v>40891</v>
      </c>
      <c r="D847">
        <v>1.423</v>
      </c>
      <c r="E847" s="105">
        <v>40891</v>
      </c>
      <c r="F847">
        <v>1.669</v>
      </c>
      <c r="G847" s="105">
        <v>40891</v>
      </c>
      <c r="H847">
        <v>1.8420000000000001</v>
      </c>
      <c r="I847" s="105">
        <v>40891</v>
      </c>
      <c r="J847">
        <v>2.0049999999999999</v>
      </c>
    </row>
    <row r="848" spans="1:10">
      <c r="A848" s="105">
        <v>40890</v>
      </c>
      <c r="B848">
        <v>1.1459999999999999</v>
      </c>
      <c r="C848" s="105">
        <v>40890</v>
      </c>
      <c r="D848">
        <v>1.4259999999999999</v>
      </c>
      <c r="E848" s="105">
        <v>40890</v>
      </c>
      <c r="F848">
        <v>1.673</v>
      </c>
      <c r="G848" s="105">
        <v>40890</v>
      </c>
      <c r="H848">
        <v>1.845</v>
      </c>
      <c r="I848" s="105">
        <v>40890</v>
      </c>
      <c r="J848">
        <v>2.008</v>
      </c>
    </row>
    <row r="849" spans="1:10">
      <c r="A849" s="105">
        <v>40889</v>
      </c>
      <c r="B849">
        <v>1.155</v>
      </c>
      <c r="C849" s="105">
        <v>40889</v>
      </c>
      <c r="D849">
        <v>1.43</v>
      </c>
      <c r="E849" s="105">
        <v>40889</v>
      </c>
      <c r="F849">
        <v>1.675</v>
      </c>
      <c r="G849" s="105">
        <v>40889</v>
      </c>
      <c r="H849">
        <v>1.8480000000000001</v>
      </c>
      <c r="I849" s="105">
        <v>40889</v>
      </c>
      <c r="J849">
        <v>2.008</v>
      </c>
    </row>
    <row r="850" spans="1:10">
      <c r="A850" s="105">
        <v>40886</v>
      </c>
      <c r="B850">
        <v>1.169</v>
      </c>
      <c r="C850" s="105">
        <v>40886</v>
      </c>
      <c r="D850">
        <v>1.4370000000000001</v>
      </c>
      <c r="E850" s="105">
        <v>40886</v>
      </c>
      <c r="F850">
        <v>1.675</v>
      </c>
      <c r="G850" s="105">
        <v>40886</v>
      </c>
      <c r="H850">
        <v>1.8460000000000001</v>
      </c>
      <c r="I850" s="105">
        <v>40886</v>
      </c>
      <c r="J850">
        <v>2.012</v>
      </c>
    </row>
    <row r="851" spans="1:10">
      <c r="A851" s="105">
        <v>40885</v>
      </c>
      <c r="B851">
        <v>1.2010000000000001</v>
      </c>
      <c r="C851" s="105">
        <v>40885</v>
      </c>
      <c r="D851">
        <v>1.47</v>
      </c>
      <c r="E851" s="105">
        <v>40885</v>
      </c>
      <c r="F851">
        <v>1.7010000000000001</v>
      </c>
      <c r="G851" s="105">
        <v>40885</v>
      </c>
      <c r="H851">
        <v>1.869</v>
      </c>
      <c r="I851" s="105">
        <v>40885</v>
      </c>
      <c r="J851">
        <v>2.0339999999999998</v>
      </c>
    </row>
    <row r="852" spans="1:10">
      <c r="A852" s="105">
        <v>40884</v>
      </c>
      <c r="B852">
        <v>1.2050000000000001</v>
      </c>
      <c r="C852" s="105">
        <v>40884</v>
      </c>
      <c r="D852">
        <v>1.472</v>
      </c>
      <c r="E852" s="105">
        <v>40884</v>
      </c>
      <c r="F852">
        <v>1.7030000000000001</v>
      </c>
      <c r="G852" s="105">
        <v>40884</v>
      </c>
      <c r="H852">
        <v>1.873</v>
      </c>
      <c r="I852" s="105">
        <v>40884</v>
      </c>
      <c r="J852">
        <v>2.0390000000000001</v>
      </c>
    </row>
    <row r="853" spans="1:10">
      <c r="A853" s="105">
        <v>40883</v>
      </c>
      <c r="B853">
        <v>1.2050000000000001</v>
      </c>
      <c r="C853" s="105">
        <v>40883</v>
      </c>
      <c r="D853">
        <v>1.472</v>
      </c>
      <c r="E853" s="105">
        <v>40883</v>
      </c>
      <c r="F853">
        <v>1.7050000000000001</v>
      </c>
      <c r="G853" s="105">
        <v>40883</v>
      </c>
      <c r="H853">
        <v>1.8740000000000001</v>
      </c>
      <c r="I853" s="105">
        <v>40883</v>
      </c>
      <c r="J853">
        <v>2.04</v>
      </c>
    </row>
    <row r="854" spans="1:10">
      <c r="A854" s="105">
        <v>40882</v>
      </c>
      <c r="B854">
        <v>1.206</v>
      </c>
      <c r="C854" s="105">
        <v>40882</v>
      </c>
      <c r="D854">
        <v>1.47</v>
      </c>
      <c r="E854" s="105">
        <v>40882</v>
      </c>
      <c r="F854">
        <v>1.7030000000000001</v>
      </c>
      <c r="G854" s="105">
        <v>40882</v>
      </c>
      <c r="H854">
        <v>1.8720000000000001</v>
      </c>
      <c r="I854" s="105">
        <v>40882</v>
      </c>
      <c r="J854">
        <v>2.036</v>
      </c>
    </row>
    <row r="855" spans="1:10">
      <c r="A855" s="105">
        <v>40879</v>
      </c>
      <c r="B855">
        <v>1.2050000000000001</v>
      </c>
      <c r="C855" s="105">
        <v>40879</v>
      </c>
      <c r="D855">
        <v>1.4690000000000001</v>
      </c>
      <c r="E855" s="105">
        <v>40879</v>
      </c>
      <c r="F855">
        <v>1.6990000000000001</v>
      </c>
      <c r="G855" s="105">
        <v>40879</v>
      </c>
      <c r="H855">
        <v>1.8680000000000001</v>
      </c>
      <c r="I855" s="105">
        <v>40879</v>
      </c>
      <c r="J855">
        <v>2.0329999999999999</v>
      </c>
    </row>
    <row r="856" spans="1:10">
      <c r="A856" s="105">
        <v>40878</v>
      </c>
      <c r="B856">
        <v>1.2050000000000001</v>
      </c>
      <c r="C856" s="105">
        <v>40878</v>
      </c>
      <c r="D856">
        <v>1.4690000000000001</v>
      </c>
      <c r="E856" s="105">
        <v>40878</v>
      </c>
      <c r="F856">
        <v>1.6970000000000001</v>
      </c>
      <c r="G856" s="105">
        <v>40878</v>
      </c>
      <c r="H856">
        <v>1.867</v>
      </c>
      <c r="I856" s="105">
        <v>40878</v>
      </c>
      <c r="J856">
        <v>2.0299999999999998</v>
      </c>
    </row>
    <row r="857" spans="1:10">
      <c r="A857" s="105">
        <v>40877</v>
      </c>
      <c r="B857">
        <v>1.21</v>
      </c>
      <c r="C857" s="105">
        <v>40877</v>
      </c>
      <c r="D857">
        <v>1.4730000000000001</v>
      </c>
      <c r="E857" s="105">
        <v>40877</v>
      </c>
      <c r="F857">
        <v>1.7010000000000001</v>
      </c>
      <c r="G857" s="105">
        <v>40877</v>
      </c>
      <c r="H857">
        <v>1.873</v>
      </c>
      <c r="I857" s="105">
        <v>40877</v>
      </c>
      <c r="J857">
        <v>2.0350000000000001</v>
      </c>
    </row>
    <row r="858" spans="1:10">
      <c r="A858" s="105">
        <v>40876</v>
      </c>
      <c r="B858">
        <v>1.21</v>
      </c>
      <c r="C858" s="105">
        <v>40876</v>
      </c>
      <c r="D858">
        <v>1.4770000000000001</v>
      </c>
      <c r="E858" s="105">
        <v>40876</v>
      </c>
      <c r="F858">
        <v>1.706</v>
      </c>
      <c r="G858" s="105">
        <v>40876</v>
      </c>
      <c r="H858">
        <v>1.879</v>
      </c>
      <c r="I858" s="105">
        <v>40876</v>
      </c>
      <c r="J858">
        <v>2.0419999999999998</v>
      </c>
    </row>
    <row r="859" spans="1:10">
      <c r="A859" s="105">
        <v>40875</v>
      </c>
      <c r="B859">
        <v>1.1970000000000001</v>
      </c>
      <c r="C859" s="105">
        <v>40875</v>
      </c>
      <c r="D859">
        <v>1.4770000000000001</v>
      </c>
      <c r="E859" s="105">
        <v>40875</v>
      </c>
      <c r="F859">
        <v>1.7070000000000001</v>
      </c>
      <c r="G859" s="105">
        <v>40875</v>
      </c>
      <c r="H859">
        <v>1.881</v>
      </c>
      <c r="I859" s="105">
        <v>40875</v>
      </c>
      <c r="J859">
        <v>2.044</v>
      </c>
    </row>
    <row r="860" spans="1:10">
      <c r="A860" s="105">
        <v>40872</v>
      </c>
      <c r="B860">
        <v>1.1970000000000001</v>
      </c>
      <c r="C860" s="105">
        <v>40872</v>
      </c>
      <c r="D860">
        <v>1.4750000000000001</v>
      </c>
      <c r="E860" s="105">
        <v>40872</v>
      </c>
      <c r="F860">
        <v>1.7050000000000001</v>
      </c>
      <c r="G860" s="105">
        <v>40872</v>
      </c>
      <c r="H860">
        <v>1.88</v>
      </c>
      <c r="I860" s="105">
        <v>40872</v>
      </c>
      <c r="J860">
        <v>2.0419999999999998</v>
      </c>
    </row>
    <row r="861" spans="1:10">
      <c r="A861" s="105">
        <v>40871</v>
      </c>
      <c r="B861">
        <v>1.196</v>
      </c>
      <c r="C861" s="105">
        <v>40871</v>
      </c>
      <c r="D861">
        <v>1.474</v>
      </c>
      <c r="E861" s="105">
        <v>40871</v>
      </c>
      <c r="F861">
        <v>1.702</v>
      </c>
      <c r="G861" s="105">
        <v>40871</v>
      </c>
      <c r="H861">
        <v>1.8759999999999999</v>
      </c>
      <c r="I861" s="105">
        <v>40871</v>
      </c>
      <c r="J861">
        <v>2.0379999999999998</v>
      </c>
    </row>
    <row r="862" spans="1:10">
      <c r="A862" s="105">
        <v>40870</v>
      </c>
      <c r="B862">
        <v>1.198</v>
      </c>
      <c r="C862" s="105">
        <v>40870</v>
      </c>
      <c r="D862">
        <v>1.4710000000000001</v>
      </c>
      <c r="E862" s="105">
        <v>40870</v>
      </c>
      <c r="F862">
        <v>1.698</v>
      </c>
      <c r="G862" s="105">
        <v>40870</v>
      </c>
      <c r="H862">
        <v>1.871</v>
      </c>
      <c r="I862" s="105">
        <v>40870</v>
      </c>
      <c r="J862">
        <v>2.0329999999999999</v>
      </c>
    </row>
    <row r="863" spans="1:10">
      <c r="A863" s="105">
        <v>40869</v>
      </c>
      <c r="B863">
        <v>1.198</v>
      </c>
      <c r="C863" s="105">
        <v>40869</v>
      </c>
      <c r="D863">
        <v>1.4670000000000001</v>
      </c>
      <c r="E863" s="105">
        <v>40869</v>
      </c>
      <c r="F863">
        <v>1.6950000000000001</v>
      </c>
      <c r="G863" s="105">
        <v>40869</v>
      </c>
      <c r="H863">
        <v>1.8660000000000001</v>
      </c>
      <c r="I863" s="105">
        <v>40869</v>
      </c>
      <c r="J863">
        <v>2.0299999999999998</v>
      </c>
    </row>
    <row r="864" spans="1:10">
      <c r="A864" s="105">
        <v>40868</v>
      </c>
      <c r="B864">
        <v>1.1990000000000001</v>
      </c>
      <c r="C864" s="105">
        <v>40868</v>
      </c>
      <c r="D864">
        <v>1.4670000000000001</v>
      </c>
      <c r="E864" s="105">
        <v>40868</v>
      </c>
      <c r="F864">
        <v>1.694</v>
      </c>
      <c r="G864" s="105">
        <v>40868</v>
      </c>
      <c r="H864">
        <v>1.8660000000000001</v>
      </c>
      <c r="I864" s="105">
        <v>40868</v>
      </c>
      <c r="J864">
        <v>2.0289999999999999</v>
      </c>
    </row>
    <row r="865" spans="1:10">
      <c r="A865" s="105">
        <v>40865</v>
      </c>
      <c r="B865">
        <v>1.1990000000000001</v>
      </c>
      <c r="C865" s="105">
        <v>40865</v>
      </c>
      <c r="D865">
        <v>1.4650000000000001</v>
      </c>
      <c r="E865" s="105">
        <v>40865</v>
      </c>
      <c r="F865">
        <v>1.694</v>
      </c>
      <c r="G865" s="105">
        <v>40865</v>
      </c>
      <c r="H865">
        <v>1.8660000000000001</v>
      </c>
      <c r="I865" s="105">
        <v>40865</v>
      </c>
      <c r="J865">
        <v>2.0310000000000001</v>
      </c>
    </row>
    <row r="866" spans="1:10">
      <c r="A866" s="105">
        <v>40864</v>
      </c>
      <c r="B866">
        <v>1.2</v>
      </c>
      <c r="C866" s="105">
        <v>40864</v>
      </c>
      <c r="D866">
        <v>1.46</v>
      </c>
      <c r="E866" s="105">
        <v>40864</v>
      </c>
      <c r="F866">
        <v>1.69</v>
      </c>
      <c r="G866" s="105">
        <v>40864</v>
      </c>
      <c r="H866">
        <v>1.861</v>
      </c>
      <c r="I866" s="105">
        <v>40864</v>
      </c>
      <c r="J866">
        <v>2.024</v>
      </c>
    </row>
    <row r="867" spans="1:10">
      <c r="A867" s="105">
        <v>40863</v>
      </c>
      <c r="B867">
        <v>1.1990000000000001</v>
      </c>
      <c r="C867" s="105">
        <v>40863</v>
      </c>
      <c r="D867">
        <v>1.458</v>
      </c>
      <c r="E867" s="105">
        <v>40863</v>
      </c>
      <c r="F867">
        <v>1.6859999999999999</v>
      </c>
      <c r="G867" s="105">
        <v>40863</v>
      </c>
      <c r="H867">
        <v>1.8560000000000001</v>
      </c>
      <c r="I867" s="105">
        <v>40863</v>
      </c>
      <c r="J867">
        <v>2.0209999999999999</v>
      </c>
    </row>
    <row r="868" spans="1:10">
      <c r="A868" s="105">
        <v>40862</v>
      </c>
      <c r="B868">
        <v>1.2</v>
      </c>
      <c r="C868" s="105">
        <v>40862</v>
      </c>
      <c r="D868">
        <v>1.4570000000000001</v>
      </c>
      <c r="E868" s="105">
        <v>40862</v>
      </c>
      <c r="F868">
        <v>1.6850000000000001</v>
      </c>
      <c r="G868" s="105">
        <v>40862</v>
      </c>
      <c r="H868">
        <v>1.8560000000000001</v>
      </c>
      <c r="I868" s="105">
        <v>40862</v>
      </c>
      <c r="J868">
        <v>2.0219999999999998</v>
      </c>
    </row>
    <row r="869" spans="1:10">
      <c r="A869" s="105">
        <v>40861</v>
      </c>
      <c r="B869">
        <v>1.2</v>
      </c>
      <c r="C869" s="105">
        <v>40861</v>
      </c>
      <c r="D869">
        <v>1.4590000000000001</v>
      </c>
      <c r="E869" s="105">
        <v>40861</v>
      </c>
      <c r="F869">
        <v>1.6850000000000001</v>
      </c>
      <c r="G869" s="105">
        <v>40861</v>
      </c>
      <c r="H869">
        <v>1.859</v>
      </c>
      <c r="I869" s="105">
        <v>40861</v>
      </c>
      <c r="J869">
        <v>2.0259999999999998</v>
      </c>
    </row>
    <row r="870" spans="1:10">
      <c r="A870" s="105">
        <v>40858</v>
      </c>
      <c r="B870">
        <v>1.2010000000000001</v>
      </c>
      <c r="C870" s="105">
        <v>40858</v>
      </c>
      <c r="D870">
        <v>1.462</v>
      </c>
      <c r="E870" s="105">
        <v>40858</v>
      </c>
      <c r="F870">
        <v>1.6879999999999999</v>
      </c>
      <c r="G870" s="105">
        <v>40858</v>
      </c>
      <c r="H870">
        <v>1.8640000000000001</v>
      </c>
      <c r="I870" s="105">
        <v>40858</v>
      </c>
      <c r="J870">
        <v>2.032</v>
      </c>
    </row>
    <row r="871" spans="1:10">
      <c r="A871" s="105">
        <v>40857</v>
      </c>
      <c r="B871">
        <v>1.204</v>
      </c>
      <c r="C871" s="105">
        <v>40857</v>
      </c>
      <c r="D871">
        <v>1.464</v>
      </c>
      <c r="E871" s="105">
        <v>40857</v>
      </c>
      <c r="F871">
        <v>1.6890000000000001</v>
      </c>
      <c r="G871" s="105">
        <v>40857</v>
      </c>
      <c r="H871">
        <v>1.867</v>
      </c>
      <c r="I871" s="105">
        <v>40857</v>
      </c>
      <c r="J871">
        <v>2.0329999999999999</v>
      </c>
    </row>
    <row r="872" spans="1:10">
      <c r="A872" s="105">
        <v>40856</v>
      </c>
      <c r="B872">
        <v>1.2090000000000001</v>
      </c>
      <c r="C872" s="105">
        <v>40856</v>
      </c>
      <c r="D872">
        <v>1.47</v>
      </c>
      <c r="E872" s="105">
        <v>40856</v>
      </c>
      <c r="F872">
        <v>1.6910000000000001</v>
      </c>
      <c r="G872" s="105">
        <v>40856</v>
      </c>
      <c r="H872">
        <v>1.871</v>
      </c>
      <c r="I872" s="105">
        <v>40856</v>
      </c>
      <c r="J872">
        <v>2.036</v>
      </c>
    </row>
    <row r="873" spans="1:10">
      <c r="A873" s="105">
        <v>40855</v>
      </c>
      <c r="B873">
        <v>1.2150000000000001</v>
      </c>
      <c r="C873" s="105">
        <v>40855</v>
      </c>
      <c r="D873">
        <v>1.474</v>
      </c>
      <c r="E873" s="105">
        <v>40855</v>
      </c>
      <c r="F873">
        <v>1.6919999999999999</v>
      </c>
      <c r="G873" s="105">
        <v>40855</v>
      </c>
      <c r="H873">
        <v>1.871</v>
      </c>
      <c r="I873" s="105">
        <v>40855</v>
      </c>
      <c r="J873">
        <v>2.04</v>
      </c>
    </row>
    <row r="874" spans="1:10">
      <c r="A874" s="105">
        <v>40854</v>
      </c>
      <c r="B874">
        <v>1.2230000000000001</v>
      </c>
      <c r="C874" s="105">
        <v>40854</v>
      </c>
      <c r="D874">
        <v>1.476</v>
      </c>
      <c r="E874" s="105">
        <v>40854</v>
      </c>
      <c r="F874">
        <v>1.6950000000000001</v>
      </c>
      <c r="G874" s="105">
        <v>40854</v>
      </c>
      <c r="H874">
        <v>1.871</v>
      </c>
      <c r="I874" s="105">
        <v>40854</v>
      </c>
      <c r="J874">
        <v>2.0390000000000001</v>
      </c>
    </row>
    <row r="875" spans="1:10">
      <c r="A875" s="105">
        <v>40851</v>
      </c>
      <c r="B875">
        <v>1.2470000000000001</v>
      </c>
      <c r="C875" s="105">
        <v>40851</v>
      </c>
      <c r="D875">
        <v>1.488</v>
      </c>
      <c r="E875" s="105">
        <v>40851</v>
      </c>
      <c r="F875">
        <v>1.7010000000000001</v>
      </c>
      <c r="G875" s="105">
        <v>40851</v>
      </c>
      <c r="H875">
        <v>1.8759999999999999</v>
      </c>
      <c r="I875" s="105">
        <v>40851</v>
      </c>
      <c r="J875">
        <v>2.044</v>
      </c>
    </row>
    <row r="876" spans="1:10">
      <c r="A876" s="105">
        <v>40850</v>
      </c>
      <c r="B876">
        <v>1.36</v>
      </c>
      <c r="C876" s="105">
        <v>40850</v>
      </c>
      <c r="D876">
        <v>1.58</v>
      </c>
      <c r="E876" s="105">
        <v>40850</v>
      </c>
      <c r="F876">
        <v>1.776</v>
      </c>
      <c r="G876" s="105">
        <v>40850</v>
      </c>
      <c r="H876">
        <v>1.9410000000000001</v>
      </c>
      <c r="I876" s="105">
        <v>40850</v>
      </c>
      <c r="J876">
        <v>2.105</v>
      </c>
    </row>
    <row r="877" spans="1:10">
      <c r="A877" s="105">
        <v>40849</v>
      </c>
      <c r="B877">
        <v>1.361</v>
      </c>
      <c r="C877" s="105">
        <v>40849</v>
      </c>
      <c r="D877">
        <v>1.5840000000000001</v>
      </c>
      <c r="E877" s="105">
        <v>40849</v>
      </c>
      <c r="F877">
        <v>1.78</v>
      </c>
      <c r="G877" s="105">
        <v>40849</v>
      </c>
      <c r="H877">
        <v>1.946</v>
      </c>
      <c r="I877" s="105">
        <v>40849</v>
      </c>
      <c r="J877">
        <v>2.109</v>
      </c>
    </row>
    <row r="878" spans="1:10">
      <c r="A878" s="105">
        <v>40848</v>
      </c>
      <c r="B878">
        <v>1.3620000000000001</v>
      </c>
      <c r="C878" s="105">
        <v>40848</v>
      </c>
      <c r="D878">
        <v>1.585</v>
      </c>
      <c r="E878" s="105">
        <v>40848</v>
      </c>
      <c r="F878">
        <v>1.782</v>
      </c>
      <c r="G878" s="105">
        <v>40848</v>
      </c>
      <c r="H878">
        <v>1.9470000000000001</v>
      </c>
      <c r="I878" s="105">
        <v>40848</v>
      </c>
      <c r="J878">
        <v>2.1110000000000002</v>
      </c>
    </row>
    <row r="879" spans="1:10">
      <c r="A879" s="105">
        <v>40847</v>
      </c>
      <c r="B879">
        <v>1.367</v>
      </c>
      <c r="C879" s="105">
        <v>40847</v>
      </c>
      <c r="D879">
        <v>1.591</v>
      </c>
      <c r="E879" s="105">
        <v>40847</v>
      </c>
      <c r="F879">
        <v>1.788</v>
      </c>
      <c r="G879" s="105">
        <v>40847</v>
      </c>
      <c r="H879">
        <v>1.9570000000000001</v>
      </c>
      <c r="I879" s="105">
        <v>40847</v>
      </c>
      <c r="J879">
        <v>2.121</v>
      </c>
    </row>
    <row r="880" spans="1:10">
      <c r="A880" s="105">
        <v>40844</v>
      </c>
      <c r="B880">
        <v>1.3660000000000001</v>
      </c>
      <c r="C880" s="105">
        <v>40844</v>
      </c>
      <c r="D880">
        <v>1.5920000000000001</v>
      </c>
      <c r="E880" s="105">
        <v>40844</v>
      </c>
      <c r="F880">
        <v>1.7929999999999999</v>
      </c>
      <c r="G880" s="105">
        <v>40844</v>
      </c>
      <c r="H880">
        <v>1.9610000000000001</v>
      </c>
      <c r="I880" s="105">
        <v>40844</v>
      </c>
      <c r="J880">
        <v>2.129</v>
      </c>
    </row>
    <row r="881" spans="1:10">
      <c r="A881" s="105">
        <v>40843</v>
      </c>
      <c r="B881">
        <v>1.365</v>
      </c>
      <c r="C881" s="105">
        <v>40843</v>
      </c>
      <c r="D881">
        <v>1.59</v>
      </c>
      <c r="E881" s="105">
        <v>40843</v>
      </c>
      <c r="F881">
        <v>1.788</v>
      </c>
      <c r="G881" s="105">
        <v>40843</v>
      </c>
      <c r="H881">
        <v>1.954</v>
      </c>
      <c r="I881" s="105">
        <v>40843</v>
      </c>
      <c r="J881">
        <v>2.1190000000000002</v>
      </c>
    </row>
    <row r="882" spans="1:10">
      <c r="A882" s="105">
        <v>40842</v>
      </c>
      <c r="B882">
        <v>1.3640000000000001</v>
      </c>
      <c r="C882" s="105">
        <v>40842</v>
      </c>
      <c r="D882">
        <v>1.5880000000000001</v>
      </c>
      <c r="E882" s="105">
        <v>40842</v>
      </c>
      <c r="F882">
        <v>1.7849999999999999</v>
      </c>
      <c r="G882" s="105">
        <v>40842</v>
      </c>
      <c r="H882">
        <v>1.952</v>
      </c>
      <c r="I882" s="105">
        <v>40842</v>
      </c>
      <c r="J882">
        <v>2.117</v>
      </c>
    </row>
    <row r="883" spans="1:10">
      <c r="A883" s="105">
        <v>40841</v>
      </c>
      <c r="B883">
        <v>1.367</v>
      </c>
      <c r="C883" s="105">
        <v>40841</v>
      </c>
      <c r="D883">
        <v>1.5880000000000001</v>
      </c>
      <c r="E883" s="105">
        <v>40841</v>
      </c>
      <c r="F883">
        <v>1.788</v>
      </c>
      <c r="G883" s="105">
        <v>40841</v>
      </c>
      <c r="H883">
        <v>1.958</v>
      </c>
      <c r="I883" s="105">
        <v>40841</v>
      </c>
      <c r="J883">
        <v>2.1240000000000001</v>
      </c>
    </row>
    <row r="884" spans="1:10">
      <c r="A884" s="105">
        <v>40840</v>
      </c>
      <c r="B884">
        <v>1.3680000000000001</v>
      </c>
      <c r="C884" s="105">
        <v>40840</v>
      </c>
      <c r="D884">
        <v>1.5880000000000001</v>
      </c>
      <c r="E884" s="105">
        <v>40840</v>
      </c>
      <c r="F884">
        <v>1.7849999999999999</v>
      </c>
      <c r="G884" s="105">
        <v>40840</v>
      </c>
      <c r="H884">
        <v>1.9550000000000001</v>
      </c>
      <c r="I884" s="105">
        <v>40840</v>
      </c>
      <c r="J884">
        <v>2.121</v>
      </c>
    </row>
    <row r="885" spans="1:10">
      <c r="A885" s="105">
        <v>40837</v>
      </c>
      <c r="B885">
        <v>1.3680000000000001</v>
      </c>
      <c r="C885" s="105">
        <v>40837</v>
      </c>
      <c r="D885">
        <v>1.585</v>
      </c>
      <c r="E885" s="105">
        <v>40837</v>
      </c>
      <c r="F885">
        <v>1.7849999999999999</v>
      </c>
      <c r="G885" s="105">
        <v>40837</v>
      </c>
      <c r="H885">
        <v>1.956</v>
      </c>
      <c r="I885" s="105">
        <v>40837</v>
      </c>
      <c r="J885">
        <v>2.1219999999999999</v>
      </c>
    </row>
    <row r="886" spans="1:10">
      <c r="A886" s="105">
        <v>40836</v>
      </c>
      <c r="B886">
        <v>1.367</v>
      </c>
      <c r="C886" s="105">
        <v>40836</v>
      </c>
      <c r="D886">
        <v>1.5840000000000001</v>
      </c>
      <c r="E886" s="105">
        <v>40836</v>
      </c>
      <c r="F886">
        <v>1.7849999999999999</v>
      </c>
      <c r="G886" s="105">
        <v>40836</v>
      </c>
      <c r="H886">
        <v>1.956</v>
      </c>
      <c r="I886" s="105">
        <v>40836</v>
      </c>
      <c r="J886">
        <v>2.1230000000000002</v>
      </c>
    </row>
    <row r="887" spans="1:10">
      <c r="A887" s="105">
        <v>40835</v>
      </c>
      <c r="B887">
        <v>1.3680000000000001</v>
      </c>
      <c r="C887" s="105">
        <v>40835</v>
      </c>
      <c r="D887">
        <v>1.5820000000000001</v>
      </c>
      <c r="E887" s="105">
        <v>40835</v>
      </c>
      <c r="F887">
        <v>1.7829999999999999</v>
      </c>
      <c r="G887" s="105">
        <v>40835</v>
      </c>
      <c r="H887">
        <v>1.952</v>
      </c>
      <c r="I887" s="105">
        <v>40835</v>
      </c>
      <c r="J887">
        <v>2.1219999999999999</v>
      </c>
    </row>
    <row r="888" spans="1:10">
      <c r="A888" s="105">
        <v>40834</v>
      </c>
      <c r="B888">
        <v>1.365</v>
      </c>
      <c r="C888" s="105">
        <v>40834</v>
      </c>
      <c r="D888">
        <v>1.579</v>
      </c>
      <c r="E888" s="105">
        <v>40834</v>
      </c>
      <c r="F888">
        <v>1.78</v>
      </c>
      <c r="G888" s="105">
        <v>40834</v>
      </c>
      <c r="H888">
        <v>1.946</v>
      </c>
      <c r="I888" s="105">
        <v>40834</v>
      </c>
      <c r="J888">
        <v>2.117</v>
      </c>
    </row>
    <row r="889" spans="1:10">
      <c r="A889" s="105">
        <v>40833</v>
      </c>
      <c r="B889">
        <v>1.367</v>
      </c>
      <c r="C889" s="105">
        <v>40833</v>
      </c>
      <c r="D889">
        <v>1.5780000000000001</v>
      </c>
      <c r="E889" s="105">
        <v>40833</v>
      </c>
      <c r="F889">
        <v>1.782</v>
      </c>
      <c r="G889" s="105">
        <v>40833</v>
      </c>
      <c r="H889">
        <v>1.9470000000000001</v>
      </c>
      <c r="I889" s="105">
        <v>40833</v>
      </c>
      <c r="J889">
        <v>2.1219999999999999</v>
      </c>
    </row>
    <row r="890" spans="1:10">
      <c r="A890" s="105">
        <v>40830</v>
      </c>
      <c r="B890">
        <v>1.3660000000000001</v>
      </c>
      <c r="C890" s="105">
        <v>40830</v>
      </c>
      <c r="D890">
        <v>1.5740000000000001</v>
      </c>
      <c r="E890" s="105">
        <v>40830</v>
      </c>
      <c r="F890">
        <v>1.7769999999999999</v>
      </c>
      <c r="G890" s="105">
        <v>40830</v>
      </c>
      <c r="H890">
        <v>1.9410000000000001</v>
      </c>
      <c r="I890" s="105">
        <v>40830</v>
      </c>
      <c r="J890">
        <v>2.1150000000000002</v>
      </c>
    </row>
    <row r="891" spans="1:10">
      <c r="A891" s="105">
        <v>40829</v>
      </c>
      <c r="B891">
        <v>1.365</v>
      </c>
      <c r="C891" s="105">
        <v>40829</v>
      </c>
      <c r="D891">
        <v>1.5720000000000001</v>
      </c>
      <c r="E891" s="105">
        <v>40829</v>
      </c>
      <c r="F891">
        <v>1.7749999999999999</v>
      </c>
      <c r="G891" s="105">
        <v>40829</v>
      </c>
      <c r="H891">
        <v>1.9390000000000001</v>
      </c>
      <c r="I891" s="105">
        <v>40829</v>
      </c>
      <c r="J891">
        <v>2.1110000000000002</v>
      </c>
    </row>
    <row r="892" spans="1:10">
      <c r="A892" s="105">
        <v>40828</v>
      </c>
      <c r="B892">
        <v>1.365</v>
      </c>
      <c r="C892" s="105">
        <v>40828</v>
      </c>
      <c r="D892">
        <v>1.571</v>
      </c>
      <c r="E892" s="105">
        <v>40828</v>
      </c>
      <c r="F892">
        <v>1.774</v>
      </c>
      <c r="G892" s="105">
        <v>40828</v>
      </c>
      <c r="H892">
        <v>1.9370000000000001</v>
      </c>
      <c r="I892" s="105">
        <v>40828</v>
      </c>
      <c r="J892">
        <v>2.109</v>
      </c>
    </row>
    <row r="893" spans="1:10">
      <c r="A893" s="105">
        <v>40827</v>
      </c>
      <c r="B893">
        <v>1.365</v>
      </c>
      <c r="C893" s="105">
        <v>40827</v>
      </c>
      <c r="D893">
        <v>1.57</v>
      </c>
      <c r="E893" s="105">
        <v>40827</v>
      </c>
      <c r="F893">
        <v>1.7709999999999999</v>
      </c>
      <c r="G893" s="105">
        <v>40827</v>
      </c>
      <c r="H893">
        <v>1.9350000000000001</v>
      </c>
      <c r="I893" s="105">
        <v>40827</v>
      </c>
      <c r="J893">
        <v>2.1059999999999999</v>
      </c>
    </row>
    <row r="894" spans="1:10">
      <c r="A894" s="105">
        <v>40826</v>
      </c>
      <c r="B894">
        <v>1.3620000000000001</v>
      </c>
      <c r="C894" s="105">
        <v>40826</v>
      </c>
      <c r="D894">
        <v>1.5669999999999999</v>
      </c>
      <c r="E894" s="105">
        <v>40826</v>
      </c>
      <c r="F894">
        <v>1.768</v>
      </c>
      <c r="G894" s="105">
        <v>40826</v>
      </c>
      <c r="H894">
        <v>1.9330000000000001</v>
      </c>
      <c r="I894" s="105">
        <v>40826</v>
      </c>
      <c r="J894">
        <v>2.1019999999999999</v>
      </c>
    </row>
    <row r="895" spans="1:10">
      <c r="A895" s="105">
        <v>40823</v>
      </c>
      <c r="B895">
        <v>1.3620000000000001</v>
      </c>
      <c r="C895" s="105">
        <v>40823</v>
      </c>
      <c r="D895">
        <v>1.5660000000000001</v>
      </c>
      <c r="E895" s="105">
        <v>40823</v>
      </c>
      <c r="F895">
        <v>1.7649999999999999</v>
      </c>
      <c r="G895" s="105">
        <v>40823</v>
      </c>
      <c r="H895">
        <v>1.93</v>
      </c>
      <c r="I895" s="105">
        <v>40823</v>
      </c>
      <c r="J895">
        <v>2.1</v>
      </c>
    </row>
    <row r="896" spans="1:10">
      <c r="A896" s="105">
        <v>40822</v>
      </c>
      <c r="B896">
        <v>1.353</v>
      </c>
      <c r="C896" s="105">
        <v>40822</v>
      </c>
      <c r="D896">
        <v>1.556</v>
      </c>
      <c r="E896" s="105">
        <v>40822</v>
      </c>
      <c r="F896">
        <v>1.7549999999999999</v>
      </c>
      <c r="G896" s="105">
        <v>40822</v>
      </c>
      <c r="H896">
        <v>1.9179999999999999</v>
      </c>
      <c r="I896" s="105">
        <v>40822</v>
      </c>
      <c r="J896">
        <v>2.0819999999999999</v>
      </c>
    </row>
    <row r="897" spans="1:10">
      <c r="A897" s="105">
        <v>40821</v>
      </c>
      <c r="B897">
        <v>1.3540000000000001</v>
      </c>
      <c r="C897" s="105">
        <v>40821</v>
      </c>
      <c r="D897">
        <v>1.5580000000000001</v>
      </c>
      <c r="E897" s="105">
        <v>40821</v>
      </c>
      <c r="F897">
        <v>1.758</v>
      </c>
      <c r="G897" s="105">
        <v>40821</v>
      </c>
      <c r="H897">
        <v>1.92</v>
      </c>
      <c r="I897" s="105">
        <v>40821</v>
      </c>
      <c r="J897">
        <v>2.0830000000000002</v>
      </c>
    </row>
    <row r="898" spans="1:10">
      <c r="A898" s="105">
        <v>40820</v>
      </c>
      <c r="B898">
        <v>1.3540000000000001</v>
      </c>
      <c r="C898" s="105">
        <v>40820</v>
      </c>
      <c r="D898">
        <v>1.5569999999999999</v>
      </c>
      <c r="E898" s="105">
        <v>40820</v>
      </c>
      <c r="F898">
        <v>1.756</v>
      </c>
      <c r="G898" s="105">
        <v>40820</v>
      </c>
      <c r="H898">
        <v>1.9179999999999999</v>
      </c>
      <c r="I898" s="105">
        <v>40820</v>
      </c>
      <c r="J898">
        <v>2.0830000000000002</v>
      </c>
    </row>
    <row r="899" spans="1:10">
      <c r="A899" s="105">
        <v>40819</v>
      </c>
      <c r="B899">
        <v>1.355</v>
      </c>
      <c r="C899" s="105">
        <v>40819</v>
      </c>
      <c r="D899">
        <v>1.5569999999999999</v>
      </c>
      <c r="E899" s="105">
        <v>40819</v>
      </c>
      <c r="F899">
        <v>1.7569999999999999</v>
      </c>
      <c r="G899" s="105">
        <v>40819</v>
      </c>
      <c r="H899">
        <v>1.919</v>
      </c>
      <c r="I899" s="105">
        <v>40819</v>
      </c>
      <c r="J899">
        <v>2.085</v>
      </c>
    </row>
    <row r="900" spans="1:10">
      <c r="A900" s="105">
        <v>40816</v>
      </c>
      <c r="B900">
        <v>1.3560000000000001</v>
      </c>
      <c r="C900" s="105">
        <v>40816</v>
      </c>
      <c r="D900">
        <v>1.554</v>
      </c>
      <c r="E900" s="105">
        <v>40816</v>
      </c>
      <c r="F900">
        <v>1.7529999999999999</v>
      </c>
      <c r="G900" s="105">
        <v>40816</v>
      </c>
      <c r="H900">
        <v>1.9159999999999999</v>
      </c>
      <c r="I900" s="105">
        <v>40816</v>
      </c>
      <c r="J900">
        <v>2.0840000000000001</v>
      </c>
    </row>
    <row r="901" spans="1:10">
      <c r="A901" s="105">
        <v>40815</v>
      </c>
      <c r="B901">
        <v>1.3560000000000001</v>
      </c>
      <c r="C901" s="105">
        <v>40815</v>
      </c>
      <c r="D901">
        <v>1.55</v>
      </c>
      <c r="E901" s="105">
        <v>40815</v>
      </c>
      <c r="F901">
        <v>1.75</v>
      </c>
      <c r="G901" s="105">
        <v>40815</v>
      </c>
      <c r="H901">
        <v>1.913</v>
      </c>
      <c r="I901" s="105">
        <v>40815</v>
      </c>
      <c r="J901">
        <v>2.081</v>
      </c>
    </row>
    <row r="902" spans="1:10">
      <c r="A902" s="105">
        <v>40814</v>
      </c>
      <c r="B902">
        <v>1.357</v>
      </c>
      <c r="C902" s="105">
        <v>40814</v>
      </c>
      <c r="D902">
        <v>1.544</v>
      </c>
      <c r="E902" s="105">
        <v>40814</v>
      </c>
      <c r="F902">
        <v>1.746</v>
      </c>
      <c r="G902" s="105">
        <v>40814</v>
      </c>
      <c r="H902">
        <v>1.9079999999999999</v>
      </c>
      <c r="I902" s="105">
        <v>40814</v>
      </c>
      <c r="J902">
        <v>2.0750000000000002</v>
      </c>
    </row>
    <row r="903" spans="1:10">
      <c r="A903" s="105">
        <v>40813</v>
      </c>
      <c r="B903">
        <v>1.351</v>
      </c>
      <c r="C903" s="105">
        <v>40813</v>
      </c>
      <c r="D903">
        <v>1.5369999999999999</v>
      </c>
      <c r="E903" s="105">
        <v>40813</v>
      </c>
      <c r="F903">
        <v>1.738</v>
      </c>
      <c r="G903" s="105">
        <v>40813</v>
      </c>
      <c r="H903">
        <v>1.8959999999999999</v>
      </c>
      <c r="I903" s="105">
        <v>40813</v>
      </c>
      <c r="J903">
        <v>2.0640000000000001</v>
      </c>
    </row>
    <row r="904" spans="1:10">
      <c r="A904" s="105">
        <v>40812</v>
      </c>
      <c r="B904">
        <v>1.349</v>
      </c>
      <c r="C904" s="105">
        <v>40812</v>
      </c>
      <c r="D904">
        <v>1.5349999999999999</v>
      </c>
      <c r="E904" s="105">
        <v>40812</v>
      </c>
      <c r="F904">
        <v>1.732</v>
      </c>
      <c r="G904" s="105">
        <v>40812</v>
      </c>
      <c r="H904">
        <v>1.89</v>
      </c>
      <c r="I904" s="105">
        <v>40812</v>
      </c>
      <c r="J904">
        <v>2.0569999999999999</v>
      </c>
    </row>
    <row r="905" spans="1:10">
      <c r="A905" s="105">
        <v>40809</v>
      </c>
      <c r="B905">
        <v>1.35</v>
      </c>
      <c r="C905" s="105">
        <v>40809</v>
      </c>
      <c r="D905">
        <v>1.5369999999999999</v>
      </c>
      <c r="E905" s="105">
        <v>40809</v>
      </c>
      <c r="F905">
        <v>1.7350000000000001</v>
      </c>
      <c r="G905" s="105">
        <v>40809</v>
      </c>
      <c r="H905">
        <v>1.8919999999999999</v>
      </c>
      <c r="I905" s="105">
        <v>40809</v>
      </c>
      <c r="J905">
        <v>2.06</v>
      </c>
    </row>
    <row r="906" spans="1:10">
      <c r="A906" s="105">
        <v>40808</v>
      </c>
      <c r="B906">
        <v>1.35</v>
      </c>
      <c r="C906" s="105">
        <v>40808</v>
      </c>
      <c r="D906">
        <v>1.536</v>
      </c>
      <c r="E906" s="105">
        <v>40808</v>
      </c>
      <c r="F906">
        <v>1.734</v>
      </c>
      <c r="G906" s="105">
        <v>40808</v>
      </c>
      <c r="H906">
        <v>1.8919999999999999</v>
      </c>
      <c r="I906" s="105">
        <v>40808</v>
      </c>
      <c r="J906">
        <v>2.06</v>
      </c>
    </row>
    <row r="907" spans="1:10">
      <c r="A907" s="105">
        <v>40807</v>
      </c>
      <c r="B907">
        <v>1.351</v>
      </c>
      <c r="C907" s="105">
        <v>40807</v>
      </c>
      <c r="D907">
        <v>1.5369999999999999</v>
      </c>
      <c r="E907" s="105">
        <v>40807</v>
      </c>
      <c r="F907">
        <v>1.736</v>
      </c>
      <c r="G907" s="105">
        <v>40807</v>
      </c>
      <c r="H907">
        <v>1.895</v>
      </c>
      <c r="I907" s="105">
        <v>40807</v>
      </c>
      <c r="J907">
        <v>2.0649999999999999</v>
      </c>
    </row>
    <row r="908" spans="1:10">
      <c r="A908" s="105">
        <v>40806</v>
      </c>
      <c r="B908">
        <v>1.349</v>
      </c>
      <c r="C908" s="105">
        <v>40806</v>
      </c>
      <c r="D908">
        <v>1.5369999999999999</v>
      </c>
      <c r="E908" s="105">
        <v>40806</v>
      </c>
      <c r="F908">
        <v>1.7370000000000001</v>
      </c>
      <c r="G908" s="105">
        <v>40806</v>
      </c>
      <c r="H908">
        <v>1.895</v>
      </c>
      <c r="I908" s="105">
        <v>40806</v>
      </c>
      <c r="J908">
        <v>2.0649999999999999</v>
      </c>
    </row>
    <row r="909" spans="1:10">
      <c r="A909" s="105">
        <v>40805</v>
      </c>
      <c r="B909">
        <v>1.347</v>
      </c>
      <c r="C909" s="105">
        <v>40805</v>
      </c>
      <c r="D909">
        <v>1.536</v>
      </c>
      <c r="E909" s="105">
        <v>40805</v>
      </c>
      <c r="F909">
        <v>1.7350000000000001</v>
      </c>
      <c r="G909" s="105">
        <v>40805</v>
      </c>
      <c r="H909">
        <v>1.893</v>
      </c>
      <c r="I909" s="105">
        <v>40805</v>
      </c>
      <c r="J909">
        <v>2.0640000000000001</v>
      </c>
    </row>
    <row r="910" spans="1:10">
      <c r="A910" s="105">
        <v>40802</v>
      </c>
      <c r="B910">
        <v>1.3460000000000001</v>
      </c>
      <c r="C910" s="105">
        <v>40802</v>
      </c>
      <c r="D910">
        <v>1.5349999999999999</v>
      </c>
      <c r="E910" s="105">
        <v>40802</v>
      </c>
      <c r="F910">
        <v>1.736</v>
      </c>
      <c r="G910" s="105">
        <v>40802</v>
      </c>
      <c r="H910">
        <v>1.8979999999999999</v>
      </c>
      <c r="I910" s="105">
        <v>40802</v>
      </c>
      <c r="J910">
        <v>2.0680000000000001</v>
      </c>
    </row>
    <row r="911" spans="1:10">
      <c r="A911" s="105">
        <v>40801</v>
      </c>
      <c r="B911">
        <v>1.34</v>
      </c>
      <c r="C911" s="105">
        <v>40801</v>
      </c>
      <c r="D911">
        <v>1.5309999999999999</v>
      </c>
      <c r="E911" s="105">
        <v>40801</v>
      </c>
      <c r="F911">
        <v>1.734</v>
      </c>
      <c r="G911" s="105">
        <v>40801</v>
      </c>
      <c r="H911">
        <v>1.8959999999999999</v>
      </c>
      <c r="I911" s="105">
        <v>40801</v>
      </c>
      <c r="J911">
        <v>2.0659999999999998</v>
      </c>
    </row>
    <row r="912" spans="1:10">
      <c r="A912" s="105">
        <v>40800</v>
      </c>
      <c r="B912">
        <v>1.3420000000000001</v>
      </c>
      <c r="C912" s="105">
        <v>40800</v>
      </c>
      <c r="D912">
        <v>1.5289999999999999</v>
      </c>
      <c r="E912" s="105">
        <v>40800</v>
      </c>
      <c r="F912">
        <v>1.7290000000000001</v>
      </c>
      <c r="G912" s="105">
        <v>40800</v>
      </c>
      <c r="H912">
        <v>1.889</v>
      </c>
      <c r="I912" s="105">
        <v>40800</v>
      </c>
      <c r="J912">
        <v>2.0579999999999998</v>
      </c>
    </row>
    <row r="913" spans="1:10">
      <c r="A913" s="105">
        <v>40799</v>
      </c>
      <c r="B913">
        <v>1.34</v>
      </c>
      <c r="C913" s="105">
        <v>40799</v>
      </c>
      <c r="D913">
        <v>1.528</v>
      </c>
      <c r="E913" s="105">
        <v>40799</v>
      </c>
      <c r="F913">
        <v>1.724</v>
      </c>
      <c r="G913" s="105">
        <v>40799</v>
      </c>
      <c r="H913">
        <v>1.8819999999999999</v>
      </c>
      <c r="I913" s="105">
        <v>40799</v>
      </c>
      <c r="J913">
        <v>2.052</v>
      </c>
    </row>
    <row r="914" spans="1:10">
      <c r="A914" s="105">
        <v>40798</v>
      </c>
      <c r="B914">
        <v>1.34</v>
      </c>
      <c r="C914" s="105">
        <v>40798</v>
      </c>
      <c r="D914">
        <v>1.5269999999999999</v>
      </c>
      <c r="E914" s="105">
        <v>40798</v>
      </c>
      <c r="F914">
        <v>1.7230000000000001</v>
      </c>
      <c r="G914" s="105">
        <v>40798</v>
      </c>
      <c r="H914">
        <v>1.8819999999999999</v>
      </c>
      <c r="I914" s="105">
        <v>40798</v>
      </c>
      <c r="J914">
        <v>2.0510000000000002</v>
      </c>
    </row>
    <row r="915" spans="1:10">
      <c r="A915" s="105">
        <v>40795</v>
      </c>
      <c r="B915">
        <v>1.3420000000000001</v>
      </c>
      <c r="C915" s="105">
        <v>40795</v>
      </c>
      <c r="D915">
        <v>1.53</v>
      </c>
      <c r="E915" s="105">
        <v>40795</v>
      </c>
      <c r="F915">
        <v>1.728</v>
      </c>
      <c r="G915" s="105">
        <v>40795</v>
      </c>
      <c r="H915">
        <v>1.887</v>
      </c>
      <c r="I915" s="105">
        <v>40795</v>
      </c>
      <c r="J915">
        <v>2.0590000000000002</v>
      </c>
    </row>
    <row r="916" spans="1:10">
      <c r="A916" s="105">
        <v>40794</v>
      </c>
      <c r="B916">
        <v>1.341</v>
      </c>
      <c r="C916" s="105">
        <v>40794</v>
      </c>
      <c r="D916">
        <v>1.532</v>
      </c>
      <c r="E916" s="105">
        <v>40794</v>
      </c>
      <c r="F916">
        <v>1.732</v>
      </c>
      <c r="G916" s="105">
        <v>40794</v>
      </c>
      <c r="H916">
        <v>1.8939999999999999</v>
      </c>
      <c r="I916" s="105">
        <v>40794</v>
      </c>
      <c r="J916">
        <v>2.0670000000000002</v>
      </c>
    </row>
    <row r="917" spans="1:10">
      <c r="A917" s="105">
        <v>40793</v>
      </c>
      <c r="B917">
        <v>1.341</v>
      </c>
      <c r="C917" s="105">
        <v>40793</v>
      </c>
      <c r="D917">
        <v>1.532</v>
      </c>
      <c r="E917" s="105">
        <v>40793</v>
      </c>
      <c r="F917">
        <v>1.7310000000000001</v>
      </c>
      <c r="G917" s="105">
        <v>40793</v>
      </c>
      <c r="H917">
        <v>1.893</v>
      </c>
      <c r="I917" s="105">
        <v>40793</v>
      </c>
      <c r="J917">
        <v>2.0670000000000002</v>
      </c>
    </row>
    <row r="918" spans="1:10">
      <c r="A918" s="105">
        <v>40792</v>
      </c>
      <c r="B918">
        <v>1.343</v>
      </c>
      <c r="C918" s="105">
        <v>40792</v>
      </c>
      <c r="D918">
        <v>1.534</v>
      </c>
      <c r="E918" s="105">
        <v>40792</v>
      </c>
      <c r="F918">
        <v>1.732</v>
      </c>
      <c r="G918" s="105">
        <v>40792</v>
      </c>
      <c r="H918">
        <v>1.893</v>
      </c>
      <c r="I918" s="105">
        <v>40792</v>
      </c>
      <c r="J918">
        <v>2.0659999999999998</v>
      </c>
    </row>
    <row r="919" spans="1:10">
      <c r="A919" s="105">
        <v>40791</v>
      </c>
      <c r="B919">
        <v>1.3460000000000001</v>
      </c>
      <c r="C919" s="105">
        <v>40791</v>
      </c>
      <c r="D919">
        <v>1.5369999999999999</v>
      </c>
      <c r="E919" s="105">
        <v>40791</v>
      </c>
      <c r="F919">
        <v>1.734</v>
      </c>
      <c r="G919" s="105">
        <v>40791</v>
      </c>
      <c r="H919">
        <v>1.895</v>
      </c>
      <c r="I919" s="105">
        <v>40791</v>
      </c>
      <c r="J919">
        <v>2.0710000000000002</v>
      </c>
    </row>
    <row r="920" spans="1:10">
      <c r="A920" s="105">
        <v>40788</v>
      </c>
      <c r="B920">
        <v>1.35</v>
      </c>
      <c r="C920" s="105">
        <v>40788</v>
      </c>
      <c r="D920">
        <v>1.5409999999999999</v>
      </c>
      <c r="E920" s="105">
        <v>40788</v>
      </c>
      <c r="F920">
        <v>1.744</v>
      </c>
      <c r="G920" s="105">
        <v>40788</v>
      </c>
      <c r="H920">
        <v>1.905</v>
      </c>
      <c r="I920" s="105">
        <v>40788</v>
      </c>
      <c r="J920">
        <v>2.0830000000000002</v>
      </c>
    </row>
    <row r="921" spans="1:10">
      <c r="A921" s="105">
        <v>40787</v>
      </c>
      <c r="B921">
        <v>1.351</v>
      </c>
      <c r="C921" s="105">
        <v>40787</v>
      </c>
      <c r="D921">
        <v>1.5429999999999999</v>
      </c>
      <c r="E921" s="105">
        <v>40787</v>
      </c>
      <c r="F921">
        <v>1.748</v>
      </c>
      <c r="G921" s="105">
        <v>40787</v>
      </c>
      <c r="H921">
        <v>1.91</v>
      </c>
      <c r="I921" s="105">
        <v>40787</v>
      </c>
      <c r="J921">
        <v>2.089</v>
      </c>
    </row>
    <row r="922" spans="1:10">
      <c r="A922" s="105">
        <v>40786</v>
      </c>
      <c r="B922">
        <v>1.351</v>
      </c>
      <c r="C922" s="105">
        <v>40786</v>
      </c>
      <c r="D922">
        <v>1.542</v>
      </c>
      <c r="E922" s="105">
        <v>40786</v>
      </c>
      <c r="F922">
        <v>1.7490000000000001</v>
      </c>
      <c r="G922" s="105">
        <v>40786</v>
      </c>
      <c r="H922">
        <v>1.911</v>
      </c>
      <c r="I922" s="105">
        <v>40786</v>
      </c>
      <c r="J922">
        <v>2.089</v>
      </c>
    </row>
    <row r="923" spans="1:10">
      <c r="A923" s="105">
        <v>40785</v>
      </c>
      <c r="B923">
        <v>1.35</v>
      </c>
      <c r="C923" s="105">
        <v>40785</v>
      </c>
      <c r="D923">
        <v>1.54</v>
      </c>
      <c r="E923" s="105">
        <v>40785</v>
      </c>
      <c r="F923">
        <v>1.7470000000000001</v>
      </c>
      <c r="G923" s="105">
        <v>40785</v>
      </c>
      <c r="H923">
        <v>1.907</v>
      </c>
      <c r="I923" s="105">
        <v>40785</v>
      </c>
      <c r="J923">
        <v>2.085</v>
      </c>
    </row>
    <row r="924" spans="1:10">
      <c r="A924" s="105">
        <v>40784</v>
      </c>
      <c r="B924">
        <v>1.3480000000000001</v>
      </c>
      <c r="C924" s="105">
        <v>40784</v>
      </c>
      <c r="D924">
        <v>1.54</v>
      </c>
      <c r="E924" s="105">
        <v>40784</v>
      </c>
      <c r="F924">
        <v>1.7450000000000001</v>
      </c>
      <c r="G924" s="105">
        <v>40784</v>
      </c>
      <c r="H924">
        <v>1.9059999999999999</v>
      </c>
      <c r="I924" s="105">
        <v>40784</v>
      </c>
      <c r="J924">
        <v>2.0840000000000001</v>
      </c>
    </row>
    <row r="925" spans="1:10">
      <c r="A925" s="105">
        <v>40781</v>
      </c>
      <c r="B925">
        <v>1.349</v>
      </c>
      <c r="C925" s="105">
        <v>40781</v>
      </c>
      <c r="D925">
        <v>1.54</v>
      </c>
      <c r="E925" s="105">
        <v>40781</v>
      </c>
      <c r="F925">
        <v>1.744</v>
      </c>
      <c r="G925" s="105">
        <v>40781</v>
      </c>
      <c r="H925">
        <v>1.9059999999999999</v>
      </c>
      <c r="I925" s="105">
        <v>40781</v>
      </c>
      <c r="J925">
        <v>2.0830000000000002</v>
      </c>
    </row>
    <row r="926" spans="1:10">
      <c r="A926" s="105">
        <v>40780</v>
      </c>
      <c r="B926">
        <v>1.349</v>
      </c>
      <c r="C926" s="105">
        <v>40780</v>
      </c>
      <c r="D926">
        <v>1.5389999999999999</v>
      </c>
      <c r="E926" s="105">
        <v>40780</v>
      </c>
      <c r="F926">
        <v>1.7450000000000001</v>
      </c>
      <c r="G926" s="105">
        <v>40780</v>
      </c>
      <c r="H926">
        <v>1.907</v>
      </c>
      <c r="I926" s="105">
        <v>40780</v>
      </c>
      <c r="J926">
        <v>2.085</v>
      </c>
    </row>
    <row r="927" spans="1:10">
      <c r="A927" s="105">
        <v>40779</v>
      </c>
      <c r="B927">
        <v>1.349</v>
      </c>
      <c r="C927" s="105">
        <v>40779</v>
      </c>
      <c r="D927">
        <v>1.5389999999999999</v>
      </c>
      <c r="E927" s="105">
        <v>40779</v>
      </c>
      <c r="F927">
        <v>1.7430000000000001</v>
      </c>
      <c r="G927" s="105">
        <v>40779</v>
      </c>
      <c r="H927">
        <v>1.901</v>
      </c>
      <c r="I927" s="105">
        <v>40779</v>
      </c>
      <c r="J927">
        <v>2.0790000000000002</v>
      </c>
    </row>
    <row r="928" spans="1:10">
      <c r="A928" s="105">
        <v>40778</v>
      </c>
      <c r="B928">
        <v>1.347</v>
      </c>
      <c r="C928" s="105">
        <v>40778</v>
      </c>
      <c r="D928">
        <v>1.536</v>
      </c>
      <c r="E928" s="105">
        <v>40778</v>
      </c>
      <c r="F928">
        <v>1.7390000000000001</v>
      </c>
      <c r="G928" s="105">
        <v>40778</v>
      </c>
      <c r="H928">
        <v>1.897</v>
      </c>
      <c r="I928" s="105">
        <v>40778</v>
      </c>
      <c r="J928">
        <v>2.0750000000000002</v>
      </c>
    </row>
    <row r="929" spans="1:10">
      <c r="A929" s="105">
        <v>40777</v>
      </c>
      <c r="B929">
        <v>1.345</v>
      </c>
      <c r="C929" s="105">
        <v>40777</v>
      </c>
      <c r="D929">
        <v>1.534</v>
      </c>
      <c r="E929" s="105">
        <v>40777</v>
      </c>
      <c r="F929">
        <v>1.734</v>
      </c>
      <c r="G929" s="105">
        <v>40777</v>
      </c>
      <c r="H929">
        <v>1.893</v>
      </c>
      <c r="I929" s="105">
        <v>40777</v>
      </c>
      <c r="J929">
        <v>2.0699999999999998</v>
      </c>
    </row>
    <row r="930" spans="1:10">
      <c r="A930" s="105">
        <v>40774</v>
      </c>
      <c r="B930">
        <v>1.3440000000000001</v>
      </c>
      <c r="C930" s="105">
        <v>40774</v>
      </c>
      <c r="D930">
        <v>1.5329999999999999</v>
      </c>
      <c r="E930" s="105">
        <v>40774</v>
      </c>
      <c r="F930">
        <v>1.73</v>
      </c>
      <c r="G930" s="105">
        <v>40774</v>
      </c>
      <c r="H930">
        <v>1.891</v>
      </c>
      <c r="I930" s="105">
        <v>40774</v>
      </c>
      <c r="J930">
        <v>2.0659999999999998</v>
      </c>
    </row>
    <row r="931" spans="1:10">
      <c r="A931" s="105">
        <v>40773</v>
      </c>
      <c r="B931">
        <v>1.3480000000000001</v>
      </c>
      <c r="C931" s="105">
        <v>40773</v>
      </c>
      <c r="D931">
        <v>1.5349999999999999</v>
      </c>
      <c r="E931" s="105">
        <v>40773</v>
      </c>
      <c r="F931">
        <v>1.7370000000000001</v>
      </c>
      <c r="G931" s="105">
        <v>40773</v>
      </c>
      <c r="H931">
        <v>1.8979999999999999</v>
      </c>
      <c r="I931" s="105">
        <v>40773</v>
      </c>
      <c r="J931">
        <v>2.073</v>
      </c>
    </row>
    <row r="932" spans="1:10">
      <c r="A932" s="105">
        <v>40772</v>
      </c>
      <c r="B932">
        <v>1.3520000000000001</v>
      </c>
      <c r="C932" s="105">
        <v>40772</v>
      </c>
      <c r="D932">
        <v>1.5349999999999999</v>
      </c>
      <c r="E932" s="105">
        <v>40772</v>
      </c>
      <c r="F932">
        <v>1.74</v>
      </c>
      <c r="G932" s="105">
        <v>40772</v>
      </c>
      <c r="H932">
        <v>1.9019999999999999</v>
      </c>
      <c r="I932" s="105">
        <v>40772</v>
      </c>
      <c r="J932">
        <v>2.0779999999999998</v>
      </c>
    </row>
    <row r="933" spans="1:10">
      <c r="A933" s="105">
        <v>40771</v>
      </c>
      <c r="B933">
        <v>1.357</v>
      </c>
      <c r="C933" s="105">
        <v>40771</v>
      </c>
      <c r="D933">
        <v>1.536</v>
      </c>
      <c r="E933" s="105">
        <v>40771</v>
      </c>
      <c r="F933">
        <v>1.7410000000000001</v>
      </c>
      <c r="G933" s="105">
        <v>40771</v>
      </c>
      <c r="H933">
        <v>1.903</v>
      </c>
      <c r="I933" s="105">
        <v>40771</v>
      </c>
      <c r="J933">
        <v>2.08</v>
      </c>
    </row>
    <row r="934" spans="1:10">
      <c r="A934" s="105">
        <v>40770</v>
      </c>
      <c r="B934">
        <v>1.3620000000000001</v>
      </c>
      <c r="C934" s="105">
        <v>40770</v>
      </c>
      <c r="D934">
        <v>1.538</v>
      </c>
      <c r="E934" s="105">
        <v>40770</v>
      </c>
      <c r="F934">
        <v>1.74</v>
      </c>
      <c r="G934" s="105">
        <v>40770</v>
      </c>
      <c r="H934">
        <v>1.901</v>
      </c>
      <c r="I934" s="105">
        <v>40770</v>
      </c>
      <c r="J934">
        <v>2.0779999999999998</v>
      </c>
    </row>
    <row r="935" spans="1:10">
      <c r="A935" s="105">
        <v>40767</v>
      </c>
      <c r="B935">
        <v>1.3620000000000001</v>
      </c>
      <c r="C935" s="105">
        <v>40767</v>
      </c>
      <c r="D935">
        <v>1.5349999999999999</v>
      </c>
      <c r="E935" s="105">
        <v>40767</v>
      </c>
      <c r="F935">
        <v>1.73</v>
      </c>
      <c r="G935" s="105">
        <v>40767</v>
      </c>
      <c r="H935">
        <v>1.889</v>
      </c>
      <c r="I935" s="105">
        <v>40767</v>
      </c>
      <c r="J935">
        <v>2.0670000000000002</v>
      </c>
    </row>
    <row r="936" spans="1:10">
      <c r="A936" s="105">
        <v>40766</v>
      </c>
      <c r="B936">
        <v>1.367</v>
      </c>
      <c r="C936" s="105">
        <v>40766</v>
      </c>
      <c r="D936">
        <v>1.5349999999999999</v>
      </c>
      <c r="E936" s="105">
        <v>40766</v>
      </c>
      <c r="F936">
        <v>1.726</v>
      </c>
      <c r="G936" s="105">
        <v>40766</v>
      </c>
      <c r="H936">
        <v>1.885</v>
      </c>
      <c r="I936" s="105">
        <v>40766</v>
      </c>
      <c r="J936">
        <v>2.0630000000000002</v>
      </c>
    </row>
    <row r="937" spans="1:10">
      <c r="A937" s="105">
        <v>40765</v>
      </c>
      <c r="B937">
        <v>1.38</v>
      </c>
      <c r="C937" s="105">
        <v>40765</v>
      </c>
      <c r="D937">
        <v>1.5449999999999999</v>
      </c>
      <c r="E937" s="105">
        <v>40765</v>
      </c>
      <c r="F937">
        <v>1.7410000000000001</v>
      </c>
      <c r="G937" s="105">
        <v>40765</v>
      </c>
      <c r="H937">
        <v>1.9</v>
      </c>
      <c r="I937" s="105">
        <v>40765</v>
      </c>
      <c r="J937">
        <v>2.0830000000000002</v>
      </c>
    </row>
    <row r="938" spans="1:10">
      <c r="A938" s="105">
        <v>40764</v>
      </c>
      <c r="B938">
        <v>1.3919999999999999</v>
      </c>
      <c r="C938" s="105">
        <v>40764</v>
      </c>
      <c r="D938">
        <v>1.5549999999999999</v>
      </c>
      <c r="E938" s="105">
        <v>40764</v>
      </c>
      <c r="F938">
        <v>1.7450000000000001</v>
      </c>
      <c r="G938" s="105">
        <v>40764</v>
      </c>
      <c r="H938">
        <v>1.9059999999999999</v>
      </c>
      <c r="I938" s="105">
        <v>40764</v>
      </c>
      <c r="J938">
        <v>2.0859999999999999</v>
      </c>
    </row>
    <row r="939" spans="1:10">
      <c r="A939" s="105">
        <v>40763</v>
      </c>
      <c r="B939">
        <v>1.4</v>
      </c>
      <c r="C939" s="105">
        <v>40763</v>
      </c>
      <c r="D939">
        <v>1.56</v>
      </c>
      <c r="E939" s="105">
        <v>40763</v>
      </c>
      <c r="F939">
        <v>1.76</v>
      </c>
      <c r="G939" s="105">
        <v>40763</v>
      </c>
      <c r="H939">
        <v>1.9219999999999999</v>
      </c>
      <c r="I939" s="105">
        <v>40763</v>
      </c>
      <c r="J939">
        <v>2.1019999999999999</v>
      </c>
    </row>
    <row r="940" spans="1:10">
      <c r="A940" s="105">
        <v>40760</v>
      </c>
      <c r="B940">
        <v>1.405</v>
      </c>
      <c r="C940" s="105">
        <v>40760</v>
      </c>
      <c r="D940">
        <v>1.5640000000000001</v>
      </c>
      <c r="E940" s="105">
        <v>40760</v>
      </c>
      <c r="F940">
        <v>1.764</v>
      </c>
      <c r="G940" s="105">
        <v>40760</v>
      </c>
      <c r="H940">
        <v>1.9279999999999999</v>
      </c>
      <c r="I940" s="105">
        <v>40760</v>
      </c>
      <c r="J940">
        <v>2.1059999999999999</v>
      </c>
    </row>
    <row r="941" spans="1:10">
      <c r="A941" s="105">
        <v>40759</v>
      </c>
      <c r="B941">
        <v>1.4339999999999999</v>
      </c>
      <c r="C941" s="105">
        <v>40759</v>
      </c>
      <c r="D941">
        <v>1.6020000000000001</v>
      </c>
      <c r="E941" s="105">
        <v>40759</v>
      </c>
      <c r="F941">
        <v>1.8120000000000001</v>
      </c>
      <c r="G941" s="105">
        <v>40759</v>
      </c>
      <c r="H941">
        <v>1.9870000000000001</v>
      </c>
      <c r="I941" s="105">
        <v>40759</v>
      </c>
      <c r="J941">
        <v>2.173</v>
      </c>
    </row>
    <row r="942" spans="1:10">
      <c r="A942" s="105">
        <v>40758</v>
      </c>
      <c r="B942">
        <v>1.431</v>
      </c>
      <c r="C942" s="105">
        <v>40758</v>
      </c>
      <c r="D942">
        <v>1.601</v>
      </c>
      <c r="E942" s="105">
        <v>40758</v>
      </c>
      <c r="F942">
        <v>1.8120000000000001</v>
      </c>
      <c r="G942" s="105">
        <v>40758</v>
      </c>
      <c r="H942">
        <v>1.986</v>
      </c>
      <c r="I942" s="105">
        <v>40758</v>
      </c>
      <c r="J942">
        <v>2.1720000000000002</v>
      </c>
    </row>
    <row r="943" spans="1:10">
      <c r="A943" s="105">
        <v>40757</v>
      </c>
      <c r="B943">
        <v>1.4330000000000001</v>
      </c>
      <c r="C943" s="105">
        <v>40757</v>
      </c>
      <c r="D943">
        <v>1.605</v>
      </c>
      <c r="E943" s="105">
        <v>40757</v>
      </c>
      <c r="F943">
        <v>1.8160000000000001</v>
      </c>
      <c r="G943" s="105">
        <v>40757</v>
      </c>
      <c r="H943">
        <v>1.99</v>
      </c>
      <c r="I943" s="105">
        <v>40757</v>
      </c>
      <c r="J943">
        <v>2.1749999999999998</v>
      </c>
    </row>
    <row r="944" spans="1:10">
      <c r="A944" s="105">
        <v>40756</v>
      </c>
      <c r="B944">
        <v>1.4339999999999999</v>
      </c>
      <c r="C944" s="105">
        <v>40756</v>
      </c>
      <c r="D944">
        <v>1.609</v>
      </c>
      <c r="E944" s="105">
        <v>40756</v>
      </c>
      <c r="F944">
        <v>1.82</v>
      </c>
      <c r="G944" s="105">
        <v>40756</v>
      </c>
      <c r="H944">
        <v>1.992</v>
      </c>
      <c r="I944" s="105">
        <v>40756</v>
      </c>
      <c r="J944">
        <v>2.177</v>
      </c>
    </row>
    <row r="945" spans="1:10">
      <c r="A945" s="105">
        <v>40753</v>
      </c>
      <c r="B945">
        <v>1.4330000000000001</v>
      </c>
      <c r="C945" s="105">
        <v>40753</v>
      </c>
      <c r="D945">
        <v>1.609</v>
      </c>
      <c r="E945" s="105">
        <v>40753</v>
      </c>
      <c r="F945">
        <v>1.821</v>
      </c>
      <c r="G945" s="105">
        <v>40753</v>
      </c>
      <c r="H945">
        <v>1.992</v>
      </c>
      <c r="I945" s="105">
        <v>40753</v>
      </c>
      <c r="J945">
        <v>2.1779999999999999</v>
      </c>
    </row>
    <row r="946" spans="1:10">
      <c r="A946" s="105">
        <v>40752</v>
      </c>
      <c r="B946">
        <v>1.4359999999999999</v>
      </c>
      <c r="C946" s="105">
        <v>40752</v>
      </c>
      <c r="D946">
        <v>1.61</v>
      </c>
      <c r="E946" s="105">
        <v>40752</v>
      </c>
      <c r="F946">
        <v>1.8240000000000001</v>
      </c>
      <c r="G946" s="105">
        <v>40752</v>
      </c>
      <c r="H946">
        <v>1.998</v>
      </c>
      <c r="I946" s="105">
        <v>40752</v>
      </c>
      <c r="J946">
        <v>2.1829999999999998</v>
      </c>
    </row>
    <row r="947" spans="1:10">
      <c r="A947" s="105">
        <v>40751</v>
      </c>
      <c r="B947">
        <v>1.4419999999999999</v>
      </c>
      <c r="C947" s="105">
        <v>40751</v>
      </c>
      <c r="D947">
        <v>1.6120000000000001</v>
      </c>
      <c r="E947" s="105">
        <v>40751</v>
      </c>
      <c r="F947">
        <v>1.8280000000000001</v>
      </c>
      <c r="G947" s="105">
        <v>40751</v>
      </c>
      <c r="H947">
        <v>2.0030000000000001</v>
      </c>
      <c r="I947" s="105">
        <v>40751</v>
      </c>
      <c r="J947">
        <v>2.19</v>
      </c>
    </row>
    <row r="948" spans="1:10">
      <c r="A948" s="105">
        <v>40750</v>
      </c>
      <c r="B948">
        <v>1.448</v>
      </c>
      <c r="C948" s="105">
        <v>40750</v>
      </c>
      <c r="D948">
        <v>1.615</v>
      </c>
      <c r="E948" s="105">
        <v>40750</v>
      </c>
      <c r="F948">
        <v>1.831</v>
      </c>
      <c r="G948" s="105">
        <v>40750</v>
      </c>
      <c r="H948">
        <v>2.0059999999999998</v>
      </c>
      <c r="I948" s="105">
        <v>40750</v>
      </c>
      <c r="J948">
        <v>2.194</v>
      </c>
    </row>
    <row r="949" spans="1:10">
      <c r="A949" s="105">
        <v>40749</v>
      </c>
      <c r="B949">
        <v>1.4470000000000001</v>
      </c>
      <c r="C949" s="105">
        <v>40749</v>
      </c>
      <c r="D949">
        <v>1.613</v>
      </c>
      <c r="E949" s="105">
        <v>40749</v>
      </c>
      <c r="F949">
        <v>1.827</v>
      </c>
      <c r="G949" s="105">
        <v>40749</v>
      </c>
      <c r="H949">
        <v>2.0049999999999999</v>
      </c>
      <c r="I949" s="105">
        <v>40749</v>
      </c>
      <c r="J949">
        <v>2.1930000000000001</v>
      </c>
    </row>
    <row r="950" spans="1:10">
      <c r="A950" s="105">
        <v>40746</v>
      </c>
      <c r="B950">
        <v>1.4450000000000001</v>
      </c>
      <c r="C950" s="105">
        <v>40746</v>
      </c>
      <c r="D950">
        <v>1.611</v>
      </c>
      <c r="E950" s="105">
        <v>40746</v>
      </c>
      <c r="F950">
        <v>1.8240000000000001</v>
      </c>
      <c r="G950" s="105">
        <v>40746</v>
      </c>
      <c r="H950">
        <v>2.0059999999999998</v>
      </c>
      <c r="I950" s="105">
        <v>40746</v>
      </c>
      <c r="J950">
        <v>2.1920000000000002</v>
      </c>
    </row>
    <row r="951" spans="1:10">
      <c r="A951" s="105">
        <v>40745</v>
      </c>
      <c r="B951">
        <v>1.4470000000000001</v>
      </c>
      <c r="C951" s="105">
        <v>40745</v>
      </c>
      <c r="D951">
        <v>1.6080000000000001</v>
      </c>
      <c r="E951" s="105">
        <v>40745</v>
      </c>
      <c r="F951">
        <v>1.8169999999999999</v>
      </c>
      <c r="G951" s="105">
        <v>40745</v>
      </c>
      <c r="H951">
        <v>1.9910000000000001</v>
      </c>
      <c r="I951" s="105">
        <v>40745</v>
      </c>
      <c r="J951">
        <v>2.177</v>
      </c>
    </row>
    <row r="952" spans="1:10">
      <c r="A952" s="105">
        <v>40744</v>
      </c>
      <c r="B952">
        <v>1.452</v>
      </c>
      <c r="C952" s="105">
        <v>40744</v>
      </c>
      <c r="D952">
        <v>1.6040000000000001</v>
      </c>
      <c r="E952" s="105">
        <v>40744</v>
      </c>
      <c r="F952">
        <v>1.81</v>
      </c>
      <c r="G952" s="105">
        <v>40744</v>
      </c>
      <c r="H952">
        <v>1.9830000000000001</v>
      </c>
      <c r="I952" s="105">
        <v>40744</v>
      </c>
      <c r="J952">
        <v>2.17</v>
      </c>
    </row>
    <row r="953" spans="1:10">
      <c r="A953" s="105">
        <v>40743</v>
      </c>
      <c r="B953">
        <v>1.47</v>
      </c>
      <c r="C953" s="105">
        <v>40743</v>
      </c>
      <c r="D953">
        <v>1.609</v>
      </c>
      <c r="E953" s="105">
        <v>40743</v>
      </c>
      <c r="F953">
        <v>1.8129999999999999</v>
      </c>
      <c r="G953" s="105">
        <v>40743</v>
      </c>
      <c r="H953">
        <v>1.9830000000000001</v>
      </c>
      <c r="I953" s="105">
        <v>40743</v>
      </c>
      <c r="J953">
        <v>2.169</v>
      </c>
    </row>
    <row r="954" spans="1:10">
      <c r="A954" s="105">
        <v>40742</v>
      </c>
      <c r="B954">
        <v>1.4650000000000001</v>
      </c>
      <c r="C954" s="105">
        <v>40742</v>
      </c>
      <c r="D954">
        <v>1.6080000000000001</v>
      </c>
      <c r="E954" s="105">
        <v>40742</v>
      </c>
      <c r="F954">
        <v>1.8120000000000001</v>
      </c>
      <c r="G954" s="105">
        <v>40742</v>
      </c>
      <c r="H954">
        <v>1.9830000000000001</v>
      </c>
      <c r="I954" s="105">
        <v>40742</v>
      </c>
      <c r="J954">
        <v>2.169</v>
      </c>
    </row>
    <row r="955" spans="1:10">
      <c r="A955" s="105">
        <v>40739</v>
      </c>
      <c r="B955">
        <v>1.458</v>
      </c>
      <c r="C955" s="105">
        <v>40739</v>
      </c>
      <c r="D955">
        <v>1.6080000000000001</v>
      </c>
      <c r="E955" s="105">
        <v>40739</v>
      </c>
      <c r="F955">
        <v>1.8140000000000001</v>
      </c>
      <c r="G955" s="105">
        <v>40739</v>
      </c>
      <c r="H955">
        <v>1.9850000000000001</v>
      </c>
      <c r="I955" s="105">
        <v>40739</v>
      </c>
      <c r="J955">
        <v>2.1709999999999998</v>
      </c>
    </row>
    <row r="956" spans="1:10">
      <c r="A956" s="105">
        <v>40738</v>
      </c>
      <c r="B956">
        <v>1.458</v>
      </c>
      <c r="C956" s="105">
        <v>40738</v>
      </c>
      <c r="D956">
        <v>1.6060000000000001</v>
      </c>
      <c r="E956" s="105">
        <v>40738</v>
      </c>
      <c r="F956">
        <v>1.8169999999999999</v>
      </c>
      <c r="G956" s="105">
        <v>40738</v>
      </c>
      <c r="H956">
        <v>1.988</v>
      </c>
      <c r="I956" s="105">
        <v>40738</v>
      </c>
      <c r="J956">
        <v>2.1760000000000002</v>
      </c>
    </row>
    <row r="957" spans="1:10">
      <c r="A957" s="105">
        <v>40737</v>
      </c>
      <c r="B957">
        <v>1.456</v>
      </c>
      <c r="C957" s="105">
        <v>40737</v>
      </c>
      <c r="D957">
        <v>1.605</v>
      </c>
      <c r="E957" s="105">
        <v>40737</v>
      </c>
      <c r="F957">
        <v>1.8180000000000001</v>
      </c>
      <c r="G957" s="105">
        <v>40737</v>
      </c>
      <c r="H957">
        <v>1.9890000000000001</v>
      </c>
      <c r="I957" s="105">
        <v>40737</v>
      </c>
      <c r="J957">
        <v>2.177</v>
      </c>
    </row>
    <row r="958" spans="1:10">
      <c r="A958" s="105">
        <v>40736</v>
      </c>
      <c r="B958">
        <v>1.4419999999999999</v>
      </c>
      <c r="C958" s="105">
        <v>40736</v>
      </c>
      <c r="D958">
        <v>1.599</v>
      </c>
      <c r="E958" s="105">
        <v>40736</v>
      </c>
      <c r="F958">
        <v>1.8180000000000001</v>
      </c>
      <c r="G958" s="105">
        <v>40736</v>
      </c>
      <c r="H958">
        <v>1.99</v>
      </c>
      <c r="I958" s="105">
        <v>40736</v>
      </c>
      <c r="J958">
        <v>2.1779999999999999</v>
      </c>
    </row>
    <row r="959" spans="1:10">
      <c r="A959" s="105">
        <v>40735</v>
      </c>
      <c r="B959">
        <v>1.4330000000000001</v>
      </c>
      <c r="C959" s="105">
        <v>40735</v>
      </c>
      <c r="D959">
        <v>1.601</v>
      </c>
      <c r="E959" s="105">
        <v>40735</v>
      </c>
      <c r="F959">
        <v>1.831</v>
      </c>
      <c r="G959" s="105">
        <v>40735</v>
      </c>
      <c r="H959">
        <v>2.0059999999999998</v>
      </c>
      <c r="I959" s="105">
        <v>40735</v>
      </c>
      <c r="J959">
        <v>2.1949999999999998</v>
      </c>
    </row>
    <row r="960" spans="1:10">
      <c r="A960" s="105">
        <v>40732</v>
      </c>
      <c r="B960">
        <v>1.405</v>
      </c>
      <c r="C960" s="105">
        <v>40732</v>
      </c>
      <c r="D960">
        <v>1.593</v>
      </c>
      <c r="E960" s="105">
        <v>40732</v>
      </c>
      <c r="F960">
        <v>1.831</v>
      </c>
      <c r="G960" s="105">
        <v>40732</v>
      </c>
      <c r="H960">
        <v>2.0110000000000001</v>
      </c>
      <c r="I960" s="105">
        <v>40732</v>
      </c>
      <c r="J960">
        <v>2.2010000000000001</v>
      </c>
    </row>
    <row r="961" spans="1:10">
      <c r="A961" s="105">
        <v>40731</v>
      </c>
      <c r="B961">
        <v>1.371</v>
      </c>
      <c r="C961" s="105">
        <v>40731</v>
      </c>
      <c r="D961">
        <v>1.583</v>
      </c>
      <c r="E961" s="105">
        <v>40731</v>
      </c>
      <c r="F961">
        <v>1.823</v>
      </c>
      <c r="G961" s="105">
        <v>40731</v>
      </c>
      <c r="H961">
        <v>2.0049999999999999</v>
      </c>
      <c r="I961" s="105">
        <v>40731</v>
      </c>
      <c r="J961">
        <v>2.1949999999999998</v>
      </c>
    </row>
    <row r="962" spans="1:10">
      <c r="A962" s="105">
        <v>40730</v>
      </c>
      <c r="B962">
        <v>1.3420000000000001</v>
      </c>
      <c r="C962" s="105">
        <v>40730</v>
      </c>
      <c r="D962">
        <v>1.569</v>
      </c>
      <c r="E962" s="105">
        <v>40730</v>
      </c>
      <c r="F962">
        <v>1.8140000000000001</v>
      </c>
      <c r="G962" s="105">
        <v>40730</v>
      </c>
      <c r="H962">
        <v>1.996</v>
      </c>
      <c r="I962" s="105">
        <v>40730</v>
      </c>
      <c r="J962">
        <v>2.1890000000000001</v>
      </c>
    </row>
    <row r="963" spans="1:10">
      <c r="A963" s="105">
        <v>40729</v>
      </c>
      <c r="B963">
        <v>1.34</v>
      </c>
      <c r="C963" s="105">
        <v>40729</v>
      </c>
      <c r="D963">
        <v>1.5680000000000001</v>
      </c>
      <c r="E963" s="105">
        <v>40729</v>
      </c>
      <c r="F963">
        <v>1.81</v>
      </c>
      <c r="G963" s="105">
        <v>40729</v>
      </c>
      <c r="H963">
        <v>1.9950000000000001</v>
      </c>
      <c r="I963" s="105">
        <v>40729</v>
      </c>
      <c r="J963">
        <v>2.1869999999999998</v>
      </c>
    </row>
    <row r="964" spans="1:10">
      <c r="A964" s="105">
        <v>40728</v>
      </c>
      <c r="B964">
        <v>1.3360000000000001</v>
      </c>
      <c r="C964" s="105">
        <v>40728</v>
      </c>
      <c r="D964">
        <v>1.5629999999999999</v>
      </c>
      <c r="E964" s="105">
        <v>40728</v>
      </c>
      <c r="F964">
        <v>1.8029999999999999</v>
      </c>
      <c r="G964" s="105">
        <v>40728</v>
      </c>
      <c r="H964">
        <v>1.988</v>
      </c>
      <c r="I964" s="105">
        <v>40728</v>
      </c>
      <c r="J964">
        <v>2.1800000000000002</v>
      </c>
    </row>
    <row r="965" spans="1:10">
      <c r="A965" s="105">
        <v>40725</v>
      </c>
      <c r="B965">
        <v>1.3320000000000001</v>
      </c>
      <c r="C965" s="105">
        <v>40725</v>
      </c>
      <c r="D965">
        <v>1.556</v>
      </c>
      <c r="E965" s="105">
        <v>40725</v>
      </c>
      <c r="F965">
        <v>1.7969999999999999</v>
      </c>
      <c r="G965" s="105">
        <v>40725</v>
      </c>
      <c r="H965">
        <v>1.98</v>
      </c>
      <c r="I965" s="105">
        <v>40725</v>
      </c>
      <c r="J965">
        <v>2.1720000000000002</v>
      </c>
    </row>
    <row r="966" spans="1:10">
      <c r="A966" s="105">
        <v>40724</v>
      </c>
      <c r="B966">
        <v>1.325</v>
      </c>
      <c r="C966" s="105">
        <v>40724</v>
      </c>
      <c r="D966">
        <v>1.5469999999999999</v>
      </c>
      <c r="E966" s="105">
        <v>40724</v>
      </c>
      <c r="F966">
        <v>1.788</v>
      </c>
      <c r="G966" s="105">
        <v>40724</v>
      </c>
      <c r="H966">
        <v>1.9690000000000001</v>
      </c>
      <c r="I966" s="105">
        <v>40724</v>
      </c>
      <c r="J966">
        <v>2.1619999999999999</v>
      </c>
    </row>
    <row r="967" spans="1:10">
      <c r="A967" s="105">
        <v>40723</v>
      </c>
      <c r="B967">
        <v>1.319</v>
      </c>
      <c r="C967" s="105">
        <v>40723</v>
      </c>
      <c r="D967">
        <v>1.5369999999999999</v>
      </c>
      <c r="E967" s="105">
        <v>40723</v>
      </c>
      <c r="F967">
        <v>1.7769999999999999</v>
      </c>
      <c r="G967" s="105">
        <v>40723</v>
      </c>
      <c r="H967">
        <v>1.958</v>
      </c>
      <c r="I967" s="105">
        <v>40723</v>
      </c>
      <c r="J967">
        <v>2.15</v>
      </c>
    </row>
    <row r="968" spans="1:10">
      <c r="A968" s="105">
        <v>40722</v>
      </c>
      <c r="B968">
        <v>1.3160000000000001</v>
      </c>
      <c r="C968" s="105">
        <v>40722</v>
      </c>
      <c r="D968">
        <v>1.5309999999999999</v>
      </c>
      <c r="E968" s="105">
        <v>40722</v>
      </c>
      <c r="F968">
        <v>1.77</v>
      </c>
      <c r="G968" s="105">
        <v>40722</v>
      </c>
      <c r="H968">
        <v>1.9510000000000001</v>
      </c>
      <c r="I968" s="105">
        <v>40722</v>
      </c>
      <c r="J968">
        <v>2.1429999999999998</v>
      </c>
    </row>
    <row r="969" spans="1:10">
      <c r="A969" s="105">
        <v>40721</v>
      </c>
      <c r="B969">
        <v>1.3109999999999999</v>
      </c>
      <c r="C969" s="105">
        <v>40721</v>
      </c>
      <c r="D969">
        <v>1.524</v>
      </c>
      <c r="E969" s="105">
        <v>40721</v>
      </c>
      <c r="F969">
        <v>1.764</v>
      </c>
      <c r="G969" s="105">
        <v>40721</v>
      </c>
      <c r="H969">
        <v>1.9490000000000001</v>
      </c>
      <c r="I969" s="105">
        <v>40721</v>
      </c>
      <c r="J969">
        <v>2.14</v>
      </c>
    </row>
    <row r="970" spans="1:10">
      <c r="A970" s="105">
        <v>40718</v>
      </c>
      <c r="B970">
        <v>1.31</v>
      </c>
      <c r="C970" s="105">
        <v>40718</v>
      </c>
      <c r="D970">
        <v>1.528</v>
      </c>
      <c r="E970" s="105">
        <v>40718</v>
      </c>
      <c r="F970">
        <v>1.7689999999999999</v>
      </c>
      <c r="G970" s="105">
        <v>40718</v>
      </c>
      <c r="H970">
        <v>1.954</v>
      </c>
      <c r="I970" s="105">
        <v>40718</v>
      </c>
      <c r="J970">
        <v>2.145</v>
      </c>
    </row>
    <row r="971" spans="1:10">
      <c r="A971" s="105">
        <v>40717</v>
      </c>
      <c r="B971">
        <v>1.3120000000000001</v>
      </c>
      <c r="C971" s="105">
        <v>40717</v>
      </c>
      <c r="D971">
        <v>1.526</v>
      </c>
      <c r="E971" s="105">
        <v>40717</v>
      </c>
      <c r="F971">
        <v>1.7709999999999999</v>
      </c>
      <c r="G971" s="105">
        <v>40717</v>
      </c>
      <c r="H971">
        <v>1.9550000000000001</v>
      </c>
      <c r="I971" s="105">
        <v>40717</v>
      </c>
      <c r="J971">
        <v>2.1469999999999998</v>
      </c>
    </row>
    <row r="972" spans="1:10">
      <c r="A972" s="105">
        <v>40716</v>
      </c>
      <c r="B972">
        <v>1.3180000000000001</v>
      </c>
      <c r="C972" s="105">
        <v>40716</v>
      </c>
      <c r="D972">
        <v>1.526</v>
      </c>
      <c r="E972" s="105">
        <v>40716</v>
      </c>
      <c r="F972">
        <v>1.772</v>
      </c>
      <c r="G972" s="105">
        <v>40716</v>
      </c>
      <c r="H972">
        <v>1.9590000000000001</v>
      </c>
      <c r="I972" s="105">
        <v>40716</v>
      </c>
      <c r="J972">
        <v>2.1480000000000001</v>
      </c>
    </row>
    <row r="973" spans="1:10">
      <c r="A973" s="105">
        <v>40715</v>
      </c>
      <c r="B973">
        <v>1.3240000000000001</v>
      </c>
      <c r="C973" s="105">
        <v>40715</v>
      </c>
      <c r="D973">
        <v>1.52</v>
      </c>
      <c r="E973" s="105">
        <v>40715</v>
      </c>
      <c r="F973">
        <v>1.77</v>
      </c>
      <c r="G973" s="105">
        <v>40715</v>
      </c>
      <c r="H973">
        <v>1.9590000000000001</v>
      </c>
      <c r="I973" s="105">
        <v>40715</v>
      </c>
      <c r="J973">
        <v>2.1459999999999999</v>
      </c>
    </row>
    <row r="974" spans="1:10">
      <c r="A974" s="105">
        <v>40714</v>
      </c>
      <c r="B974">
        <v>1.3109999999999999</v>
      </c>
      <c r="C974" s="105">
        <v>40714</v>
      </c>
      <c r="D974">
        <v>1.51</v>
      </c>
      <c r="E974" s="105">
        <v>40714</v>
      </c>
      <c r="F974">
        <v>1.764</v>
      </c>
      <c r="G974" s="105">
        <v>40714</v>
      </c>
      <c r="H974">
        <v>1.954</v>
      </c>
      <c r="I974" s="105">
        <v>40714</v>
      </c>
      <c r="J974">
        <v>2.1440000000000001</v>
      </c>
    </row>
    <row r="975" spans="1:10">
      <c r="A975" s="105">
        <v>40711</v>
      </c>
      <c r="B975">
        <v>1.302</v>
      </c>
      <c r="C975" s="105">
        <v>40711</v>
      </c>
      <c r="D975">
        <v>1.502</v>
      </c>
      <c r="E975" s="105">
        <v>40711</v>
      </c>
      <c r="F975">
        <v>1.7589999999999999</v>
      </c>
      <c r="G975" s="105">
        <v>40711</v>
      </c>
      <c r="H975">
        <v>1.9530000000000001</v>
      </c>
      <c r="I975" s="105">
        <v>40711</v>
      </c>
      <c r="J975">
        <v>2.1419999999999999</v>
      </c>
    </row>
    <row r="976" spans="1:10">
      <c r="A976" s="105">
        <v>40710</v>
      </c>
      <c r="B976">
        <v>1.2889999999999999</v>
      </c>
      <c r="C976" s="105">
        <v>40710</v>
      </c>
      <c r="D976">
        <v>1.494</v>
      </c>
      <c r="E976" s="105">
        <v>40710</v>
      </c>
      <c r="F976">
        <v>1.752</v>
      </c>
      <c r="G976" s="105">
        <v>40710</v>
      </c>
      <c r="H976">
        <v>1.9490000000000001</v>
      </c>
      <c r="I976" s="105">
        <v>40710</v>
      </c>
      <c r="J976">
        <v>2.14</v>
      </c>
    </row>
    <row r="977" spans="1:10">
      <c r="A977" s="105">
        <v>40709</v>
      </c>
      <c r="B977">
        <v>1.2809999999999999</v>
      </c>
      <c r="C977" s="105">
        <v>40709</v>
      </c>
      <c r="D977">
        <v>1.4850000000000001</v>
      </c>
      <c r="E977" s="105">
        <v>40709</v>
      </c>
      <c r="F977">
        <v>1.748</v>
      </c>
      <c r="G977" s="105">
        <v>40709</v>
      </c>
      <c r="H977">
        <v>1.9510000000000001</v>
      </c>
      <c r="I977" s="105">
        <v>40709</v>
      </c>
      <c r="J977">
        <v>2.141</v>
      </c>
    </row>
    <row r="978" spans="1:10">
      <c r="A978" s="105">
        <v>40708</v>
      </c>
      <c r="B978">
        <v>1.274</v>
      </c>
      <c r="C978" s="105">
        <v>40708</v>
      </c>
      <c r="D978">
        <v>1.4770000000000001</v>
      </c>
      <c r="E978" s="105">
        <v>40708</v>
      </c>
      <c r="F978">
        <v>1.7410000000000001</v>
      </c>
      <c r="G978" s="105">
        <v>40708</v>
      </c>
      <c r="H978">
        <v>1.946</v>
      </c>
      <c r="I978" s="105">
        <v>40708</v>
      </c>
      <c r="J978">
        <v>2.137</v>
      </c>
    </row>
    <row r="979" spans="1:10">
      <c r="A979" s="105">
        <v>40707</v>
      </c>
      <c r="B979">
        <v>1.266</v>
      </c>
      <c r="C979" s="105">
        <v>40707</v>
      </c>
      <c r="D979">
        <v>1.4710000000000001</v>
      </c>
      <c r="E979" s="105">
        <v>40707</v>
      </c>
      <c r="F979">
        <v>1.7390000000000001</v>
      </c>
      <c r="G979" s="105">
        <v>40707</v>
      </c>
      <c r="H979">
        <v>1.944</v>
      </c>
      <c r="I979" s="105">
        <v>40707</v>
      </c>
      <c r="J979">
        <v>2.1389999999999998</v>
      </c>
    </row>
    <row r="980" spans="1:10">
      <c r="A980" s="105">
        <v>40704</v>
      </c>
      <c r="B980">
        <v>1.262</v>
      </c>
      <c r="C980" s="105">
        <v>40704</v>
      </c>
      <c r="D980">
        <v>1.4690000000000001</v>
      </c>
      <c r="E980" s="105">
        <v>40704</v>
      </c>
      <c r="F980">
        <v>1.7390000000000001</v>
      </c>
      <c r="G980" s="105">
        <v>40704</v>
      </c>
      <c r="H980">
        <v>1.9470000000000001</v>
      </c>
      <c r="I980" s="105">
        <v>40704</v>
      </c>
      <c r="J980">
        <v>2.145</v>
      </c>
    </row>
    <row r="981" spans="1:10">
      <c r="A981" s="105">
        <v>40703</v>
      </c>
      <c r="B981">
        <v>1.258</v>
      </c>
      <c r="C981" s="105">
        <v>40703</v>
      </c>
      <c r="D981">
        <v>1.464</v>
      </c>
      <c r="E981" s="105">
        <v>40703</v>
      </c>
      <c r="F981">
        <v>1.7410000000000001</v>
      </c>
      <c r="G981" s="105">
        <v>40703</v>
      </c>
      <c r="H981">
        <v>1.954</v>
      </c>
      <c r="I981" s="105">
        <v>40703</v>
      </c>
      <c r="J981">
        <v>2.157</v>
      </c>
    </row>
    <row r="982" spans="1:10">
      <c r="A982" s="105">
        <v>40702</v>
      </c>
      <c r="B982">
        <v>1.2390000000000001</v>
      </c>
      <c r="C982" s="105">
        <v>40702</v>
      </c>
      <c r="D982">
        <v>1.452</v>
      </c>
      <c r="E982" s="105">
        <v>40702</v>
      </c>
      <c r="F982">
        <v>1.7330000000000001</v>
      </c>
      <c r="G982" s="105">
        <v>40702</v>
      </c>
      <c r="H982">
        <v>1.948</v>
      </c>
      <c r="I982" s="105">
        <v>40702</v>
      </c>
      <c r="J982">
        <v>2.1509999999999998</v>
      </c>
    </row>
    <row r="983" spans="1:10">
      <c r="A983" s="105">
        <v>40701</v>
      </c>
      <c r="B983">
        <v>1.226</v>
      </c>
      <c r="C983" s="105">
        <v>40701</v>
      </c>
      <c r="D983">
        <v>1.4430000000000001</v>
      </c>
      <c r="E983" s="105">
        <v>40701</v>
      </c>
      <c r="F983">
        <v>1.724</v>
      </c>
      <c r="G983" s="105">
        <v>40701</v>
      </c>
      <c r="H983">
        <v>1.94</v>
      </c>
      <c r="I983" s="105">
        <v>40701</v>
      </c>
      <c r="J983">
        <v>2.141</v>
      </c>
    </row>
    <row r="984" spans="1:10">
      <c r="A984" s="105">
        <v>40700</v>
      </c>
      <c r="B984">
        <v>1.2250000000000001</v>
      </c>
      <c r="C984" s="105">
        <v>40700</v>
      </c>
      <c r="D984">
        <v>1.4379999999999999</v>
      </c>
      <c r="E984" s="105">
        <v>40700</v>
      </c>
      <c r="F984">
        <v>1.7190000000000001</v>
      </c>
      <c r="G984" s="105">
        <v>40700</v>
      </c>
      <c r="H984">
        <v>1.9359999999999999</v>
      </c>
      <c r="I984" s="105">
        <v>40700</v>
      </c>
      <c r="J984">
        <v>2.14</v>
      </c>
    </row>
    <row r="985" spans="1:10">
      <c r="A985" s="105">
        <v>40697</v>
      </c>
      <c r="B985">
        <v>1.2230000000000001</v>
      </c>
      <c r="C985" s="105">
        <v>40697</v>
      </c>
      <c r="D985">
        <v>1.4359999999999999</v>
      </c>
      <c r="E985" s="105">
        <v>40697</v>
      </c>
      <c r="F985">
        <v>1.716</v>
      </c>
      <c r="G985" s="105">
        <v>40697</v>
      </c>
      <c r="H985">
        <v>1.9339999999999999</v>
      </c>
      <c r="I985" s="105">
        <v>40697</v>
      </c>
      <c r="J985">
        <v>2.1389999999999998</v>
      </c>
    </row>
    <row r="986" spans="1:10">
      <c r="A986" s="105">
        <v>40696</v>
      </c>
      <c r="B986">
        <v>1.224</v>
      </c>
      <c r="C986" s="105">
        <v>40696</v>
      </c>
      <c r="D986">
        <v>1.4350000000000001</v>
      </c>
      <c r="E986" s="105">
        <v>40696</v>
      </c>
      <c r="F986">
        <v>1.714</v>
      </c>
      <c r="G986" s="105">
        <v>40696</v>
      </c>
      <c r="H986">
        <v>1.93</v>
      </c>
      <c r="I986" s="105">
        <v>40696</v>
      </c>
      <c r="J986">
        <v>2.137</v>
      </c>
    </row>
    <row r="987" spans="1:10">
      <c r="A987" s="105">
        <v>40695</v>
      </c>
      <c r="B987">
        <v>1.2230000000000001</v>
      </c>
      <c r="C987" s="105">
        <v>40695</v>
      </c>
      <c r="D987">
        <v>1.4339999999999999</v>
      </c>
      <c r="E987" s="105">
        <v>40695</v>
      </c>
      <c r="F987">
        <v>1.714</v>
      </c>
      <c r="G987" s="105">
        <v>40695</v>
      </c>
      <c r="H987">
        <v>1.93</v>
      </c>
      <c r="I987" s="105">
        <v>40695</v>
      </c>
      <c r="J987">
        <v>2.137</v>
      </c>
    </row>
    <row r="988" spans="1:10">
      <c r="A988" s="105">
        <v>40694</v>
      </c>
      <c r="B988">
        <v>1.228</v>
      </c>
      <c r="C988" s="105">
        <v>40694</v>
      </c>
      <c r="D988">
        <v>1.4330000000000001</v>
      </c>
      <c r="E988" s="105">
        <v>40694</v>
      </c>
      <c r="F988">
        <v>1.712</v>
      </c>
      <c r="G988" s="105">
        <v>40694</v>
      </c>
      <c r="H988">
        <v>1.931</v>
      </c>
      <c r="I988" s="105">
        <v>40694</v>
      </c>
      <c r="J988">
        <v>2.1379999999999999</v>
      </c>
    </row>
    <row r="989" spans="1:10">
      <c r="A989" s="105">
        <v>40693</v>
      </c>
      <c r="B989">
        <v>1.23</v>
      </c>
      <c r="C989" s="105">
        <v>40693</v>
      </c>
      <c r="D989">
        <v>1.43</v>
      </c>
      <c r="E989" s="105">
        <v>40693</v>
      </c>
      <c r="F989">
        <v>1.7050000000000001</v>
      </c>
      <c r="G989" s="105">
        <v>40693</v>
      </c>
      <c r="H989">
        <v>1.925</v>
      </c>
      <c r="I989" s="105">
        <v>40693</v>
      </c>
      <c r="J989">
        <v>2.1320000000000001</v>
      </c>
    </row>
    <row r="990" spans="1:10">
      <c r="A990" s="105">
        <v>40690</v>
      </c>
      <c r="B990">
        <v>1.232</v>
      </c>
      <c r="C990" s="105">
        <v>40690</v>
      </c>
      <c r="D990">
        <v>1.43</v>
      </c>
      <c r="E990" s="105">
        <v>40690</v>
      </c>
      <c r="F990">
        <v>1.708</v>
      </c>
      <c r="G990" s="105">
        <v>40690</v>
      </c>
      <c r="H990">
        <v>1.9279999999999999</v>
      </c>
      <c r="I990" s="105">
        <v>40690</v>
      </c>
      <c r="J990">
        <v>2.1349999999999998</v>
      </c>
    </row>
    <row r="991" spans="1:10">
      <c r="A991" s="105">
        <v>40689</v>
      </c>
      <c r="B991">
        <v>1.24</v>
      </c>
      <c r="C991" s="105">
        <v>40689</v>
      </c>
      <c r="D991">
        <v>1.4330000000000001</v>
      </c>
      <c r="E991" s="105">
        <v>40689</v>
      </c>
      <c r="F991">
        <v>1.712</v>
      </c>
      <c r="G991" s="105">
        <v>40689</v>
      </c>
      <c r="H991">
        <v>1.9339999999999999</v>
      </c>
      <c r="I991" s="105">
        <v>40689</v>
      </c>
      <c r="J991">
        <v>2.1419999999999999</v>
      </c>
    </row>
    <row r="992" spans="1:10">
      <c r="A992" s="105">
        <v>40688</v>
      </c>
      <c r="B992">
        <v>1.2450000000000001</v>
      </c>
      <c r="C992" s="105">
        <v>40688</v>
      </c>
      <c r="D992">
        <v>1.4350000000000001</v>
      </c>
      <c r="E992" s="105">
        <v>40688</v>
      </c>
      <c r="F992">
        <v>1.714</v>
      </c>
      <c r="G992" s="105">
        <v>40688</v>
      </c>
      <c r="H992">
        <v>1.9379999999999999</v>
      </c>
      <c r="I992" s="105">
        <v>40688</v>
      </c>
      <c r="J992">
        <v>2.1440000000000001</v>
      </c>
    </row>
    <row r="993" spans="1:10">
      <c r="A993" s="105">
        <v>40687</v>
      </c>
      <c r="B993">
        <v>1.2450000000000001</v>
      </c>
      <c r="C993" s="105">
        <v>40687</v>
      </c>
      <c r="D993">
        <v>1.4339999999999999</v>
      </c>
      <c r="E993" s="105">
        <v>40687</v>
      </c>
      <c r="F993">
        <v>1.716</v>
      </c>
      <c r="G993" s="105">
        <v>40687</v>
      </c>
      <c r="H993">
        <v>1.9410000000000001</v>
      </c>
      <c r="I993" s="105">
        <v>40687</v>
      </c>
      <c r="J993">
        <v>2.15</v>
      </c>
    </row>
    <row r="994" spans="1:10">
      <c r="A994" s="105">
        <v>40686</v>
      </c>
      <c r="B994">
        <v>1.2450000000000001</v>
      </c>
      <c r="C994" s="105">
        <v>40686</v>
      </c>
      <c r="D994">
        <v>1.4339999999999999</v>
      </c>
      <c r="E994" s="105">
        <v>40686</v>
      </c>
      <c r="F994">
        <v>1.716</v>
      </c>
      <c r="G994" s="105">
        <v>40686</v>
      </c>
      <c r="H994">
        <v>1.9410000000000001</v>
      </c>
      <c r="I994" s="105">
        <v>40686</v>
      </c>
      <c r="J994">
        <v>2.15</v>
      </c>
    </row>
    <row r="995" spans="1:10">
      <c r="A995" s="105">
        <v>40683</v>
      </c>
      <c r="B995">
        <v>1.2430000000000001</v>
      </c>
      <c r="C995" s="105">
        <v>40683</v>
      </c>
      <c r="D995">
        <v>1.4350000000000001</v>
      </c>
      <c r="E995" s="105">
        <v>40683</v>
      </c>
      <c r="F995">
        <v>1.72</v>
      </c>
      <c r="G995" s="105">
        <v>40683</v>
      </c>
      <c r="H995">
        <v>1.9450000000000001</v>
      </c>
      <c r="I995" s="105">
        <v>40683</v>
      </c>
      <c r="J995">
        <v>2.1589999999999998</v>
      </c>
    </row>
    <row r="996" spans="1:10">
      <c r="A996" s="105">
        <v>40682</v>
      </c>
      <c r="B996">
        <v>1.2430000000000001</v>
      </c>
      <c r="C996" s="105">
        <v>40682</v>
      </c>
      <c r="D996">
        <v>1.4339999999999999</v>
      </c>
      <c r="E996" s="105">
        <v>40682</v>
      </c>
      <c r="F996">
        <v>1.7170000000000001</v>
      </c>
      <c r="G996" s="105">
        <v>40682</v>
      </c>
      <c r="H996">
        <v>1.9419999999999999</v>
      </c>
      <c r="I996" s="105">
        <v>40682</v>
      </c>
      <c r="J996">
        <v>2.157</v>
      </c>
    </row>
    <row r="997" spans="1:10">
      <c r="A997" s="105">
        <v>40681</v>
      </c>
      <c r="B997">
        <v>1.24</v>
      </c>
      <c r="C997" s="105">
        <v>40681</v>
      </c>
      <c r="D997">
        <v>1.431</v>
      </c>
      <c r="E997" s="105">
        <v>40681</v>
      </c>
      <c r="F997">
        <v>1.7130000000000001</v>
      </c>
      <c r="G997" s="105">
        <v>40681</v>
      </c>
      <c r="H997">
        <v>1.9390000000000001</v>
      </c>
      <c r="I997" s="105">
        <v>40681</v>
      </c>
      <c r="J997">
        <v>2.153</v>
      </c>
    </row>
    <row r="998" spans="1:10">
      <c r="A998" s="105">
        <v>40680</v>
      </c>
      <c r="B998">
        <v>1.2410000000000001</v>
      </c>
      <c r="C998" s="105">
        <v>40680</v>
      </c>
      <c r="D998">
        <v>1.4279999999999999</v>
      </c>
      <c r="E998" s="105">
        <v>40680</v>
      </c>
      <c r="F998">
        <v>1.71</v>
      </c>
      <c r="G998" s="105">
        <v>40680</v>
      </c>
      <c r="H998">
        <v>1.9339999999999999</v>
      </c>
      <c r="I998" s="105">
        <v>40680</v>
      </c>
      <c r="J998">
        <v>2.149</v>
      </c>
    </row>
    <row r="999" spans="1:10">
      <c r="A999" s="105">
        <v>40679</v>
      </c>
      <c r="B999">
        <v>1.242</v>
      </c>
      <c r="C999" s="105">
        <v>40679</v>
      </c>
      <c r="D999">
        <v>1.4259999999999999</v>
      </c>
      <c r="E999" s="105">
        <v>40679</v>
      </c>
      <c r="F999">
        <v>1.7070000000000001</v>
      </c>
      <c r="G999" s="105">
        <v>40679</v>
      </c>
      <c r="H999">
        <v>1.931</v>
      </c>
      <c r="I999" s="105">
        <v>40679</v>
      </c>
      <c r="J999">
        <v>2.145</v>
      </c>
    </row>
    <row r="1000" spans="1:10">
      <c r="A1000" s="105">
        <v>40676</v>
      </c>
      <c r="B1000">
        <v>1.24</v>
      </c>
      <c r="C1000" s="105">
        <v>40676</v>
      </c>
      <c r="D1000">
        <v>1.425</v>
      </c>
      <c r="E1000" s="105">
        <v>40676</v>
      </c>
      <c r="F1000">
        <v>1.7030000000000001</v>
      </c>
      <c r="G1000" s="105">
        <v>40676</v>
      </c>
      <c r="H1000">
        <v>1.9279999999999999</v>
      </c>
      <c r="I1000" s="105">
        <v>40676</v>
      </c>
      <c r="J1000">
        <v>2.141</v>
      </c>
    </row>
    <row r="1001" spans="1:10">
      <c r="A1001" s="105">
        <v>40675</v>
      </c>
      <c r="B1001">
        <v>1.2410000000000001</v>
      </c>
      <c r="C1001" s="105">
        <v>40675</v>
      </c>
      <c r="D1001">
        <v>1.42</v>
      </c>
      <c r="E1001" s="105">
        <v>40675</v>
      </c>
      <c r="F1001">
        <v>1.6990000000000001</v>
      </c>
      <c r="G1001" s="105">
        <v>40675</v>
      </c>
      <c r="H1001">
        <v>1.923</v>
      </c>
      <c r="I1001" s="105">
        <v>40675</v>
      </c>
      <c r="J1001">
        <v>2.1360000000000001</v>
      </c>
    </row>
    <row r="1002" spans="1:10">
      <c r="A1002" s="105">
        <v>40674</v>
      </c>
      <c r="B1002">
        <v>1.2450000000000001</v>
      </c>
      <c r="C1002" s="105">
        <v>40674</v>
      </c>
      <c r="D1002">
        <v>1.42</v>
      </c>
      <c r="E1002" s="105">
        <v>40674</v>
      </c>
      <c r="F1002">
        <v>1.7010000000000001</v>
      </c>
      <c r="G1002" s="105">
        <v>40674</v>
      </c>
      <c r="H1002">
        <v>1.9239999999999999</v>
      </c>
      <c r="I1002" s="105">
        <v>40674</v>
      </c>
      <c r="J1002">
        <v>2.141</v>
      </c>
    </row>
    <row r="1003" spans="1:10">
      <c r="A1003" s="105">
        <v>40673</v>
      </c>
      <c r="B1003">
        <v>1.2529999999999999</v>
      </c>
      <c r="C1003" s="105">
        <v>40673</v>
      </c>
      <c r="D1003">
        <v>1.4259999999999999</v>
      </c>
      <c r="E1003" s="105">
        <v>40673</v>
      </c>
      <c r="F1003">
        <v>1.706</v>
      </c>
      <c r="G1003" s="105">
        <v>40673</v>
      </c>
      <c r="H1003">
        <v>1.929</v>
      </c>
      <c r="I1003" s="105">
        <v>40673</v>
      </c>
      <c r="J1003">
        <v>2.15</v>
      </c>
    </row>
    <row r="1004" spans="1:10">
      <c r="A1004" s="105">
        <v>40672</v>
      </c>
      <c r="B1004">
        <v>1.252</v>
      </c>
      <c r="C1004" s="105">
        <v>40672</v>
      </c>
      <c r="D1004">
        <v>1.423</v>
      </c>
      <c r="E1004" s="105">
        <v>40672</v>
      </c>
      <c r="F1004">
        <v>1.7050000000000001</v>
      </c>
      <c r="G1004" s="105">
        <v>40672</v>
      </c>
      <c r="H1004">
        <v>1.929</v>
      </c>
      <c r="I1004" s="105">
        <v>40672</v>
      </c>
      <c r="J1004">
        <v>2.1509999999999998</v>
      </c>
    </row>
    <row r="1005" spans="1:10">
      <c r="A1005" s="105">
        <v>40669</v>
      </c>
      <c r="B1005">
        <v>1.25</v>
      </c>
      <c r="C1005" s="105">
        <v>40669</v>
      </c>
      <c r="D1005">
        <v>1.419</v>
      </c>
      <c r="E1005" s="105">
        <v>40669</v>
      </c>
      <c r="F1005">
        <v>1.7030000000000001</v>
      </c>
      <c r="G1005" s="105">
        <v>40669</v>
      </c>
      <c r="H1005">
        <v>1.929</v>
      </c>
      <c r="I1005" s="105">
        <v>40669</v>
      </c>
      <c r="J1005">
        <v>2.1520000000000001</v>
      </c>
    </row>
    <row r="1006" spans="1:10">
      <c r="A1006" s="105">
        <v>40668</v>
      </c>
      <c r="B1006">
        <v>1.254</v>
      </c>
      <c r="C1006" s="105">
        <v>40668</v>
      </c>
      <c r="D1006">
        <v>1.4239999999999999</v>
      </c>
      <c r="E1006" s="105">
        <v>40668</v>
      </c>
      <c r="F1006">
        <v>1.7130000000000001</v>
      </c>
      <c r="G1006" s="105">
        <v>40668</v>
      </c>
      <c r="H1006">
        <v>1.944</v>
      </c>
      <c r="I1006" s="105">
        <v>40668</v>
      </c>
      <c r="J1006">
        <v>2.173</v>
      </c>
    </row>
    <row r="1007" spans="1:10">
      <c r="A1007" s="105">
        <v>40667</v>
      </c>
      <c r="B1007">
        <v>1.25</v>
      </c>
      <c r="C1007" s="105">
        <v>40667</v>
      </c>
      <c r="D1007">
        <v>1.415</v>
      </c>
      <c r="E1007" s="105">
        <v>40667</v>
      </c>
      <c r="F1007">
        <v>1.7</v>
      </c>
      <c r="G1007" s="105">
        <v>40667</v>
      </c>
      <c r="H1007">
        <v>1.93</v>
      </c>
      <c r="I1007" s="105">
        <v>40667</v>
      </c>
      <c r="J1007">
        <v>2.157</v>
      </c>
    </row>
    <row r="1008" spans="1:10">
      <c r="A1008" s="105">
        <v>40666</v>
      </c>
      <c r="B1008">
        <v>1.2509999999999999</v>
      </c>
      <c r="C1008" s="105">
        <v>40666</v>
      </c>
      <c r="D1008">
        <v>1.4019999999999999</v>
      </c>
      <c r="E1008" s="105">
        <v>40666</v>
      </c>
      <c r="F1008">
        <v>1.6879999999999999</v>
      </c>
      <c r="G1008" s="105">
        <v>40666</v>
      </c>
      <c r="H1008">
        <v>1.919</v>
      </c>
      <c r="I1008" s="105">
        <v>40666</v>
      </c>
      <c r="J1008">
        <v>2.1429999999999998</v>
      </c>
    </row>
    <row r="1009" spans="1:10">
      <c r="A1009" s="105">
        <v>40665</v>
      </c>
      <c r="B1009">
        <v>1.244</v>
      </c>
      <c r="C1009" s="105">
        <v>40665</v>
      </c>
      <c r="D1009">
        <v>1.395</v>
      </c>
      <c r="E1009" s="105">
        <v>40665</v>
      </c>
      <c r="F1009">
        <v>1.6819999999999999</v>
      </c>
      <c r="G1009" s="105">
        <v>40665</v>
      </c>
      <c r="H1009">
        <v>1.9139999999999999</v>
      </c>
      <c r="I1009" s="105">
        <v>40665</v>
      </c>
      <c r="J1009">
        <v>2.1389999999999998</v>
      </c>
    </row>
    <row r="1010" spans="1:10">
      <c r="A1010" s="105">
        <v>40662</v>
      </c>
      <c r="B1010">
        <v>1.2370000000000001</v>
      </c>
      <c r="C1010" s="105">
        <v>40662</v>
      </c>
      <c r="D1010">
        <v>1.385</v>
      </c>
      <c r="E1010" s="105">
        <v>40662</v>
      </c>
      <c r="F1010">
        <v>1.675</v>
      </c>
      <c r="G1010" s="105">
        <v>40662</v>
      </c>
      <c r="H1010">
        <v>1.909</v>
      </c>
      <c r="I1010" s="105">
        <v>40662</v>
      </c>
      <c r="J1010">
        <v>2.1320000000000001</v>
      </c>
    </row>
    <row r="1011" spans="1:10">
      <c r="A1011" s="105">
        <v>40661</v>
      </c>
      <c r="B1011">
        <v>1.2270000000000001</v>
      </c>
      <c r="C1011" s="105">
        <v>40661</v>
      </c>
      <c r="D1011">
        <v>1.375</v>
      </c>
      <c r="E1011" s="105">
        <v>40661</v>
      </c>
      <c r="F1011">
        <v>1.669</v>
      </c>
      <c r="G1011" s="105">
        <v>40661</v>
      </c>
      <c r="H1011">
        <v>1.9019999999999999</v>
      </c>
      <c r="I1011" s="105">
        <v>40661</v>
      </c>
      <c r="J1011">
        <v>2.1280000000000001</v>
      </c>
    </row>
    <row r="1012" spans="1:10">
      <c r="A1012" s="105">
        <v>40660</v>
      </c>
      <c r="B1012">
        <v>1.2110000000000001</v>
      </c>
      <c r="C1012" s="105">
        <v>40660</v>
      </c>
      <c r="D1012">
        <v>1.365</v>
      </c>
      <c r="E1012" s="105">
        <v>40660</v>
      </c>
      <c r="F1012">
        <v>1.661</v>
      </c>
      <c r="G1012" s="105">
        <v>40660</v>
      </c>
      <c r="H1012">
        <v>1.8939999999999999</v>
      </c>
      <c r="I1012" s="105">
        <v>40660</v>
      </c>
      <c r="J1012">
        <v>2.1179999999999999</v>
      </c>
    </row>
    <row r="1013" spans="1:10">
      <c r="A1013" s="105">
        <v>40659</v>
      </c>
      <c r="B1013">
        <v>1.2</v>
      </c>
      <c r="C1013" s="105">
        <v>40659</v>
      </c>
      <c r="D1013">
        <v>1.361</v>
      </c>
      <c r="E1013" s="105">
        <v>40659</v>
      </c>
      <c r="F1013">
        <v>1.657</v>
      </c>
      <c r="G1013" s="105">
        <v>40659</v>
      </c>
      <c r="H1013">
        <v>1.893</v>
      </c>
      <c r="I1013" s="105">
        <v>40659</v>
      </c>
      <c r="J1013">
        <v>2.1179999999999999</v>
      </c>
    </row>
    <row r="1014" spans="1:10">
      <c r="A1014" s="105">
        <v>40654</v>
      </c>
      <c r="B1014">
        <v>1.1910000000000001</v>
      </c>
      <c r="C1014" s="105">
        <v>40654</v>
      </c>
      <c r="D1014">
        <v>1.3560000000000001</v>
      </c>
      <c r="E1014" s="105">
        <v>40654</v>
      </c>
      <c r="F1014">
        <v>1.655</v>
      </c>
      <c r="G1014" s="105">
        <v>40654</v>
      </c>
      <c r="H1014">
        <v>1.897</v>
      </c>
      <c r="I1014" s="105">
        <v>40654</v>
      </c>
      <c r="J1014">
        <v>2.1259999999999999</v>
      </c>
    </row>
    <row r="1015" spans="1:10">
      <c r="A1015" s="105">
        <v>40653</v>
      </c>
      <c r="B1015">
        <v>1.1830000000000001</v>
      </c>
      <c r="C1015" s="105">
        <v>40653</v>
      </c>
      <c r="D1015">
        <v>1.349</v>
      </c>
      <c r="E1015" s="105">
        <v>40653</v>
      </c>
      <c r="F1015">
        <v>1.649</v>
      </c>
      <c r="G1015" s="105">
        <v>40653</v>
      </c>
      <c r="H1015">
        <v>1.891</v>
      </c>
      <c r="I1015" s="105">
        <v>40653</v>
      </c>
      <c r="J1015">
        <v>2.1179999999999999</v>
      </c>
    </row>
    <row r="1016" spans="1:10">
      <c r="A1016" s="105">
        <v>40652</v>
      </c>
      <c r="B1016">
        <v>1.1719999999999999</v>
      </c>
      <c r="C1016" s="105">
        <v>40652</v>
      </c>
      <c r="D1016">
        <v>1.343</v>
      </c>
      <c r="E1016" s="105">
        <v>40652</v>
      </c>
      <c r="F1016">
        <v>1.639</v>
      </c>
      <c r="G1016" s="105">
        <v>40652</v>
      </c>
      <c r="H1016">
        <v>1.883</v>
      </c>
      <c r="I1016" s="105">
        <v>40652</v>
      </c>
      <c r="J1016">
        <v>2.1080000000000001</v>
      </c>
    </row>
    <row r="1017" spans="1:10">
      <c r="A1017" s="105">
        <v>40651</v>
      </c>
      <c r="B1017">
        <v>1.1659999999999999</v>
      </c>
      <c r="C1017" s="105">
        <v>40651</v>
      </c>
      <c r="D1017">
        <v>1.3380000000000001</v>
      </c>
      <c r="E1017" s="105">
        <v>40651</v>
      </c>
      <c r="F1017">
        <v>1.635</v>
      </c>
      <c r="G1017" s="105">
        <v>40651</v>
      </c>
      <c r="H1017">
        <v>1.88</v>
      </c>
      <c r="I1017" s="105">
        <v>40651</v>
      </c>
      <c r="J1017">
        <v>2.1059999999999999</v>
      </c>
    </row>
    <row r="1018" spans="1:10">
      <c r="A1018" s="105">
        <v>40648</v>
      </c>
      <c r="B1018">
        <v>1.161</v>
      </c>
      <c r="C1018" s="105">
        <v>40648</v>
      </c>
      <c r="D1018">
        <v>1.3320000000000001</v>
      </c>
      <c r="E1018" s="105">
        <v>40648</v>
      </c>
      <c r="F1018">
        <v>1.631</v>
      </c>
      <c r="G1018" s="105">
        <v>40648</v>
      </c>
      <c r="H1018">
        <v>1.8779999999999999</v>
      </c>
      <c r="I1018" s="105">
        <v>40648</v>
      </c>
      <c r="J1018">
        <v>2.1040000000000001</v>
      </c>
    </row>
    <row r="1019" spans="1:10">
      <c r="A1019" s="105">
        <v>40647</v>
      </c>
      <c r="B1019">
        <v>1.1559999999999999</v>
      </c>
      <c r="C1019" s="105">
        <v>40647</v>
      </c>
      <c r="D1019">
        <v>1.3320000000000001</v>
      </c>
      <c r="E1019" s="105">
        <v>40647</v>
      </c>
      <c r="F1019">
        <v>1.629</v>
      </c>
      <c r="G1019" s="105">
        <v>40647</v>
      </c>
      <c r="H1019">
        <v>1.8759999999999999</v>
      </c>
      <c r="I1019" s="105">
        <v>40647</v>
      </c>
      <c r="J1019">
        <v>2.1019999999999999</v>
      </c>
    </row>
    <row r="1020" spans="1:10">
      <c r="A1020" s="105">
        <v>40646</v>
      </c>
      <c r="B1020">
        <v>1.149</v>
      </c>
      <c r="C1020" s="105">
        <v>40646</v>
      </c>
      <c r="D1020">
        <v>1.327</v>
      </c>
      <c r="E1020" s="105">
        <v>40646</v>
      </c>
      <c r="F1020">
        <v>1.6259999999999999</v>
      </c>
      <c r="G1020" s="105">
        <v>40646</v>
      </c>
      <c r="H1020">
        <v>1.8720000000000001</v>
      </c>
      <c r="I1020" s="105">
        <v>40646</v>
      </c>
      <c r="J1020">
        <v>2.0990000000000002</v>
      </c>
    </row>
    <row r="1021" spans="1:10">
      <c r="A1021" s="105">
        <v>40645</v>
      </c>
      <c r="B1021">
        <v>1.1359999999999999</v>
      </c>
      <c r="C1021" s="105">
        <v>40645</v>
      </c>
      <c r="D1021">
        <v>1.32</v>
      </c>
      <c r="E1021" s="105">
        <v>40645</v>
      </c>
      <c r="F1021">
        <v>1.621</v>
      </c>
      <c r="G1021" s="105">
        <v>40645</v>
      </c>
      <c r="H1021">
        <v>1.8680000000000001</v>
      </c>
      <c r="I1021" s="105">
        <v>40645</v>
      </c>
      <c r="J1021">
        <v>2.093</v>
      </c>
    </row>
    <row r="1022" spans="1:10">
      <c r="A1022" s="105">
        <v>40644</v>
      </c>
      <c r="B1022">
        <v>1.1160000000000001</v>
      </c>
      <c r="C1022" s="105">
        <v>40644</v>
      </c>
      <c r="D1022">
        <v>1.3109999999999999</v>
      </c>
      <c r="E1022" s="105">
        <v>40644</v>
      </c>
      <c r="F1022">
        <v>1.6120000000000001</v>
      </c>
      <c r="G1022" s="105">
        <v>40644</v>
      </c>
      <c r="H1022">
        <v>1.86</v>
      </c>
      <c r="I1022" s="105">
        <v>40644</v>
      </c>
      <c r="J1022">
        <v>2.0830000000000002</v>
      </c>
    </row>
    <row r="1023" spans="1:10">
      <c r="A1023" s="105">
        <v>40641</v>
      </c>
      <c r="B1023">
        <v>1.077</v>
      </c>
      <c r="C1023" s="105">
        <v>40641</v>
      </c>
      <c r="D1023">
        <v>1.294</v>
      </c>
      <c r="E1023" s="105">
        <v>40641</v>
      </c>
      <c r="F1023">
        <v>1.599</v>
      </c>
      <c r="G1023" s="105">
        <v>40641</v>
      </c>
      <c r="H1023">
        <v>1.837</v>
      </c>
      <c r="I1023" s="105">
        <v>40641</v>
      </c>
      <c r="J1023">
        <v>2.0569999999999999</v>
      </c>
    </row>
    <row r="1024" spans="1:10">
      <c r="A1024" s="105">
        <v>40640</v>
      </c>
      <c r="B1024">
        <v>1.0389999999999999</v>
      </c>
      <c r="C1024" s="105">
        <v>40640</v>
      </c>
      <c r="D1024">
        <v>1.28</v>
      </c>
      <c r="E1024" s="105">
        <v>40640</v>
      </c>
      <c r="F1024">
        <v>1.585</v>
      </c>
      <c r="G1024" s="105">
        <v>40640</v>
      </c>
      <c r="H1024">
        <v>1.821</v>
      </c>
      <c r="I1024" s="105">
        <v>40640</v>
      </c>
      <c r="J1024">
        <v>2.0419999999999998</v>
      </c>
    </row>
    <row r="1025" spans="1:10">
      <c r="A1025" s="105">
        <v>40639</v>
      </c>
      <c r="B1025">
        <v>1.014</v>
      </c>
      <c r="C1025" s="105">
        <v>40639</v>
      </c>
      <c r="D1025">
        <v>1.2689999999999999</v>
      </c>
      <c r="E1025" s="105">
        <v>40639</v>
      </c>
      <c r="F1025">
        <v>1.5760000000000001</v>
      </c>
      <c r="G1025" s="105">
        <v>40639</v>
      </c>
      <c r="H1025">
        <v>1.8129999999999999</v>
      </c>
      <c r="I1025" s="105">
        <v>40639</v>
      </c>
      <c r="J1025">
        <v>2.0329999999999999</v>
      </c>
    </row>
    <row r="1026" spans="1:10">
      <c r="A1026" s="105">
        <v>40638</v>
      </c>
      <c r="B1026">
        <v>1.0029999999999999</v>
      </c>
      <c r="C1026" s="105">
        <v>40638</v>
      </c>
      <c r="D1026">
        <v>1.262</v>
      </c>
      <c r="E1026" s="105">
        <v>40638</v>
      </c>
      <c r="F1026">
        <v>1.5680000000000001</v>
      </c>
      <c r="G1026" s="105">
        <v>40638</v>
      </c>
      <c r="H1026">
        <v>1.8069999999999999</v>
      </c>
      <c r="I1026" s="105">
        <v>40638</v>
      </c>
      <c r="J1026">
        <v>2.0249999999999999</v>
      </c>
    </row>
    <row r="1027" spans="1:10">
      <c r="A1027" s="105">
        <v>40637</v>
      </c>
      <c r="B1027">
        <v>0.99299999999999999</v>
      </c>
      <c r="C1027" s="105">
        <v>40637</v>
      </c>
      <c r="D1027">
        <v>1.2549999999999999</v>
      </c>
      <c r="E1027" s="105">
        <v>40637</v>
      </c>
      <c r="F1027">
        <v>1.5629999999999999</v>
      </c>
      <c r="G1027" s="105">
        <v>40637</v>
      </c>
      <c r="H1027">
        <v>1.804</v>
      </c>
      <c r="I1027" s="105">
        <v>40637</v>
      </c>
      <c r="J1027">
        <v>2.0209999999999999</v>
      </c>
    </row>
    <row r="1028" spans="1:10">
      <c r="A1028" s="105">
        <v>40634</v>
      </c>
      <c r="B1028">
        <v>0.98399999999999999</v>
      </c>
      <c r="C1028" s="105">
        <v>40634</v>
      </c>
      <c r="D1028">
        <v>1.2490000000000001</v>
      </c>
      <c r="E1028" s="105">
        <v>40634</v>
      </c>
      <c r="F1028">
        <v>1.556</v>
      </c>
      <c r="G1028" s="105">
        <v>40634</v>
      </c>
      <c r="H1028">
        <v>1.7969999999999999</v>
      </c>
      <c r="I1028" s="105">
        <v>40634</v>
      </c>
      <c r="J1028">
        <v>2.0129999999999999</v>
      </c>
    </row>
    <row r="1029" spans="1:10">
      <c r="A1029" s="105">
        <v>40633</v>
      </c>
      <c r="B1029">
        <v>0.96799999999999997</v>
      </c>
      <c r="C1029" s="105">
        <v>40633</v>
      </c>
      <c r="D1029">
        <v>1.2390000000000001</v>
      </c>
      <c r="E1029" s="105">
        <v>40633</v>
      </c>
      <c r="F1029">
        <v>1.546</v>
      </c>
      <c r="G1029" s="105">
        <v>40633</v>
      </c>
      <c r="H1029">
        <v>1.7849999999999999</v>
      </c>
      <c r="I1029" s="105">
        <v>40633</v>
      </c>
      <c r="J1029">
        <v>1.996</v>
      </c>
    </row>
    <row r="1030" spans="1:10">
      <c r="A1030" s="105">
        <v>40632</v>
      </c>
      <c r="B1030">
        <v>0.96</v>
      </c>
      <c r="C1030" s="105">
        <v>40632</v>
      </c>
      <c r="D1030">
        <v>1.2310000000000001</v>
      </c>
      <c r="E1030" s="105">
        <v>40632</v>
      </c>
      <c r="F1030">
        <v>1.5409999999999999</v>
      </c>
      <c r="G1030" s="105">
        <v>40632</v>
      </c>
      <c r="H1030">
        <v>1.782</v>
      </c>
      <c r="I1030" s="105">
        <v>40632</v>
      </c>
      <c r="J1030">
        <v>1.992</v>
      </c>
    </row>
    <row r="1031" spans="1:10">
      <c r="A1031" s="105">
        <v>40631</v>
      </c>
      <c r="B1031">
        <v>0.94799999999999995</v>
      </c>
      <c r="C1031" s="105">
        <v>40631</v>
      </c>
      <c r="D1031">
        <v>1.2190000000000001</v>
      </c>
      <c r="E1031" s="105">
        <v>40631</v>
      </c>
      <c r="F1031">
        <v>1.5309999999999999</v>
      </c>
      <c r="G1031" s="105">
        <v>40631</v>
      </c>
      <c r="H1031">
        <v>1.77</v>
      </c>
      <c r="I1031" s="105">
        <v>40631</v>
      </c>
      <c r="J1031">
        <v>1.98</v>
      </c>
    </row>
    <row r="1032" spans="1:10">
      <c r="A1032" s="105">
        <v>40630</v>
      </c>
      <c r="B1032">
        <v>0.93200000000000005</v>
      </c>
      <c r="C1032" s="105">
        <v>40630</v>
      </c>
      <c r="D1032">
        <v>1.21</v>
      </c>
      <c r="E1032" s="105">
        <v>40630</v>
      </c>
      <c r="F1032">
        <v>1.5209999999999999</v>
      </c>
      <c r="G1032" s="105">
        <v>40630</v>
      </c>
      <c r="H1032">
        <v>1.76</v>
      </c>
      <c r="I1032" s="105">
        <v>40630</v>
      </c>
      <c r="J1032">
        <v>1.9710000000000001</v>
      </c>
    </row>
    <row r="1033" spans="1:10">
      <c r="A1033" s="105">
        <v>40627</v>
      </c>
      <c r="B1033">
        <v>0.91900000000000004</v>
      </c>
      <c r="C1033" s="105">
        <v>40627</v>
      </c>
      <c r="D1033">
        <v>1.2030000000000001</v>
      </c>
      <c r="E1033" s="105">
        <v>40627</v>
      </c>
      <c r="F1033">
        <v>1.5129999999999999</v>
      </c>
      <c r="G1033" s="105">
        <v>40627</v>
      </c>
      <c r="H1033">
        <v>1.752</v>
      </c>
      <c r="I1033" s="105">
        <v>40627</v>
      </c>
      <c r="J1033">
        <v>1.962</v>
      </c>
    </row>
    <row r="1034" spans="1:10">
      <c r="A1034" s="105">
        <v>40626</v>
      </c>
      <c r="B1034">
        <v>0.91200000000000003</v>
      </c>
      <c r="C1034" s="105">
        <v>40626</v>
      </c>
      <c r="D1034">
        <v>1.1970000000000001</v>
      </c>
      <c r="E1034" s="105">
        <v>40626</v>
      </c>
      <c r="F1034">
        <v>1.506</v>
      </c>
      <c r="G1034" s="105">
        <v>40626</v>
      </c>
      <c r="H1034">
        <v>1.744</v>
      </c>
      <c r="I1034" s="105">
        <v>40626</v>
      </c>
      <c r="J1034">
        <v>1.9530000000000001</v>
      </c>
    </row>
    <row r="1035" spans="1:10">
      <c r="A1035" s="105">
        <v>40625</v>
      </c>
      <c r="B1035">
        <v>0.90200000000000002</v>
      </c>
      <c r="C1035" s="105">
        <v>40625</v>
      </c>
      <c r="D1035">
        <v>1.1910000000000001</v>
      </c>
      <c r="E1035" s="105">
        <v>40625</v>
      </c>
      <c r="F1035">
        <v>1.5009999999999999</v>
      </c>
      <c r="G1035" s="105">
        <v>40625</v>
      </c>
      <c r="H1035">
        <v>1.74</v>
      </c>
      <c r="I1035" s="105">
        <v>40625</v>
      </c>
      <c r="J1035">
        <v>1.9490000000000001</v>
      </c>
    </row>
    <row r="1036" spans="1:10">
      <c r="A1036" s="105">
        <v>40624</v>
      </c>
      <c r="B1036">
        <v>0.89700000000000002</v>
      </c>
      <c r="C1036" s="105">
        <v>40624</v>
      </c>
      <c r="D1036">
        <v>1.1850000000000001</v>
      </c>
      <c r="E1036" s="105">
        <v>40624</v>
      </c>
      <c r="F1036">
        <v>1.496</v>
      </c>
      <c r="G1036" s="105">
        <v>40624</v>
      </c>
      <c r="H1036">
        <v>1.7350000000000001</v>
      </c>
      <c r="I1036" s="105">
        <v>40624</v>
      </c>
      <c r="J1036">
        <v>1.9450000000000001</v>
      </c>
    </row>
    <row r="1037" spans="1:10">
      <c r="A1037" s="105">
        <v>40623</v>
      </c>
      <c r="B1037">
        <v>0.89200000000000002</v>
      </c>
      <c r="C1037" s="105">
        <v>40623</v>
      </c>
      <c r="D1037">
        <v>1.179</v>
      </c>
      <c r="E1037" s="105">
        <v>40623</v>
      </c>
      <c r="F1037">
        <v>1.488</v>
      </c>
      <c r="G1037" s="105">
        <v>40623</v>
      </c>
      <c r="H1037">
        <v>1.724</v>
      </c>
      <c r="I1037" s="105">
        <v>40623</v>
      </c>
      <c r="J1037">
        <v>1.93</v>
      </c>
    </row>
    <row r="1038" spans="1:10">
      <c r="A1038" s="105">
        <v>40620</v>
      </c>
      <c r="B1038">
        <v>0.89</v>
      </c>
      <c r="C1038" s="105">
        <v>40620</v>
      </c>
      <c r="D1038">
        <v>1.1719999999999999</v>
      </c>
      <c r="E1038" s="105">
        <v>40620</v>
      </c>
      <c r="F1038">
        <v>1.4790000000000001</v>
      </c>
      <c r="G1038" s="105">
        <v>40620</v>
      </c>
      <c r="H1038">
        <v>1.7110000000000001</v>
      </c>
      <c r="I1038" s="105">
        <v>40620</v>
      </c>
      <c r="J1038">
        <v>1.9159999999999999</v>
      </c>
    </row>
    <row r="1039" spans="1:10">
      <c r="A1039" s="105">
        <v>40619</v>
      </c>
      <c r="B1039">
        <v>0.88700000000000001</v>
      </c>
      <c r="C1039" s="105">
        <v>40619</v>
      </c>
      <c r="D1039">
        <v>1.17</v>
      </c>
      <c r="E1039" s="105">
        <v>40619</v>
      </c>
      <c r="F1039">
        <v>1.478</v>
      </c>
      <c r="G1039" s="105">
        <v>40619</v>
      </c>
      <c r="H1039">
        <v>1.71</v>
      </c>
      <c r="I1039" s="105">
        <v>40619</v>
      </c>
      <c r="J1039">
        <v>1.913</v>
      </c>
    </row>
    <row r="1040" spans="1:10">
      <c r="A1040" s="105">
        <v>40618</v>
      </c>
      <c r="B1040">
        <v>0.88700000000000001</v>
      </c>
      <c r="C1040" s="105">
        <v>40618</v>
      </c>
      <c r="D1040">
        <v>1.17</v>
      </c>
      <c r="E1040" s="105">
        <v>40618</v>
      </c>
      <c r="F1040">
        <v>1.4770000000000001</v>
      </c>
      <c r="G1040" s="105">
        <v>40618</v>
      </c>
      <c r="H1040">
        <v>1.71</v>
      </c>
      <c r="I1040" s="105">
        <v>40618</v>
      </c>
      <c r="J1040">
        <v>1.915</v>
      </c>
    </row>
    <row r="1041" spans="1:10">
      <c r="A1041" s="105">
        <v>40617</v>
      </c>
      <c r="B1041">
        <v>0.88700000000000001</v>
      </c>
      <c r="C1041" s="105">
        <v>40617</v>
      </c>
      <c r="D1041">
        <v>1.167</v>
      </c>
      <c r="E1041" s="105">
        <v>40617</v>
      </c>
      <c r="F1041">
        <v>1.474</v>
      </c>
      <c r="G1041" s="105">
        <v>40617</v>
      </c>
      <c r="H1041">
        <v>1.708</v>
      </c>
      <c r="I1041" s="105">
        <v>40617</v>
      </c>
      <c r="J1041">
        <v>1.913</v>
      </c>
    </row>
    <row r="1042" spans="1:10">
      <c r="A1042" s="105">
        <v>40616</v>
      </c>
      <c r="B1042">
        <v>0.89200000000000002</v>
      </c>
      <c r="C1042" s="105">
        <v>40616</v>
      </c>
      <c r="D1042">
        <v>1.1739999999999999</v>
      </c>
      <c r="E1042" s="105">
        <v>40616</v>
      </c>
      <c r="F1042">
        <v>1.4870000000000001</v>
      </c>
      <c r="G1042" s="105">
        <v>40616</v>
      </c>
      <c r="H1042">
        <v>1.728</v>
      </c>
      <c r="I1042" s="105">
        <v>40616</v>
      </c>
      <c r="J1042">
        <v>1.94</v>
      </c>
    </row>
    <row r="1043" spans="1:10">
      <c r="A1043" s="105">
        <v>40613</v>
      </c>
      <c r="B1043">
        <v>0.89300000000000002</v>
      </c>
      <c r="C1043" s="105">
        <v>40613</v>
      </c>
      <c r="D1043">
        <v>1.173</v>
      </c>
      <c r="E1043" s="105">
        <v>40613</v>
      </c>
      <c r="F1043">
        <v>1.4890000000000001</v>
      </c>
      <c r="G1043" s="105">
        <v>40613</v>
      </c>
      <c r="H1043">
        <v>1.7310000000000001</v>
      </c>
      <c r="I1043" s="105">
        <v>40613</v>
      </c>
      <c r="J1043">
        <v>1.944</v>
      </c>
    </row>
    <row r="1044" spans="1:10">
      <c r="A1044" s="105">
        <v>40612</v>
      </c>
      <c r="B1044">
        <v>0.89700000000000002</v>
      </c>
      <c r="C1044" s="105">
        <v>40612</v>
      </c>
      <c r="D1044">
        <v>1.175</v>
      </c>
      <c r="E1044" s="105">
        <v>40612</v>
      </c>
      <c r="F1044">
        <v>1.4910000000000001</v>
      </c>
      <c r="G1044" s="105">
        <v>40612</v>
      </c>
      <c r="H1044">
        <v>1.7350000000000001</v>
      </c>
      <c r="I1044" s="105">
        <v>40612</v>
      </c>
      <c r="J1044">
        <v>1.9490000000000001</v>
      </c>
    </row>
    <row r="1045" spans="1:10">
      <c r="A1045" s="105">
        <v>40611</v>
      </c>
      <c r="B1045">
        <v>0.90200000000000002</v>
      </c>
      <c r="C1045" s="105">
        <v>40611</v>
      </c>
      <c r="D1045">
        <v>1.179</v>
      </c>
      <c r="E1045" s="105">
        <v>40611</v>
      </c>
      <c r="F1045">
        <v>1.494</v>
      </c>
      <c r="G1045" s="105">
        <v>40611</v>
      </c>
      <c r="H1045">
        <v>1.736</v>
      </c>
      <c r="I1045" s="105">
        <v>40611</v>
      </c>
      <c r="J1045">
        <v>1.95</v>
      </c>
    </row>
    <row r="1046" spans="1:10">
      <c r="A1046" s="105">
        <v>40610</v>
      </c>
      <c r="B1046">
        <v>0.90500000000000003</v>
      </c>
      <c r="C1046" s="105">
        <v>40610</v>
      </c>
      <c r="D1046">
        <v>1.18</v>
      </c>
      <c r="E1046" s="105">
        <v>40610</v>
      </c>
      <c r="F1046">
        <v>1.4930000000000001</v>
      </c>
      <c r="G1046" s="105">
        <v>40610</v>
      </c>
      <c r="H1046">
        <v>1.732</v>
      </c>
      <c r="I1046" s="105">
        <v>40610</v>
      </c>
      <c r="J1046">
        <v>1.946</v>
      </c>
    </row>
    <row r="1047" spans="1:10">
      <c r="A1047" s="105">
        <v>40609</v>
      </c>
      <c r="B1047">
        <v>0.90400000000000003</v>
      </c>
      <c r="C1047" s="105">
        <v>40609</v>
      </c>
      <c r="D1047">
        <v>1.1719999999999999</v>
      </c>
      <c r="E1047" s="105">
        <v>40609</v>
      </c>
      <c r="F1047">
        <v>1.4870000000000001</v>
      </c>
      <c r="G1047" s="105">
        <v>40609</v>
      </c>
      <c r="H1047">
        <v>1.7230000000000001</v>
      </c>
      <c r="I1047" s="105">
        <v>40609</v>
      </c>
      <c r="J1047">
        <v>1.9379999999999999</v>
      </c>
    </row>
    <row r="1048" spans="1:10">
      <c r="A1048" s="105">
        <v>40606</v>
      </c>
      <c r="B1048">
        <v>0.89700000000000002</v>
      </c>
      <c r="C1048" s="105">
        <v>40606</v>
      </c>
      <c r="D1048">
        <v>1.1619999999999999</v>
      </c>
      <c r="E1048" s="105">
        <v>40606</v>
      </c>
      <c r="F1048">
        <v>1.4750000000000001</v>
      </c>
      <c r="G1048" s="105">
        <v>40606</v>
      </c>
      <c r="H1048">
        <v>1.712</v>
      </c>
      <c r="I1048" s="105">
        <v>40606</v>
      </c>
      <c r="J1048">
        <v>1.9239999999999999</v>
      </c>
    </row>
    <row r="1049" spans="1:10">
      <c r="A1049" s="105">
        <v>40605</v>
      </c>
      <c r="B1049">
        <v>0.86899999999999999</v>
      </c>
      <c r="C1049" s="105">
        <v>40605</v>
      </c>
      <c r="D1049">
        <v>1.0980000000000001</v>
      </c>
      <c r="E1049" s="105">
        <v>40605</v>
      </c>
      <c r="F1049">
        <v>1.385</v>
      </c>
      <c r="G1049" s="105">
        <v>40605</v>
      </c>
      <c r="H1049">
        <v>1.59</v>
      </c>
      <c r="I1049" s="105">
        <v>40605</v>
      </c>
      <c r="J1049">
        <v>1.78</v>
      </c>
    </row>
    <row r="1050" spans="1:10">
      <c r="A1050" s="105">
        <v>40604</v>
      </c>
      <c r="B1050">
        <v>0.86499999999999999</v>
      </c>
      <c r="C1050" s="105">
        <v>40604</v>
      </c>
      <c r="D1050">
        <v>1.095</v>
      </c>
      <c r="E1050" s="105">
        <v>40604</v>
      </c>
      <c r="F1050">
        <v>1.381</v>
      </c>
      <c r="G1050" s="105">
        <v>40604</v>
      </c>
      <c r="H1050">
        <v>1.5840000000000001</v>
      </c>
      <c r="I1050" s="105">
        <v>40604</v>
      </c>
      <c r="J1050">
        <v>1.7749999999999999</v>
      </c>
    </row>
    <row r="1051" spans="1:10">
      <c r="A1051" s="105">
        <v>40603</v>
      </c>
      <c r="B1051">
        <v>0.86699999999999999</v>
      </c>
      <c r="C1051" s="105">
        <v>40603</v>
      </c>
      <c r="D1051">
        <v>1.0960000000000001</v>
      </c>
      <c r="E1051" s="105">
        <v>40603</v>
      </c>
      <c r="F1051">
        <v>1.3819999999999999</v>
      </c>
      <c r="G1051" s="105">
        <v>40603</v>
      </c>
      <c r="H1051">
        <v>1.5820000000000001</v>
      </c>
      <c r="I1051" s="105">
        <v>40603</v>
      </c>
      <c r="J1051">
        <v>1.7729999999999999</v>
      </c>
    </row>
    <row r="1052" spans="1:10">
      <c r="A1052" s="105">
        <v>40602</v>
      </c>
      <c r="B1052">
        <v>0.86699999999999999</v>
      </c>
      <c r="C1052" s="105">
        <v>40602</v>
      </c>
      <c r="D1052">
        <v>1.0940000000000001</v>
      </c>
      <c r="E1052" s="105">
        <v>40602</v>
      </c>
      <c r="F1052">
        <v>1.379</v>
      </c>
      <c r="G1052" s="105">
        <v>40602</v>
      </c>
      <c r="H1052">
        <v>1.579</v>
      </c>
      <c r="I1052" s="105">
        <v>40602</v>
      </c>
      <c r="J1052">
        <v>1.7669999999999999</v>
      </c>
    </row>
    <row r="1053" spans="1:10">
      <c r="A1053" s="105">
        <v>40599</v>
      </c>
      <c r="B1053">
        <v>0.86699999999999999</v>
      </c>
      <c r="C1053" s="105">
        <v>40599</v>
      </c>
      <c r="D1053">
        <v>1.0920000000000001</v>
      </c>
      <c r="E1053" s="105">
        <v>40599</v>
      </c>
      <c r="F1053">
        <v>1.377</v>
      </c>
      <c r="G1053" s="105">
        <v>40599</v>
      </c>
      <c r="H1053">
        <v>1.575</v>
      </c>
      <c r="I1053" s="105">
        <v>40599</v>
      </c>
      <c r="J1053">
        <v>1.7649999999999999</v>
      </c>
    </row>
    <row r="1054" spans="1:10">
      <c r="A1054" s="105">
        <v>40598</v>
      </c>
      <c r="B1054">
        <v>0.86199999999999999</v>
      </c>
      <c r="C1054" s="105">
        <v>40598</v>
      </c>
      <c r="D1054">
        <v>1.0880000000000001</v>
      </c>
      <c r="E1054" s="105">
        <v>40598</v>
      </c>
      <c r="F1054">
        <v>1.371</v>
      </c>
      <c r="G1054" s="105">
        <v>40598</v>
      </c>
      <c r="H1054">
        <v>1.5640000000000001</v>
      </c>
      <c r="I1054" s="105">
        <v>40598</v>
      </c>
      <c r="J1054">
        <v>1.752</v>
      </c>
    </row>
    <row r="1055" spans="1:10">
      <c r="A1055" s="105">
        <v>40597</v>
      </c>
      <c r="B1055">
        <v>0.86299999999999999</v>
      </c>
      <c r="C1055" s="105">
        <v>40597</v>
      </c>
      <c r="D1055">
        <v>1.087</v>
      </c>
      <c r="E1055" s="105">
        <v>40597</v>
      </c>
      <c r="F1055">
        <v>1.367</v>
      </c>
      <c r="G1055" s="105">
        <v>40597</v>
      </c>
      <c r="H1055">
        <v>1.5620000000000001</v>
      </c>
      <c r="I1055" s="105">
        <v>40597</v>
      </c>
      <c r="J1055">
        <v>1.748</v>
      </c>
    </row>
    <row r="1056" spans="1:10">
      <c r="A1056" s="105">
        <v>40596</v>
      </c>
      <c r="B1056">
        <v>0.86299999999999999</v>
      </c>
      <c r="C1056" s="105">
        <v>40596</v>
      </c>
      <c r="D1056">
        <v>1.0820000000000001</v>
      </c>
      <c r="E1056" s="105">
        <v>40596</v>
      </c>
      <c r="F1056">
        <v>1.36</v>
      </c>
      <c r="G1056" s="105">
        <v>40596</v>
      </c>
      <c r="H1056">
        <v>1.5529999999999999</v>
      </c>
      <c r="I1056" s="105">
        <v>40596</v>
      </c>
      <c r="J1056">
        <v>1.7390000000000001</v>
      </c>
    </row>
    <row r="1057" spans="1:10">
      <c r="A1057" s="105">
        <v>40595</v>
      </c>
      <c r="B1057">
        <v>0.86399999999999999</v>
      </c>
      <c r="C1057" s="105">
        <v>40595</v>
      </c>
      <c r="D1057">
        <v>1.079</v>
      </c>
      <c r="E1057" s="105">
        <v>40595</v>
      </c>
      <c r="F1057">
        <v>1.353</v>
      </c>
      <c r="G1057" s="105">
        <v>40595</v>
      </c>
      <c r="H1057">
        <v>1.546</v>
      </c>
      <c r="I1057" s="105">
        <v>40595</v>
      </c>
      <c r="J1057">
        <v>1.7310000000000001</v>
      </c>
    </row>
    <row r="1058" spans="1:10">
      <c r="A1058" s="105">
        <v>40592</v>
      </c>
      <c r="B1058">
        <v>0.871</v>
      </c>
      <c r="C1058" s="105">
        <v>40592</v>
      </c>
      <c r="D1058">
        <v>1.0780000000000001</v>
      </c>
      <c r="E1058" s="105">
        <v>40592</v>
      </c>
      <c r="F1058">
        <v>1.3480000000000001</v>
      </c>
      <c r="G1058" s="105">
        <v>40592</v>
      </c>
      <c r="H1058">
        <v>1.5389999999999999</v>
      </c>
      <c r="I1058" s="105">
        <v>40592</v>
      </c>
      <c r="J1058">
        <v>1.7210000000000001</v>
      </c>
    </row>
    <row r="1059" spans="1:10">
      <c r="A1059" s="105">
        <v>40591</v>
      </c>
      <c r="B1059">
        <v>0.88300000000000001</v>
      </c>
      <c r="C1059" s="105">
        <v>40591</v>
      </c>
      <c r="D1059">
        <v>1.0860000000000001</v>
      </c>
      <c r="E1059" s="105">
        <v>40591</v>
      </c>
      <c r="F1059">
        <v>1.3520000000000001</v>
      </c>
      <c r="G1059" s="105">
        <v>40591</v>
      </c>
      <c r="H1059">
        <v>1.5389999999999999</v>
      </c>
      <c r="I1059" s="105">
        <v>40591</v>
      </c>
      <c r="J1059">
        <v>1.7210000000000001</v>
      </c>
    </row>
    <row r="1060" spans="1:10">
      <c r="A1060" s="105">
        <v>40590</v>
      </c>
      <c r="B1060">
        <v>0.89200000000000002</v>
      </c>
      <c r="C1060" s="105">
        <v>40590</v>
      </c>
      <c r="D1060">
        <v>1.089</v>
      </c>
      <c r="E1060" s="105">
        <v>40590</v>
      </c>
      <c r="F1060">
        <v>1.3520000000000001</v>
      </c>
      <c r="G1060" s="105">
        <v>40590</v>
      </c>
      <c r="H1060">
        <v>1.542</v>
      </c>
      <c r="I1060" s="105">
        <v>40590</v>
      </c>
      <c r="J1060">
        <v>1.7250000000000001</v>
      </c>
    </row>
    <row r="1061" spans="1:10">
      <c r="A1061" s="105">
        <v>40589</v>
      </c>
      <c r="B1061">
        <v>0.90300000000000002</v>
      </c>
      <c r="C1061" s="105">
        <v>40589</v>
      </c>
      <c r="D1061">
        <v>1.0900000000000001</v>
      </c>
      <c r="E1061" s="105">
        <v>40589</v>
      </c>
      <c r="F1061">
        <v>1.353</v>
      </c>
      <c r="G1061" s="105">
        <v>40589</v>
      </c>
      <c r="H1061">
        <v>1.54</v>
      </c>
      <c r="I1061" s="105">
        <v>40589</v>
      </c>
      <c r="J1061">
        <v>1.72</v>
      </c>
    </row>
    <row r="1062" spans="1:10">
      <c r="A1062" s="105">
        <v>40588</v>
      </c>
      <c r="B1062">
        <v>0.91100000000000003</v>
      </c>
      <c r="C1062" s="105">
        <v>40588</v>
      </c>
      <c r="D1062">
        <v>1.091</v>
      </c>
      <c r="E1062" s="105">
        <v>40588</v>
      </c>
      <c r="F1062">
        <v>1.3540000000000001</v>
      </c>
      <c r="G1062" s="105">
        <v>40588</v>
      </c>
      <c r="H1062">
        <v>1.538</v>
      </c>
      <c r="I1062" s="105">
        <v>40588</v>
      </c>
      <c r="J1062">
        <v>1.716</v>
      </c>
    </row>
    <row r="1063" spans="1:10">
      <c r="A1063" s="105">
        <v>40585</v>
      </c>
      <c r="B1063">
        <v>0.91600000000000004</v>
      </c>
      <c r="C1063" s="105">
        <v>40585</v>
      </c>
      <c r="D1063">
        <v>1.093</v>
      </c>
      <c r="E1063" s="105">
        <v>40585</v>
      </c>
      <c r="F1063">
        <v>1.355</v>
      </c>
      <c r="G1063" s="105">
        <v>40585</v>
      </c>
      <c r="H1063">
        <v>1.538</v>
      </c>
      <c r="I1063" s="105">
        <v>40585</v>
      </c>
      <c r="J1063">
        <v>1.714</v>
      </c>
    </row>
    <row r="1064" spans="1:10">
      <c r="A1064" s="105">
        <v>40584</v>
      </c>
      <c r="B1064">
        <v>0.92400000000000004</v>
      </c>
      <c r="C1064" s="105">
        <v>40584</v>
      </c>
      <c r="D1064">
        <v>1.0940000000000001</v>
      </c>
      <c r="E1064" s="105">
        <v>40584</v>
      </c>
      <c r="F1064">
        <v>1.3540000000000001</v>
      </c>
      <c r="G1064" s="105">
        <v>40584</v>
      </c>
      <c r="H1064">
        <v>1.534</v>
      </c>
      <c r="I1064" s="105">
        <v>40584</v>
      </c>
      <c r="J1064">
        <v>1.708</v>
      </c>
    </row>
    <row r="1065" spans="1:10">
      <c r="A1065" s="105">
        <v>40583</v>
      </c>
      <c r="B1065">
        <v>0.92600000000000005</v>
      </c>
      <c r="C1065" s="105">
        <v>40583</v>
      </c>
      <c r="D1065">
        <v>1.089</v>
      </c>
      <c r="E1065" s="105">
        <v>40583</v>
      </c>
      <c r="F1065">
        <v>1.35</v>
      </c>
      <c r="G1065" s="105">
        <v>40583</v>
      </c>
      <c r="H1065">
        <v>1.528</v>
      </c>
      <c r="I1065" s="105">
        <v>40583</v>
      </c>
      <c r="J1065">
        <v>1.7</v>
      </c>
    </row>
    <row r="1066" spans="1:10">
      <c r="A1066" s="105">
        <v>40582</v>
      </c>
      <c r="B1066">
        <v>0.90300000000000002</v>
      </c>
      <c r="C1066" s="105">
        <v>40582</v>
      </c>
      <c r="D1066">
        <v>1.079</v>
      </c>
      <c r="E1066" s="105">
        <v>40582</v>
      </c>
      <c r="F1066">
        <v>1.3360000000000001</v>
      </c>
      <c r="G1066" s="105">
        <v>40582</v>
      </c>
      <c r="H1066">
        <v>1.5129999999999999</v>
      </c>
      <c r="I1066" s="105">
        <v>40582</v>
      </c>
      <c r="J1066">
        <v>1.6830000000000001</v>
      </c>
    </row>
    <row r="1067" spans="1:10">
      <c r="A1067" s="105">
        <v>40581</v>
      </c>
      <c r="B1067">
        <v>0.91</v>
      </c>
      <c r="C1067" s="105">
        <v>40581</v>
      </c>
      <c r="D1067">
        <v>1.0840000000000001</v>
      </c>
      <c r="E1067" s="105">
        <v>40581</v>
      </c>
      <c r="F1067">
        <v>1.339</v>
      </c>
      <c r="G1067" s="105">
        <v>40581</v>
      </c>
      <c r="H1067">
        <v>1.5149999999999999</v>
      </c>
      <c r="I1067" s="105">
        <v>40581</v>
      </c>
      <c r="J1067">
        <v>1.6839999999999999</v>
      </c>
    </row>
    <row r="1068" spans="1:10">
      <c r="A1068" s="105">
        <v>40578</v>
      </c>
      <c r="B1068">
        <v>0.91200000000000003</v>
      </c>
      <c r="C1068" s="105">
        <v>40578</v>
      </c>
      <c r="D1068">
        <v>1.0880000000000001</v>
      </c>
      <c r="E1068" s="105">
        <v>40578</v>
      </c>
      <c r="F1068">
        <v>1.341</v>
      </c>
      <c r="G1068" s="105">
        <v>40578</v>
      </c>
      <c r="H1068">
        <v>1.5149999999999999</v>
      </c>
      <c r="I1068" s="105">
        <v>40578</v>
      </c>
      <c r="J1068">
        <v>1.6819999999999999</v>
      </c>
    </row>
    <row r="1069" spans="1:10">
      <c r="A1069" s="105">
        <v>40577</v>
      </c>
      <c r="B1069">
        <v>0.91100000000000003</v>
      </c>
      <c r="C1069" s="105">
        <v>40577</v>
      </c>
      <c r="D1069">
        <v>1.087</v>
      </c>
      <c r="E1069" s="105">
        <v>40577</v>
      </c>
      <c r="F1069">
        <v>1.34</v>
      </c>
      <c r="G1069" s="105">
        <v>40577</v>
      </c>
      <c r="H1069">
        <v>1.5129999999999999</v>
      </c>
      <c r="I1069" s="105">
        <v>40577</v>
      </c>
      <c r="J1069">
        <v>1.6779999999999999</v>
      </c>
    </row>
    <row r="1070" spans="1:10">
      <c r="A1070" s="105">
        <v>40576</v>
      </c>
      <c r="B1070">
        <v>0.91</v>
      </c>
      <c r="C1070" s="105">
        <v>40576</v>
      </c>
      <c r="D1070">
        <v>1.083</v>
      </c>
      <c r="E1070" s="105">
        <v>40576</v>
      </c>
      <c r="F1070">
        <v>1.333</v>
      </c>
      <c r="G1070" s="105">
        <v>40576</v>
      </c>
      <c r="H1070">
        <v>1.502</v>
      </c>
      <c r="I1070" s="105">
        <v>40576</v>
      </c>
      <c r="J1070">
        <v>1.6659999999999999</v>
      </c>
    </row>
    <row r="1071" spans="1:10">
      <c r="A1071" s="105">
        <v>40575</v>
      </c>
      <c r="B1071">
        <v>0.91500000000000004</v>
      </c>
      <c r="C1071" s="105">
        <v>40575</v>
      </c>
      <c r="D1071">
        <v>1.0820000000000001</v>
      </c>
      <c r="E1071" s="105">
        <v>40575</v>
      </c>
      <c r="F1071">
        <v>1.331</v>
      </c>
      <c r="G1071" s="105">
        <v>40575</v>
      </c>
      <c r="H1071">
        <v>1.496</v>
      </c>
      <c r="I1071" s="105">
        <v>40575</v>
      </c>
      <c r="J1071">
        <v>1.66</v>
      </c>
    </row>
    <row r="1072" spans="1:10">
      <c r="A1072" s="105">
        <v>40574</v>
      </c>
      <c r="B1072">
        <v>0.89500000000000002</v>
      </c>
      <c r="C1072" s="105">
        <v>40574</v>
      </c>
      <c r="D1072">
        <v>1.0740000000000001</v>
      </c>
      <c r="E1072" s="105">
        <v>40574</v>
      </c>
      <c r="F1072">
        <v>1.319</v>
      </c>
      <c r="G1072" s="105">
        <v>40574</v>
      </c>
      <c r="H1072">
        <v>1.4830000000000001</v>
      </c>
      <c r="I1072" s="105">
        <v>40574</v>
      </c>
      <c r="J1072">
        <v>1.6439999999999999</v>
      </c>
    </row>
    <row r="1073" spans="1:10">
      <c r="A1073" s="105">
        <v>40571</v>
      </c>
      <c r="B1073">
        <v>0.877</v>
      </c>
      <c r="C1073" s="105">
        <v>40571</v>
      </c>
      <c r="D1073">
        <v>1.0629999999999999</v>
      </c>
      <c r="E1073" s="105">
        <v>40571</v>
      </c>
      <c r="F1073">
        <v>1.3069999999999999</v>
      </c>
      <c r="G1073" s="105">
        <v>40571</v>
      </c>
      <c r="H1073">
        <v>1.4690000000000001</v>
      </c>
      <c r="I1073" s="105">
        <v>40571</v>
      </c>
      <c r="J1073">
        <v>1.625</v>
      </c>
    </row>
    <row r="1074" spans="1:10">
      <c r="A1074" s="105">
        <v>40570</v>
      </c>
      <c r="B1074">
        <v>0.872</v>
      </c>
      <c r="C1074" s="105">
        <v>40570</v>
      </c>
      <c r="D1074">
        <v>1.0569999999999999</v>
      </c>
      <c r="E1074" s="105">
        <v>40570</v>
      </c>
      <c r="F1074">
        <v>1.3009999999999999</v>
      </c>
      <c r="G1074" s="105">
        <v>40570</v>
      </c>
      <c r="H1074">
        <v>1.4590000000000001</v>
      </c>
      <c r="I1074" s="105">
        <v>40570</v>
      </c>
      <c r="J1074">
        <v>1.615</v>
      </c>
    </row>
    <row r="1075" spans="1:10">
      <c r="A1075" s="105">
        <v>40569</v>
      </c>
      <c r="B1075">
        <v>0.85799999999999998</v>
      </c>
      <c r="C1075" s="105">
        <v>40569</v>
      </c>
      <c r="D1075">
        <v>1.0509999999999999</v>
      </c>
      <c r="E1075" s="105">
        <v>40569</v>
      </c>
      <c r="F1075">
        <v>1.294</v>
      </c>
      <c r="G1075" s="105">
        <v>40569</v>
      </c>
      <c r="H1075">
        <v>1.4510000000000001</v>
      </c>
      <c r="I1075" s="105">
        <v>40569</v>
      </c>
      <c r="J1075">
        <v>1.605</v>
      </c>
    </row>
    <row r="1076" spans="1:10">
      <c r="A1076" s="105">
        <v>40568</v>
      </c>
      <c r="B1076">
        <v>0.81899999999999995</v>
      </c>
      <c r="C1076" s="105">
        <v>40568</v>
      </c>
      <c r="D1076">
        <v>1.0309999999999999</v>
      </c>
      <c r="E1076" s="105">
        <v>40568</v>
      </c>
      <c r="F1076">
        <v>1.2789999999999999</v>
      </c>
      <c r="G1076" s="105">
        <v>40568</v>
      </c>
      <c r="H1076">
        <v>1.4390000000000001</v>
      </c>
      <c r="I1076" s="105">
        <v>40568</v>
      </c>
      <c r="J1076">
        <v>1.591</v>
      </c>
    </row>
    <row r="1077" spans="1:10">
      <c r="A1077" s="105">
        <v>40567</v>
      </c>
      <c r="B1077">
        <v>0.81100000000000005</v>
      </c>
      <c r="C1077" s="105">
        <v>40567</v>
      </c>
      <c r="D1077">
        <v>1.0289999999999999</v>
      </c>
      <c r="E1077" s="105">
        <v>40567</v>
      </c>
      <c r="F1077">
        <v>1.2769999999999999</v>
      </c>
      <c r="G1077" s="105">
        <v>40567</v>
      </c>
      <c r="H1077">
        <v>1.4359999999999999</v>
      </c>
      <c r="I1077" s="105">
        <v>40567</v>
      </c>
      <c r="J1077">
        <v>1.5860000000000001</v>
      </c>
    </row>
    <row r="1078" spans="1:10">
      <c r="A1078" s="105">
        <v>40564</v>
      </c>
      <c r="B1078">
        <v>0.79900000000000004</v>
      </c>
      <c r="C1078" s="105">
        <v>40564</v>
      </c>
      <c r="D1078">
        <v>1.0249999999999999</v>
      </c>
      <c r="E1078" s="105">
        <v>40564</v>
      </c>
      <c r="F1078">
        <v>1.27</v>
      </c>
      <c r="G1078" s="105">
        <v>40564</v>
      </c>
      <c r="H1078">
        <v>1.427</v>
      </c>
      <c r="I1078" s="105">
        <v>40564</v>
      </c>
      <c r="J1078">
        <v>1.5780000000000001</v>
      </c>
    </row>
    <row r="1079" spans="1:10">
      <c r="A1079" s="105">
        <v>40563</v>
      </c>
      <c r="B1079">
        <v>0.78400000000000003</v>
      </c>
      <c r="C1079" s="105">
        <v>40563</v>
      </c>
      <c r="D1079">
        <v>1.016</v>
      </c>
      <c r="E1079" s="105">
        <v>40563</v>
      </c>
      <c r="F1079">
        <v>1.26</v>
      </c>
      <c r="G1079" s="105">
        <v>40563</v>
      </c>
      <c r="H1079">
        <v>1.4139999999999999</v>
      </c>
      <c r="I1079" s="105">
        <v>40563</v>
      </c>
      <c r="J1079">
        <v>1.5620000000000001</v>
      </c>
    </row>
    <row r="1080" spans="1:10">
      <c r="A1080" s="105">
        <v>40562</v>
      </c>
      <c r="B1080">
        <v>0.78</v>
      </c>
      <c r="C1080" s="105">
        <v>40562</v>
      </c>
      <c r="D1080">
        <v>1.014</v>
      </c>
      <c r="E1080" s="105">
        <v>40562</v>
      </c>
      <c r="F1080">
        <v>1.256</v>
      </c>
      <c r="G1080" s="105">
        <v>40562</v>
      </c>
      <c r="H1080">
        <v>1.411</v>
      </c>
      <c r="I1080" s="105">
        <v>40562</v>
      </c>
      <c r="J1080">
        <v>1.556</v>
      </c>
    </row>
    <row r="1081" spans="1:10">
      <c r="A1081" s="105">
        <v>40561</v>
      </c>
      <c r="B1081">
        <v>0.77600000000000002</v>
      </c>
      <c r="C1081" s="105">
        <v>40561</v>
      </c>
      <c r="D1081">
        <v>1.012</v>
      </c>
      <c r="E1081" s="105">
        <v>40561</v>
      </c>
      <c r="F1081">
        <v>1.254</v>
      </c>
      <c r="G1081" s="105">
        <v>40561</v>
      </c>
      <c r="H1081">
        <v>1.4079999999999999</v>
      </c>
      <c r="I1081" s="105">
        <v>40561</v>
      </c>
      <c r="J1081">
        <v>1.552</v>
      </c>
    </row>
    <row r="1082" spans="1:10">
      <c r="A1082" s="105">
        <v>40560</v>
      </c>
      <c r="B1082">
        <v>0.77100000000000002</v>
      </c>
      <c r="C1082" s="105">
        <v>40560</v>
      </c>
      <c r="D1082">
        <v>1.0089999999999999</v>
      </c>
      <c r="E1082" s="105">
        <v>40560</v>
      </c>
      <c r="F1082">
        <v>1.2490000000000001</v>
      </c>
      <c r="G1082" s="105">
        <v>40560</v>
      </c>
      <c r="H1082">
        <v>1.401</v>
      </c>
      <c r="I1082" s="105">
        <v>40560</v>
      </c>
      <c r="J1082">
        <v>1.544</v>
      </c>
    </row>
    <row r="1083" spans="1:10">
      <c r="A1083" s="105">
        <v>40557</v>
      </c>
      <c r="B1083">
        <v>0.76800000000000002</v>
      </c>
      <c r="C1083" s="105">
        <v>40557</v>
      </c>
      <c r="D1083">
        <v>1.006</v>
      </c>
      <c r="E1083" s="105">
        <v>40557</v>
      </c>
      <c r="F1083">
        <v>1.244</v>
      </c>
      <c r="G1083" s="105">
        <v>40557</v>
      </c>
      <c r="H1083">
        <v>1.395</v>
      </c>
      <c r="I1083" s="105">
        <v>40557</v>
      </c>
      <c r="J1083">
        <v>1.536</v>
      </c>
    </row>
    <row r="1084" spans="1:10">
      <c r="A1084" s="105">
        <v>40556</v>
      </c>
      <c r="B1084">
        <v>0.75800000000000001</v>
      </c>
      <c r="C1084" s="105">
        <v>40556</v>
      </c>
      <c r="D1084">
        <v>0.998</v>
      </c>
      <c r="E1084" s="105">
        <v>40556</v>
      </c>
      <c r="F1084">
        <v>1.2290000000000001</v>
      </c>
      <c r="G1084" s="105">
        <v>40556</v>
      </c>
      <c r="H1084">
        <v>1.377</v>
      </c>
      <c r="I1084" s="105">
        <v>40556</v>
      </c>
      <c r="J1084">
        <v>1.5129999999999999</v>
      </c>
    </row>
    <row r="1085" spans="1:10">
      <c r="A1085" s="105">
        <v>40555</v>
      </c>
      <c r="B1085">
        <v>0.754</v>
      </c>
      <c r="C1085" s="105">
        <v>40555</v>
      </c>
      <c r="D1085">
        <v>0.995</v>
      </c>
      <c r="E1085" s="105">
        <v>40555</v>
      </c>
      <c r="F1085">
        <v>1.2250000000000001</v>
      </c>
      <c r="G1085" s="105">
        <v>40555</v>
      </c>
      <c r="H1085">
        <v>1.373</v>
      </c>
      <c r="I1085" s="105">
        <v>40555</v>
      </c>
      <c r="J1085">
        <v>1.508</v>
      </c>
    </row>
    <row r="1086" spans="1:10">
      <c r="A1086" s="105">
        <v>40554</v>
      </c>
      <c r="B1086">
        <v>0.752</v>
      </c>
      <c r="C1086" s="105">
        <v>40554</v>
      </c>
      <c r="D1086">
        <v>0.995</v>
      </c>
      <c r="E1086" s="105">
        <v>40554</v>
      </c>
      <c r="F1086">
        <v>1.222</v>
      </c>
      <c r="G1086" s="105">
        <v>40554</v>
      </c>
      <c r="H1086">
        <v>1.37</v>
      </c>
      <c r="I1086" s="105">
        <v>40554</v>
      </c>
      <c r="J1086">
        <v>1.5049999999999999</v>
      </c>
    </row>
    <row r="1087" spans="1:10">
      <c r="A1087" s="105">
        <v>40553</v>
      </c>
      <c r="B1087">
        <v>0.754</v>
      </c>
      <c r="C1087" s="105">
        <v>40553</v>
      </c>
      <c r="D1087">
        <v>0.995</v>
      </c>
      <c r="E1087" s="105">
        <v>40553</v>
      </c>
      <c r="F1087">
        <v>1.222</v>
      </c>
      <c r="G1087" s="105">
        <v>40553</v>
      </c>
      <c r="H1087">
        <v>1.37</v>
      </c>
      <c r="I1087" s="105">
        <v>40553</v>
      </c>
      <c r="J1087">
        <v>1.506</v>
      </c>
    </row>
    <row r="1088" spans="1:10">
      <c r="A1088" s="105">
        <v>40550</v>
      </c>
      <c r="B1088">
        <v>0.75900000000000001</v>
      </c>
      <c r="C1088" s="105">
        <v>40550</v>
      </c>
      <c r="D1088">
        <v>0.997</v>
      </c>
      <c r="E1088" s="105">
        <v>40550</v>
      </c>
      <c r="F1088">
        <v>1.2230000000000001</v>
      </c>
      <c r="G1088" s="105">
        <v>40550</v>
      </c>
      <c r="H1088">
        <v>1.37</v>
      </c>
      <c r="I1088" s="105">
        <v>40550</v>
      </c>
      <c r="J1088">
        <v>1.5049999999999999</v>
      </c>
    </row>
    <row r="1089" spans="1:10">
      <c r="A1089" s="105">
        <v>40549</v>
      </c>
      <c r="B1089">
        <v>0.76</v>
      </c>
      <c r="C1089" s="105">
        <v>40549</v>
      </c>
      <c r="D1089">
        <v>0.997</v>
      </c>
      <c r="E1089" s="105">
        <v>40549</v>
      </c>
      <c r="F1089">
        <v>1.2230000000000001</v>
      </c>
      <c r="G1089" s="105">
        <v>40549</v>
      </c>
      <c r="H1089">
        <v>1.37</v>
      </c>
      <c r="I1089" s="105">
        <v>40549</v>
      </c>
      <c r="J1089">
        <v>1.506</v>
      </c>
    </row>
    <row r="1090" spans="1:10">
      <c r="A1090" s="105">
        <v>40548</v>
      </c>
      <c r="B1090">
        <v>0.76200000000000001</v>
      </c>
      <c r="C1090" s="105">
        <v>40548</v>
      </c>
      <c r="D1090">
        <v>0.998</v>
      </c>
      <c r="E1090" s="105">
        <v>40548</v>
      </c>
      <c r="F1090">
        <v>1.2230000000000001</v>
      </c>
      <c r="G1090" s="105">
        <v>40548</v>
      </c>
      <c r="H1090">
        <v>1.37</v>
      </c>
      <c r="I1090" s="105">
        <v>40548</v>
      </c>
      <c r="J1090">
        <v>1.504</v>
      </c>
    </row>
    <row r="1091" spans="1:10">
      <c r="A1091" s="105">
        <v>40547</v>
      </c>
      <c r="B1091">
        <v>0.76600000000000001</v>
      </c>
      <c r="C1091" s="105">
        <v>40547</v>
      </c>
      <c r="D1091">
        <v>0.999</v>
      </c>
      <c r="E1091" s="105">
        <v>40547</v>
      </c>
      <c r="F1091">
        <v>1.224</v>
      </c>
      <c r="G1091" s="105">
        <v>40547</v>
      </c>
      <c r="H1091">
        <v>1.37</v>
      </c>
      <c r="I1091" s="105">
        <v>40547</v>
      </c>
      <c r="J1091">
        <v>1.504</v>
      </c>
    </row>
    <row r="1092" spans="1:10">
      <c r="A1092" s="105">
        <v>40546</v>
      </c>
      <c r="B1092">
        <v>0.77400000000000002</v>
      </c>
      <c r="C1092" s="105">
        <v>40546</v>
      </c>
      <c r="D1092">
        <v>1.0009999999999999</v>
      </c>
      <c r="E1092" s="105">
        <v>40546</v>
      </c>
      <c r="F1092">
        <v>1.224</v>
      </c>
      <c r="G1092" s="105">
        <v>40546</v>
      </c>
      <c r="H1092">
        <v>1.369</v>
      </c>
      <c r="I1092" s="105">
        <v>40546</v>
      </c>
      <c r="J1092">
        <v>1.504</v>
      </c>
    </row>
    <row r="1093" spans="1:10">
      <c r="A1093" s="105">
        <v>40543</v>
      </c>
      <c r="B1093">
        <v>0.78200000000000003</v>
      </c>
      <c r="C1093" s="105">
        <v>40543</v>
      </c>
      <c r="D1093">
        <v>1.006</v>
      </c>
      <c r="E1093" s="105">
        <v>40543</v>
      </c>
      <c r="F1093">
        <v>1.2270000000000001</v>
      </c>
      <c r="G1093" s="105">
        <v>40543</v>
      </c>
      <c r="H1093">
        <v>1.3720000000000001</v>
      </c>
      <c r="I1093" s="105">
        <v>40543</v>
      </c>
      <c r="J1093">
        <v>1.5069999999999999</v>
      </c>
    </row>
    <row r="1094" spans="1:10">
      <c r="A1094" s="105">
        <v>40542</v>
      </c>
      <c r="B1094">
        <v>0.79</v>
      </c>
      <c r="C1094" s="105">
        <v>40542</v>
      </c>
      <c r="D1094">
        <v>1.01</v>
      </c>
      <c r="E1094" s="105">
        <v>40542</v>
      </c>
      <c r="F1094">
        <v>1.234</v>
      </c>
      <c r="G1094" s="105">
        <v>40542</v>
      </c>
      <c r="H1094">
        <v>1.379</v>
      </c>
      <c r="I1094" s="105">
        <v>40542</v>
      </c>
      <c r="J1094">
        <v>1.514</v>
      </c>
    </row>
    <row r="1095" spans="1:10">
      <c r="A1095" s="105">
        <v>40541</v>
      </c>
      <c r="B1095">
        <v>0.80300000000000005</v>
      </c>
      <c r="C1095" s="105">
        <v>40541</v>
      </c>
      <c r="D1095">
        <v>1.0129999999999999</v>
      </c>
      <c r="E1095" s="105">
        <v>40541</v>
      </c>
      <c r="F1095">
        <v>1.238</v>
      </c>
      <c r="G1095" s="105">
        <v>40541</v>
      </c>
      <c r="H1095">
        <v>1.385</v>
      </c>
      <c r="I1095" s="105">
        <v>40541</v>
      </c>
      <c r="J1095">
        <v>1.5169999999999999</v>
      </c>
    </row>
    <row r="1096" spans="1:10">
      <c r="A1096" s="105">
        <v>40540</v>
      </c>
      <c r="B1096">
        <v>0.80400000000000005</v>
      </c>
      <c r="C1096" s="105">
        <v>40540</v>
      </c>
      <c r="D1096">
        <v>1.014</v>
      </c>
      <c r="E1096" s="105">
        <v>40540</v>
      </c>
      <c r="F1096">
        <v>1.24</v>
      </c>
      <c r="G1096" s="105">
        <v>40540</v>
      </c>
      <c r="H1096">
        <v>1.387</v>
      </c>
      <c r="I1096" s="105">
        <v>40540</v>
      </c>
      <c r="J1096">
        <v>1.5189999999999999</v>
      </c>
    </row>
    <row r="1097" spans="1:10">
      <c r="A1097" s="105">
        <v>40539</v>
      </c>
      <c r="B1097">
        <v>0.80400000000000005</v>
      </c>
      <c r="C1097" s="105">
        <v>40539</v>
      </c>
      <c r="D1097">
        <v>1.014</v>
      </c>
      <c r="E1097" s="105">
        <v>40539</v>
      </c>
      <c r="F1097">
        <v>1.2410000000000001</v>
      </c>
      <c r="G1097" s="105">
        <v>40539</v>
      </c>
      <c r="H1097">
        <v>1.387</v>
      </c>
      <c r="I1097" s="105">
        <v>40539</v>
      </c>
      <c r="J1097">
        <v>1.52</v>
      </c>
    </row>
    <row r="1098" spans="1:10">
      <c r="A1098" s="105">
        <v>40536</v>
      </c>
      <c r="B1098">
        <v>0.80300000000000005</v>
      </c>
      <c r="C1098" s="105">
        <v>40536</v>
      </c>
      <c r="D1098">
        <v>1.014</v>
      </c>
      <c r="E1098" s="105">
        <v>40536</v>
      </c>
      <c r="F1098">
        <v>1.2430000000000001</v>
      </c>
      <c r="G1098" s="105">
        <v>40536</v>
      </c>
      <c r="H1098">
        <v>1.389</v>
      </c>
      <c r="I1098" s="105">
        <v>40536</v>
      </c>
      <c r="J1098">
        <v>1.5209999999999999</v>
      </c>
    </row>
    <row r="1099" spans="1:10">
      <c r="A1099" s="105">
        <v>40535</v>
      </c>
      <c r="B1099">
        <v>0.80500000000000005</v>
      </c>
      <c r="C1099" s="105">
        <v>40535</v>
      </c>
      <c r="D1099">
        <v>1.0149999999999999</v>
      </c>
      <c r="E1099" s="105">
        <v>40535</v>
      </c>
      <c r="F1099">
        <v>1.248</v>
      </c>
      <c r="G1099" s="105">
        <v>40535</v>
      </c>
      <c r="H1099">
        <v>1.3919999999999999</v>
      </c>
      <c r="I1099" s="105">
        <v>40535</v>
      </c>
      <c r="J1099">
        <v>1.526</v>
      </c>
    </row>
    <row r="1100" spans="1:10">
      <c r="A1100" s="105">
        <v>40534</v>
      </c>
      <c r="B1100">
        <v>0.81100000000000005</v>
      </c>
      <c r="C1100" s="105">
        <v>40534</v>
      </c>
      <c r="D1100">
        <v>1.0209999999999999</v>
      </c>
      <c r="E1100" s="105">
        <v>40534</v>
      </c>
      <c r="F1100">
        <v>1.2529999999999999</v>
      </c>
      <c r="G1100" s="105">
        <v>40534</v>
      </c>
      <c r="H1100">
        <v>1.399</v>
      </c>
      <c r="I1100" s="105">
        <v>40534</v>
      </c>
      <c r="J1100">
        <v>1.534</v>
      </c>
    </row>
    <row r="1101" spans="1:10">
      <c r="A1101" s="105">
        <v>40533</v>
      </c>
      <c r="B1101">
        <v>0.81</v>
      </c>
      <c r="C1101" s="105">
        <v>40533</v>
      </c>
      <c r="D1101">
        <v>1.022</v>
      </c>
      <c r="E1101" s="105">
        <v>40533</v>
      </c>
      <c r="F1101">
        <v>1.2529999999999999</v>
      </c>
      <c r="G1101" s="105">
        <v>40533</v>
      </c>
      <c r="H1101">
        <v>1.401</v>
      </c>
      <c r="I1101" s="105">
        <v>40533</v>
      </c>
      <c r="J1101">
        <v>1.5329999999999999</v>
      </c>
    </row>
    <row r="1102" spans="1:10">
      <c r="A1102" s="105">
        <v>40532</v>
      </c>
      <c r="B1102">
        <v>0.80900000000000005</v>
      </c>
      <c r="C1102" s="105">
        <v>40532</v>
      </c>
      <c r="D1102">
        <v>1.022</v>
      </c>
      <c r="E1102" s="105">
        <v>40532</v>
      </c>
      <c r="F1102">
        <v>1.254</v>
      </c>
      <c r="G1102" s="105">
        <v>40532</v>
      </c>
      <c r="H1102">
        <v>1.4</v>
      </c>
      <c r="I1102" s="105">
        <v>40532</v>
      </c>
      <c r="J1102">
        <v>1.5329999999999999</v>
      </c>
    </row>
    <row r="1103" spans="1:10">
      <c r="A1103" s="105">
        <v>40529</v>
      </c>
      <c r="B1103">
        <v>0.81100000000000005</v>
      </c>
      <c r="C1103" s="105">
        <v>40529</v>
      </c>
      <c r="D1103">
        <v>1.0229999999999999</v>
      </c>
      <c r="E1103" s="105">
        <v>40529</v>
      </c>
      <c r="F1103">
        <v>1.254</v>
      </c>
      <c r="G1103" s="105">
        <v>40529</v>
      </c>
      <c r="H1103">
        <v>1.401</v>
      </c>
      <c r="I1103" s="105">
        <v>40529</v>
      </c>
      <c r="J1103">
        <v>1.5329999999999999</v>
      </c>
    </row>
    <row r="1104" spans="1:10">
      <c r="A1104" s="105">
        <v>40528</v>
      </c>
      <c r="B1104">
        <v>0.81299999999999994</v>
      </c>
      <c r="C1104" s="105">
        <v>40528</v>
      </c>
      <c r="D1104">
        <v>1.024</v>
      </c>
      <c r="E1104" s="105">
        <v>40528</v>
      </c>
      <c r="F1104">
        <v>1.254</v>
      </c>
      <c r="G1104" s="105">
        <v>40528</v>
      </c>
      <c r="H1104">
        <v>1.4</v>
      </c>
      <c r="I1104" s="105">
        <v>40528</v>
      </c>
      <c r="J1104">
        <v>1.5329999999999999</v>
      </c>
    </row>
    <row r="1105" spans="1:10">
      <c r="A1105" s="105">
        <v>40527</v>
      </c>
      <c r="B1105">
        <v>0.81299999999999994</v>
      </c>
      <c r="C1105" s="105">
        <v>40527</v>
      </c>
      <c r="D1105">
        <v>1.0249999999999999</v>
      </c>
      <c r="E1105" s="105">
        <v>40527</v>
      </c>
      <c r="F1105">
        <v>1.254</v>
      </c>
      <c r="G1105" s="105">
        <v>40527</v>
      </c>
      <c r="H1105">
        <v>1.399</v>
      </c>
      <c r="I1105" s="105">
        <v>40527</v>
      </c>
      <c r="J1105">
        <v>1.5309999999999999</v>
      </c>
    </row>
    <row r="1106" spans="1:10">
      <c r="A1106" s="105">
        <v>40526</v>
      </c>
      <c r="B1106">
        <v>0.81899999999999995</v>
      </c>
      <c r="C1106" s="105">
        <v>40526</v>
      </c>
      <c r="D1106">
        <v>1.026</v>
      </c>
      <c r="E1106" s="105">
        <v>40526</v>
      </c>
      <c r="F1106">
        <v>1.254</v>
      </c>
      <c r="G1106" s="105">
        <v>40526</v>
      </c>
      <c r="H1106">
        <v>1.399</v>
      </c>
      <c r="I1106" s="105">
        <v>40526</v>
      </c>
      <c r="J1106">
        <v>1.53</v>
      </c>
    </row>
    <row r="1107" spans="1:10">
      <c r="A1107" s="105">
        <v>40525</v>
      </c>
      <c r="B1107">
        <v>0.81899999999999995</v>
      </c>
      <c r="C1107" s="105">
        <v>40525</v>
      </c>
      <c r="D1107">
        <v>1.026</v>
      </c>
      <c r="E1107" s="105">
        <v>40525</v>
      </c>
      <c r="F1107">
        <v>1.2569999999999999</v>
      </c>
      <c r="G1107" s="105">
        <v>40525</v>
      </c>
      <c r="H1107">
        <v>1.403</v>
      </c>
      <c r="I1107" s="105">
        <v>40525</v>
      </c>
      <c r="J1107">
        <v>1.5329999999999999</v>
      </c>
    </row>
    <row r="1108" spans="1:10">
      <c r="A1108" s="105">
        <v>40522</v>
      </c>
      <c r="B1108">
        <v>0.82199999999999995</v>
      </c>
      <c r="C1108" s="105">
        <v>40522</v>
      </c>
      <c r="D1108">
        <v>1.028</v>
      </c>
      <c r="E1108" s="105">
        <v>40522</v>
      </c>
      <c r="F1108">
        <v>1.2569999999999999</v>
      </c>
      <c r="G1108" s="105">
        <v>40522</v>
      </c>
      <c r="H1108">
        <v>1.4</v>
      </c>
      <c r="I1108" s="105">
        <v>40522</v>
      </c>
      <c r="J1108">
        <v>1.53</v>
      </c>
    </row>
    <row r="1109" spans="1:10">
      <c r="A1109" s="105">
        <v>40521</v>
      </c>
      <c r="B1109">
        <v>0.82199999999999995</v>
      </c>
      <c r="C1109" s="105">
        <v>40521</v>
      </c>
      <c r="D1109">
        <v>1.0289999999999999</v>
      </c>
      <c r="E1109" s="105">
        <v>40521</v>
      </c>
      <c r="F1109">
        <v>1.2589999999999999</v>
      </c>
      <c r="G1109" s="105">
        <v>40521</v>
      </c>
      <c r="H1109">
        <v>1.3979999999999999</v>
      </c>
      <c r="I1109" s="105">
        <v>40521</v>
      </c>
      <c r="J1109">
        <v>1.528</v>
      </c>
    </row>
    <row r="1110" spans="1:10">
      <c r="A1110" s="105">
        <v>40520</v>
      </c>
      <c r="B1110">
        <v>0.82099999999999995</v>
      </c>
      <c r="C1110" s="105">
        <v>40520</v>
      </c>
      <c r="D1110">
        <v>1.0289999999999999</v>
      </c>
      <c r="E1110" s="105">
        <v>40520</v>
      </c>
      <c r="F1110">
        <v>1.2589999999999999</v>
      </c>
      <c r="G1110" s="105">
        <v>40520</v>
      </c>
      <c r="H1110">
        <v>1.395</v>
      </c>
      <c r="I1110" s="105">
        <v>40520</v>
      </c>
      <c r="J1110">
        <v>1.526</v>
      </c>
    </row>
    <row r="1111" spans="1:10">
      <c r="A1111" s="105">
        <v>40519</v>
      </c>
      <c r="B1111">
        <v>0.82099999999999995</v>
      </c>
      <c r="C1111" s="105">
        <v>40519</v>
      </c>
      <c r="D1111">
        <v>1.0289999999999999</v>
      </c>
      <c r="E1111" s="105">
        <v>40519</v>
      </c>
      <c r="F1111">
        <v>1.258</v>
      </c>
      <c r="G1111" s="105">
        <v>40519</v>
      </c>
      <c r="H1111">
        <v>1.3939999999999999</v>
      </c>
      <c r="I1111" s="105">
        <v>40519</v>
      </c>
      <c r="J1111">
        <v>1.5249999999999999</v>
      </c>
    </row>
    <row r="1112" spans="1:10">
      <c r="A1112" s="105">
        <v>40518</v>
      </c>
      <c r="B1112">
        <v>0.81899999999999995</v>
      </c>
      <c r="C1112" s="105">
        <v>40518</v>
      </c>
      <c r="D1112">
        <v>1.028</v>
      </c>
      <c r="E1112" s="105">
        <v>40518</v>
      </c>
      <c r="F1112">
        <v>1.256</v>
      </c>
      <c r="G1112" s="105">
        <v>40518</v>
      </c>
      <c r="H1112">
        <v>1.3919999999999999</v>
      </c>
      <c r="I1112" s="105">
        <v>40518</v>
      </c>
      <c r="J1112">
        <v>1.524</v>
      </c>
    </row>
    <row r="1113" spans="1:10">
      <c r="A1113" s="105">
        <v>40515</v>
      </c>
      <c r="B1113">
        <v>0.81599999999999995</v>
      </c>
      <c r="C1113" s="105">
        <v>40515</v>
      </c>
      <c r="D1113">
        <v>1.0269999999999999</v>
      </c>
      <c r="E1113" s="105">
        <v>40515</v>
      </c>
      <c r="F1113">
        <v>1.256</v>
      </c>
      <c r="G1113" s="105">
        <v>40515</v>
      </c>
      <c r="H1113">
        <v>1.3939999999999999</v>
      </c>
      <c r="I1113" s="105">
        <v>40515</v>
      </c>
      <c r="J1113">
        <v>1.526</v>
      </c>
    </row>
    <row r="1114" spans="1:10">
      <c r="A1114" s="105">
        <v>40514</v>
      </c>
      <c r="B1114">
        <v>0.81499999999999995</v>
      </c>
      <c r="C1114" s="105">
        <v>40514</v>
      </c>
      <c r="D1114">
        <v>1.0269999999999999</v>
      </c>
      <c r="E1114" s="105">
        <v>40514</v>
      </c>
      <c r="F1114">
        <v>1.258</v>
      </c>
      <c r="G1114" s="105">
        <v>40514</v>
      </c>
      <c r="H1114">
        <v>1.397</v>
      </c>
      <c r="I1114" s="105">
        <v>40514</v>
      </c>
      <c r="J1114">
        <v>1.528</v>
      </c>
    </row>
    <row r="1115" spans="1:10">
      <c r="A1115" s="105">
        <v>40513</v>
      </c>
      <c r="B1115">
        <v>0.81200000000000006</v>
      </c>
      <c r="C1115" s="105">
        <v>40513</v>
      </c>
      <c r="D1115">
        <v>1.026</v>
      </c>
      <c r="E1115" s="105">
        <v>40513</v>
      </c>
      <c r="F1115">
        <v>1.258</v>
      </c>
      <c r="G1115" s="105">
        <v>40513</v>
      </c>
      <c r="H1115">
        <v>1.3979999999999999</v>
      </c>
      <c r="I1115" s="105">
        <v>40513</v>
      </c>
      <c r="J1115">
        <v>1.528</v>
      </c>
    </row>
    <row r="1116" spans="1:10">
      <c r="A1116" s="105">
        <v>40512</v>
      </c>
      <c r="B1116">
        <v>0.81</v>
      </c>
      <c r="C1116" s="105">
        <v>40512</v>
      </c>
      <c r="D1116">
        <v>1.028</v>
      </c>
      <c r="E1116" s="105">
        <v>40512</v>
      </c>
      <c r="F1116">
        <v>1.26</v>
      </c>
      <c r="G1116" s="105">
        <v>40512</v>
      </c>
      <c r="H1116">
        <v>1.399</v>
      </c>
      <c r="I1116" s="105">
        <v>40512</v>
      </c>
      <c r="J1116">
        <v>1.53</v>
      </c>
    </row>
    <row r="1117" spans="1:10">
      <c r="A1117" s="105">
        <v>40511</v>
      </c>
      <c r="B1117">
        <v>0.80800000000000005</v>
      </c>
      <c r="C1117" s="105">
        <v>40511</v>
      </c>
      <c r="D1117">
        <v>1.0269999999999999</v>
      </c>
      <c r="E1117" s="105">
        <v>40511</v>
      </c>
      <c r="F1117">
        <v>1.26</v>
      </c>
      <c r="G1117" s="105">
        <v>40511</v>
      </c>
      <c r="H1117">
        <v>1.4</v>
      </c>
      <c r="I1117" s="105">
        <v>40511</v>
      </c>
      <c r="J1117">
        <v>1.532</v>
      </c>
    </row>
    <row r="1118" spans="1:10">
      <c r="A1118" s="105">
        <v>40508</v>
      </c>
      <c r="B1118">
        <v>0.79600000000000004</v>
      </c>
      <c r="C1118" s="105">
        <v>40508</v>
      </c>
      <c r="D1118">
        <v>1.028</v>
      </c>
      <c r="E1118" s="105">
        <v>40508</v>
      </c>
      <c r="F1118">
        <v>1.26</v>
      </c>
      <c r="G1118" s="105">
        <v>40508</v>
      </c>
      <c r="H1118">
        <v>1.4</v>
      </c>
      <c r="I1118" s="105">
        <v>40508</v>
      </c>
      <c r="J1118">
        <v>1.5309999999999999</v>
      </c>
    </row>
    <row r="1119" spans="1:10">
      <c r="A1119" s="105">
        <v>40507</v>
      </c>
      <c r="B1119">
        <v>0.79900000000000004</v>
      </c>
      <c r="C1119" s="105">
        <v>40507</v>
      </c>
      <c r="D1119">
        <v>1.0309999999999999</v>
      </c>
      <c r="E1119" s="105">
        <v>40507</v>
      </c>
      <c r="F1119">
        <v>1.262</v>
      </c>
      <c r="G1119" s="105">
        <v>40507</v>
      </c>
      <c r="H1119">
        <v>1.401</v>
      </c>
      <c r="I1119" s="105">
        <v>40507</v>
      </c>
      <c r="J1119">
        <v>1.5329999999999999</v>
      </c>
    </row>
    <row r="1120" spans="1:10">
      <c r="A1120" s="105">
        <v>40506</v>
      </c>
      <c r="B1120">
        <v>0.80400000000000005</v>
      </c>
      <c r="C1120" s="105">
        <v>40506</v>
      </c>
      <c r="D1120">
        <v>1.03</v>
      </c>
      <c r="E1120" s="105">
        <v>40506</v>
      </c>
      <c r="F1120">
        <v>1.26</v>
      </c>
      <c r="G1120" s="105">
        <v>40506</v>
      </c>
      <c r="H1120">
        <v>1.399</v>
      </c>
      <c r="I1120" s="105">
        <v>40506</v>
      </c>
      <c r="J1120">
        <v>1.5309999999999999</v>
      </c>
    </row>
    <row r="1121" spans="1:10">
      <c r="A1121" s="105">
        <v>40505</v>
      </c>
      <c r="B1121">
        <v>0.81100000000000005</v>
      </c>
      <c r="C1121" s="105">
        <v>40505</v>
      </c>
      <c r="D1121">
        <v>1.0349999999999999</v>
      </c>
      <c r="E1121" s="105">
        <v>40505</v>
      </c>
      <c r="F1121">
        <v>1.2629999999999999</v>
      </c>
      <c r="G1121" s="105">
        <v>40505</v>
      </c>
      <c r="H1121">
        <v>1.403</v>
      </c>
      <c r="I1121" s="105">
        <v>40505</v>
      </c>
      <c r="J1121">
        <v>1.536</v>
      </c>
    </row>
    <row r="1122" spans="1:10">
      <c r="A1122" s="105">
        <v>40504</v>
      </c>
      <c r="B1122">
        <v>0.81599999999999995</v>
      </c>
      <c r="C1122" s="105">
        <v>40504</v>
      </c>
      <c r="D1122">
        <v>1.0389999999999999</v>
      </c>
      <c r="E1122" s="105">
        <v>40504</v>
      </c>
      <c r="F1122">
        <v>1.2649999999999999</v>
      </c>
      <c r="G1122" s="105">
        <v>40504</v>
      </c>
      <c r="H1122">
        <v>1.4059999999999999</v>
      </c>
      <c r="I1122" s="105">
        <v>40504</v>
      </c>
      <c r="J1122">
        <v>1.54</v>
      </c>
    </row>
    <row r="1123" spans="1:10">
      <c r="A1123" s="105">
        <v>40501</v>
      </c>
      <c r="B1123">
        <v>0.82399999999999995</v>
      </c>
      <c r="C1123" s="105">
        <v>40501</v>
      </c>
      <c r="D1123">
        <v>1.04</v>
      </c>
      <c r="E1123" s="105">
        <v>40501</v>
      </c>
      <c r="F1123">
        <v>1.266</v>
      </c>
      <c r="G1123" s="105">
        <v>40501</v>
      </c>
      <c r="H1123">
        <v>1.407</v>
      </c>
      <c r="I1123" s="105">
        <v>40501</v>
      </c>
      <c r="J1123">
        <v>1.54</v>
      </c>
    </row>
    <row r="1124" spans="1:10">
      <c r="A1124" s="105">
        <v>40500</v>
      </c>
      <c r="B1124">
        <v>0.83399999999999996</v>
      </c>
      <c r="C1124" s="105">
        <v>40500</v>
      </c>
      <c r="D1124">
        <v>1.0409999999999999</v>
      </c>
      <c r="E1124" s="105">
        <v>40500</v>
      </c>
      <c r="F1124">
        <v>1.2689999999999999</v>
      </c>
      <c r="G1124" s="105">
        <v>40500</v>
      </c>
      <c r="H1124">
        <v>1.409</v>
      </c>
      <c r="I1124" s="105">
        <v>40500</v>
      </c>
      <c r="J1124">
        <v>1.5409999999999999</v>
      </c>
    </row>
    <row r="1125" spans="1:10">
      <c r="A1125" s="105">
        <v>40499</v>
      </c>
      <c r="B1125">
        <v>0.84399999999999997</v>
      </c>
      <c r="C1125" s="105">
        <v>40499</v>
      </c>
      <c r="D1125">
        <v>1.044</v>
      </c>
      <c r="E1125" s="105">
        <v>40499</v>
      </c>
      <c r="F1125">
        <v>1.272</v>
      </c>
      <c r="G1125" s="105">
        <v>40499</v>
      </c>
      <c r="H1125">
        <v>1.4119999999999999</v>
      </c>
      <c r="I1125" s="105">
        <v>40499</v>
      </c>
      <c r="J1125">
        <v>1.544</v>
      </c>
    </row>
    <row r="1126" spans="1:10">
      <c r="A1126" s="105">
        <v>40498</v>
      </c>
      <c r="B1126">
        <v>0.84599999999999997</v>
      </c>
      <c r="C1126" s="105">
        <v>40498</v>
      </c>
      <c r="D1126">
        <v>1.046</v>
      </c>
      <c r="E1126" s="105">
        <v>40498</v>
      </c>
      <c r="F1126">
        <v>1.2749999999999999</v>
      </c>
      <c r="G1126" s="105">
        <v>40498</v>
      </c>
      <c r="H1126">
        <v>1.4139999999999999</v>
      </c>
      <c r="I1126" s="105">
        <v>40498</v>
      </c>
      <c r="J1126">
        <v>1.5449999999999999</v>
      </c>
    </row>
    <row r="1127" spans="1:10">
      <c r="A1127" s="105">
        <v>40497</v>
      </c>
      <c r="B1127">
        <v>0.85</v>
      </c>
      <c r="C1127" s="105">
        <v>40497</v>
      </c>
      <c r="D1127">
        <v>1.048</v>
      </c>
      <c r="E1127" s="105">
        <v>40497</v>
      </c>
      <c r="F1127">
        <v>1.276</v>
      </c>
      <c r="G1127" s="105">
        <v>40497</v>
      </c>
      <c r="H1127">
        <v>1.415</v>
      </c>
      <c r="I1127" s="105">
        <v>40497</v>
      </c>
      <c r="J1127">
        <v>1.546</v>
      </c>
    </row>
    <row r="1128" spans="1:10">
      <c r="A1128" s="105">
        <v>40494</v>
      </c>
      <c r="B1128">
        <v>0.85199999999999998</v>
      </c>
      <c r="C1128" s="105">
        <v>40494</v>
      </c>
      <c r="D1128">
        <v>1.0489999999999999</v>
      </c>
      <c r="E1128" s="105">
        <v>40494</v>
      </c>
      <c r="F1128">
        <v>1.276</v>
      </c>
      <c r="G1128" s="105">
        <v>40494</v>
      </c>
      <c r="H1128">
        <v>1.415</v>
      </c>
      <c r="I1128" s="105">
        <v>40494</v>
      </c>
      <c r="J1128">
        <v>1.546</v>
      </c>
    </row>
    <row r="1129" spans="1:10">
      <c r="A1129" s="105">
        <v>40493</v>
      </c>
      <c r="B1129">
        <v>0.85199999999999998</v>
      </c>
      <c r="C1129" s="105">
        <v>40493</v>
      </c>
      <c r="D1129">
        <v>1.05</v>
      </c>
      <c r="E1129" s="105">
        <v>40493</v>
      </c>
      <c r="F1129">
        <v>1.2749999999999999</v>
      </c>
      <c r="G1129" s="105">
        <v>40493</v>
      </c>
      <c r="H1129">
        <v>1.4159999999999999</v>
      </c>
      <c r="I1129" s="105">
        <v>40493</v>
      </c>
      <c r="J1129">
        <v>1.546</v>
      </c>
    </row>
    <row r="1130" spans="1:10">
      <c r="A1130" s="105">
        <v>40492</v>
      </c>
      <c r="B1130">
        <v>0.85199999999999998</v>
      </c>
      <c r="C1130" s="105">
        <v>40492</v>
      </c>
      <c r="D1130">
        <v>1.048</v>
      </c>
      <c r="E1130" s="105">
        <v>40492</v>
      </c>
      <c r="F1130">
        <v>1.274</v>
      </c>
      <c r="G1130" s="105">
        <v>40492</v>
      </c>
      <c r="H1130">
        <v>1.415</v>
      </c>
      <c r="I1130" s="105">
        <v>40492</v>
      </c>
      <c r="J1130">
        <v>1.546</v>
      </c>
    </row>
    <row r="1131" spans="1:10">
      <c r="A1131" s="105">
        <v>40491</v>
      </c>
      <c r="B1131">
        <v>0.85299999999999998</v>
      </c>
      <c r="C1131" s="105">
        <v>40491</v>
      </c>
      <c r="D1131">
        <v>1.0489999999999999</v>
      </c>
      <c r="E1131" s="105">
        <v>40491</v>
      </c>
      <c r="F1131">
        <v>1.274</v>
      </c>
      <c r="G1131" s="105">
        <v>40491</v>
      </c>
      <c r="H1131">
        <v>1.4159999999999999</v>
      </c>
      <c r="I1131" s="105">
        <v>40491</v>
      </c>
      <c r="J1131">
        <v>1.546</v>
      </c>
    </row>
    <row r="1132" spans="1:10">
      <c r="A1132" s="105">
        <v>40490</v>
      </c>
      <c r="B1132">
        <v>0.85299999999999998</v>
      </c>
      <c r="C1132" s="105">
        <v>40490</v>
      </c>
      <c r="D1132">
        <v>1.05</v>
      </c>
      <c r="E1132" s="105">
        <v>40490</v>
      </c>
      <c r="F1132">
        <v>1.274</v>
      </c>
      <c r="G1132" s="105">
        <v>40490</v>
      </c>
      <c r="H1132">
        <v>1.4159999999999999</v>
      </c>
      <c r="I1132" s="105">
        <v>40490</v>
      </c>
      <c r="J1132">
        <v>1.5449999999999999</v>
      </c>
    </row>
    <row r="1133" spans="1:10">
      <c r="A1133" s="105">
        <v>40487</v>
      </c>
      <c r="B1133">
        <v>0.85</v>
      </c>
      <c r="C1133" s="105">
        <v>40487</v>
      </c>
      <c r="D1133">
        <v>1.05</v>
      </c>
      <c r="E1133" s="105">
        <v>40487</v>
      </c>
      <c r="F1133">
        <v>1.2729999999999999</v>
      </c>
      <c r="G1133" s="105">
        <v>40487</v>
      </c>
      <c r="H1133">
        <v>1.4139999999999999</v>
      </c>
      <c r="I1133" s="105">
        <v>40487</v>
      </c>
      <c r="J1133">
        <v>1.5429999999999999</v>
      </c>
    </row>
    <row r="1134" spans="1:10">
      <c r="A1134" s="105">
        <v>40486</v>
      </c>
      <c r="B1134">
        <v>0.84899999999999998</v>
      </c>
      <c r="C1134" s="105">
        <v>40486</v>
      </c>
      <c r="D1134">
        <v>1.05</v>
      </c>
      <c r="E1134" s="105">
        <v>40486</v>
      </c>
      <c r="F1134">
        <v>1.274</v>
      </c>
      <c r="G1134" s="105">
        <v>40486</v>
      </c>
      <c r="H1134">
        <v>1.415</v>
      </c>
      <c r="I1134" s="105">
        <v>40486</v>
      </c>
      <c r="J1134">
        <v>1.544</v>
      </c>
    </row>
    <row r="1135" spans="1:10">
      <c r="A1135" s="105">
        <v>40485</v>
      </c>
      <c r="B1135">
        <v>0.84699999999999998</v>
      </c>
      <c r="C1135" s="105">
        <v>40485</v>
      </c>
      <c r="D1135">
        <v>1.0489999999999999</v>
      </c>
      <c r="E1135" s="105">
        <v>40485</v>
      </c>
      <c r="F1135">
        <v>1.272</v>
      </c>
      <c r="G1135" s="105">
        <v>40485</v>
      </c>
      <c r="H1135">
        <v>1.4139999999999999</v>
      </c>
      <c r="I1135" s="105">
        <v>40485</v>
      </c>
      <c r="J1135">
        <v>1.544</v>
      </c>
    </row>
    <row r="1136" spans="1:10">
      <c r="A1136" s="105">
        <v>40484</v>
      </c>
      <c r="B1136">
        <v>0.84699999999999998</v>
      </c>
      <c r="C1136" s="105">
        <v>40484</v>
      </c>
      <c r="D1136">
        <v>1.0469999999999999</v>
      </c>
      <c r="E1136" s="105">
        <v>40484</v>
      </c>
      <c r="F1136">
        <v>1.27</v>
      </c>
      <c r="G1136" s="105">
        <v>40484</v>
      </c>
      <c r="H1136">
        <v>1.4119999999999999</v>
      </c>
      <c r="I1136" s="105">
        <v>40484</v>
      </c>
      <c r="J1136">
        <v>1.542</v>
      </c>
    </row>
    <row r="1137" spans="1:10">
      <c r="A1137" s="105">
        <v>40483</v>
      </c>
      <c r="B1137">
        <v>0.84799999999999998</v>
      </c>
      <c r="C1137" s="105">
        <v>40483</v>
      </c>
      <c r="D1137">
        <v>1.046</v>
      </c>
      <c r="E1137" s="105">
        <v>40483</v>
      </c>
      <c r="F1137">
        <v>1.2689999999999999</v>
      </c>
      <c r="G1137" s="105">
        <v>40483</v>
      </c>
      <c r="H1137">
        <v>1.41</v>
      </c>
      <c r="I1137" s="105">
        <v>40483</v>
      </c>
      <c r="J1137">
        <v>1.54</v>
      </c>
    </row>
    <row r="1138" spans="1:10">
      <c r="A1138" s="105">
        <v>40480</v>
      </c>
      <c r="B1138">
        <v>0.84699999999999998</v>
      </c>
      <c r="C1138" s="105">
        <v>40480</v>
      </c>
      <c r="D1138">
        <v>1.0449999999999999</v>
      </c>
      <c r="E1138" s="105">
        <v>40480</v>
      </c>
      <c r="F1138">
        <v>1.2689999999999999</v>
      </c>
      <c r="G1138" s="105">
        <v>40480</v>
      </c>
      <c r="H1138">
        <v>1.411</v>
      </c>
      <c r="I1138" s="105">
        <v>40480</v>
      </c>
      <c r="J1138">
        <v>1.54</v>
      </c>
    </row>
    <row r="1139" spans="1:10">
      <c r="A1139" s="105">
        <v>40479</v>
      </c>
      <c r="B1139">
        <v>0.84699999999999998</v>
      </c>
      <c r="C1139" s="105">
        <v>40479</v>
      </c>
      <c r="D1139">
        <v>1.0449999999999999</v>
      </c>
      <c r="E1139" s="105">
        <v>40479</v>
      </c>
      <c r="F1139">
        <v>1.2669999999999999</v>
      </c>
      <c r="G1139" s="105">
        <v>40479</v>
      </c>
      <c r="H1139">
        <v>1.4079999999999999</v>
      </c>
      <c r="I1139" s="105">
        <v>40479</v>
      </c>
      <c r="J1139">
        <v>1.538</v>
      </c>
    </row>
    <row r="1140" spans="1:10">
      <c r="A1140" s="105">
        <v>40478</v>
      </c>
      <c r="B1140">
        <v>0.84699999999999998</v>
      </c>
      <c r="C1140" s="105">
        <v>40478</v>
      </c>
      <c r="D1140">
        <v>1.0429999999999999</v>
      </c>
      <c r="E1140" s="105">
        <v>40478</v>
      </c>
      <c r="F1140">
        <v>1.2649999999999999</v>
      </c>
      <c r="G1140" s="105">
        <v>40478</v>
      </c>
      <c r="H1140">
        <v>1.4039999999999999</v>
      </c>
      <c r="I1140" s="105">
        <v>40478</v>
      </c>
      <c r="J1140">
        <v>1.5369999999999999</v>
      </c>
    </row>
    <row r="1141" spans="1:10">
      <c r="A1141" s="105">
        <v>40477</v>
      </c>
      <c r="B1141">
        <v>0.83899999999999997</v>
      </c>
      <c r="C1141" s="105">
        <v>40477</v>
      </c>
      <c r="D1141">
        <v>1.0369999999999999</v>
      </c>
      <c r="E1141" s="105">
        <v>40477</v>
      </c>
      <c r="F1141">
        <v>1.2589999999999999</v>
      </c>
      <c r="G1141" s="105">
        <v>40477</v>
      </c>
      <c r="H1141">
        <v>1.3959999999999999</v>
      </c>
      <c r="I1141" s="105">
        <v>40477</v>
      </c>
      <c r="J1141">
        <v>1.5289999999999999</v>
      </c>
    </row>
    <row r="1142" spans="1:10">
      <c r="A1142" s="105">
        <v>40476</v>
      </c>
      <c r="B1142">
        <v>0.83</v>
      </c>
      <c r="C1142" s="105">
        <v>40476</v>
      </c>
      <c r="D1142">
        <v>1.032</v>
      </c>
      <c r="E1142" s="105">
        <v>40476</v>
      </c>
      <c r="F1142">
        <v>1.2529999999999999</v>
      </c>
      <c r="G1142" s="105">
        <v>40476</v>
      </c>
      <c r="H1142">
        <v>1.39</v>
      </c>
      <c r="I1142" s="105">
        <v>40476</v>
      </c>
      <c r="J1142">
        <v>1.5209999999999999</v>
      </c>
    </row>
    <row r="1143" spans="1:10">
      <c r="A1143" s="105">
        <v>40473</v>
      </c>
      <c r="B1143">
        <v>0.82199999999999995</v>
      </c>
      <c r="C1143" s="105">
        <v>40473</v>
      </c>
      <c r="D1143">
        <v>1.0289999999999999</v>
      </c>
      <c r="E1143" s="105">
        <v>40473</v>
      </c>
      <c r="F1143">
        <v>1.25</v>
      </c>
      <c r="G1143" s="105">
        <v>40473</v>
      </c>
      <c r="H1143">
        <v>1.387</v>
      </c>
      <c r="I1143" s="105">
        <v>40473</v>
      </c>
      <c r="J1143">
        <v>1.5189999999999999</v>
      </c>
    </row>
    <row r="1144" spans="1:10">
      <c r="A1144" s="105">
        <v>40472</v>
      </c>
      <c r="B1144">
        <v>0.81599999999999995</v>
      </c>
      <c r="C1144" s="105">
        <v>40472</v>
      </c>
      <c r="D1144">
        <v>1.0249999999999999</v>
      </c>
      <c r="E1144" s="105">
        <v>40472</v>
      </c>
      <c r="F1144">
        <v>1.246</v>
      </c>
      <c r="G1144" s="105">
        <v>40472</v>
      </c>
      <c r="H1144">
        <v>1.3819999999999999</v>
      </c>
      <c r="I1144" s="105">
        <v>40472</v>
      </c>
      <c r="J1144">
        <v>1.514</v>
      </c>
    </row>
    <row r="1145" spans="1:10">
      <c r="A1145" s="105">
        <v>40471</v>
      </c>
      <c r="B1145">
        <v>0.80600000000000005</v>
      </c>
      <c r="C1145" s="105">
        <v>40471</v>
      </c>
      <c r="D1145">
        <v>1.016</v>
      </c>
      <c r="E1145" s="105">
        <v>40471</v>
      </c>
      <c r="F1145">
        <v>1.2390000000000001</v>
      </c>
      <c r="G1145" s="105">
        <v>40471</v>
      </c>
      <c r="H1145">
        <v>1.3740000000000001</v>
      </c>
      <c r="I1145" s="105">
        <v>40471</v>
      </c>
      <c r="J1145">
        <v>1.506</v>
      </c>
    </row>
    <row r="1146" spans="1:10">
      <c r="A1146" s="105">
        <v>40470</v>
      </c>
      <c r="B1146">
        <v>0.79200000000000004</v>
      </c>
      <c r="C1146" s="105">
        <v>40470</v>
      </c>
      <c r="D1146">
        <v>1.008</v>
      </c>
      <c r="E1146" s="105">
        <v>40470</v>
      </c>
      <c r="F1146">
        <v>1.2310000000000001</v>
      </c>
      <c r="G1146" s="105">
        <v>40470</v>
      </c>
      <c r="H1146">
        <v>1.367</v>
      </c>
      <c r="I1146" s="105">
        <v>40470</v>
      </c>
      <c r="J1146">
        <v>1.4990000000000001</v>
      </c>
    </row>
    <row r="1147" spans="1:10">
      <c r="A1147" s="105">
        <v>40469</v>
      </c>
      <c r="B1147">
        <v>0.78400000000000003</v>
      </c>
      <c r="C1147" s="105">
        <v>40469</v>
      </c>
      <c r="D1147">
        <v>1</v>
      </c>
      <c r="E1147" s="105">
        <v>40469</v>
      </c>
      <c r="F1147">
        <v>1.2230000000000001</v>
      </c>
      <c r="G1147" s="105">
        <v>40469</v>
      </c>
      <c r="H1147">
        <v>1.359</v>
      </c>
      <c r="I1147" s="105">
        <v>40469</v>
      </c>
      <c r="J1147">
        <v>1.492</v>
      </c>
    </row>
    <row r="1148" spans="1:10">
      <c r="A1148" s="105">
        <v>40466</v>
      </c>
      <c r="B1148">
        <v>0.77700000000000002</v>
      </c>
      <c r="C1148" s="105">
        <v>40466</v>
      </c>
      <c r="D1148">
        <v>0.99299999999999999</v>
      </c>
      <c r="E1148" s="105">
        <v>40466</v>
      </c>
      <c r="F1148">
        <v>1.216</v>
      </c>
      <c r="G1148" s="105">
        <v>40466</v>
      </c>
      <c r="H1148">
        <v>1.3520000000000001</v>
      </c>
      <c r="I1148" s="105">
        <v>40466</v>
      </c>
      <c r="J1148">
        <v>1.486</v>
      </c>
    </row>
    <row r="1149" spans="1:10">
      <c r="A1149" s="105">
        <v>40465</v>
      </c>
      <c r="B1149">
        <v>0.77100000000000002</v>
      </c>
      <c r="C1149" s="105">
        <v>40465</v>
      </c>
      <c r="D1149">
        <v>0.98699999999999999</v>
      </c>
      <c r="E1149" s="105">
        <v>40465</v>
      </c>
      <c r="F1149">
        <v>1.2110000000000001</v>
      </c>
      <c r="G1149" s="105">
        <v>40465</v>
      </c>
      <c r="H1149">
        <v>1.347</v>
      </c>
      <c r="I1149" s="105">
        <v>40465</v>
      </c>
      <c r="J1149">
        <v>1.48</v>
      </c>
    </row>
    <row r="1150" spans="1:10">
      <c r="A1150" s="105">
        <v>40464</v>
      </c>
      <c r="B1150">
        <v>0.76900000000000002</v>
      </c>
      <c r="C1150" s="105">
        <v>40464</v>
      </c>
      <c r="D1150">
        <v>0.98499999999999999</v>
      </c>
      <c r="E1150" s="105">
        <v>40464</v>
      </c>
      <c r="F1150">
        <v>1.2090000000000001</v>
      </c>
      <c r="G1150" s="105">
        <v>40464</v>
      </c>
      <c r="H1150">
        <v>1.3460000000000001</v>
      </c>
      <c r="I1150" s="105">
        <v>40464</v>
      </c>
      <c r="J1150">
        <v>1.48</v>
      </c>
    </row>
    <row r="1151" spans="1:10">
      <c r="A1151" s="105">
        <v>40463</v>
      </c>
      <c r="B1151">
        <v>0.76700000000000002</v>
      </c>
      <c r="C1151" s="105">
        <v>40463</v>
      </c>
      <c r="D1151">
        <v>0.98199999999999998</v>
      </c>
      <c r="E1151" s="105">
        <v>40463</v>
      </c>
      <c r="F1151">
        <v>1.206</v>
      </c>
      <c r="G1151" s="105">
        <v>40463</v>
      </c>
      <c r="H1151">
        <v>1.343</v>
      </c>
      <c r="I1151" s="105">
        <v>40463</v>
      </c>
      <c r="J1151">
        <v>1.4750000000000001</v>
      </c>
    </row>
    <row r="1152" spans="1:10">
      <c r="A1152" s="105">
        <v>40462</v>
      </c>
      <c r="B1152">
        <v>0.76</v>
      </c>
      <c r="C1152" s="105">
        <v>40462</v>
      </c>
      <c r="D1152">
        <v>0.97699999999999998</v>
      </c>
      <c r="E1152" s="105">
        <v>40462</v>
      </c>
      <c r="F1152">
        <v>1.204</v>
      </c>
      <c r="G1152" s="105">
        <v>40462</v>
      </c>
      <c r="H1152">
        <v>1.3420000000000001</v>
      </c>
      <c r="I1152" s="105">
        <v>40462</v>
      </c>
      <c r="J1152">
        <v>1.474</v>
      </c>
    </row>
    <row r="1153" spans="1:10">
      <c r="A1153" s="105">
        <v>40459</v>
      </c>
      <c r="B1153">
        <v>0.752</v>
      </c>
      <c r="C1153" s="105">
        <v>40459</v>
      </c>
      <c r="D1153">
        <v>0.97199999999999998</v>
      </c>
      <c r="E1153" s="105">
        <v>40459</v>
      </c>
      <c r="F1153">
        <v>1.2010000000000001</v>
      </c>
      <c r="G1153" s="105">
        <v>40459</v>
      </c>
      <c r="H1153">
        <v>1.34</v>
      </c>
      <c r="I1153" s="105">
        <v>40459</v>
      </c>
      <c r="J1153">
        <v>1.4730000000000001</v>
      </c>
    </row>
    <row r="1154" spans="1:10">
      <c r="A1154" s="105">
        <v>40458</v>
      </c>
      <c r="B1154">
        <v>0.74399999999999999</v>
      </c>
      <c r="C1154" s="105">
        <v>40458</v>
      </c>
      <c r="D1154">
        <v>0.96499999999999997</v>
      </c>
      <c r="E1154" s="105">
        <v>40458</v>
      </c>
      <c r="F1154">
        <v>1.1970000000000001</v>
      </c>
      <c r="G1154" s="105">
        <v>40458</v>
      </c>
      <c r="H1154">
        <v>1.339</v>
      </c>
      <c r="I1154" s="105">
        <v>40458</v>
      </c>
      <c r="J1154">
        <v>1.472</v>
      </c>
    </row>
    <row r="1155" spans="1:10">
      <c r="A1155" s="105">
        <v>40457</v>
      </c>
      <c r="B1155">
        <v>0.73699999999999999</v>
      </c>
      <c r="C1155" s="105">
        <v>40457</v>
      </c>
      <c r="D1155">
        <v>0.95899999999999996</v>
      </c>
      <c r="E1155" s="105">
        <v>40457</v>
      </c>
      <c r="F1155">
        <v>1.19</v>
      </c>
      <c r="G1155" s="105">
        <v>40457</v>
      </c>
      <c r="H1155">
        <v>1.3360000000000001</v>
      </c>
      <c r="I1155" s="105">
        <v>40457</v>
      </c>
      <c r="J1155">
        <v>1.468</v>
      </c>
    </row>
    <row r="1156" spans="1:10">
      <c r="A1156" s="105">
        <v>40456</v>
      </c>
      <c r="B1156">
        <v>0.73199999999999998</v>
      </c>
      <c r="C1156" s="105">
        <v>40456</v>
      </c>
      <c r="D1156">
        <v>0.95599999999999996</v>
      </c>
      <c r="E1156" s="105">
        <v>40456</v>
      </c>
      <c r="F1156">
        <v>1.1910000000000001</v>
      </c>
      <c r="G1156" s="105">
        <v>40456</v>
      </c>
      <c r="H1156">
        <v>1.3360000000000001</v>
      </c>
      <c r="I1156" s="105">
        <v>40456</v>
      </c>
      <c r="J1156">
        <v>1.468</v>
      </c>
    </row>
    <row r="1157" spans="1:10">
      <c r="A1157" s="105">
        <v>40455</v>
      </c>
      <c r="B1157">
        <v>0.72599999999999998</v>
      </c>
      <c r="C1157" s="105">
        <v>40455</v>
      </c>
      <c r="D1157">
        <v>0.95299999999999996</v>
      </c>
      <c r="E1157" s="105">
        <v>40455</v>
      </c>
      <c r="F1157">
        <v>1.1910000000000001</v>
      </c>
      <c r="G1157" s="105">
        <v>40455</v>
      </c>
      <c r="H1157">
        <v>1.337</v>
      </c>
      <c r="I1157" s="105">
        <v>40455</v>
      </c>
      <c r="J1157">
        <v>1.468</v>
      </c>
    </row>
    <row r="1158" spans="1:10">
      <c r="A1158" s="105">
        <v>40452</v>
      </c>
      <c r="B1158">
        <v>0.70399999999999996</v>
      </c>
      <c r="C1158" s="105">
        <v>40452</v>
      </c>
      <c r="D1158">
        <v>0.94199999999999995</v>
      </c>
      <c r="E1158" s="105">
        <v>40452</v>
      </c>
      <c r="F1158">
        <v>1.1839999999999999</v>
      </c>
      <c r="G1158" s="105">
        <v>40452</v>
      </c>
      <c r="H1158">
        <v>1.3320000000000001</v>
      </c>
      <c r="I1158" s="105">
        <v>40452</v>
      </c>
      <c r="J1158">
        <v>1.464</v>
      </c>
    </row>
    <row r="1159" spans="1:10">
      <c r="A1159" s="105">
        <v>40451</v>
      </c>
      <c r="B1159">
        <v>0.625</v>
      </c>
      <c r="C1159" s="105">
        <v>40451</v>
      </c>
      <c r="D1159">
        <v>0.89200000000000002</v>
      </c>
      <c r="E1159" s="105">
        <v>40451</v>
      </c>
      <c r="F1159">
        <v>1.1459999999999999</v>
      </c>
      <c r="G1159" s="105">
        <v>40451</v>
      </c>
      <c r="H1159">
        <v>1.2949999999999999</v>
      </c>
      <c r="I1159" s="105">
        <v>40451</v>
      </c>
      <c r="J1159">
        <v>1.4330000000000001</v>
      </c>
    </row>
    <row r="1160" spans="1:10">
      <c r="A1160" s="105">
        <v>40450</v>
      </c>
      <c r="B1160">
        <v>0.621</v>
      </c>
      <c r="C1160" s="105">
        <v>40450</v>
      </c>
      <c r="D1160">
        <v>0.88600000000000001</v>
      </c>
      <c r="E1160" s="105">
        <v>40450</v>
      </c>
      <c r="F1160">
        <v>1.141</v>
      </c>
      <c r="G1160" s="105">
        <v>40450</v>
      </c>
      <c r="H1160">
        <v>1.2889999999999999</v>
      </c>
      <c r="I1160" s="105">
        <v>40450</v>
      </c>
      <c r="J1160">
        <v>1.425</v>
      </c>
    </row>
    <row r="1161" spans="1:10">
      <c r="A1161" s="105">
        <v>40449</v>
      </c>
      <c r="B1161">
        <v>0.621</v>
      </c>
      <c r="C1161" s="105">
        <v>40449</v>
      </c>
      <c r="D1161">
        <v>0.88</v>
      </c>
      <c r="E1161" s="105">
        <v>40449</v>
      </c>
      <c r="F1161">
        <v>1.141</v>
      </c>
      <c r="G1161" s="105">
        <v>40449</v>
      </c>
      <c r="H1161">
        <v>1.2889999999999999</v>
      </c>
      <c r="I1161" s="105">
        <v>40449</v>
      </c>
      <c r="J1161">
        <v>1.4239999999999999</v>
      </c>
    </row>
    <row r="1162" spans="1:10">
      <c r="A1162" s="105">
        <v>40448</v>
      </c>
      <c r="B1162">
        <v>0.61799999999999999</v>
      </c>
      <c r="C1162" s="105">
        <v>40448</v>
      </c>
      <c r="D1162">
        <v>0.879</v>
      </c>
      <c r="E1162" s="105">
        <v>40448</v>
      </c>
      <c r="F1162">
        <v>1.1379999999999999</v>
      </c>
      <c r="G1162" s="105">
        <v>40448</v>
      </c>
      <c r="H1162">
        <v>1.2849999999999999</v>
      </c>
      <c r="I1162" s="105">
        <v>40448</v>
      </c>
      <c r="J1162">
        <v>1.4219999999999999</v>
      </c>
    </row>
    <row r="1163" spans="1:10">
      <c r="A1163" s="105">
        <v>40445</v>
      </c>
      <c r="B1163">
        <v>0.61799999999999999</v>
      </c>
      <c r="C1163" s="105">
        <v>40445</v>
      </c>
      <c r="D1163">
        <v>0.879</v>
      </c>
      <c r="E1163" s="105">
        <v>40445</v>
      </c>
      <c r="F1163">
        <v>1.137</v>
      </c>
      <c r="G1163" s="105">
        <v>40445</v>
      </c>
      <c r="H1163">
        <v>1.284</v>
      </c>
      <c r="I1163" s="105">
        <v>40445</v>
      </c>
      <c r="J1163">
        <v>1.4219999999999999</v>
      </c>
    </row>
    <row r="1164" spans="1:10">
      <c r="A1164" s="105">
        <v>40444</v>
      </c>
      <c r="B1164">
        <v>0.61699999999999999</v>
      </c>
      <c r="C1164" s="105">
        <v>40444</v>
      </c>
      <c r="D1164">
        <v>0.878</v>
      </c>
      <c r="E1164" s="105">
        <v>40444</v>
      </c>
      <c r="F1164">
        <v>1.1359999999999999</v>
      </c>
      <c r="G1164" s="105">
        <v>40444</v>
      </c>
      <c r="H1164">
        <v>1.284</v>
      </c>
      <c r="I1164" s="105">
        <v>40444</v>
      </c>
      <c r="J1164">
        <v>1.4219999999999999</v>
      </c>
    </row>
    <row r="1165" spans="1:10">
      <c r="A1165" s="105">
        <v>40443</v>
      </c>
      <c r="B1165">
        <v>0.61699999999999999</v>
      </c>
      <c r="C1165" s="105">
        <v>40443</v>
      </c>
      <c r="D1165">
        <v>0.879</v>
      </c>
      <c r="E1165" s="105">
        <v>40443</v>
      </c>
      <c r="F1165">
        <v>1.1379999999999999</v>
      </c>
      <c r="G1165" s="105">
        <v>40443</v>
      </c>
      <c r="H1165">
        <v>1.2849999999999999</v>
      </c>
      <c r="I1165" s="105">
        <v>40443</v>
      </c>
      <c r="J1165">
        <v>1.425</v>
      </c>
    </row>
    <row r="1166" spans="1:10">
      <c r="A1166" s="105">
        <v>40442</v>
      </c>
      <c r="B1166">
        <v>0.61799999999999999</v>
      </c>
      <c r="C1166" s="105">
        <v>40442</v>
      </c>
      <c r="D1166">
        <v>0.879</v>
      </c>
      <c r="E1166" s="105">
        <v>40442</v>
      </c>
      <c r="F1166">
        <v>1.139</v>
      </c>
      <c r="G1166" s="105">
        <v>40442</v>
      </c>
      <c r="H1166">
        <v>1.29</v>
      </c>
      <c r="I1166" s="105">
        <v>40442</v>
      </c>
      <c r="J1166">
        <v>1.4279999999999999</v>
      </c>
    </row>
    <row r="1167" spans="1:10">
      <c r="A1167" s="105">
        <v>40441</v>
      </c>
      <c r="B1167">
        <v>0.61699999999999999</v>
      </c>
      <c r="C1167" s="105">
        <v>40441</v>
      </c>
      <c r="D1167">
        <v>0.876</v>
      </c>
      <c r="E1167" s="105">
        <v>40441</v>
      </c>
      <c r="F1167">
        <v>1.139</v>
      </c>
      <c r="G1167" s="105">
        <v>40441</v>
      </c>
      <c r="H1167">
        <v>1.29</v>
      </c>
      <c r="I1167" s="105">
        <v>40441</v>
      </c>
      <c r="J1167">
        <v>1.427</v>
      </c>
    </row>
    <row r="1168" spans="1:10">
      <c r="A1168" s="105">
        <v>40438</v>
      </c>
      <c r="B1168">
        <v>0.61799999999999999</v>
      </c>
      <c r="C1168" s="105">
        <v>40438</v>
      </c>
      <c r="D1168">
        <v>0.879</v>
      </c>
      <c r="E1168" s="105">
        <v>40438</v>
      </c>
      <c r="F1168">
        <v>1.141</v>
      </c>
      <c r="G1168" s="105">
        <v>40438</v>
      </c>
      <c r="H1168">
        <v>1.29</v>
      </c>
      <c r="I1168" s="105">
        <v>40438</v>
      </c>
      <c r="J1168">
        <v>1.427</v>
      </c>
    </row>
    <row r="1169" spans="1:10">
      <c r="A1169" s="105">
        <v>40437</v>
      </c>
      <c r="B1169">
        <v>0.61699999999999999</v>
      </c>
      <c r="C1169" s="105">
        <v>40437</v>
      </c>
      <c r="D1169">
        <v>0.879</v>
      </c>
      <c r="E1169" s="105">
        <v>40437</v>
      </c>
      <c r="F1169">
        <v>1.139</v>
      </c>
      <c r="G1169" s="105">
        <v>40437</v>
      </c>
      <c r="H1169">
        <v>1.2889999999999999</v>
      </c>
      <c r="I1169" s="105">
        <v>40437</v>
      </c>
      <c r="J1169">
        <v>1.425</v>
      </c>
    </row>
    <row r="1170" spans="1:10">
      <c r="A1170" s="105">
        <v>40436</v>
      </c>
      <c r="B1170">
        <v>0.61699999999999999</v>
      </c>
      <c r="C1170" s="105">
        <v>40436</v>
      </c>
      <c r="D1170">
        <v>0.876</v>
      </c>
      <c r="E1170" s="105">
        <v>40436</v>
      </c>
      <c r="F1170">
        <v>1.139</v>
      </c>
      <c r="G1170" s="105">
        <v>40436</v>
      </c>
      <c r="H1170">
        <v>1.2869999999999999</v>
      </c>
      <c r="I1170" s="105">
        <v>40436</v>
      </c>
      <c r="J1170">
        <v>1.4219999999999999</v>
      </c>
    </row>
    <row r="1171" spans="1:10">
      <c r="A1171" s="105">
        <v>40435</v>
      </c>
      <c r="B1171">
        <v>0.61599999999999999</v>
      </c>
      <c r="C1171" s="105">
        <v>40435</v>
      </c>
      <c r="D1171">
        <v>0.877</v>
      </c>
      <c r="E1171" s="105">
        <v>40435</v>
      </c>
      <c r="F1171">
        <v>1.137</v>
      </c>
      <c r="G1171" s="105">
        <v>40435</v>
      </c>
      <c r="H1171">
        <v>1.2849999999999999</v>
      </c>
      <c r="I1171" s="105">
        <v>40435</v>
      </c>
      <c r="J1171">
        <v>1.419</v>
      </c>
    </row>
    <row r="1172" spans="1:10">
      <c r="A1172" s="105">
        <v>40434</v>
      </c>
      <c r="B1172">
        <v>0.61599999999999999</v>
      </c>
      <c r="C1172" s="105">
        <v>40434</v>
      </c>
      <c r="D1172">
        <v>0.879</v>
      </c>
      <c r="E1172" s="105">
        <v>40434</v>
      </c>
      <c r="F1172">
        <v>1.1379999999999999</v>
      </c>
      <c r="G1172" s="105">
        <v>40434</v>
      </c>
      <c r="H1172">
        <v>1.2849999999999999</v>
      </c>
      <c r="I1172" s="105">
        <v>40434</v>
      </c>
      <c r="J1172">
        <v>1.42</v>
      </c>
    </row>
    <row r="1173" spans="1:10">
      <c r="A1173" s="105">
        <v>40431</v>
      </c>
      <c r="B1173">
        <v>0.61599999999999999</v>
      </c>
      <c r="C1173" s="105">
        <v>40431</v>
      </c>
      <c r="D1173">
        <v>0.878</v>
      </c>
      <c r="E1173" s="105">
        <v>40431</v>
      </c>
      <c r="F1173">
        <v>1.135</v>
      </c>
      <c r="G1173" s="105">
        <v>40431</v>
      </c>
      <c r="H1173">
        <v>1.284</v>
      </c>
      <c r="I1173" s="105">
        <v>40431</v>
      </c>
      <c r="J1173">
        <v>1.4179999999999999</v>
      </c>
    </row>
    <row r="1174" spans="1:10">
      <c r="A1174" s="105">
        <v>40430</v>
      </c>
      <c r="B1174">
        <v>0.61699999999999999</v>
      </c>
      <c r="C1174" s="105">
        <v>40430</v>
      </c>
      <c r="D1174">
        <v>0.879</v>
      </c>
      <c r="E1174" s="105">
        <v>40430</v>
      </c>
      <c r="F1174">
        <v>1.1339999999999999</v>
      </c>
      <c r="G1174" s="105">
        <v>40430</v>
      </c>
      <c r="H1174">
        <v>1.282</v>
      </c>
      <c r="I1174" s="105">
        <v>40430</v>
      </c>
      <c r="J1174">
        <v>1.415</v>
      </c>
    </row>
    <row r="1175" spans="1:10">
      <c r="A1175" s="105">
        <v>40429</v>
      </c>
      <c r="B1175">
        <v>0.61599999999999999</v>
      </c>
      <c r="C1175" s="105">
        <v>40429</v>
      </c>
      <c r="D1175">
        <v>0.88</v>
      </c>
      <c r="E1175" s="105">
        <v>40429</v>
      </c>
      <c r="F1175">
        <v>1.1339999999999999</v>
      </c>
      <c r="G1175" s="105">
        <v>40429</v>
      </c>
      <c r="H1175">
        <v>1.282</v>
      </c>
      <c r="I1175" s="105">
        <v>40429</v>
      </c>
      <c r="J1175">
        <v>1.413</v>
      </c>
    </row>
    <row r="1176" spans="1:10">
      <c r="A1176" s="105">
        <v>40428</v>
      </c>
      <c r="B1176">
        <v>0.61699999999999999</v>
      </c>
      <c r="C1176" s="105">
        <v>40428</v>
      </c>
      <c r="D1176">
        <v>0.88100000000000001</v>
      </c>
      <c r="E1176" s="105">
        <v>40428</v>
      </c>
      <c r="F1176">
        <v>1.133</v>
      </c>
      <c r="G1176" s="105">
        <v>40428</v>
      </c>
      <c r="H1176">
        <v>1.2809999999999999</v>
      </c>
      <c r="I1176" s="105">
        <v>40428</v>
      </c>
      <c r="J1176">
        <v>1.4119999999999999</v>
      </c>
    </row>
    <row r="1177" spans="1:10">
      <c r="A1177" s="105">
        <v>40427</v>
      </c>
      <c r="B1177">
        <v>0.61799999999999999</v>
      </c>
      <c r="C1177" s="105">
        <v>40427</v>
      </c>
      <c r="D1177">
        <v>0.88200000000000001</v>
      </c>
      <c r="E1177" s="105">
        <v>40427</v>
      </c>
      <c r="F1177">
        <v>1.133</v>
      </c>
      <c r="G1177" s="105">
        <v>40427</v>
      </c>
      <c r="H1177">
        <v>1.282</v>
      </c>
      <c r="I1177" s="105">
        <v>40427</v>
      </c>
      <c r="J1177">
        <v>1.413</v>
      </c>
    </row>
    <row r="1178" spans="1:10">
      <c r="A1178" s="105">
        <v>40424</v>
      </c>
      <c r="B1178">
        <v>0.62</v>
      </c>
      <c r="C1178" s="105">
        <v>40424</v>
      </c>
      <c r="D1178">
        <v>0.88300000000000001</v>
      </c>
      <c r="E1178" s="105">
        <v>40424</v>
      </c>
      <c r="F1178">
        <v>1.1339999999999999</v>
      </c>
      <c r="G1178" s="105">
        <v>40424</v>
      </c>
      <c r="H1178">
        <v>1.2829999999999999</v>
      </c>
      <c r="I1178" s="105">
        <v>40424</v>
      </c>
      <c r="J1178">
        <v>1.4139999999999999</v>
      </c>
    </row>
    <row r="1179" spans="1:10">
      <c r="A1179" s="105">
        <v>40423</v>
      </c>
      <c r="B1179">
        <v>0.62</v>
      </c>
      <c r="C1179" s="105">
        <v>40423</v>
      </c>
      <c r="D1179">
        <v>0.88400000000000001</v>
      </c>
      <c r="E1179" s="105">
        <v>40423</v>
      </c>
      <c r="F1179">
        <v>1.1339999999999999</v>
      </c>
      <c r="G1179" s="105">
        <v>40423</v>
      </c>
      <c r="H1179">
        <v>1.2829999999999999</v>
      </c>
      <c r="I1179" s="105">
        <v>40423</v>
      </c>
      <c r="J1179">
        <v>1.413</v>
      </c>
    </row>
    <row r="1180" spans="1:10">
      <c r="A1180" s="105">
        <v>40422</v>
      </c>
      <c r="B1180">
        <v>0.61899999999999999</v>
      </c>
      <c r="C1180" s="105">
        <v>40422</v>
      </c>
      <c r="D1180">
        <v>0.88600000000000001</v>
      </c>
      <c r="E1180" s="105">
        <v>40422</v>
      </c>
      <c r="F1180">
        <v>1.1339999999999999</v>
      </c>
      <c r="G1180" s="105">
        <v>40422</v>
      </c>
      <c r="H1180">
        <v>1.28</v>
      </c>
      <c r="I1180" s="105">
        <v>40422</v>
      </c>
      <c r="J1180">
        <v>1.411</v>
      </c>
    </row>
    <row r="1181" spans="1:10">
      <c r="A1181" s="105">
        <v>40421</v>
      </c>
      <c r="B1181">
        <v>0.622</v>
      </c>
      <c r="C1181" s="105">
        <v>40421</v>
      </c>
      <c r="D1181">
        <v>0.88600000000000001</v>
      </c>
      <c r="E1181" s="105">
        <v>40421</v>
      </c>
      <c r="F1181">
        <v>1.137</v>
      </c>
      <c r="G1181" s="105">
        <v>40421</v>
      </c>
      <c r="H1181">
        <v>1.282</v>
      </c>
      <c r="I1181" s="105">
        <v>40421</v>
      </c>
      <c r="J1181">
        <v>1.4139999999999999</v>
      </c>
    </row>
    <row r="1182" spans="1:10">
      <c r="A1182" s="105">
        <v>40420</v>
      </c>
      <c r="B1182">
        <v>0.624</v>
      </c>
      <c r="C1182" s="105">
        <v>40420</v>
      </c>
      <c r="D1182">
        <v>0.88800000000000001</v>
      </c>
      <c r="E1182" s="105">
        <v>40420</v>
      </c>
      <c r="F1182">
        <v>1.137</v>
      </c>
      <c r="G1182" s="105">
        <v>40420</v>
      </c>
      <c r="H1182">
        <v>1.282</v>
      </c>
      <c r="I1182" s="105">
        <v>40420</v>
      </c>
      <c r="J1182">
        <v>1.415</v>
      </c>
    </row>
    <row r="1183" spans="1:10">
      <c r="A1183" s="105">
        <v>40417</v>
      </c>
      <c r="B1183">
        <v>0.625</v>
      </c>
      <c r="C1183" s="105">
        <v>40417</v>
      </c>
      <c r="D1183">
        <v>0.88800000000000001</v>
      </c>
      <c r="E1183" s="105">
        <v>40417</v>
      </c>
      <c r="F1183">
        <v>1.139</v>
      </c>
      <c r="G1183" s="105">
        <v>40417</v>
      </c>
      <c r="H1183">
        <v>1.284</v>
      </c>
      <c r="I1183" s="105">
        <v>40417</v>
      </c>
      <c r="J1183">
        <v>1.417</v>
      </c>
    </row>
    <row r="1184" spans="1:10">
      <c r="A1184" s="105">
        <v>40416</v>
      </c>
      <c r="B1184">
        <v>0.628</v>
      </c>
      <c r="C1184" s="105">
        <v>40416</v>
      </c>
      <c r="D1184">
        <v>0.88900000000000001</v>
      </c>
      <c r="E1184" s="105">
        <v>40416</v>
      </c>
      <c r="F1184">
        <v>1.139</v>
      </c>
      <c r="G1184" s="105">
        <v>40416</v>
      </c>
      <c r="H1184">
        <v>1.286</v>
      </c>
      <c r="I1184" s="105">
        <v>40416</v>
      </c>
      <c r="J1184">
        <v>1.417</v>
      </c>
    </row>
    <row r="1185" spans="1:10">
      <c r="A1185" s="105">
        <v>40415</v>
      </c>
      <c r="B1185">
        <v>0.63</v>
      </c>
      <c r="C1185" s="105">
        <v>40415</v>
      </c>
      <c r="D1185">
        <v>0.89</v>
      </c>
      <c r="E1185" s="105">
        <v>40415</v>
      </c>
      <c r="F1185">
        <v>1.139</v>
      </c>
      <c r="G1185" s="105">
        <v>40415</v>
      </c>
      <c r="H1185">
        <v>1.2849999999999999</v>
      </c>
      <c r="I1185" s="105">
        <v>40415</v>
      </c>
      <c r="J1185">
        <v>1.417</v>
      </c>
    </row>
    <row r="1186" spans="1:10">
      <c r="A1186" s="105">
        <v>40414</v>
      </c>
      <c r="B1186">
        <v>0.63300000000000001</v>
      </c>
      <c r="C1186" s="105">
        <v>40414</v>
      </c>
      <c r="D1186">
        <v>0.88900000000000001</v>
      </c>
      <c r="E1186" s="105">
        <v>40414</v>
      </c>
      <c r="F1186">
        <v>1.141</v>
      </c>
      <c r="G1186" s="105">
        <v>40414</v>
      </c>
      <c r="H1186">
        <v>1.286</v>
      </c>
      <c r="I1186" s="105">
        <v>40414</v>
      </c>
      <c r="J1186">
        <v>1.417</v>
      </c>
    </row>
    <row r="1187" spans="1:10">
      <c r="A1187" s="105">
        <v>40413</v>
      </c>
      <c r="B1187">
        <v>0.63500000000000001</v>
      </c>
      <c r="C1187" s="105">
        <v>40413</v>
      </c>
      <c r="D1187">
        <v>0.89100000000000001</v>
      </c>
      <c r="E1187" s="105">
        <v>40413</v>
      </c>
      <c r="F1187">
        <v>1.143</v>
      </c>
      <c r="G1187" s="105">
        <v>40413</v>
      </c>
      <c r="H1187">
        <v>1.2849999999999999</v>
      </c>
      <c r="I1187" s="105">
        <v>40413</v>
      </c>
      <c r="J1187">
        <v>1.4179999999999999</v>
      </c>
    </row>
    <row r="1188" spans="1:10">
      <c r="A1188" s="105">
        <v>40410</v>
      </c>
      <c r="B1188">
        <v>0.63400000000000001</v>
      </c>
      <c r="C1188" s="105">
        <v>40410</v>
      </c>
      <c r="D1188">
        <v>0.89</v>
      </c>
      <c r="E1188" s="105">
        <v>40410</v>
      </c>
      <c r="F1188">
        <v>1.145</v>
      </c>
      <c r="G1188" s="105">
        <v>40410</v>
      </c>
      <c r="H1188">
        <v>1.288</v>
      </c>
      <c r="I1188" s="105">
        <v>40410</v>
      </c>
      <c r="J1188">
        <v>1.42</v>
      </c>
    </row>
    <row r="1189" spans="1:10">
      <c r="A1189" s="105">
        <v>40409</v>
      </c>
      <c r="B1189">
        <v>0.63800000000000001</v>
      </c>
      <c r="C1189" s="105">
        <v>40409</v>
      </c>
      <c r="D1189">
        <v>0.89100000000000001</v>
      </c>
      <c r="E1189" s="105">
        <v>40409</v>
      </c>
      <c r="F1189">
        <v>1.1479999999999999</v>
      </c>
      <c r="G1189" s="105">
        <v>40409</v>
      </c>
      <c r="H1189">
        <v>1.2909999999999999</v>
      </c>
      <c r="I1189" s="105">
        <v>40409</v>
      </c>
      <c r="J1189">
        <v>1.4239999999999999</v>
      </c>
    </row>
    <row r="1190" spans="1:10">
      <c r="A1190" s="105">
        <v>40408</v>
      </c>
      <c r="B1190">
        <v>0.64100000000000001</v>
      </c>
      <c r="C1190" s="105">
        <v>40408</v>
      </c>
      <c r="D1190">
        <v>0.89400000000000002</v>
      </c>
      <c r="E1190" s="105">
        <v>40408</v>
      </c>
      <c r="F1190">
        <v>1.149</v>
      </c>
      <c r="G1190" s="105">
        <v>40408</v>
      </c>
      <c r="H1190">
        <v>1.2909999999999999</v>
      </c>
      <c r="I1190" s="105">
        <v>40408</v>
      </c>
      <c r="J1190">
        <v>1.423</v>
      </c>
    </row>
    <row r="1191" spans="1:10">
      <c r="A1191" s="105">
        <v>40407</v>
      </c>
      <c r="B1191">
        <v>0.64200000000000002</v>
      </c>
      <c r="C1191" s="105">
        <v>40407</v>
      </c>
      <c r="D1191">
        <v>0.89500000000000002</v>
      </c>
      <c r="E1191" s="105">
        <v>40407</v>
      </c>
      <c r="F1191">
        <v>1.149</v>
      </c>
      <c r="G1191" s="105">
        <v>40407</v>
      </c>
      <c r="H1191">
        <v>1.2909999999999999</v>
      </c>
      <c r="I1191" s="105">
        <v>40407</v>
      </c>
      <c r="J1191">
        <v>1.421</v>
      </c>
    </row>
    <row r="1192" spans="1:10">
      <c r="A1192" s="105">
        <v>40406</v>
      </c>
      <c r="B1192">
        <v>0.64500000000000002</v>
      </c>
      <c r="C1192" s="105">
        <v>40406</v>
      </c>
      <c r="D1192">
        <v>0.89600000000000002</v>
      </c>
      <c r="E1192" s="105">
        <v>40406</v>
      </c>
      <c r="F1192">
        <v>1.1499999999999999</v>
      </c>
      <c r="G1192" s="105">
        <v>40406</v>
      </c>
      <c r="H1192">
        <v>1.292</v>
      </c>
      <c r="I1192" s="105">
        <v>40406</v>
      </c>
      <c r="J1192">
        <v>1.421</v>
      </c>
    </row>
    <row r="1193" spans="1:10">
      <c r="A1193" s="105">
        <v>40403</v>
      </c>
      <c r="B1193">
        <v>0.64700000000000002</v>
      </c>
      <c r="C1193" s="105">
        <v>40403</v>
      </c>
      <c r="D1193">
        <v>0.89800000000000002</v>
      </c>
      <c r="E1193" s="105">
        <v>40403</v>
      </c>
      <c r="F1193">
        <v>1.153</v>
      </c>
      <c r="G1193" s="105">
        <v>40403</v>
      </c>
      <c r="H1193">
        <v>1.294</v>
      </c>
      <c r="I1193" s="105">
        <v>40403</v>
      </c>
      <c r="J1193">
        <v>1.423</v>
      </c>
    </row>
    <row r="1194" spans="1:10">
      <c r="A1194" s="105">
        <v>40402</v>
      </c>
      <c r="B1194">
        <v>0.64700000000000002</v>
      </c>
      <c r="C1194" s="105">
        <v>40402</v>
      </c>
      <c r="D1194">
        <v>0.89900000000000002</v>
      </c>
      <c r="E1194" s="105">
        <v>40402</v>
      </c>
      <c r="F1194">
        <v>1.1539999999999999</v>
      </c>
      <c r="G1194" s="105">
        <v>40402</v>
      </c>
      <c r="H1194">
        <v>1.2949999999999999</v>
      </c>
      <c r="I1194" s="105">
        <v>40402</v>
      </c>
      <c r="J1194">
        <v>1.423</v>
      </c>
    </row>
    <row r="1195" spans="1:10">
      <c r="A1195" s="105">
        <v>40401</v>
      </c>
      <c r="B1195">
        <v>0.64900000000000002</v>
      </c>
      <c r="C1195" s="105">
        <v>40401</v>
      </c>
      <c r="D1195">
        <v>0.90300000000000002</v>
      </c>
      <c r="E1195" s="105">
        <v>40401</v>
      </c>
      <c r="F1195">
        <v>1.1579999999999999</v>
      </c>
      <c r="G1195" s="105">
        <v>40401</v>
      </c>
      <c r="H1195">
        <v>1.2969999999999999</v>
      </c>
      <c r="I1195" s="105">
        <v>40401</v>
      </c>
      <c r="J1195">
        <v>1.427</v>
      </c>
    </row>
    <row r="1196" spans="1:10">
      <c r="A1196" s="105">
        <v>40400</v>
      </c>
      <c r="B1196">
        <v>0.64800000000000002</v>
      </c>
      <c r="C1196" s="105">
        <v>40400</v>
      </c>
      <c r="D1196">
        <v>0.90400000000000003</v>
      </c>
      <c r="E1196" s="105">
        <v>40400</v>
      </c>
      <c r="F1196">
        <v>1.1559999999999999</v>
      </c>
      <c r="G1196" s="105">
        <v>40400</v>
      </c>
      <c r="H1196">
        <v>1.298</v>
      </c>
      <c r="I1196" s="105">
        <v>40400</v>
      </c>
      <c r="J1196">
        <v>1.4279999999999999</v>
      </c>
    </row>
    <row r="1197" spans="1:10">
      <c r="A1197" s="105">
        <v>40399</v>
      </c>
      <c r="B1197">
        <v>0.64900000000000002</v>
      </c>
      <c r="C1197" s="105">
        <v>40399</v>
      </c>
      <c r="D1197">
        <v>0.90400000000000003</v>
      </c>
      <c r="E1197" s="105">
        <v>40399</v>
      </c>
      <c r="F1197">
        <v>1.155</v>
      </c>
      <c r="G1197" s="105">
        <v>40399</v>
      </c>
      <c r="H1197">
        <v>1.296</v>
      </c>
      <c r="I1197" s="105">
        <v>40399</v>
      </c>
      <c r="J1197">
        <v>1.427</v>
      </c>
    </row>
    <row r="1198" spans="1:10">
      <c r="A1198" s="105">
        <v>40396</v>
      </c>
      <c r="B1198">
        <v>0.64900000000000002</v>
      </c>
      <c r="C1198" s="105">
        <v>40396</v>
      </c>
      <c r="D1198">
        <v>0.90500000000000003</v>
      </c>
      <c r="E1198" s="105">
        <v>40396</v>
      </c>
      <c r="F1198">
        <v>1.1539999999999999</v>
      </c>
      <c r="G1198" s="105">
        <v>40396</v>
      </c>
      <c r="H1198">
        <v>1.2969999999999999</v>
      </c>
      <c r="I1198" s="105">
        <v>40396</v>
      </c>
      <c r="J1198">
        <v>1.4279999999999999</v>
      </c>
    </row>
    <row r="1199" spans="1:10">
      <c r="A1199" s="105">
        <v>40395</v>
      </c>
      <c r="B1199">
        <v>0.65</v>
      </c>
      <c r="C1199" s="105">
        <v>40395</v>
      </c>
      <c r="D1199">
        <v>0.90400000000000003</v>
      </c>
      <c r="E1199" s="105">
        <v>40395</v>
      </c>
      <c r="F1199">
        <v>1.1519999999999999</v>
      </c>
      <c r="G1199" s="105">
        <v>40395</v>
      </c>
      <c r="H1199">
        <v>1.294</v>
      </c>
      <c r="I1199" s="105">
        <v>40395</v>
      </c>
      <c r="J1199">
        <v>1.425</v>
      </c>
    </row>
    <row r="1200" spans="1:10">
      <c r="A1200" s="105">
        <v>40394</v>
      </c>
      <c r="B1200">
        <v>0.64900000000000002</v>
      </c>
      <c r="C1200" s="105">
        <v>40394</v>
      </c>
      <c r="D1200">
        <v>0.9</v>
      </c>
      <c r="E1200" s="105">
        <v>40394</v>
      </c>
      <c r="F1200">
        <v>1.149</v>
      </c>
      <c r="G1200" s="105">
        <v>40394</v>
      </c>
      <c r="H1200">
        <v>1.292</v>
      </c>
      <c r="I1200" s="105">
        <v>40394</v>
      </c>
      <c r="J1200">
        <v>1.421</v>
      </c>
    </row>
    <row r="1201" spans="1:10">
      <c r="A1201" s="105">
        <v>40393</v>
      </c>
      <c r="B1201">
        <v>0.64800000000000002</v>
      </c>
      <c r="C1201" s="105">
        <v>40393</v>
      </c>
      <c r="D1201">
        <v>0.89900000000000002</v>
      </c>
      <c r="E1201" s="105">
        <v>40393</v>
      </c>
      <c r="F1201">
        <v>1.1459999999999999</v>
      </c>
      <c r="G1201" s="105">
        <v>40393</v>
      </c>
      <c r="H1201">
        <v>1.2889999999999999</v>
      </c>
      <c r="I1201" s="105">
        <v>40393</v>
      </c>
      <c r="J1201">
        <v>1.419</v>
      </c>
    </row>
    <row r="1202" spans="1:10">
      <c r="A1202" s="105">
        <v>40392</v>
      </c>
      <c r="B1202">
        <v>0.64600000000000002</v>
      </c>
      <c r="C1202" s="105">
        <v>40392</v>
      </c>
      <c r="D1202">
        <v>0.89800000000000002</v>
      </c>
      <c r="E1202" s="105">
        <v>40392</v>
      </c>
      <c r="F1202">
        <v>1.145</v>
      </c>
      <c r="G1202" s="105">
        <v>40392</v>
      </c>
      <c r="H1202">
        <v>1.2889999999999999</v>
      </c>
      <c r="I1202" s="105">
        <v>40392</v>
      </c>
      <c r="J1202">
        <v>1.4179999999999999</v>
      </c>
    </row>
    <row r="1203" spans="1:10">
      <c r="A1203" s="105">
        <v>40389</v>
      </c>
      <c r="B1203">
        <v>0.64500000000000002</v>
      </c>
      <c r="C1203" s="105">
        <v>40389</v>
      </c>
      <c r="D1203">
        <v>0.89600000000000002</v>
      </c>
      <c r="E1203" s="105">
        <v>40389</v>
      </c>
      <c r="F1203">
        <v>1.145</v>
      </c>
      <c r="G1203" s="105">
        <v>40389</v>
      </c>
      <c r="H1203">
        <v>1.288</v>
      </c>
      <c r="I1203" s="105">
        <v>40389</v>
      </c>
      <c r="J1203">
        <v>1.417</v>
      </c>
    </row>
    <row r="1204" spans="1:10">
      <c r="A1204" s="105">
        <v>40388</v>
      </c>
      <c r="B1204">
        <v>0.64300000000000002</v>
      </c>
      <c r="C1204" s="105">
        <v>40388</v>
      </c>
      <c r="D1204">
        <v>0.89900000000000002</v>
      </c>
      <c r="E1204" s="105">
        <v>40388</v>
      </c>
      <c r="F1204">
        <v>1.145</v>
      </c>
      <c r="G1204" s="105">
        <v>40388</v>
      </c>
      <c r="H1204">
        <v>1.2889999999999999</v>
      </c>
      <c r="I1204" s="105">
        <v>40388</v>
      </c>
      <c r="J1204">
        <v>1.419</v>
      </c>
    </row>
    <row r="1205" spans="1:10">
      <c r="A1205" s="105">
        <v>40387</v>
      </c>
      <c r="B1205">
        <v>0.64</v>
      </c>
      <c r="C1205" s="105">
        <v>40387</v>
      </c>
      <c r="D1205">
        <v>0.89600000000000002</v>
      </c>
      <c r="E1205" s="105">
        <v>40387</v>
      </c>
      <c r="F1205">
        <v>1.143</v>
      </c>
      <c r="G1205" s="105">
        <v>40387</v>
      </c>
      <c r="H1205">
        <v>1.2869999999999999</v>
      </c>
      <c r="I1205" s="105">
        <v>40387</v>
      </c>
      <c r="J1205">
        <v>1.4159999999999999</v>
      </c>
    </row>
    <row r="1206" spans="1:10">
      <c r="A1206" s="105">
        <v>40386</v>
      </c>
      <c r="B1206">
        <v>0.63800000000000001</v>
      </c>
      <c r="C1206" s="105">
        <v>40386</v>
      </c>
      <c r="D1206">
        <v>0.89300000000000002</v>
      </c>
      <c r="E1206" s="105">
        <v>40386</v>
      </c>
      <c r="F1206">
        <v>1.141</v>
      </c>
      <c r="G1206" s="105">
        <v>40386</v>
      </c>
      <c r="H1206">
        <v>1.2849999999999999</v>
      </c>
      <c r="I1206" s="105">
        <v>40386</v>
      </c>
      <c r="J1206">
        <v>1.413</v>
      </c>
    </row>
    <row r="1207" spans="1:10">
      <c r="A1207" s="105">
        <v>40385</v>
      </c>
      <c r="B1207">
        <v>0.63500000000000001</v>
      </c>
      <c r="C1207" s="105">
        <v>40385</v>
      </c>
      <c r="D1207">
        <v>0.88900000000000001</v>
      </c>
      <c r="E1207" s="105">
        <v>40385</v>
      </c>
      <c r="F1207">
        <v>1.137</v>
      </c>
      <c r="G1207" s="105">
        <v>40385</v>
      </c>
      <c r="H1207">
        <v>1.2809999999999999</v>
      </c>
      <c r="I1207" s="105">
        <v>40385</v>
      </c>
      <c r="J1207">
        <v>1.407</v>
      </c>
    </row>
    <row r="1208" spans="1:10">
      <c r="A1208" s="105">
        <v>40382</v>
      </c>
      <c r="B1208">
        <v>0.63300000000000001</v>
      </c>
      <c r="C1208" s="105">
        <v>40382</v>
      </c>
      <c r="D1208">
        <v>0.88500000000000001</v>
      </c>
      <c r="E1208" s="105">
        <v>40382</v>
      </c>
      <c r="F1208">
        <v>1.133</v>
      </c>
      <c r="G1208" s="105">
        <v>40382</v>
      </c>
      <c r="H1208">
        <v>1.2769999999999999</v>
      </c>
      <c r="I1208" s="105">
        <v>40382</v>
      </c>
      <c r="J1208">
        <v>1.4019999999999999</v>
      </c>
    </row>
    <row r="1209" spans="1:10">
      <c r="A1209" s="105">
        <v>40381</v>
      </c>
      <c r="B1209">
        <v>0.63100000000000001</v>
      </c>
      <c r="C1209" s="105">
        <v>40381</v>
      </c>
      <c r="D1209">
        <v>0.88400000000000001</v>
      </c>
      <c r="E1209" s="105">
        <v>40381</v>
      </c>
      <c r="F1209">
        <v>1.131</v>
      </c>
      <c r="G1209" s="105">
        <v>40381</v>
      </c>
      <c r="H1209">
        <v>1.2729999999999999</v>
      </c>
      <c r="I1209" s="105">
        <v>40381</v>
      </c>
      <c r="J1209">
        <v>1.399</v>
      </c>
    </row>
    <row r="1210" spans="1:10">
      <c r="A1210" s="105">
        <v>40380</v>
      </c>
      <c r="B1210">
        <v>0.628</v>
      </c>
      <c r="C1210" s="105">
        <v>40380</v>
      </c>
      <c r="D1210">
        <v>0.88100000000000001</v>
      </c>
      <c r="E1210" s="105">
        <v>40380</v>
      </c>
      <c r="F1210">
        <v>1.1299999999999999</v>
      </c>
      <c r="G1210" s="105">
        <v>40380</v>
      </c>
      <c r="H1210">
        <v>1.2709999999999999</v>
      </c>
      <c r="I1210" s="105">
        <v>40380</v>
      </c>
      <c r="J1210">
        <v>1.3979999999999999</v>
      </c>
    </row>
    <row r="1211" spans="1:10">
      <c r="A1211" s="105">
        <v>40379</v>
      </c>
      <c r="B1211">
        <v>0.62</v>
      </c>
      <c r="C1211" s="105">
        <v>40379</v>
      </c>
      <c r="D1211">
        <v>0.876</v>
      </c>
      <c r="E1211" s="105">
        <v>40379</v>
      </c>
      <c r="F1211">
        <v>1.127</v>
      </c>
      <c r="G1211" s="105">
        <v>40379</v>
      </c>
      <c r="H1211">
        <v>1.2669999999999999</v>
      </c>
      <c r="I1211" s="105">
        <v>40379</v>
      </c>
      <c r="J1211">
        <v>1.393</v>
      </c>
    </row>
    <row r="1212" spans="1:10">
      <c r="A1212" s="105">
        <v>40378</v>
      </c>
      <c r="B1212">
        <v>0.61099999999999999</v>
      </c>
      <c r="C1212" s="105">
        <v>40378</v>
      </c>
      <c r="D1212">
        <v>0.87</v>
      </c>
      <c r="E1212" s="105">
        <v>40378</v>
      </c>
      <c r="F1212">
        <v>1.1220000000000001</v>
      </c>
      <c r="G1212" s="105">
        <v>40378</v>
      </c>
      <c r="H1212">
        <v>1.262</v>
      </c>
      <c r="I1212" s="105">
        <v>40378</v>
      </c>
      <c r="J1212">
        <v>1.39</v>
      </c>
    </row>
    <row r="1213" spans="1:10">
      <c r="A1213" s="105">
        <v>40375</v>
      </c>
      <c r="B1213">
        <v>0.59699999999999998</v>
      </c>
      <c r="C1213" s="105">
        <v>40375</v>
      </c>
      <c r="D1213">
        <v>0.86099999999999999</v>
      </c>
      <c r="E1213" s="105">
        <v>40375</v>
      </c>
      <c r="F1213">
        <v>1.1140000000000001</v>
      </c>
      <c r="G1213" s="105">
        <v>40375</v>
      </c>
      <c r="H1213">
        <v>1.2529999999999999</v>
      </c>
      <c r="I1213" s="105">
        <v>40375</v>
      </c>
      <c r="J1213">
        <v>1.38</v>
      </c>
    </row>
    <row r="1214" spans="1:10">
      <c r="A1214" s="105">
        <v>40374</v>
      </c>
      <c r="B1214">
        <v>0.57399999999999995</v>
      </c>
      <c r="C1214" s="105">
        <v>40374</v>
      </c>
      <c r="D1214">
        <v>0.84599999999999997</v>
      </c>
      <c r="E1214" s="105">
        <v>40374</v>
      </c>
      <c r="F1214">
        <v>1.101</v>
      </c>
      <c r="G1214" s="105">
        <v>40374</v>
      </c>
      <c r="H1214">
        <v>1.2370000000000001</v>
      </c>
      <c r="I1214" s="105">
        <v>40374</v>
      </c>
      <c r="J1214">
        <v>1.369</v>
      </c>
    </row>
    <row r="1215" spans="1:10">
      <c r="A1215" s="105">
        <v>40373</v>
      </c>
      <c r="B1215">
        <v>0.56799999999999995</v>
      </c>
      <c r="C1215" s="105">
        <v>40373</v>
      </c>
      <c r="D1215">
        <v>0.84</v>
      </c>
      <c r="E1215" s="105">
        <v>40373</v>
      </c>
      <c r="F1215">
        <v>1.095</v>
      </c>
      <c r="G1215" s="105">
        <v>40373</v>
      </c>
      <c r="H1215">
        <v>1.2330000000000001</v>
      </c>
      <c r="I1215" s="105">
        <v>40373</v>
      </c>
      <c r="J1215">
        <v>1.363</v>
      </c>
    </row>
    <row r="1216" spans="1:10">
      <c r="A1216" s="105">
        <v>40372</v>
      </c>
      <c r="B1216">
        <v>0.56200000000000006</v>
      </c>
      <c r="C1216" s="105">
        <v>40372</v>
      </c>
      <c r="D1216">
        <v>0.83499999999999996</v>
      </c>
      <c r="E1216" s="105">
        <v>40372</v>
      </c>
      <c r="F1216">
        <v>1.0900000000000001</v>
      </c>
      <c r="G1216" s="105">
        <v>40372</v>
      </c>
      <c r="H1216">
        <v>1.2290000000000001</v>
      </c>
      <c r="I1216" s="105">
        <v>40372</v>
      </c>
      <c r="J1216">
        <v>1.3580000000000001</v>
      </c>
    </row>
    <row r="1217" spans="1:10">
      <c r="A1217" s="105">
        <v>40371</v>
      </c>
      <c r="B1217">
        <v>0.55300000000000005</v>
      </c>
      <c r="C1217" s="105">
        <v>40371</v>
      </c>
      <c r="D1217">
        <v>0.82699999999999996</v>
      </c>
      <c r="E1217" s="105">
        <v>40371</v>
      </c>
      <c r="F1217">
        <v>1.0860000000000001</v>
      </c>
      <c r="G1217" s="105">
        <v>40371</v>
      </c>
      <c r="H1217">
        <v>1.226</v>
      </c>
      <c r="I1217" s="105">
        <v>40371</v>
      </c>
      <c r="J1217">
        <v>1.3560000000000001</v>
      </c>
    </row>
    <row r="1218" spans="1:10">
      <c r="A1218" s="105">
        <v>40368</v>
      </c>
      <c r="B1218">
        <v>0.54700000000000004</v>
      </c>
      <c r="C1218" s="105">
        <v>40368</v>
      </c>
      <c r="D1218">
        <v>0.82199999999999995</v>
      </c>
      <c r="E1218" s="105">
        <v>40368</v>
      </c>
      <c r="F1218">
        <v>1.081</v>
      </c>
      <c r="G1218" s="105">
        <v>40368</v>
      </c>
      <c r="H1218">
        <v>1.2210000000000001</v>
      </c>
      <c r="I1218" s="105">
        <v>40368</v>
      </c>
      <c r="J1218">
        <v>1.351</v>
      </c>
    </row>
    <row r="1219" spans="1:10">
      <c r="A1219" s="105">
        <v>40367</v>
      </c>
      <c r="B1219">
        <v>0.53400000000000003</v>
      </c>
      <c r="C1219" s="105">
        <v>40367</v>
      </c>
      <c r="D1219">
        <v>0.81</v>
      </c>
      <c r="E1219" s="105">
        <v>40367</v>
      </c>
      <c r="F1219">
        <v>1.07</v>
      </c>
      <c r="G1219" s="105">
        <v>40367</v>
      </c>
      <c r="H1219">
        <v>1.2110000000000001</v>
      </c>
      <c r="I1219" s="105">
        <v>40367</v>
      </c>
      <c r="J1219">
        <v>1.34</v>
      </c>
    </row>
    <row r="1220" spans="1:10">
      <c r="A1220" s="105">
        <v>40366</v>
      </c>
      <c r="B1220">
        <v>0.52300000000000002</v>
      </c>
      <c r="C1220" s="105">
        <v>40366</v>
      </c>
      <c r="D1220">
        <v>0.80200000000000005</v>
      </c>
      <c r="E1220" s="105">
        <v>40366</v>
      </c>
      <c r="F1220">
        <v>1.0649999999999999</v>
      </c>
      <c r="G1220" s="105">
        <v>40366</v>
      </c>
      <c r="H1220">
        <v>1.208</v>
      </c>
      <c r="I1220" s="105">
        <v>40366</v>
      </c>
      <c r="J1220">
        <v>1.3340000000000001</v>
      </c>
    </row>
    <row r="1221" spans="1:10">
      <c r="A1221" s="105">
        <v>40365</v>
      </c>
      <c r="B1221">
        <v>0.51800000000000002</v>
      </c>
      <c r="C1221" s="105">
        <v>40365</v>
      </c>
      <c r="D1221">
        <v>0.79700000000000004</v>
      </c>
      <c r="E1221" s="105">
        <v>40365</v>
      </c>
      <c r="F1221">
        <v>1.0609999999999999</v>
      </c>
      <c r="G1221" s="105">
        <v>40365</v>
      </c>
      <c r="H1221">
        <v>1.2050000000000001</v>
      </c>
      <c r="I1221" s="105">
        <v>40365</v>
      </c>
      <c r="J1221">
        <v>1.331</v>
      </c>
    </row>
    <row r="1222" spans="1:10">
      <c r="A1222" s="105">
        <v>40364</v>
      </c>
      <c r="B1222">
        <v>0.51500000000000001</v>
      </c>
      <c r="C1222" s="105">
        <v>40364</v>
      </c>
      <c r="D1222">
        <v>0.79300000000000004</v>
      </c>
      <c r="E1222" s="105">
        <v>40364</v>
      </c>
      <c r="F1222">
        <v>1.06</v>
      </c>
      <c r="G1222" s="105">
        <v>40364</v>
      </c>
      <c r="H1222">
        <v>1.202</v>
      </c>
      <c r="I1222" s="105">
        <v>40364</v>
      </c>
      <c r="J1222">
        <v>1.329</v>
      </c>
    </row>
    <row r="1223" spans="1:10">
      <c r="A1223" s="105">
        <v>40361</v>
      </c>
      <c r="B1223">
        <v>0.51300000000000001</v>
      </c>
      <c r="C1223" s="105">
        <v>40361</v>
      </c>
      <c r="D1223">
        <v>0.79</v>
      </c>
      <c r="E1223" s="105">
        <v>40361</v>
      </c>
      <c r="F1223">
        <v>1.06</v>
      </c>
      <c r="G1223" s="105">
        <v>40361</v>
      </c>
      <c r="H1223">
        <v>1.2</v>
      </c>
      <c r="I1223" s="105">
        <v>40361</v>
      </c>
      <c r="J1223">
        <v>1.329</v>
      </c>
    </row>
    <row r="1224" spans="1:10">
      <c r="A1224" s="105">
        <v>40360</v>
      </c>
      <c r="B1224">
        <v>0.505</v>
      </c>
      <c r="C1224" s="105">
        <v>40360</v>
      </c>
      <c r="D1224">
        <v>0.78200000000000003</v>
      </c>
      <c r="E1224" s="105">
        <v>40360</v>
      </c>
      <c r="F1224">
        <v>1.056</v>
      </c>
      <c r="G1224" s="105">
        <v>40360</v>
      </c>
      <c r="H1224">
        <v>1.1910000000000001</v>
      </c>
      <c r="I1224" s="105">
        <v>40360</v>
      </c>
      <c r="J1224">
        <v>1.32</v>
      </c>
    </row>
    <row r="1225" spans="1:10">
      <c r="A1225" s="105">
        <v>40359</v>
      </c>
      <c r="B1225">
        <v>0.48499999999999999</v>
      </c>
      <c r="C1225" s="105">
        <v>40359</v>
      </c>
      <c r="D1225">
        <v>0.76700000000000002</v>
      </c>
      <c r="E1225" s="105">
        <v>40359</v>
      </c>
      <c r="F1225">
        <v>1.0409999999999999</v>
      </c>
      <c r="G1225" s="105">
        <v>40359</v>
      </c>
      <c r="H1225">
        <v>1.177</v>
      </c>
      <c r="I1225" s="105">
        <v>40359</v>
      </c>
      <c r="J1225">
        <v>1.306</v>
      </c>
    </row>
    <row r="1226" spans="1:10">
      <c r="A1226" s="105">
        <v>40358</v>
      </c>
      <c r="B1226">
        <v>0.47899999999999998</v>
      </c>
      <c r="C1226" s="105">
        <v>40358</v>
      </c>
      <c r="D1226">
        <v>0.76100000000000001</v>
      </c>
      <c r="E1226" s="105">
        <v>40358</v>
      </c>
      <c r="F1226">
        <v>1.0389999999999999</v>
      </c>
      <c r="G1226" s="105">
        <v>40358</v>
      </c>
      <c r="H1226">
        <v>1.1759999999999999</v>
      </c>
      <c r="I1226" s="105">
        <v>40358</v>
      </c>
      <c r="J1226">
        <v>1.306</v>
      </c>
    </row>
    <row r="1227" spans="1:10">
      <c r="A1227" s="105">
        <v>40357</v>
      </c>
      <c r="B1227">
        <v>0.47099999999999997</v>
      </c>
      <c r="C1227" s="105">
        <v>40357</v>
      </c>
      <c r="D1227">
        <v>0.754</v>
      </c>
      <c r="E1227" s="105">
        <v>40357</v>
      </c>
      <c r="F1227">
        <v>1.0349999999999999</v>
      </c>
      <c r="G1227" s="105">
        <v>40357</v>
      </c>
      <c r="H1227">
        <v>1.175</v>
      </c>
      <c r="I1227" s="105">
        <v>40357</v>
      </c>
      <c r="J1227">
        <v>1.3029999999999999</v>
      </c>
    </row>
    <row r="1228" spans="1:10">
      <c r="A1228" s="105">
        <v>40354</v>
      </c>
      <c r="B1228">
        <v>0.46400000000000002</v>
      </c>
      <c r="C1228" s="105">
        <v>40354</v>
      </c>
      <c r="D1228">
        <v>0.748</v>
      </c>
      <c r="E1228" s="105">
        <v>40354</v>
      </c>
      <c r="F1228">
        <v>1.03</v>
      </c>
      <c r="G1228" s="105">
        <v>40354</v>
      </c>
      <c r="H1228">
        <v>1.17</v>
      </c>
      <c r="I1228" s="105">
        <v>40354</v>
      </c>
      <c r="J1228">
        <v>1.298</v>
      </c>
    </row>
    <row r="1229" spans="1:10">
      <c r="A1229" s="105">
        <v>40353</v>
      </c>
      <c r="B1229">
        <v>0.45900000000000002</v>
      </c>
      <c r="C1229" s="105">
        <v>40353</v>
      </c>
      <c r="D1229">
        <v>0.74199999999999999</v>
      </c>
      <c r="E1229" s="105">
        <v>40353</v>
      </c>
      <c r="F1229">
        <v>1.0269999999999999</v>
      </c>
      <c r="G1229" s="105">
        <v>40353</v>
      </c>
      <c r="H1229">
        <v>1.1679999999999999</v>
      </c>
      <c r="I1229" s="105">
        <v>40353</v>
      </c>
      <c r="J1229">
        <v>1.296</v>
      </c>
    </row>
    <row r="1230" spans="1:10">
      <c r="A1230" s="105">
        <v>40352</v>
      </c>
      <c r="B1230">
        <v>0.45500000000000002</v>
      </c>
      <c r="C1230" s="105">
        <v>40352</v>
      </c>
      <c r="D1230">
        <v>0.73899999999999999</v>
      </c>
      <c r="E1230" s="105">
        <v>40352</v>
      </c>
      <c r="F1230">
        <v>1.024</v>
      </c>
      <c r="G1230" s="105">
        <v>40352</v>
      </c>
      <c r="H1230">
        <v>1.167</v>
      </c>
      <c r="I1230" s="105">
        <v>40352</v>
      </c>
      <c r="J1230">
        <v>1.296</v>
      </c>
    </row>
    <row r="1231" spans="1:10">
      <c r="A1231" s="105">
        <v>40351</v>
      </c>
      <c r="B1231">
        <v>0.45</v>
      </c>
      <c r="C1231" s="105">
        <v>40351</v>
      </c>
      <c r="D1231">
        <v>0.73699999999999999</v>
      </c>
      <c r="E1231" s="105">
        <v>40351</v>
      </c>
      <c r="F1231">
        <v>1.0209999999999999</v>
      </c>
      <c r="G1231" s="105">
        <v>40351</v>
      </c>
      <c r="H1231">
        <v>1.1639999999999999</v>
      </c>
      <c r="I1231" s="105">
        <v>40351</v>
      </c>
      <c r="J1231">
        <v>1.292</v>
      </c>
    </row>
    <row r="1232" spans="1:10">
      <c r="A1232" s="105">
        <v>40350</v>
      </c>
      <c r="B1232">
        <v>0.44700000000000001</v>
      </c>
      <c r="C1232" s="105">
        <v>40350</v>
      </c>
      <c r="D1232">
        <v>0.73299999999999998</v>
      </c>
      <c r="E1232" s="105">
        <v>40350</v>
      </c>
      <c r="F1232">
        <v>1.0189999999999999</v>
      </c>
      <c r="G1232" s="105">
        <v>40350</v>
      </c>
      <c r="H1232">
        <v>1.1599999999999999</v>
      </c>
      <c r="I1232" s="105">
        <v>40350</v>
      </c>
      <c r="J1232">
        <v>1.2889999999999999</v>
      </c>
    </row>
    <row r="1233" spans="1:10">
      <c r="A1233" s="105">
        <v>40347</v>
      </c>
      <c r="B1233">
        <v>0.44400000000000001</v>
      </c>
      <c r="C1233" s="105">
        <v>40347</v>
      </c>
      <c r="D1233">
        <v>0.73199999999999998</v>
      </c>
      <c r="E1233" s="105">
        <v>40347</v>
      </c>
      <c r="F1233">
        <v>1.0149999999999999</v>
      </c>
      <c r="G1233" s="105">
        <v>40347</v>
      </c>
      <c r="H1233">
        <v>1.157</v>
      </c>
      <c r="I1233" s="105">
        <v>40347</v>
      </c>
      <c r="J1233">
        <v>1.2849999999999999</v>
      </c>
    </row>
    <row r="1234" spans="1:10">
      <c r="A1234" s="105">
        <v>40346</v>
      </c>
      <c r="B1234">
        <v>0.443</v>
      </c>
      <c r="C1234" s="105">
        <v>40346</v>
      </c>
      <c r="D1234">
        <v>0.72899999999999998</v>
      </c>
      <c r="E1234" s="105">
        <v>40346</v>
      </c>
      <c r="F1234">
        <v>1.0109999999999999</v>
      </c>
      <c r="G1234" s="105">
        <v>40346</v>
      </c>
      <c r="H1234">
        <v>1.153</v>
      </c>
      <c r="I1234" s="105">
        <v>40346</v>
      </c>
      <c r="J1234">
        <v>1.2809999999999999</v>
      </c>
    </row>
    <row r="1235" spans="1:10">
      <c r="A1235" s="105">
        <v>40345</v>
      </c>
      <c r="B1235">
        <v>0.442</v>
      </c>
      <c r="C1235" s="105">
        <v>40345</v>
      </c>
      <c r="D1235">
        <v>0.72699999999999998</v>
      </c>
      <c r="E1235" s="105">
        <v>40345</v>
      </c>
      <c r="F1235">
        <v>1.008</v>
      </c>
      <c r="G1235" s="105">
        <v>40345</v>
      </c>
      <c r="H1235">
        <v>1.149</v>
      </c>
      <c r="I1235" s="105">
        <v>40345</v>
      </c>
      <c r="J1235">
        <v>1.278</v>
      </c>
    </row>
    <row r="1236" spans="1:10">
      <c r="A1236" s="105">
        <v>40344</v>
      </c>
      <c r="B1236">
        <v>0.441</v>
      </c>
      <c r="C1236" s="105">
        <v>40344</v>
      </c>
      <c r="D1236">
        <v>0.72299999999999998</v>
      </c>
      <c r="E1236" s="105">
        <v>40344</v>
      </c>
      <c r="F1236">
        <v>1.006</v>
      </c>
      <c r="G1236" s="105">
        <v>40344</v>
      </c>
      <c r="H1236">
        <v>1.147</v>
      </c>
      <c r="I1236" s="105">
        <v>40344</v>
      </c>
      <c r="J1236">
        <v>1.276</v>
      </c>
    </row>
    <row r="1237" spans="1:10">
      <c r="A1237" s="105">
        <v>40343</v>
      </c>
      <c r="B1237">
        <v>0.439</v>
      </c>
      <c r="C1237" s="105">
        <v>40343</v>
      </c>
      <c r="D1237">
        <v>0.72</v>
      </c>
      <c r="E1237" s="105">
        <v>40343</v>
      </c>
      <c r="F1237">
        <v>1.0049999999999999</v>
      </c>
      <c r="G1237" s="105">
        <v>40343</v>
      </c>
      <c r="H1237">
        <v>1.143</v>
      </c>
      <c r="I1237" s="105">
        <v>40343</v>
      </c>
      <c r="J1237">
        <v>1.2729999999999999</v>
      </c>
    </row>
    <row r="1238" spans="1:10">
      <c r="A1238" s="105">
        <v>40340</v>
      </c>
      <c r="B1238">
        <v>0.438</v>
      </c>
      <c r="C1238" s="105">
        <v>40340</v>
      </c>
      <c r="D1238">
        <v>0.71899999999999997</v>
      </c>
      <c r="E1238" s="105">
        <v>40340</v>
      </c>
      <c r="F1238">
        <v>1.0029999999999999</v>
      </c>
      <c r="G1238" s="105">
        <v>40340</v>
      </c>
      <c r="H1238">
        <v>1.141</v>
      </c>
      <c r="I1238" s="105">
        <v>40340</v>
      </c>
      <c r="J1238">
        <v>1.2709999999999999</v>
      </c>
    </row>
    <row r="1239" spans="1:10">
      <c r="A1239" s="105">
        <v>40339</v>
      </c>
      <c r="B1239">
        <v>0.438</v>
      </c>
      <c r="C1239" s="105">
        <v>40339</v>
      </c>
      <c r="D1239">
        <v>0.71799999999999997</v>
      </c>
      <c r="E1239" s="105">
        <v>40339</v>
      </c>
      <c r="F1239">
        <v>1.0009999999999999</v>
      </c>
      <c r="G1239" s="105">
        <v>40339</v>
      </c>
      <c r="H1239">
        <v>1.139</v>
      </c>
      <c r="I1239" s="105">
        <v>40339</v>
      </c>
      <c r="J1239">
        <v>1.27</v>
      </c>
    </row>
    <row r="1240" spans="1:10">
      <c r="A1240" s="105">
        <v>40338</v>
      </c>
      <c r="B1240">
        <v>0.436</v>
      </c>
      <c r="C1240" s="105">
        <v>40338</v>
      </c>
      <c r="D1240">
        <v>0.71499999999999997</v>
      </c>
      <c r="E1240" s="105">
        <v>40338</v>
      </c>
      <c r="F1240">
        <v>0.999</v>
      </c>
      <c r="G1240" s="105">
        <v>40338</v>
      </c>
      <c r="H1240">
        <v>1.139</v>
      </c>
      <c r="I1240" s="105">
        <v>40338</v>
      </c>
      <c r="J1240">
        <v>1.2689999999999999</v>
      </c>
    </row>
    <row r="1241" spans="1:10">
      <c r="A1241" s="105">
        <v>40337</v>
      </c>
      <c r="B1241">
        <v>0.434</v>
      </c>
      <c r="C1241" s="105">
        <v>40337</v>
      </c>
      <c r="D1241">
        <v>0.71299999999999997</v>
      </c>
      <c r="E1241" s="105">
        <v>40337</v>
      </c>
      <c r="F1241">
        <v>0.999</v>
      </c>
      <c r="G1241" s="105">
        <v>40337</v>
      </c>
      <c r="H1241">
        <v>1.1379999999999999</v>
      </c>
      <c r="I1241" s="105">
        <v>40337</v>
      </c>
      <c r="J1241">
        <v>1.268</v>
      </c>
    </row>
    <row r="1242" spans="1:10">
      <c r="A1242" s="105">
        <v>40336</v>
      </c>
      <c r="B1242">
        <v>0.433</v>
      </c>
      <c r="C1242" s="105">
        <v>40336</v>
      </c>
      <c r="D1242">
        <v>0.71099999999999997</v>
      </c>
      <c r="E1242" s="105">
        <v>40336</v>
      </c>
      <c r="F1242">
        <v>0.998</v>
      </c>
      <c r="G1242" s="105">
        <v>40336</v>
      </c>
      <c r="H1242">
        <v>1.137</v>
      </c>
      <c r="I1242" s="105">
        <v>40336</v>
      </c>
      <c r="J1242">
        <v>1.268</v>
      </c>
    </row>
    <row r="1243" spans="1:10">
      <c r="A1243" s="105">
        <v>40333</v>
      </c>
      <c r="B1243">
        <v>0.432</v>
      </c>
      <c r="C1243" s="105">
        <v>40333</v>
      </c>
      <c r="D1243">
        <v>0.70699999999999996</v>
      </c>
      <c r="E1243" s="105">
        <v>40333</v>
      </c>
      <c r="F1243">
        <v>0.997</v>
      </c>
      <c r="G1243" s="105">
        <v>40333</v>
      </c>
      <c r="H1243">
        <v>1.137</v>
      </c>
      <c r="I1243" s="105">
        <v>40333</v>
      </c>
      <c r="J1243">
        <v>1.268</v>
      </c>
    </row>
    <row r="1244" spans="1:10">
      <c r="A1244" s="105">
        <v>40332</v>
      </c>
      <c r="B1244">
        <v>0.432</v>
      </c>
      <c r="C1244" s="105">
        <v>40332</v>
      </c>
      <c r="D1244">
        <v>0.70599999999999996</v>
      </c>
      <c r="E1244" s="105">
        <v>40332</v>
      </c>
      <c r="F1244">
        <v>0.996</v>
      </c>
      <c r="G1244" s="105">
        <v>40332</v>
      </c>
      <c r="H1244">
        <v>1.137</v>
      </c>
      <c r="I1244" s="105">
        <v>40332</v>
      </c>
      <c r="J1244">
        <v>1.268</v>
      </c>
    </row>
    <row r="1245" spans="1:10">
      <c r="A1245" s="105">
        <v>40331</v>
      </c>
      <c r="B1245">
        <v>0.43</v>
      </c>
      <c r="C1245" s="105">
        <v>40331</v>
      </c>
      <c r="D1245">
        <v>0.70399999999999996</v>
      </c>
      <c r="E1245" s="105">
        <v>40331</v>
      </c>
      <c r="F1245">
        <v>0.99399999999999999</v>
      </c>
      <c r="G1245" s="105">
        <v>40331</v>
      </c>
      <c r="H1245">
        <v>1.135</v>
      </c>
      <c r="I1245" s="105">
        <v>40331</v>
      </c>
      <c r="J1245">
        <v>1.266</v>
      </c>
    </row>
    <row r="1246" spans="1:10">
      <c r="A1246" s="105">
        <v>40330</v>
      </c>
      <c r="B1246">
        <v>0.42799999999999999</v>
      </c>
      <c r="C1246" s="105">
        <v>40330</v>
      </c>
      <c r="D1246">
        <v>0.70199999999999996</v>
      </c>
      <c r="E1246" s="105">
        <v>40330</v>
      </c>
      <c r="F1246">
        <v>0.99099999999999999</v>
      </c>
      <c r="G1246" s="105">
        <v>40330</v>
      </c>
      <c r="H1246">
        <v>1.1319999999999999</v>
      </c>
      <c r="I1246" s="105">
        <v>40330</v>
      </c>
      <c r="J1246">
        <v>1.262</v>
      </c>
    </row>
    <row r="1247" spans="1:10">
      <c r="A1247" s="105">
        <v>40329</v>
      </c>
      <c r="B1247">
        <v>0.42899999999999999</v>
      </c>
      <c r="C1247" s="105">
        <v>40329</v>
      </c>
      <c r="D1247">
        <v>0.70099999999999996</v>
      </c>
      <c r="E1247" s="105">
        <v>40329</v>
      </c>
      <c r="F1247">
        <v>0.98899999999999999</v>
      </c>
      <c r="G1247" s="105">
        <v>40329</v>
      </c>
      <c r="H1247">
        <v>1.1299999999999999</v>
      </c>
      <c r="I1247" s="105">
        <v>40329</v>
      </c>
      <c r="J1247">
        <v>1.26</v>
      </c>
    </row>
    <row r="1248" spans="1:10">
      <c r="A1248" s="105">
        <v>40326</v>
      </c>
      <c r="B1248">
        <v>0.42799999999999999</v>
      </c>
      <c r="C1248" s="105">
        <v>40326</v>
      </c>
      <c r="D1248">
        <v>0.69899999999999995</v>
      </c>
      <c r="E1248" s="105">
        <v>40326</v>
      </c>
      <c r="F1248">
        <v>0.98799999999999999</v>
      </c>
      <c r="G1248" s="105">
        <v>40326</v>
      </c>
      <c r="H1248">
        <v>1.1279999999999999</v>
      </c>
      <c r="I1248" s="105">
        <v>40326</v>
      </c>
      <c r="J1248">
        <v>1.258</v>
      </c>
    </row>
    <row r="1249" spans="1:10">
      <c r="A1249" s="105">
        <v>40325</v>
      </c>
      <c r="B1249">
        <v>0.42599999999999999</v>
      </c>
      <c r="C1249" s="105">
        <v>40325</v>
      </c>
      <c r="D1249">
        <v>0.69899999999999995</v>
      </c>
      <c r="E1249" s="105">
        <v>40325</v>
      </c>
      <c r="F1249">
        <v>0.98799999999999999</v>
      </c>
      <c r="G1249" s="105">
        <v>40325</v>
      </c>
      <c r="H1249">
        <v>1.1279999999999999</v>
      </c>
      <c r="I1249" s="105">
        <v>40325</v>
      </c>
      <c r="J1249">
        <v>1.2569999999999999</v>
      </c>
    </row>
    <row r="1250" spans="1:10">
      <c r="A1250" s="105">
        <v>40324</v>
      </c>
      <c r="B1250">
        <v>0.42599999999999999</v>
      </c>
      <c r="C1250" s="105">
        <v>40324</v>
      </c>
      <c r="D1250">
        <v>0.69699999999999995</v>
      </c>
      <c r="E1250" s="105">
        <v>40324</v>
      </c>
      <c r="F1250">
        <v>0.98899999999999999</v>
      </c>
      <c r="G1250" s="105">
        <v>40324</v>
      </c>
      <c r="H1250">
        <v>1.129</v>
      </c>
      <c r="I1250" s="105">
        <v>40324</v>
      </c>
      <c r="J1250">
        <v>1.258</v>
      </c>
    </row>
    <row r="1251" spans="1:10">
      <c r="A1251" s="105">
        <v>40323</v>
      </c>
      <c r="B1251">
        <v>0.42599999999999999</v>
      </c>
      <c r="C1251" s="105">
        <v>40323</v>
      </c>
      <c r="D1251">
        <v>0.69699999999999995</v>
      </c>
      <c r="E1251" s="105">
        <v>40323</v>
      </c>
      <c r="F1251">
        <v>0.99</v>
      </c>
      <c r="G1251" s="105">
        <v>40323</v>
      </c>
      <c r="H1251">
        <v>1.131</v>
      </c>
      <c r="I1251" s="105">
        <v>40323</v>
      </c>
      <c r="J1251">
        <v>1.262</v>
      </c>
    </row>
    <row r="1252" spans="1:10">
      <c r="A1252" s="105">
        <v>40322</v>
      </c>
      <c r="B1252">
        <v>0.42599999999999999</v>
      </c>
      <c r="C1252" s="105">
        <v>40322</v>
      </c>
      <c r="D1252">
        <v>0.69699999999999995</v>
      </c>
      <c r="E1252" s="105">
        <v>40322</v>
      </c>
      <c r="F1252">
        <v>0.98699999999999999</v>
      </c>
      <c r="G1252" s="105">
        <v>40322</v>
      </c>
      <c r="H1252">
        <v>1.129</v>
      </c>
      <c r="I1252" s="105">
        <v>40322</v>
      </c>
      <c r="J1252">
        <v>1.2589999999999999</v>
      </c>
    </row>
    <row r="1253" spans="1:10">
      <c r="A1253" s="105">
        <v>40319</v>
      </c>
      <c r="B1253">
        <v>0.42599999999999999</v>
      </c>
      <c r="C1253" s="105">
        <v>40319</v>
      </c>
      <c r="D1253">
        <v>0.69499999999999995</v>
      </c>
      <c r="E1253" s="105">
        <v>40319</v>
      </c>
      <c r="F1253">
        <v>0.98699999999999999</v>
      </c>
      <c r="G1253" s="105">
        <v>40319</v>
      </c>
      <c r="H1253">
        <v>1.127</v>
      </c>
      <c r="I1253" s="105">
        <v>40319</v>
      </c>
      <c r="J1253">
        <v>1.2569999999999999</v>
      </c>
    </row>
    <row r="1254" spans="1:10">
      <c r="A1254" s="105">
        <v>40318</v>
      </c>
      <c r="B1254">
        <v>0.42499999999999999</v>
      </c>
      <c r="C1254" s="105">
        <v>40318</v>
      </c>
      <c r="D1254">
        <v>0.69199999999999995</v>
      </c>
      <c r="E1254" s="105">
        <v>40318</v>
      </c>
      <c r="F1254">
        <v>0.98599999999999999</v>
      </c>
      <c r="G1254" s="105">
        <v>40318</v>
      </c>
      <c r="H1254">
        <v>1.125</v>
      </c>
      <c r="I1254" s="105">
        <v>40318</v>
      </c>
      <c r="J1254">
        <v>1.2529999999999999</v>
      </c>
    </row>
    <row r="1255" spans="1:10">
      <c r="A1255" s="105">
        <v>40317</v>
      </c>
      <c r="B1255">
        <v>0.42299999999999999</v>
      </c>
      <c r="C1255" s="105">
        <v>40317</v>
      </c>
      <c r="D1255">
        <v>0.69</v>
      </c>
      <c r="E1255" s="105">
        <v>40317</v>
      </c>
      <c r="F1255">
        <v>0.98399999999999999</v>
      </c>
      <c r="G1255" s="105">
        <v>40317</v>
      </c>
      <c r="H1255">
        <v>1.123</v>
      </c>
      <c r="I1255" s="105">
        <v>40317</v>
      </c>
      <c r="J1255">
        <v>1.2490000000000001</v>
      </c>
    </row>
    <row r="1256" spans="1:10">
      <c r="A1256" s="105">
        <v>40316</v>
      </c>
      <c r="B1256">
        <v>0.42299999999999999</v>
      </c>
      <c r="C1256" s="105">
        <v>40316</v>
      </c>
      <c r="D1256">
        <v>0.68799999999999994</v>
      </c>
      <c r="E1256" s="105">
        <v>40316</v>
      </c>
      <c r="F1256">
        <v>0.98199999999999998</v>
      </c>
      <c r="G1256" s="105">
        <v>40316</v>
      </c>
      <c r="H1256">
        <v>1.1200000000000001</v>
      </c>
      <c r="I1256" s="105">
        <v>40316</v>
      </c>
      <c r="J1256">
        <v>1.2470000000000001</v>
      </c>
    </row>
    <row r="1257" spans="1:10">
      <c r="A1257" s="105">
        <v>40315</v>
      </c>
      <c r="B1257">
        <v>0.42299999999999999</v>
      </c>
      <c r="C1257" s="105">
        <v>40315</v>
      </c>
      <c r="D1257">
        <v>0.68500000000000005</v>
      </c>
      <c r="E1257" s="105">
        <v>40315</v>
      </c>
      <c r="F1257">
        <v>0.98099999999999998</v>
      </c>
      <c r="G1257" s="105">
        <v>40315</v>
      </c>
      <c r="H1257">
        <v>1.1200000000000001</v>
      </c>
      <c r="I1257" s="105">
        <v>40315</v>
      </c>
      <c r="J1257">
        <v>1.246</v>
      </c>
    </row>
    <row r="1258" spans="1:10">
      <c r="A1258" s="105">
        <v>40312</v>
      </c>
      <c r="B1258">
        <v>0.42299999999999999</v>
      </c>
      <c r="C1258" s="105">
        <v>40312</v>
      </c>
      <c r="D1258">
        <v>0.68400000000000005</v>
      </c>
      <c r="E1258" s="105">
        <v>40312</v>
      </c>
      <c r="F1258">
        <v>0.97899999999999998</v>
      </c>
      <c r="G1258" s="105">
        <v>40312</v>
      </c>
      <c r="H1258">
        <v>1.1180000000000001</v>
      </c>
      <c r="I1258" s="105">
        <v>40312</v>
      </c>
      <c r="J1258">
        <v>1.242</v>
      </c>
    </row>
    <row r="1259" spans="1:10">
      <c r="A1259" s="105">
        <v>40311</v>
      </c>
      <c r="B1259">
        <v>0.42299999999999999</v>
      </c>
      <c r="C1259" s="105">
        <v>40311</v>
      </c>
      <c r="D1259">
        <v>0.68300000000000005</v>
      </c>
      <c r="E1259" s="105">
        <v>40311</v>
      </c>
      <c r="F1259">
        <v>0.97599999999999998</v>
      </c>
      <c r="G1259" s="105">
        <v>40311</v>
      </c>
      <c r="H1259">
        <v>1.117</v>
      </c>
      <c r="I1259" s="105">
        <v>40311</v>
      </c>
      <c r="J1259">
        <v>1.2430000000000001</v>
      </c>
    </row>
    <row r="1260" spans="1:10">
      <c r="A1260" s="105">
        <v>40310</v>
      </c>
      <c r="B1260">
        <v>0.42199999999999999</v>
      </c>
      <c r="C1260" s="105">
        <v>40310</v>
      </c>
      <c r="D1260">
        <v>0.68200000000000005</v>
      </c>
      <c r="E1260" s="105">
        <v>40310</v>
      </c>
      <c r="F1260">
        <v>0.97799999999999998</v>
      </c>
      <c r="G1260" s="105">
        <v>40310</v>
      </c>
      <c r="H1260">
        <v>1.117</v>
      </c>
      <c r="I1260" s="105">
        <v>40310</v>
      </c>
      <c r="J1260">
        <v>1.244</v>
      </c>
    </row>
    <row r="1261" spans="1:10">
      <c r="A1261" s="105">
        <v>40309</v>
      </c>
      <c r="B1261">
        <v>0.42199999999999999</v>
      </c>
      <c r="C1261" s="105">
        <v>40309</v>
      </c>
      <c r="D1261">
        <v>0.68200000000000005</v>
      </c>
      <c r="E1261" s="105">
        <v>40309</v>
      </c>
      <c r="F1261">
        <v>0.97899999999999998</v>
      </c>
      <c r="G1261" s="105">
        <v>40309</v>
      </c>
      <c r="H1261">
        <v>1.1180000000000001</v>
      </c>
      <c r="I1261" s="105">
        <v>40309</v>
      </c>
      <c r="J1261">
        <v>1.244</v>
      </c>
    </row>
    <row r="1262" spans="1:10">
      <c r="A1262" s="105">
        <v>40308</v>
      </c>
      <c r="B1262">
        <v>0.42199999999999999</v>
      </c>
      <c r="C1262" s="105">
        <v>40308</v>
      </c>
      <c r="D1262">
        <v>0.68200000000000005</v>
      </c>
      <c r="E1262" s="105">
        <v>40308</v>
      </c>
      <c r="F1262">
        <v>0.98099999999999998</v>
      </c>
      <c r="G1262" s="105">
        <v>40308</v>
      </c>
      <c r="H1262">
        <v>1.119</v>
      </c>
      <c r="I1262" s="105">
        <v>40308</v>
      </c>
      <c r="J1262">
        <v>1.2450000000000001</v>
      </c>
    </row>
    <row r="1263" spans="1:10">
      <c r="A1263" s="105">
        <v>40305</v>
      </c>
      <c r="B1263">
        <v>0.42399999999999999</v>
      </c>
      <c r="C1263" s="105">
        <v>40305</v>
      </c>
      <c r="D1263">
        <v>0.68200000000000005</v>
      </c>
      <c r="E1263" s="105">
        <v>40305</v>
      </c>
      <c r="F1263">
        <v>0.98399999999999999</v>
      </c>
      <c r="G1263" s="105">
        <v>40305</v>
      </c>
      <c r="H1263">
        <v>1.1200000000000001</v>
      </c>
      <c r="I1263" s="105">
        <v>40305</v>
      </c>
      <c r="J1263">
        <v>1.2490000000000001</v>
      </c>
    </row>
    <row r="1264" spans="1:10">
      <c r="A1264" s="105">
        <v>40304</v>
      </c>
      <c r="B1264">
        <v>0.41899999999999998</v>
      </c>
      <c r="C1264" s="105">
        <v>40304</v>
      </c>
      <c r="D1264">
        <v>0.67700000000000005</v>
      </c>
      <c r="E1264" s="105">
        <v>40304</v>
      </c>
      <c r="F1264">
        <v>0.97799999999999998</v>
      </c>
      <c r="G1264" s="105">
        <v>40304</v>
      </c>
      <c r="H1264">
        <v>1.1140000000000001</v>
      </c>
      <c r="I1264" s="105">
        <v>40304</v>
      </c>
      <c r="J1264">
        <v>1.242</v>
      </c>
    </row>
    <row r="1265" spans="1:10">
      <c r="A1265" s="105">
        <v>40303</v>
      </c>
      <c r="B1265">
        <v>0.41699999999999998</v>
      </c>
      <c r="C1265" s="105">
        <v>40303</v>
      </c>
      <c r="D1265">
        <v>0.67200000000000004</v>
      </c>
      <c r="E1265" s="105">
        <v>40303</v>
      </c>
      <c r="F1265">
        <v>0.97599999999999998</v>
      </c>
      <c r="G1265" s="105">
        <v>40303</v>
      </c>
      <c r="H1265">
        <v>1.1140000000000001</v>
      </c>
      <c r="I1265" s="105">
        <v>40303</v>
      </c>
      <c r="J1265">
        <v>1.242</v>
      </c>
    </row>
    <row r="1266" spans="1:10">
      <c r="A1266" s="105">
        <v>40302</v>
      </c>
      <c r="B1266">
        <v>0.41599999999999998</v>
      </c>
      <c r="C1266" s="105">
        <v>40302</v>
      </c>
      <c r="D1266">
        <v>0.66800000000000004</v>
      </c>
      <c r="E1266" s="105">
        <v>40302</v>
      </c>
      <c r="F1266">
        <v>0.97399999999999998</v>
      </c>
      <c r="G1266" s="105">
        <v>40302</v>
      </c>
      <c r="H1266">
        <v>1.113</v>
      </c>
      <c r="I1266" s="105">
        <v>40302</v>
      </c>
      <c r="J1266">
        <v>1.24</v>
      </c>
    </row>
    <row r="1267" spans="1:10">
      <c r="A1267" s="105">
        <v>40301</v>
      </c>
      <c r="B1267">
        <v>0.41399999999999998</v>
      </c>
      <c r="C1267" s="105">
        <v>40301</v>
      </c>
      <c r="D1267">
        <v>0.66500000000000004</v>
      </c>
      <c r="E1267" s="105">
        <v>40301</v>
      </c>
      <c r="F1267">
        <v>0.97099999999999997</v>
      </c>
      <c r="G1267" s="105">
        <v>40301</v>
      </c>
      <c r="H1267">
        <v>1.111</v>
      </c>
      <c r="I1267" s="105">
        <v>40301</v>
      </c>
      <c r="J1267">
        <v>1.2390000000000001</v>
      </c>
    </row>
    <row r="1268" spans="1:10">
      <c r="A1268" s="105">
        <v>40298</v>
      </c>
      <c r="B1268">
        <v>0.41299999999999998</v>
      </c>
      <c r="C1268" s="105">
        <v>40298</v>
      </c>
      <c r="D1268">
        <v>0.66300000000000003</v>
      </c>
      <c r="E1268" s="105">
        <v>40298</v>
      </c>
      <c r="F1268">
        <v>0.96799999999999997</v>
      </c>
      <c r="G1268" s="105">
        <v>40298</v>
      </c>
      <c r="H1268">
        <v>1.1080000000000001</v>
      </c>
      <c r="I1268" s="105">
        <v>40298</v>
      </c>
      <c r="J1268">
        <v>1.236</v>
      </c>
    </row>
    <row r="1269" spans="1:10">
      <c r="A1269" s="105">
        <v>40297</v>
      </c>
      <c r="B1269">
        <v>0.41099999999999998</v>
      </c>
      <c r="C1269" s="105">
        <v>40297</v>
      </c>
      <c r="D1269">
        <v>0.65900000000000003</v>
      </c>
      <c r="E1269" s="105">
        <v>40297</v>
      </c>
      <c r="F1269">
        <v>0.96699999999999997</v>
      </c>
      <c r="G1269" s="105">
        <v>40297</v>
      </c>
      <c r="H1269">
        <v>1.107</v>
      </c>
      <c r="I1269" s="105">
        <v>40297</v>
      </c>
      <c r="J1269">
        <v>1.236</v>
      </c>
    </row>
    <row r="1270" spans="1:10">
      <c r="A1270" s="105">
        <v>40296</v>
      </c>
      <c r="B1270">
        <v>0.40799999999999997</v>
      </c>
      <c r="C1270" s="105">
        <v>40296</v>
      </c>
      <c r="D1270">
        <v>0.65400000000000003</v>
      </c>
      <c r="E1270" s="105">
        <v>40296</v>
      </c>
      <c r="F1270">
        <v>0.96399999999999997</v>
      </c>
      <c r="G1270" s="105">
        <v>40296</v>
      </c>
      <c r="H1270">
        <v>1.1040000000000001</v>
      </c>
      <c r="I1270" s="105">
        <v>40296</v>
      </c>
      <c r="J1270">
        <v>1.2350000000000001</v>
      </c>
    </row>
    <row r="1271" spans="1:10">
      <c r="A1271" s="105">
        <v>40295</v>
      </c>
      <c r="B1271">
        <v>0.40500000000000003</v>
      </c>
      <c r="C1271" s="105">
        <v>40295</v>
      </c>
      <c r="D1271">
        <v>0.64600000000000002</v>
      </c>
      <c r="E1271" s="105">
        <v>40295</v>
      </c>
      <c r="F1271">
        <v>0.95799999999999996</v>
      </c>
      <c r="G1271" s="105">
        <v>40295</v>
      </c>
      <c r="H1271">
        <v>1.0980000000000001</v>
      </c>
      <c r="I1271" s="105">
        <v>40295</v>
      </c>
      <c r="J1271">
        <v>1.228</v>
      </c>
    </row>
    <row r="1272" spans="1:10">
      <c r="A1272" s="105">
        <v>40294</v>
      </c>
      <c r="B1272">
        <v>0.40400000000000003</v>
      </c>
      <c r="C1272" s="105">
        <v>40294</v>
      </c>
      <c r="D1272">
        <v>0.64500000000000002</v>
      </c>
      <c r="E1272" s="105">
        <v>40294</v>
      </c>
      <c r="F1272">
        <v>0.95899999999999996</v>
      </c>
      <c r="G1272" s="105">
        <v>40294</v>
      </c>
      <c r="H1272">
        <v>1.0980000000000001</v>
      </c>
      <c r="I1272" s="105">
        <v>40294</v>
      </c>
      <c r="J1272">
        <v>1.228</v>
      </c>
    </row>
    <row r="1273" spans="1:10">
      <c r="A1273" s="105">
        <v>40291</v>
      </c>
      <c r="B1273">
        <v>0.40500000000000003</v>
      </c>
      <c r="C1273" s="105">
        <v>40291</v>
      </c>
      <c r="D1273">
        <v>0.64500000000000002</v>
      </c>
      <c r="E1273" s="105">
        <v>40291</v>
      </c>
      <c r="F1273">
        <v>0.95699999999999996</v>
      </c>
      <c r="G1273" s="105">
        <v>40291</v>
      </c>
      <c r="H1273">
        <v>1.0980000000000001</v>
      </c>
      <c r="I1273" s="105">
        <v>40291</v>
      </c>
      <c r="J1273">
        <v>1.226</v>
      </c>
    </row>
    <row r="1274" spans="1:10">
      <c r="A1274" s="105">
        <v>40290</v>
      </c>
      <c r="B1274">
        <v>0.40400000000000003</v>
      </c>
      <c r="C1274" s="105">
        <v>40290</v>
      </c>
      <c r="D1274">
        <v>0.64400000000000002</v>
      </c>
      <c r="E1274" s="105">
        <v>40290</v>
      </c>
      <c r="F1274">
        <v>0.95499999999999996</v>
      </c>
      <c r="G1274" s="105">
        <v>40290</v>
      </c>
      <c r="H1274">
        <v>1.093</v>
      </c>
      <c r="I1274" s="105">
        <v>40290</v>
      </c>
      <c r="J1274">
        <v>1.2230000000000001</v>
      </c>
    </row>
    <row r="1275" spans="1:10">
      <c r="A1275" s="105">
        <v>40289</v>
      </c>
      <c r="B1275">
        <v>0.40400000000000003</v>
      </c>
      <c r="C1275" s="105">
        <v>40289</v>
      </c>
      <c r="D1275">
        <v>0.64200000000000002</v>
      </c>
      <c r="E1275" s="105">
        <v>40289</v>
      </c>
      <c r="F1275">
        <v>0.95399999999999996</v>
      </c>
      <c r="G1275" s="105">
        <v>40289</v>
      </c>
      <c r="H1275">
        <v>1.0920000000000001</v>
      </c>
      <c r="I1275" s="105">
        <v>40289</v>
      </c>
      <c r="J1275">
        <v>1.222</v>
      </c>
    </row>
    <row r="1276" spans="1:10">
      <c r="A1276" s="105">
        <v>40288</v>
      </c>
      <c r="B1276">
        <v>0.40400000000000003</v>
      </c>
      <c r="C1276" s="105">
        <v>40288</v>
      </c>
      <c r="D1276">
        <v>0.64200000000000002</v>
      </c>
      <c r="E1276" s="105">
        <v>40288</v>
      </c>
      <c r="F1276">
        <v>0.95299999999999996</v>
      </c>
      <c r="G1276" s="105">
        <v>40288</v>
      </c>
      <c r="H1276">
        <v>1.093</v>
      </c>
      <c r="I1276" s="105">
        <v>40288</v>
      </c>
      <c r="J1276">
        <v>1.222</v>
      </c>
    </row>
    <row r="1277" spans="1:10">
      <c r="A1277" s="105">
        <v>40287</v>
      </c>
      <c r="B1277">
        <v>0.40400000000000003</v>
      </c>
      <c r="C1277" s="105">
        <v>40287</v>
      </c>
      <c r="D1277">
        <v>0.64300000000000002</v>
      </c>
      <c r="E1277" s="105">
        <v>40287</v>
      </c>
      <c r="F1277">
        <v>0.95299999999999996</v>
      </c>
      <c r="G1277" s="105">
        <v>40287</v>
      </c>
      <c r="H1277">
        <v>1.0940000000000001</v>
      </c>
      <c r="I1277" s="105">
        <v>40287</v>
      </c>
      <c r="J1277">
        <v>1.2210000000000001</v>
      </c>
    </row>
    <row r="1278" spans="1:10">
      <c r="A1278" s="105">
        <v>40284</v>
      </c>
      <c r="B1278">
        <v>0.40500000000000003</v>
      </c>
      <c r="C1278" s="105">
        <v>40284</v>
      </c>
      <c r="D1278">
        <v>0.64400000000000002</v>
      </c>
      <c r="E1278" s="105">
        <v>40284</v>
      </c>
      <c r="F1278">
        <v>0.95399999999999996</v>
      </c>
      <c r="G1278" s="105">
        <v>40284</v>
      </c>
      <c r="H1278">
        <v>1.095</v>
      </c>
      <c r="I1278" s="105">
        <v>40284</v>
      </c>
      <c r="J1278">
        <v>1.224</v>
      </c>
    </row>
    <row r="1279" spans="1:10">
      <c r="A1279" s="105">
        <v>40283</v>
      </c>
      <c r="B1279">
        <v>0.40400000000000003</v>
      </c>
      <c r="C1279" s="105">
        <v>40283</v>
      </c>
      <c r="D1279">
        <v>0.64400000000000002</v>
      </c>
      <c r="E1279" s="105">
        <v>40283</v>
      </c>
      <c r="F1279">
        <v>0.95399999999999996</v>
      </c>
      <c r="G1279" s="105">
        <v>40283</v>
      </c>
      <c r="H1279">
        <v>1.095</v>
      </c>
      <c r="I1279" s="105">
        <v>40283</v>
      </c>
      <c r="J1279">
        <v>1.2250000000000001</v>
      </c>
    </row>
    <row r="1280" spans="1:10">
      <c r="A1280" s="105">
        <v>40282</v>
      </c>
      <c r="B1280">
        <v>0.40400000000000003</v>
      </c>
      <c r="C1280" s="105">
        <v>40282</v>
      </c>
      <c r="D1280">
        <v>0.64400000000000002</v>
      </c>
      <c r="E1280" s="105">
        <v>40282</v>
      </c>
      <c r="F1280">
        <v>0.95399999999999996</v>
      </c>
      <c r="G1280" s="105">
        <v>40282</v>
      </c>
      <c r="H1280">
        <v>1.0960000000000001</v>
      </c>
      <c r="I1280" s="105">
        <v>40282</v>
      </c>
      <c r="J1280">
        <v>1.226</v>
      </c>
    </row>
    <row r="1281" spans="1:10">
      <c r="A1281" s="105">
        <v>40281</v>
      </c>
      <c r="B1281">
        <v>0.40400000000000003</v>
      </c>
      <c r="C1281" s="105">
        <v>40281</v>
      </c>
      <c r="D1281">
        <v>0.64400000000000002</v>
      </c>
      <c r="E1281" s="105">
        <v>40281</v>
      </c>
      <c r="F1281">
        <v>0.95299999999999996</v>
      </c>
      <c r="G1281" s="105">
        <v>40281</v>
      </c>
      <c r="H1281">
        <v>1.097</v>
      </c>
      <c r="I1281" s="105">
        <v>40281</v>
      </c>
      <c r="J1281">
        <v>1.226</v>
      </c>
    </row>
    <row r="1282" spans="1:10">
      <c r="A1282" s="105">
        <v>40280</v>
      </c>
      <c r="B1282">
        <v>0.40300000000000002</v>
      </c>
      <c r="C1282" s="105">
        <v>40280</v>
      </c>
      <c r="D1282">
        <v>0.64200000000000002</v>
      </c>
      <c r="E1282" s="105">
        <v>40280</v>
      </c>
      <c r="F1282">
        <v>0.95299999999999996</v>
      </c>
      <c r="G1282" s="105">
        <v>40280</v>
      </c>
      <c r="H1282">
        <v>1.097</v>
      </c>
      <c r="I1282" s="105">
        <v>40280</v>
      </c>
      <c r="J1282">
        <v>1.224</v>
      </c>
    </row>
    <row r="1283" spans="1:10">
      <c r="A1283" s="105">
        <v>40277</v>
      </c>
      <c r="B1283">
        <v>0.40300000000000002</v>
      </c>
      <c r="C1283" s="105">
        <v>40277</v>
      </c>
      <c r="D1283">
        <v>0.64100000000000001</v>
      </c>
      <c r="E1283" s="105">
        <v>40277</v>
      </c>
      <c r="F1283">
        <v>0.95199999999999996</v>
      </c>
      <c r="G1283" s="105">
        <v>40277</v>
      </c>
      <c r="H1283">
        <v>1.0940000000000001</v>
      </c>
      <c r="I1283" s="105">
        <v>40277</v>
      </c>
      <c r="J1283">
        <v>1.2210000000000001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/>
  <dimension ref="A1:O62"/>
  <sheetViews>
    <sheetView workbookViewId="0">
      <selection activeCell="A4" sqref="A4"/>
    </sheetView>
  </sheetViews>
  <sheetFormatPr baseColWidth="10" defaultRowHeight="15"/>
  <sheetData>
    <row r="1" spans="1:15">
      <c r="A1" s="107" t="s">
        <v>97</v>
      </c>
      <c r="B1" s="107"/>
      <c r="E1" s="107" t="s">
        <v>103</v>
      </c>
      <c r="F1" s="107"/>
      <c r="G1" s="107" t="s">
        <v>104</v>
      </c>
      <c r="H1" s="107"/>
      <c r="I1" s="107" t="s">
        <v>105</v>
      </c>
      <c r="J1" s="107"/>
      <c r="K1" s="107" t="s">
        <v>106</v>
      </c>
      <c r="L1" s="107"/>
    </row>
    <row r="2" spans="1:15">
      <c r="A2" s="107" t="s">
        <v>19</v>
      </c>
      <c r="B2" s="107" t="s">
        <v>107</v>
      </c>
      <c r="E2" s="107"/>
      <c r="F2" s="107" t="s">
        <v>107</v>
      </c>
      <c r="G2" s="107"/>
      <c r="H2" s="107" t="s">
        <v>107</v>
      </c>
      <c r="I2" s="107"/>
      <c r="J2" s="107" t="s">
        <v>107</v>
      </c>
      <c r="K2" s="107"/>
      <c r="L2" s="107" t="s">
        <v>107</v>
      </c>
    </row>
    <row r="3" spans="1:15">
      <c r="A3" s="105">
        <v>40298</v>
      </c>
      <c r="B3" s="1">
        <v>4.1200000000000001E-2</v>
      </c>
      <c r="E3" s="105">
        <f t="shared" ref="E3:E34" si="0">A3+90</f>
        <v>40388</v>
      </c>
      <c r="F3" s="1">
        <f t="shared" ref="F3:F34" si="1">B3+0.1%</f>
        <v>4.2200000000000001E-2</v>
      </c>
      <c r="G3" s="105">
        <f t="shared" ref="G3:G34" si="2">A3+180</f>
        <v>40478</v>
      </c>
      <c r="H3" s="1">
        <f>F3+0.15%</f>
        <v>4.3700000000000003E-2</v>
      </c>
      <c r="I3" s="105">
        <f t="shared" ref="I3:I34" si="3">A3+270</f>
        <v>40568</v>
      </c>
      <c r="J3" s="1">
        <f>H3+0.2%</f>
        <v>4.5700000000000005E-2</v>
      </c>
      <c r="K3" s="105">
        <f t="shared" ref="K3:K34" si="4">A3+365</f>
        <v>40663</v>
      </c>
      <c r="L3" s="1">
        <f>J3+0.35%</f>
        <v>4.9200000000000008E-2</v>
      </c>
      <c r="N3" t="s">
        <v>136</v>
      </c>
    </row>
    <row r="4" spans="1:15">
      <c r="A4" s="105">
        <v>40329</v>
      </c>
      <c r="B4" s="1">
        <v>4.36E-2</v>
      </c>
      <c r="E4" s="105">
        <f t="shared" si="0"/>
        <v>40419</v>
      </c>
      <c r="F4" s="1">
        <f t="shared" si="1"/>
        <v>4.4600000000000001E-2</v>
      </c>
      <c r="G4" s="105">
        <f t="shared" si="2"/>
        <v>40509</v>
      </c>
      <c r="H4" s="1">
        <f t="shared" ref="H4:H62" si="5">F4+0.15%</f>
        <v>4.6100000000000002E-2</v>
      </c>
      <c r="I4" s="105">
        <f t="shared" si="3"/>
        <v>40599</v>
      </c>
      <c r="J4" s="1">
        <f t="shared" ref="J4:J62" si="6">H4+0.2%</f>
        <v>4.8100000000000004E-2</v>
      </c>
      <c r="K4" s="105">
        <f t="shared" si="4"/>
        <v>40694</v>
      </c>
      <c r="L4" s="1">
        <f t="shared" ref="L4:L62" si="7">J4+0.35%</f>
        <v>5.1600000000000007E-2</v>
      </c>
      <c r="N4" s="105">
        <v>42462</v>
      </c>
      <c r="O4" s="156">
        <f>cubspline(N4,$A$4:$A$1263,$B$4:$B$1263)</f>
        <v>5.0574193548387089E-2</v>
      </c>
    </row>
    <row r="5" spans="1:15">
      <c r="A5" s="105">
        <v>40359</v>
      </c>
      <c r="B5" s="1">
        <v>4.3099999999999999E-2</v>
      </c>
      <c r="E5" s="105">
        <f t="shared" si="0"/>
        <v>40449</v>
      </c>
      <c r="F5" s="1">
        <f t="shared" si="1"/>
        <v>4.41E-2</v>
      </c>
      <c r="G5" s="105">
        <f t="shared" si="2"/>
        <v>40539</v>
      </c>
      <c r="H5" s="1">
        <f t="shared" si="5"/>
        <v>4.5600000000000002E-2</v>
      </c>
      <c r="I5" s="105">
        <f t="shared" si="3"/>
        <v>40629</v>
      </c>
      <c r="J5" s="1">
        <f t="shared" si="6"/>
        <v>4.7600000000000003E-2</v>
      </c>
      <c r="K5" s="105">
        <f t="shared" si="4"/>
        <v>40724</v>
      </c>
      <c r="L5" s="1">
        <f t="shared" si="7"/>
        <v>5.1100000000000007E-2</v>
      </c>
    </row>
    <row r="6" spans="1:15">
      <c r="A6" s="105">
        <v>40390</v>
      </c>
      <c r="B6" s="1">
        <v>4.5199999999999997E-2</v>
      </c>
      <c r="E6" s="105">
        <f t="shared" si="0"/>
        <v>40480</v>
      </c>
      <c r="F6" s="1">
        <f t="shared" si="1"/>
        <v>4.6199999999999998E-2</v>
      </c>
      <c r="G6" s="105">
        <f t="shared" si="2"/>
        <v>40570</v>
      </c>
      <c r="H6" s="1">
        <f t="shared" si="5"/>
        <v>4.7699999999999999E-2</v>
      </c>
      <c r="I6" s="105">
        <f t="shared" si="3"/>
        <v>40660</v>
      </c>
      <c r="J6" s="1">
        <f t="shared" si="6"/>
        <v>4.9700000000000001E-2</v>
      </c>
      <c r="K6" s="105">
        <f t="shared" si="4"/>
        <v>40755</v>
      </c>
      <c r="L6" s="1">
        <f t="shared" si="7"/>
        <v>5.3199999999999997E-2</v>
      </c>
    </row>
    <row r="7" spans="1:15">
      <c r="A7" s="105">
        <v>40421</v>
      </c>
      <c r="B7" s="1">
        <v>4.6100000000000002E-2</v>
      </c>
      <c r="E7" s="105">
        <f t="shared" si="0"/>
        <v>40511</v>
      </c>
      <c r="F7" s="1">
        <f t="shared" si="1"/>
        <v>4.7100000000000003E-2</v>
      </c>
      <c r="G7" s="105">
        <f t="shared" si="2"/>
        <v>40601</v>
      </c>
      <c r="H7" s="1">
        <f t="shared" si="5"/>
        <v>4.8600000000000004E-2</v>
      </c>
      <c r="I7" s="105">
        <f t="shared" si="3"/>
        <v>40691</v>
      </c>
      <c r="J7" s="1">
        <f t="shared" si="6"/>
        <v>5.0600000000000006E-2</v>
      </c>
      <c r="K7" s="105">
        <f t="shared" si="4"/>
        <v>40786</v>
      </c>
      <c r="L7" s="1">
        <f t="shared" si="7"/>
        <v>5.4100000000000009E-2</v>
      </c>
    </row>
    <row r="8" spans="1:15">
      <c r="A8" s="105">
        <v>40451</v>
      </c>
      <c r="B8" s="1">
        <v>4.5199999999999997E-2</v>
      </c>
      <c r="E8" s="105">
        <f t="shared" si="0"/>
        <v>40541</v>
      </c>
      <c r="F8" s="1">
        <f t="shared" si="1"/>
        <v>4.6199999999999998E-2</v>
      </c>
      <c r="G8" s="105">
        <f t="shared" si="2"/>
        <v>40631</v>
      </c>
      <c r="H8" s="1">
        <f t="shared" si="5"/>
        <v>4.7699999999999999E-2</v>
      </c>
      <c r="I8" s="105">
        <f t="shared" si="3"/>
        <v>40721</v>
      </c>
      <c r="J8" s="1">
        <f t="shared" si="6"/>
        <v>4.9700000000000001E-2</v>
      </c>
      <c r="K8" s="105">
        <f t="shared" si="4"/>
        <v>40816</v>
      </c>
      <c r="L8" s="1">
        <f t="shared" si="7"/>
        <v>5.3199999999999997E-2</v>
      </c>
    </row>
    <row r="9" spans="1:15">
      <c r="A9" s="105">
        <v>40482</v>
      </c>
      <c r="B9" s="1">
        <v>4.6199999999999998E-2</v>
      </c>
      <c r="E9" s="105">
        <f t="shared" si="0"/>
        <v>40572</v>
      </c>
      <c r="F9" s="1">
        <f t="shared" si="1"/>
        <v>4.7199999999999999E-2</v>
      </c>
      <c r="G9" s="105">
        <f t="shared" si="2"/>
        <v>40662</v>
      </c>
      <c r="H9" s="1">
        <f t="shared" si="5"/>
        <v>4.87E-2</v>
      </c>
      <c r="I9" s="105">
        <f t="shared" si="3"/>
        <v>40752</v>
      </c>
      <c r="J9" s="1">
        <f t="shared" si="6"/>
        <v>5.0700000000000002E-2</v>
      </c>
      <c r="K9" s="105">
        <f t="shared" si="4"/>
        <v>40847</v>
      </c>
      <c r="L9" s="1">
        <f t="shared" si="7"/>
        <v>5.4199999999999998E-2</v>
      </c>
    </row>
    <row r="10" spans="1:15">
      <c r="A10" s="105">
        <v>40512</v>
      </c>
      <c r="B10" s="1">
        <v>4.8000000000000001E-2</v>
      </c>
      <c r="E10" s="105">
        <f t="shared" si="0"/>
        <v>40602</v>
      </c>
      <c r="F10" s="1">
        <f t="shared" si="1"/>
        <v>4.9000000000000002E-2</v>
      </c>
      <c r="G10" s="105">
        <f t="shared" si="2"/>
        <v>40692</v>
      </c>
      <c r="H10" s="1">
        <f t="shared" si="5"/>
        <v>5.0500000000000003E-2</v>
      </c>
      <c r="I10" s="105">
        <f t="shared" si="3"/>
        <v>40782</v>
      </c>
      <c r="J10" s="1">
        <f t="shared" si="6"/>
        <v>5.2500000000000005E-2</v>
      </c>
      <c r="K10" s="105">
        <f t="shared" si="4"/>
        <v>40877</v>
      </c>
      <c r="L10" s="1">
        <f t="shared" si="7"/>
        <v>5.6000000000000008E-2</v>
      </c>
    </row>
    <row r="11" spans="1:15">
      <c r="A11" s="105">
        <v>40543</v>
      </c>
      <c r="B11" s="1">
        <v>4.87E-2</v>
      </c>
      <c r="E11" s="105">
        <f t="shared" si="0"/>
        <v>40633</v>
      </c>
      <c r="F11" s="1">
        <f t="shared" si="1"/>
        <v>4.9700000000000001E-2</v>
      </c>
      <c r="G11" s="105">
        <f t="shared" si="2"/>
        <v>40723</v>
      </c>
      <c r="H11" s="1">
        <f t="shared" si="5"/>
        <v>5.1200000000000002E-2</v>
      </c>
      <c r="I11" s="105">
        <f t="shared" si="3"/>
        <v>40813</v>
      </c>
      <c r="J11" s="1">
        <f t="shared" si="6"/>
        <v>5.3200000000000004E-2</v>
      </c>
      <c r="K11" s="105">
        <f t="shared" si="4"/>
        <v>40908</v>
      </c>
      <c r="L11" s="1">
        <f t="shared" si="7"/>
        <v>5.67E-2</v>
      </c>
    </row>
    <row r="12" spans="1:15">
      <c r="A12" s="105">
        <v>40574</v>
      </c>
      <c r="B12" s="1">
        <v>4.7500000000000001E-2</v>
      </c>
      <c r="E12" s="105">
        <f t="shared" si="0"/>
        <v>40664</v>
      </c>
      <c r="F12" s="1">
        <f t="shared" si="1"/>
        <v>4.8500000000000001E-2</v>
      </c>
      <c r="G12" s="105">
        <f t="shared" si="2"/>
        <v>40754</v>
      </c>
      <c r="H12" s="1">
        <f t="shared" si="5"/>
        <v>0.05</v>
      </c>
      <c r="I12" s="105">
        <f t="shared" si="3"/>
        <v>40844</v>
      </c>
      <c r="J12" s="1">
        <f t="shared" si="6"/>
        <v>5.2000000000000005E-2</v>
      </c>
      <c r="K12" s="105">
        <f t="shared" si="4"/>
        <v>40939</v>
      </c>
      <c r="L12" s="1">
        <f t="shared" si="7"/>
        <v>5.5500000000000008E-2</v>
      </c>
    </row>
    <row r="13" spans="1:15">
      <c r="A13" s="105">
        <v>40602</v>
      </c>
      <c r="B13" s="1">
        <v>4.65E-2</v>
      </c>
      <c r="E13" s="105">
        <f t="shared" si="0"/>
        <v>40692</v>
      </c>
      <c r="F13" s="1">
        <f t="shared" si="1"/>
        <v>4.7500000000000001E-2</v>
      </c>
      <c r="G13" s="105">
        <f t="shared" si="2"/>
        <v>40782</v>
      </c>
      <c r="H13" s="1">
        <f t="shared" si="5"/>
        <v>4.9000000000000002E-2</v>
      </c>
      <c r="I13" s="105">
        <f t="shared" si="3"/>
        <v>40872</v>
      </c>
      <c r="J13" s="1">
        <f t="shared" si="6"/>
        <v>5.1000000000000004E-2</v>
      </c>
      <c r="K13" s="105">
        <f t="shared" si="4"/>
        <v>40967</v>
      </c>
      <c r="L13" s="1">
        <f t="shared" si="7"/>
        <v>5.4500000000000007E-2</v>
      </c>
    </row>
    <row r="14" spans="1:15">
      <c r="A14" s="105">
        <v>40633</v>
      </c>
      <c r="B14" s="1">
        <v>4.5600000000000002E-2</v>
      </c>
      <c r="E14" s="105">
        <f t="shared" si="0"/>
        <v>40723</v>
      </c>
      <c r="F14" s="1">
        <f t="shared" si="1"/>
        <v>4.6600000000000003E-2</v>
      </c>
      <c r="G14" s="105">
        <f t="shared" si="2"/>
        <v>40813</v>
      </c>
      <c r="H14" s="1">
        <f t="shared" si="5"/>
        <v>4.8100000000000004E-2</v>
      </c>
      <c r="I14" s="105">
        <f t="shared" si="3"/>
        <v>40903</v>
      </c>
      <c r="J14" s="1">
        <f t="shared" si="6"/>
        <v>5.0100000000000006E-2</v>
      </c>
      <c r="K14" s="105">
        <f t="shared" si="4"/>
        <v>40998</v>
      </c>
      <c r="L14" s="1">
        <f t="shared" si="7"/>
        <v>5.3600000000000009E-2</v>
      </c>
    </row>
    <row r="15" spans="1:15">
      <c r="A15" s="105">
        <v>40663</v>
      </c>
      <c r="B15" s="1">
        <v>4.3900000000000002E-2</v>
      </c>
      <c r="E15" s="105">
        <f t="shared" si="0"/>
        <v>40753</v>
      </c>
      <c r="F15" s="1">
        <f t="shared" si="1"/>
        <v>4.4900000000000002E-2</v>
      </c>
      <c r="G15" s="105">
        <f t="shared" si="2"/>
        <v>40843</v>
      </c>
      <c r="H15" s="1">
        <f t="shared" si="5"/>
        <v>4.6400000000000004E-2</v>
      </c>
      <c r="I15" s="105">
        <f t="shared" si="3"/>
        <v>40933</v>
      </c>
      <c r="J15" s="1">
        <f t="shared" si="6"/>
        <v>4.8400000000000006E-2</v>
      </c>
      <c r="K15" s="105">
        <f t="shared" si="4"/>
        <v>41028</v>
      </c>
      <c r="L15" s="1">
        <f t="shared" si="7"/>
        <v>5.1900000000000002E-2</v>
      </c>
    </row>
    <row r="16" spans="1:15">
      <c r="A16" s="105">
        <v>40694</v>
      </c>
      <c r="B16" s="1">
        <v>4.5100000000000001E-2</v>
      </c>
      <c r="E16" s="105">
        <f t="shared" si="0"/>
        <v>40784</v>
      </c>
      <c r="F16" s="1">
        <f t="shared" si="1"/>
        <v>4.6100000000000002E-2</v>
      </c>
      <c r="G16" s="105">
        <f t="shared" si="2"/>
        <v>40874</v>
      </c>
      <c r="H16" s="1">
        <f t="shared" si="5"/>
        <v>4.7600000000000003E-2</v>
      </c>
      <c r="I16" s="105">
        <f t="shared" si="3"/>
        <v>40964</v>
      </c>
      <c r="J16" s="1">
        <f t="shared" si="6"/>
        <v>4.9600000000000005E-2</v>
      </c>
      <c r="K16" s="105">
        <f t="shared" si="4"/>
        <v>41059</v>
      </c>
      <c r="L16" s="1">
        <f t="shared" si="7"/>
        <v>5.3100000000000008E-2</v>
      </c>
    </row>
    <row r="17" spans="1:12">
      <c r="A17" s="105">
        <v>40724</v>
      </c>
      <c r="B17" s="1">
        <v>4.4999999999999998E-2</v>
      </c>
      <c r="E17" s="105">
        <f t="shared" si="0"/>
        <v>40814</v>
      </c>
      <c r="F17" s="1">
        <f t="shared" si="1"/>
        <v>4.5999999999999999E-2</v>
      </c>
      <c r="G17" s="105">
        <f t="shared" si="2"/>
        <v>40904</v>
      </c>
      <c r="H17" s="1">
        <f t="shared" si="5"/>
        <v>4.7500000000000001E-2</v>
      </c>
      <c r="I17" s="105">
        <f t="shared" si="3"/>
        <v>40994</v>
      </c>
      <c r="J17" s="1">
        <f t="shared" si="6"/>
        <v>4.9500000000000002E-2</v>
      </c>
      <c r="K17" s="105">
        <f t="shared" si="4"/>
        <v>41089</v>
      </c>
      <c r="L17" s="1">
        <f t="shared" si="7"/>
        <v>5.3000000000000005E-2</v>
      </c>
    </row>
    <row r="18" spans="1:12">
      <c r="A18" s="105">
        <v>40755</v>
      </c>
      <c r="B18" s="1">
        <v>4.2500000000000003E-2</v>
      </c>
      <c r="E18" s="105">
        <f t="shared" si="0"/>
        <v>40845</v>
      </c>
      <c r="F18" s="1">
        <f t="shared" si="1"/>
        <v>4.3500000000000004E-2</v>
      </c>
      <c r="G18" s="105">
        <f t="shared" si="2"/>
        <v>40935</v>
      </c>
      <c r="H18" s="1">
        <f t="shared" si="5"/>
        <v>4.5000000000000005E-2</v>
      </c>
      <c r="I18" s="105">
        <f t="shared" si="3"/>
        <v>41025</v>
      </c>
      <c r="J18" s="1">
        <f t="shared" si="6"/>
        <v>4.7000000000000007E-2</v>
      </c>
      <c r="K18" s="105">
        <f t="shared" si="4"/>
        <v>41120</v>
      </c>
      <c r="L18" s="1">
        <f t="shared" si="7"/>
        <v>5.0500000000000003E-2</v>
      </c>
    </row>
    <row r="19" spans="1:12">
      <c r="A19" s="105">
        <v>40786</v>
      </c>
      <c r="B19" s="1">
        <v>3.7600000000000001E-2</v>
      </c>
      <c r="E19" s="105">
        <f t="shared" si="0"/>
        <v>40876</v>
      </c>
      <c r="F19" s="1">
        <f t="shared" si="1"/>
        <v>3.8600000000000002E-2</v>
      </c>
      <c r="G19" s="105">
        <f t="shared" si="2"/>
        <v>40966</v>
      </c>
      <c r="H19" s="1">
        <f t="shared" si="5"/>
        <v>4.0100000000000004E-2</v>
      </c>
      <c r="I19" s="105">
        <f t="shared" si="3"/>
        <v>41056</v>
      </c>
      <c r="J19" s="1">
        <f t="shared" si="6"/>
        <v>4.2100000000000005E-2</v>
      </c>
      <c r="K19" s="105">
        <f t="shared" si="4"/>
        <v>41151</v>
      </c>
      <c r="L19" s="1">
        <f t="shared" si="7"/>
        <v>4.5600000000000002E-2</v>
      </c>
    </row>
    <row r="20" spans="1:12">
      <c r="A20" s="105">
        <v>40816</v>
      </c>
      <c r="B20" s="1">
        <v>3.2399999999999998E-2</v>
      </c>
      <c r="E20" s="105">
        <f t="shared" si="0"/>
        <v>40906</v>
      </c>
      <c r="F20" s="1">
        <f t="shared" si="1"/>
        <v>3.3399999999999999E-2</v>
      </c>
      <c r="G20" s="105">
        <f t="shared" si="2"/>
        <v>40996</v>
      </c>
      <c r="H20" s="1">
        <f t="shared" si="5"/>
        <v>3.49E-2</v>
      </c>
      <c r="I20" s="105">
        <f t="shared" si="3"/>
        <v>41086</v>
      </c>
      <c r="J20" s="1">
        <f t="shared" si="6"/>
        <v>3.6900000000000002E-2</v>
      </c>
      <c r="K20" s="105">
        <f t="shared" si="4"/>
        <v>41181</v>
      </c>
      <c r="L20" s="1">
        <f t="shared" si="7"/>
        <v>4.0400000000000005E-2</v>
      </c>
    </row>
    <row r="21" spans="1:12">
      <c r="A21" s="105">
        <v>40847</v>
      </c>
      <c r="B21" s="1">
        <v>3.32E-2</v>
      </c>
      <c r="E21" s="105">
        <f t="shared" si="0"/>
        <v>40937</v>
      </c>
      <c r="F21" s="1">
        <f t="shared" si="1"/>
        <v>3.4200000000000001E-2</v>
      </c>
      <c r="G21" s="105">
        <f t="shared" si="2"/>
        <v>41027</v>
      </c>
      <c r="H21" s="1">
        <f t="shared" si="5"/>
        <v>3.5700000000000003E-2</v>
      </c>
      <c r="I21" s="105">
        <f t="shared" si="3"/>
        <v>41117</v>
      </c>
      <c r="J21" s="1">
        <f t="shared" si="6"/>
        <v>3.7700000000000004E-2</v>
      </c>
      <c r="K21" s="105">
        <f t="shared" si="4"/>
        <v>41212</v>
      </c>
      <c r="L21" s="1">
        <f t="shared" si="7"/>
        <v>4.1200000000000001E-2</v>
      </c>
    </row>
    <row r="22" spans="1:12">
      <c r="A22" s="105">
        <v>40877</v>
      </c>
      <c r="B22" s="1">
        <v>3.1600000000000003E-2</v>
      </c>
      <c r="E22" s="105">
        <f t="shared" si="0"/>
        <v>40967</v>
      </c>
      <c r="F22" s="1">
        <f t="shared" si="1"/>
        <v>3.2600000000000004E-2</v>
      </c>
      <c r="G22" s="105">
        <f t="shared" si="2"/>
        <v>41057</v>
      </c>
      <c r="H22" s="1">
        <f t="shared" si="5"/>
        <v>3.4100000000000005E-2</v>
      </c>
      <c r="I22" s="105">
        <f t="shared" si="3"/>
        <v>41147</v>
      </c>
      <c r="J22" s="1">
        <f t="shared" si="6"/>
        <v>3.6100000000000007E-2</v>
      </c>
      <c r="K22" s="105">
        <f t="shared" si="4"/>
        <v>41242</v>
      </c>
      <c r="L22" s="1">
        <f t="shared" si="7"/>
        <v>3.960000000000001E-2</v>
      </c>
    </row>
    <row r="23" spans="1:12">
      <c r="A23" s="105">
        <v>40908</v>
      </c>
      <c r="B23" s="1">
        <v>3.2300000000000002E-2</v>
      </c>
      <c r="E23" s="105">
        <f t="shared" si="0"/>
        <v>40998</v>
      </c>
      <c r="F23" s="1">
        <f t="shared" si="1"/>
        <v>3.3300000000000003E-2</v>
      </c>
      <c r="G23" s="105">
        <f t="shared" si="2"/>
        <v>41088</v>
      </c>
      <c r="H23" s="1">
        <f t="shared" si="5"/>
        <v>3.4800000000000005E-2</v>
      </c>
      <c r="I23" s="105">
        <f t="shared" si="3"/>
        <v>41178</v>
      </c>
      <c r="J23" s="1">
        <f t="shared" si="6"/>
        <v>3.6800000000000006E-2</v>
      </c>
      <c r="K23" s="105">
        <f t="shared" si="4"/>
        <v>41273</v>
      </c>
      <c r="L23" s="1">
        <f t="shared" si="7"/>
        <v>4.0300000000000002E-2</v>
      </c>
    </row>
    <row r="24" spans="1:12">
      <c r="A24" s="105">
        <v>40939</v>
      </c>
      <c r="B24" s="1">
        <v>3.1600000000000003E-2</v>
      </c>
      <c r="E24" s="105">
        <f t="shared" si="0"/>
        <v>41029</v>
      </c>
      <c r="F24" s="1">
        <f t="shared" si="1"/>
        <v>3.2600000000000004E-2</v>
      </c>
      <c r="G24" s="105">
        <f t="shared" si="2"/>
        <v>41119</v>
      </c>
      <c r="H24" s="1">
        <f t="shared" si="5"/>
        <v>3.4100000000000005E-2</v>
      </c>
      <c r="I24" s="105">
        <f t="shared" si="3"/>
        <v>41209</v>
      </c>
      <c r="J24" s="1">
        <f t="shared" si="6"/>
        <v>3.6100000000000007E-2</v>
      </c>
      <c r="K24" s="105">
        <f t="shared" si="4"/>
        <v>41304</v>
      </c>
      <c r="L24" s="1">
        <f t="shared" si="7"/>
        <v>3.960000000000001E-2</v>
      </c>
    </row>
    <row r="25" spans="1:12">
      <c r="A25" s="105">
        <v>40968</v>
      </c>
      <c r="B25" s="1">
        <v>3.4200000000000001E-2</v>
      </c>
      <c r="E25" s="105">
        <f t="shared" si="0"/>
        <v>41058</v>
      </c>
      <c r="F25" s="1">
        <f t="shared" si="1"/>
        <v>3.5200000000000002E-2</v>
      </c>
      <c r="G25" s="105">
        <f t="shared" si="2"/>
        <v>41148</v>
      </c>
      <c r="H25" s="1">
        <f t="shared" si="5"/>
        <v>3.6700000000000003E-2</v>
      </c>
      <c r="I25" s="105">
        <f t="shared" si="3"/>
        <v>41238</v>
      </c>
      <c r="J25" s="1">
        <f t="shared" si="6"/>
        <v>3.8700000000000005E-2</v>
      </c>
      <c r="K25" s="105">
        <f t="shared" si="4"/>
        <v>41333</v>
      </c>
      <c r="L25" s="1">
        <f t="shared" si="7"/>
        <v>4.2200000000000001E-2</v>
      </c>
    </row>
    <row r="26" spans="1:12">
      <c r="A26" s="105">
        <v>40999</v>
      </c>
      <c r="B26" s="1">
        <v>3.4799999999999998E-2</v>
      </c>
      <c r="E26" s="105">
        <f t="shared" si="0"/>
        <v>41089</v>
      </c>
      <c r="F26" s="1">
        <f t="shared" si="1"/>
        <v>3.5799999999999998E-2</v>
      </c>
      <c r="G26" s="105">
        <f t="shared" si="2"/>
        <v>41179</v>
      </c>
      <c r="H26" s="1">
        <f t="shared" si="5"/>
        <v>3.73E-2</v>
      </c>
      <c r="I26" s="105">
        <f t="shared" si="3"/>
        <v>41269</v>
      </c>
      <c r="J26" s="1">
        <f t="shared" si="6"/>
        <v>3.9300000000000002E-2</v>
      </c>
      <c r="K26" s="105">
        <f t="shared" si="4"/>
        <v>41364</v>
      </c>
      <c r="L26" s="1">
        <f t="shared" si="7"/>
        <v>4.2800000000000005E-2</v>
      </c>
    </row>
    <row r="27" spans="1:12">
      <c r="A27" s="105">
        <v>41029</v>
      </c>
      <c r="B27" s="1">
        <v>3.6400000000000002E-2</v>
      </c>
      <c r="E27" s="105">
        <f t="shared" si="0"/>
        <v>41119</v>
      </c>
      <c r="F27" s="1">
        <f t="shared" si="1"/>
        <v>3.7400000000000003E-2</v>
      </c>
      <c r="G27" s="105">
        <f t="shared" si="2"/>
        <v>41209</v>
      </c>
      <c r="H27" s="1">
        <f t="shared" si="5"/>
        <v>3.8900000000000004E-2</v>
      </c>
      <c r="I27" s="105">
        <f t="shared" si="3"/>
        <v>41299</v>
      </c>
      <c r="J27" s="1">
        <f t="shared" si="6"/>
        <v>4.0900000000000006E-2</v>
      </c>
      <c r="K27" s="105">
        <f t="shared" si="4"/>
        <v>41394</v>
      </c>
      <c r="L27" s="1">
        <f t="shared" si="7"/>
        <v>4.4400000000000009E-2</v>
      </c>
    </row>
    <row r="28" spans="1:12">
      <c r="A28" s="105">
        <v>41060</v>
      </c>
      <c r="B28" s="1">
        <v>3.7400000000000003E-2</v>
      </c>
      <c r="E28" s="105">
        <f t="shared" si="0"/>
        <v>41150</v>
      </c>
      <c r="F28" s="1">
        <f t="shared" si="1"/>
        <v>3.8400000000000004E-2</v>
      </c>
      <c r="G28" s="105">
        <f t="shared" si="2"/>
        <v>41240</v>
      </c>
      <c r="H28" s="1">
        <f t="shared" si="5"/>
        <v>3.9900000000000005E-2</v>
      </c>
      <c r="I28" s="105">
        <f t="shared" si="3"/>
        <v>41330</v>
      </c>
      <c r="J28" s="1">
        <f t="shared" si="6"/>
        <v>4.1900000000000007E-2</v>
      </c>
      <c r="K28" s="105">
        <f t="shared" si="4"/>
        <v>41425</v>
      </c>
      <c r="L28" s="1">
        <f t="shared" si="7"/>
        <v>4.540000000000001E-2</v>
      </c>
    </row>
    <row r="29" spans="1:12">
      <c r="A29" s="105">
        <v>41090</v>
      </c>
      <c r="B29" s="1">
        <v>3.6400000000000002E-2</v>
      </c>
      <c r="E29" s="105">
        <f t="shared" si="0"/>
        <v>41180</v>
      </c>
      <c r="F29" s="1">
        <f t="shared" si="1"/>
        <v>3.7400000000000003E-2</v>
      </c>
      <c r="G29" s="105">
        <f t="shared" si="2"/>
        <v>41270</v>
      </c>
      <c r="H29" s="1">
        <f t="shared" si="5"/>
        <v>3.8900000000000004E-2</v>
      </c>
      <c r="I29" s="105">
        <f t="shared" si="3"/>
        <v>41360</v>
      </c>
      <c r="J29" s="1">
        <f t="shared" si="6"/>
        <v>4.0900000000000006E-2</v>
      </c>
      <c r="K29" s="105">
        <f t="shared" si="4"/>
        <v>41455</v>
      </c>
      <c r="L29" s="1">
        <f t="shared" si="7"/>
        <v>4.4400000000000009E-2</v>
      </c>
    </row>
    <row r="30" spans="1:12">
      <c r="A30" s="105">
        <v>41121</v>
      </c>
      <c r="B30" s="1">
        <v>3.85E-2</v>
      </c>
      <c r="E30" s="105">
        <f t="shared" si="0"/>
        <v>41211</v>
      </c>
      <c r="F30" s="1">
        <f t="shared" si="1"/>
        <v>3.95E-2</v>
      </c>
      <c r="G30" s="105">
        <f t="shared" si="2"/>
        <v>41301</v>
      </c>
      <c r="H30" s="1">
        <f t="shared" si="5"/>
        <v>4.1000000000000002E-2</v>
      </c>
      <c r="I30" s="105">
        <f t="shared" si="3"/>
        <v>41391</v>
      </c>
      <c r="J30" s="1">
        <f t="shared" si="6"/>
        <v>4.3000000000000003E-2</v>
      </c>
      <c r="K30" s="105">
        <f t="shared" si="4"/>
        <v>41486</v>
      </c>
      <c r="L30" s="1">
        <f t="shared" si="7"/>
        <v>4.65E-2</v>
      </c>
    </row>
    <row r="31" spans="1:12">
      <c r="A31" s="105">
        <v>41152</v>
      </c>
      <c r="B31" s="1">
        <v>3.8800000000000001E-2</v>
      </c>
      <c r="E31" s="105">
        <f t="shared" si="0"/>
        <v>41242</v>
      </c>
      <c r="F31" s="1">
        <f t="shared" si="1"/>
        <v>3.9800000000000002E-2</v>
      </c>
      <c r="G31" s="105">
        <f t="shared" si="2"/>
        <v>41332</v>
      </c>
      <c r="H31" s="1">
        <f t="shared" si="5"/>
        <v>4.1300000000000003E-2</v>
      </c>
      <c r="I31" s="105">
        <f t="shared" si="3"/>
        <v>41422</v>
      </c>
      <c r="J31" s="1">
        <f t="shared" si="6"/>
        <v>4.3300000000000005E-2</v>
      </c>
      <c r="K31" s="105">
        <f t="shared" si="4"/>
        <v>41517</v>
      </c>
      <c r="L31" s="1">
        <f t="shared" si="7"/>
        <v>4.6800000000000008E-2</v>
      </c>
    </row>
    <row r="32" spans="1:12">
      <c r="A32" s="105">
        <v>41182</v>
      </c>
      <c r="B32" s="1">
        <v>3.9E-2</v>
      </c>
      <c r="E32" s="105">
        <f t="shared" si="0"/>
        <v>41272</v>
      </c>
      <c r="F32" s="1">
        <f t="shared" si="1"/>
        <v>0.04</v>
      </c>
      <c r="G32" s="105">
        <f t="shared" si="2"/>
        <v>41362</v>
      </c>
      <c r="H32" s="1">
        <f t="shared" si="5"/>
        <v>4.1500000000000002E-2</v>
      </c>
      <c r="I32" s="105">
        <f t="shared" si="3"/>
        <v>41452</v>
      </c>
      <c r="J32" s="1">
        <f t="shared" si="6"/>
        <v>4.3500000000000004E-2</v>
      </c>
      <c r="K32" s="105">
        <f t="shared" si="4"/>
        <v>41547</v>
      </c>
      <c r="L32" s="1">
        <f t="shared" si="7"/>
        <v>4.7E-2</v>
      </c>
    </row>
    <row r="33" spans="1:12">
      <c r="A33" s="105">
        <v>41213</v>
      </c>
      <c r="B33" s="1">
        <v>4.1500000000000002E-2</v>
      </c>
      <c r="E33" s="105">
        <f t="shared" si="0"/>
        <v>41303</v>
      </c>
      <c r="F33" s="1">
        <f t="shared" si="1"/>
        <v>4.2500000000000003E-2</v>
      </c>
      <c r="G33" s="105">
        <f t="shared" si="2"/>
        <v>41393</v>
      </c>
      <c r="H33" s="1">
        <f t="shared" si="5"/>
        <v>4.4000000000000004E-2</v>
      </c>
      <c r="I33" s="105">
        <f t="shared" si="3"/>
        <v>41483</v>
      </c>
      <c r="J33" s="1">
        <f t="shared" si="6"/>
        <v>4.6000000000000006E-2</v>
      </c>
      <c r="K33" s="105">
        <f t="shared" si="4"/>
        <v>41578</v>
      </c>
      <c r="L33" s="1">
        <f t="shared" si="7"/>
        <v>4.9500000000000002E-2</v>
      </c>
    </row>
    <row r="34" spans="1:12">
      <c r="A34" s="105">
        <v>41243</v>
      </c>
      <c r="B34" s="1">
        <v>4.1799999999999997E-2</v>
      </c>
      <c r="E34" s="105">
        <f t="shared" si="0"/>
        <v>41333</v>
      </c>
      <c r="F34" s="1">
        <f t="shared" si="1"/>
        <v>4.2799999999999998E-2</v>
      </c>
      <c r="G34" s="105">
        <f t="shared" si="2"/>
        <v>41423</v>
      </c>
      <c r="H34" s="1">
        <f t="shared" si="5"/>
        <v>4.4299999999999999E-2</v>
      </c>
      <c r="I34" s="105">
        <f t="shared" si="3"/>
        <v>41513</v>
      </c>
      <c r="J34" s="1">
        <f t="shared" si="6"/>
        <v>4.6300000000000001E-2</v>
      </c>
      <c r="K34" s="105">
        <f t="shared" si="4"/>
        <v>41608</v>
      </c>
      <c r="L34" s="1">
        <f t="shared" si="7"/>
        <v>4.9799999999999997E-2</v>
      </c>
    </row>
    <row r="35" spans="1:12">
      <c r="A35" s="105">
        <v>41274</v>
      </c>
      <c r="B35" s="1">
        <v>3.9800000000000002E-2</v>
      </c>
      <c r="E35" s="105">
        <f t="shared" ref="E35:E62" si="8">A35+90</f>
        <v>41364</v>
      </c>
      <c r="F35" s="1">
        <f t="shared" ref="F35:F62" si="9">B35+0.1%</f>
        <v>4.0800000000000003E-2</v>
      </c>
      <c r="G35" s="105">
        <f t="shared" ref="G35:G62" si="10">A35+180</f>
        <v>41454</v>
      </c>
      <c r="H35" s="1">
        <f t="shared" si="5"/>
        <v>4.2300000000000004E-2</v>
      </c>
      <c r="I35" s="105">
        <f t="shared" ref="I35:I62" si="11">A35+270</f>
        <v>41544</v>
      </c>
      <c r="J35" s="1">
        <f t="shared" si="6"/>
        <v>4.4300000000000006E-2</v>
      </c>
      <c r="K35" s="105">
        <f t="shared" ref="K35:K62" si="12">A35+365</f>
        <v>41639</v>
      </c>
      <c r="L35" s="1">
        <f t="shared" si="7"/>
        <v>4.7800000000000009E-2</v>
      </c>
    </row>
    <row r="36" spans="1:12">
      <c r="A36" s="105">
        <v>41305</v>
      </c>
      <c r="B36" s="1">
        <v>4.1099999999999998E-2</v>
      </c>
      <c r="E36" s="105">
        <f t="shared" si="8"/>
        <v>41395</v>
      </c>
      <c r="F36" s="1">
        <f t="shared" si="9"/>
        <v>4.2099999999999999E-2</v>
      </c>
      <c r="G36" s="105">
        <f t="shared" si="10"/>
        <v>41485</v>
      </c>
      <c r="H36" s="1">
        <f t="shared" si="5"/>
        <v>4.36E-2</v>
      </c>
      <c r="I36" s="105">
        <f t="shared" si="11"/>
        <v>41575</v>
      </c>
      <c r="J36" s="1">
        <f t="shared" si="6"/>
        <v>4.5600000000000002E-2</v>
      </c>
      <c r="K36" s="105">
        <f t="shared" si="12"/>
        <v>41670</v>
      </c>
      <c r="L36" s="1">
        <f t="shared" si="7"/>
        <v>4.9100000000000005E-2</v>
      </c>
    </row>
    <row r="37" spans="1:12">
      <c r="A37" s="105">
        <v>41333</v>
      </c>
      <c r="B37" s="1">
        <v>4.2000000000000003E-2</v>
      </c>
      <c r="E37" s="105">
        <f t="shared" si="8"/>
        <v>41423</v>
      </c>
      <c r="F37" s="1">
        <f t="shared" si="9"/>
        <v>4.3000000000000003E-2</v>
      </c>
      <c r="G37" s="105">
        <f t="shared" si="10"/>
        <v>41513</v>
      </c>
      <c r="H37" s="1">
        <f t="shared" si="5"/>
        <v>4.4500000000000005E-2</v>
      </c>
      <c r="I37" s="105">
        <f t="shared" si="11"/>
        <v>41603</v>
      </c>
      <c r="J37" s="1">
        <f t="shared" si="6"/>
        <v>4.6500000000000007E-2</v>
      </c>
      <c r="K37" s="105">
        <f t="shared" si="12"/>
        <v>41698</v>
      </c>
      <c r="L37" s="1">
        <f t="shared" si="7"/>
        <v>0.05</v>
      </c>
    </row>
    <row r="38" spans="1:12">
      <c r="A38" s="105">
        <v>41364</v>
      </c>
      <c r="B38" s="1">
        <v>4.3299999999999998E-2</v>
      </c>
      <c r="E38" s="105">
        <f t="shared" si="8"/>
        <v>41454</v>
      </c>
      <c r="F38" s="1">
        <f t="shared" si="9"/>
        <v>4.4299999999999999E-2</v>
      </c>
      <c r="G38" s="105">
        <f t="shared" si="10"/>
        <v>41544</v>
      </c>
      <c r="H38" s="1">
        <f t="shared" si="5"/>
        <v>4.58E-2</v>
      </c>
      <c r="I38" s="105">
        <f t="shared" si="11"/>
        <v>41634</v>
      </c>
      <c r="J38" s="1">
        <f t="shared" si="6"/>
        <v>4.7800000000000002E-2</v>
      </c>
      <c r="K38" s="105">
        <f t="shared" si="12"/>
        <v>41729</v>
      </c>
      <c r="L38" s="1">
        <f t="shared" si="7"/>
        <v>5.1299999999999998E-2</v>
      </c>
    </row>
    <row r="39" spans="1:12">
      <c r="A39" s="105">
        <v>41394</v>
      </c>
      <c r="B39" s="1">
        <v>4.7E-2</v>
      </c>
      <c r="E39" s="105">
        <f t="shared" si="8"/>
        <v>41484</v>
      </c>
      <c r="F39" s="1">
        <f t="shared" si="9"/>
        <v>4.8000000000000001E-2</v>
      </c>
      <c r="G39" s="105">
        <f t="shared" si="10"/>
        <v>41574</v>
      </c>
      <c r="H39" s="1">
        <f t="shared" si="5"/>
        <v>4.9500000000000002E-2</v>
      </c>
      <c r="I39" s="105">
        <f t="shared" si="11"/>
        <v>41664</v>
      </c>
      <c r="J39" s="1">
        <f t="shared" si="6"/>
        <v>5.1500000000000004E-2</v>
      </c>
      <c r="K39" s="105">
        <f t="shared" si="12"/>
        <v>41759</v>
      </c>
      <c r="L39" s="1">
        <f t="shared" si="7"/>
        <v>5.5000000000000007E-2</v>
      </c>
    </row>
    <row r="40" spans="1:12">
      <c r="A40" s="105">
        <v>41425</v>
      </c>
      <c r="B40" s="1">
        <v>4.6899999999999997E-2</v>
      </c>
      <c r="E40" s="105">
        <f t="shared" si="8"/>
        <v>41515</v>
      </c>
      <c r="F40" s="1">
        <f t="shared" si="9"/>
        <v>4.7899999999999998E-2</v>
      </c>
      <c r="G40" s="105">
        <f t="shared" si="10"/>
        <v>41605</v>
      </c>
      <c r="H40" s="1">
        <f t="shared" si="5"/>
        <v>4.9399999999999999E-2</v>
      </c>
      <c r="I40" s="105">
        <f t="shared" si="11"/>
        <v>41695</v>
      </c>
      <c r="J40" s="1">
        <f t="shared" si="6"/>
        <v>5.1400000000000001E-2</v>
      </c>
      <c r="K40" s="105">
        <f t="shared" si="12"/>
        <v>41790</v>
      </c>
      <c r="L40" s="1">
        <f t="shared" si="7"/>
        <v>5.4900000000000004E-2</v>
      </c>
    </row>
    <row r="41" spans="1:12">
      <c r="A41" s="105">
        <v>41455</v>
      </c>
      <c r="B41" s="1">
        <v>4.7399999999999998E-2</v>
      </c>
      <c r="E41" s="105">
        <f t="shared" si="8"/>
        <v>41545</v>
      </c>
      <c r="F41" s="1">
        <f t="shared" si="9"/>
        <v>4.8399999999999999E-2</v>
      </c>
      <c r="G41" s="105">
        <f t="shared" si="10"/>
        <v>41635</v>
      </c>
      <c r="H41" s="1">
        <f t="shared" si="5"/>
        <v>4.99E-2</v>
      </c>
      <c r="I41" s="105">
        <f t="shared" si="11"/>
        <v>41725</v>
      </c>
      <c r="J41" s="1">
        <f t="shared" si="6"/>
        <v>5.1900000000000002E-2</v>
      </c>
      <c r="K41" s="105">
        <f t="shared" si="12"/>
        <v>41820</v>
      </c>
      <c r="L41" s="1">
        <f t="shared" si="7"/>
        <v>5.5400000000000005E-2</v>
      </c>
    </row>
    <row r="42" spans="1:12">
      <c r="A42" s="105">
        <v>41486</v>
      </c>
      <c r="B42" s="1">
        <v>4.7300000000000002E-2</v>
      </c>
      <c r="E42" s="105">
        <f t="shared" si="8"/>
        <v>41576</v>
      </c>
      <c r="F42" s="1">
        <f t="shared" si="9"/>
        <v>4.8300000000000003E-2</v>
      </c>
      <c r="G42" s="105">
        <f t="shared" si="10"/>
        <v>41666</v>
      </c>
      <c r="H42" s="1">
        <f t="shared" si="5"/>
        <v>4.9800000000000004E-2</v>
      </c>
      <c r="I42" s="105">
        <f t="shared" si="11"/>
        <v>41756</v>
      </c>
      <c r="J42" s="1">
        <f t="shared" si="6"/>
        <v>5.1800000000000006E-2</v>
      </c>
      <c r="K42" s="105">
        <f t="shared" si="12"/>
        <v>41851</v>
      </c>
      <c r="L42" s="1">
        <f t="shared" si="7"/>
        <v>5.5300000000000002E-2</v>
      </c>
    </row>
    <row r="43" spans="1:12">
      <c r="A43" s="105">
        <v>41517</v>
      </c>
      <c r="B43" s="1">
        <v>4.7500000000000001E-2</v>
      </c>
      <c r="E43" s="105">
        <f t="shared" si="8"/>
        <v>41607</v>
      </c>
      <c r="F43" s="1">
        <f t="shared" si="9"/>
        <v>4.8500000000000001E-2</v>
      </c>
      <c r="G43" s="105">
        <f t="shared" si="10"/>
        <v>41697</v>
      </c>
      <c r="H43" s="1">
        <f t="shared" si="5"/>
        <v>0.05</v>
      </c>
      <c r="I43" s="105">
        <f t="shared" si="11"/>
        <v>41787</v>
      </c>
      <c r="J43" s="1">
        <f t="shared" si="6"/>
        <v>5.2000000000000005E-2</v>
      </c>
      <c r="K43" s="105">
        <f t="shared" si="12"/>
        <v>41882</v>
      </c>
      <c r="L43" s="1">
        <f t="shared" si="7"/>
        <v>5.5500000000000008E-2</v>
      </c>
    </row>
    <row r="44" spans="1:12">
      <c r="A44" s="105">
        <v>41547</v>
      </c>
      <c r="B44" s="1">
        <v>4.7199999999999999E-2</v>
      </c>
      <c r="E44" s="105">
        <f t="shared" si="8"/>
        <v>41637</v>
      </c>
      <c r="F44" s="1">
        <f t="shared" si="9"/>
        <v>4.82E-2</v>
      </c>
      <c r="G44" s="105">
        <f t="shared" si="10"/>
        <v>41727</v>
      </c>
      <c r="H44" s="1">
        <f t="shared" si="5"/>
        <v>4.9700000000000001E-2</v>
      </c>
      <c r="I44" s="105">
        <f t="shared" si="11"/>
        <v>41817</v>
      </c>
      <c r="J44" s="1">
        <f t="shared" si="6"/>
        <v>5.1700000000000003E-2</v>
      </c>
      <c r="K44" s="105">
        <f t="shared" si="12"/>
        <v>41912</v>
      </c>
      <c r="L44" s="1">
        <f t="shared" si="7"/>
        <v>5.5199999999999999E-2</v>
      </c>
    </row>
    <row r="45" spans="1:12">
      <c r="A45" s="105">
        <v>41578</v>
      </c>
      <c r="B45" s="1">
        <v>4.6600000000000003E-2</v>
      </c>
      <c r="E45" s="105">
        <f t="shared" si="8"/>
        <v>41668</v>
      </c>
      <c r="F45" s="1">
        <f t="shared" si="9"/>
        <v>4.7600000000000003E-2</v>
      </c>
      <c r="G45" s="105">
        <f t="shared" si="10"/>
        <v>41758</v>
      </c>
      <c r="H45" s="1">
        <f t="shared" si="5"/>
        <v>4.9100000000000005E-2</v>
      </c>
      <c r="I45" s="105">
        <f t="shared" si="11"/>
        <v>41848</v>
      </c>
      <c r="J45" s="1">
        <f t="shared" si="6"/>
        <v>5.1100000000000007E-2</v>
      </c>
      <c r="K45" s="105">
        <f t="shared" si="12"/>
        <v>41943</v>
      </c>
      <c r="L45" s="1">
        <f t="shared" si="7"/>
        <v>5.460000000000001E-2</v>
      </c>
    </row>
    <row r="46" spans="1:12">
      <c r="A46" s="105">
        <v>41608</v>
      </c>
      <c r="B46" s="1">
        <v>4.7500000000000001E-2</v>
      </c>
      <c r="E46" s="105">
        <f t="shared" si="8"/>
        <v>41698</v>
      </c>
      <c r="F46" s="1">
        <f t="shared" si="9"/>
        <v>4.8500000000000001E-2</v>
      </c>
      <c r="G46" s="105">
        <f t="shared" si="10"/>
        <v>41788</v>
      </c>
      <c r="H46" s="1">
        <f t="shared" si="5"/>
        <v>0.05</v>
      </c>
      <c r="I46" s="105">
        <f t="shared" si="11"/>
        <v>41878</v>
      </c>
      <c r="J46" s="1">
        <f t="shared" si="6"/>
        <v>5.2000000000000005E-2</v>
      </c>
      <c r="K46" s="105">
        <f t="shared" si="12"/>
        <v>41973</v>
      </c>
      <c r="L46" s="1">
        <f t="shared" si="7"/>
        <v>5.5500000000000008E-2</v>
      </c>
    </row>
    <row r="47" spans="1:12">
      <c r="A47" s="105">
        <v>41639</v>
      </c>
      <c r="B47" s="1">
        <v>4.7399999999999998E-2</v>
      </c>
      <c r="E47" s="105">
        <f t="shared" si="8"/>
        <v>41729</v>
      </c>
      <c r="F47" s="1">
        <f t="shared" si="9"/>
        <v>4.8399999999999999E-2</v>
      </c>
      <c r="G47" s="105">
        <f t="shared" si="10"/>
        <v>41819</v>
      </c>
      <c r="H47" s="1">
        <f t="shared" si="5"/>
        <v>4.99E-2</v>
      </c>
      <c r="I47" s="105">
        <f t="shared" si="11"/>
        <v>41909</v>
      </c>
      <c r="J47" s="1">
        <f t="shared" si="6"/>
        <v>5.1900000000000002E-2</v>
      </c>
      <c r="K47" s="105">
        <f t="shared" si="12"/>
        <v>42004</v>
      </c>
      <c r="L47" s="1">
        <f t="shared" si="7"/>
        <v>5.5400000000000005E-2</v>
      </c>
    </row>
    <row r="48" spans="1:12">
      <c r="A48" s="105">
        <v>41670</v>
      </c>
      <c r="B48" s="1">
        <v>4.7100000000000003E-2</v>
      </c>
      <c r="E48" s="105">
        <f t="shared" si="8"/>
        <v>41760</v>
      </c>
      <c r="F48" s="1">
        <f t="shared" si="9"/>
        <v>4.8100000000000004E-2</v>
      </c>
      <c r="G48" s="105">
        <f t="shared" si="10"/>
        <v>41850</v>
      </c>
      <c r="H48" s="1">
        <f t="shared" si="5"/>
        <v>4.9600000000000005E-2</v>
      </c>
      <c r="I48" s="105">
        <f t="shared" si="11"/>
        <v>41940</v>
      </c>
      <c r="J48" s="1">
        <f t="shared" si="6"/>
        <v>5.1600000000000007E-2</v>
      </c>
      <c r="K48" s="105">
        <f t="shared" si="12"/>
        <v>42035</v>
      </c>
      <c r="L48" s="1">
        <f t="shared" si="7"/>
        <v>5.510000000000001E-2</v>
      </c>
    </row>
    <row r="49" spans="1:12">
      <c r="A49" s="105">
        <v>41698</v>
      </c>
      <c r="B49" s="1">
        <v>4.6800000000000001E-2</v>
      </c>
      <c r="E49" s="105">
        <f t="shared" si="8"/>
        <v>41788</v>
      </c>
      <c r="F49" s="1">
        <f t="shared" si="9"/>
        <v>4.7800000000000002E-2</v>
      </c>
      <c r="G49" s="105">
        <f t="shared" si="10"/>
        <v>41878</v>
      </c>
      <c r="H49" s="1">
        <f t="shared" si="5"/>
        <v>4.9300000000000004E-2</v>
      </c>
      <c r="I49" s="105">
        <f t="shared" si="11"/>
        <v>41968</v>
      </c>
      <c r="J49" s="1">
        <f t="shared" si="6"/>
        <v>5.1300000000000005E-2</v>
      </c>
      <c r="K49" s="105">
        <f t="shared" si="12"/>
        <v>42063</v>
      </c>
      <c r="L49" s="1">
        <f t="shared" si="7"/>
        <v>5.4800000000000001E-2</v>
      </c>
    </row>
    <row r="50" spans="1:12">
      <c r="A50" s="105">
        <v>41729</v>
      </c>
      <c r="B50" s="1">
        <v>4.7199999999999999E-2</v>
      </c>
      <c r="E50" s="105">
        <f t="shared" si="8"/>
        <v>41819</v>
      </c>
      <c r="F50" s="1">
        <f t="shared" si="9"/>
        <v>4.82E-2</v>
      </c>
      <c r="G50" s="105">
        <f t="shared" si="10"/>
        <v>41909</v>
      </c>
      <c r="H50" s="1">
        <f t="shared" si="5"/>
        <v>4.9700000000000001E-2</v>
      </c>
      <c r="I50" s="105">
        <f t="shared" si="11"/>
        <v>41999</v>
      </c>
      <c r="J50" s="1">
        <f t="shared" si="6"/>
        <v>5.1700000000000003E-2</v>
      </c>
      <c r="K50" s="105">
        <f t="shared" si="12"/>
        <v>42094</v>
      </c>
      <c r="L50" s="1">
        <f t="shared" si="7"/>
        <v>5.5199999999999999E-2</v>
      </c>
    </row>
    <row r="51" spans="1:12">
      <c r="A51" s="105">
        <v>41759</v>
      </c>
      <c r="B51" s="1">
        <v>4.7199999999999999E-2</v>
      </c>
      <c r="E51" s="105">
        <f t="shared" si="8"/>
        <v>41849</v>
      </c>
      <c r="F51" s="1">
        <f t="shared" si="9"/>
        <v>4.82E-2</v>
      </c>
      <c r="G51" s="105">
        <f t="shared" si="10"/>
        <v>41939</v>
      </c>
      <c r="H51" s="1">
        <f t="shared" si="5"/>
        <v>4.9700000000000001E-2</v>
      </c>
      <c r="I51" s="105">
        <f t="shared" si="11"/>
        <v>42029</v>
      </c>
      <c r="J51" s="1">
        <f t="shared" si="6"/>
        <v>5.1700000000000003E-2</v>
      </c>
      <c r="K51" s="105">
        <f t="shared" si="12"/>
        <v>42124</v>
      </c>
      <c r="L51" s="1">
        <f t="shared" si="7"/>
        <v>5.5199999999999999E-2</v>
      </c>
    </row>
    <row r="52" spans="1:12">
      <c r="A52" s="105">
        <v>41790</v>
      </c>
      <c r="B52" s="1">
        <v>4.7E-2</v>
      </c>
      <c r="E52" s="105">
        <f t="shared" si="8"/>
        <v>41880</v>
      </c>
      <c r="F52" s="1">
        <f t="shared" si="9"/>
        <v>4.8000000000000001E-2</v>
      </c>
      <c r="G52" s="105">
        <f t="shared" si="10"/>
        <v>41970</v>
      </c>
      <c r="H52" s="1">
        <f t="shared" si="5"/>
        <v>4.9500000000000002E-2</v>
      </c>
      <c r="I52" s="105">
        <f t="shared" si="11"/>
        <v>42060</v>
      </c>
      <c r="J52" s="1">
        <f t="shared" si="6"/>
        <v>5.1500000000000004E-2</v>
      </c>
      <c r="K52" s="105">
        <f t="shared" si="12"/>
        <v>42155</v>
      </c>
      <c r="L52" s="1">
        <f t="shared" si="7"/>
        <v>5.5000000000000007E-2</v>
      </c>
    </row>
    <row r="53" spans="1:12">
      <c r="A53" s="105">
        <v>41820</v>
      </c>
      <c r="B53" s="1">
        <v>4.7800000000000002E-2</v>
      </c>
      <c r="E53" s="105">
        <f t="shared" si="8"/>
        <v>41910</v>
      </c>
      <c r="F53" s="1">
        <f t="shared" si="9"/>
        <v>4.8800000000000003E-2</v>
      </c>
      <c r="G53" s="105">
        <f t="shared" si="10"/>
        <v>42000</v>
      </c>
      <c r="H53" s="1">
        <f t="shared" si="5"/>
        <v>5.0300000000000004E-2</v>
      </c>
      <c r="I53" s="105">
        <f t="shared" si="11"/>
        <v>42090</v>
      </c>
      <c r="J53" s="1">
        <f t="shared" si="6"/>
        <v>5.2300000000000006E-2</v>
      </c>
      <c r="K53" s="105">
        <f t="shared" si="12"/>
        <v>42185</v>
      </c>
      <c r="L53" s="1">
        <f t="shared" si="7"/>
        <v>5.5800000000000002E-2</v>
      </c>
    </row>
    <row r="54" spans="1:12">
      <c r="A54" s="105">
        <v>41851</v>
      </c>
      <c r="B54" s="1">
        <v>4.9799999999999997E-2</v>
      </c>
      <c r="E54" s="105">
        <f t="shared" si="8"/>
        <v>41941</v>
      </c>
      <c r="F54" s="1">
        <f t="shared" si="9"/>
        <v>5.0799999999999998E-2</v>
      </c>
      <c r="G54" s="105">
        <f t="shared" si="10"/>
        <v>42031</v>
      </c>
      <c r="H54" s="1">
        <f t="shared" si="5"/>
        <v>5.2299999999999999E-2</v>
      </c>
      <c r="I54" s="105">
        <f t="shared" si="11"/>
        <v>42121</v>
      </c>
      <c r="J54" s="1">
        <f t="shared" si="6"/>
        <v>5.4300000000000001E-2</v>
      </c>
      <c r="K54" s="105">
        <f t="shared" si="12"/>
        <v>42216</v>
      </c>
      <c r="L54" s="1">
        <f t="shared" si="7"/>
        <v>5.7800000000000004E-2</v>
      </c>
    </row>
    <row r="55" spans="1:12">
      <c r="A55" s="105">
        <v>41882</v>
      </c>
      <c r="B55" s="1">
        <v>4.9399999999999999E-2</v>
      </c>
      <c r="E55" s="105">
        <f t="shared" si="8"/>
        <v>41972</v>
      </c>
      <c r="F55" s="1">
        <f t="shared" si="9"/>
        <v>5.04E-2</v>
      </c>
      <c r="G55" s="105">
        <f t="shared" si="10"/>
        <v>42062</v>
      </c>
      <c r="H55" s="1">
        <f t="shared" si="5"/>
        <v>5.1900000000000002E-2</v>
      </c>
      <c r="I55" s="105">
        <f t="shared" si="11"/>
        <v>42152</v>
      </c>
      <c r="J55" s="1">
        <f t="shared" si="6"/>
        <v>5.3900000000000003E-2</v>
      </c>
      <c r="K55" s="105">
        <f t="shared" si="12"/>
        <v>42247</v>
      </c>
      <c r="L55" s="1">
        <f t="shared" si="7"/>
        <v>5.7400000000000007E-2</v>
      </c>
    </row>
    <row r="56" spans="1:12">
      <c r="A56" s="105">
        <v>41912</v>
      </c>
      <c r="B56" s="1">
        <v>4.9200000000000001E-2</v>
      </c>
      <c r="E56" s="105">
        <f t="shared" si="8"/>
        <v>42002</v>
      </c>
      <c r="F56" s="1">
        <f t="shared" si="9"/>
        <v>5.0200000000000002E-2</v>
      </c>
      <c r="G56" s="105">
        <f t="shared" si="10"/>
        <v>42092</v>
      </c>
      <c r="H56" s="1">
        <f t="shared" si="5"/>
        <v>5.1700000000000003E-2</v>
      </c>
      <c r="I56" s="105">
        <f t="shared" si="11"/>
        <v>42182</v>
      </c>
      <c r="J56" s="1">
        <f t="shared" si="6"/>
        <v>5.3700000000000005E-2</v>
      </c>
      <c r="K56" s="105">
        <f t="shared" si="12"/>
        <v>42277</v>
      </c>
      <c r="L56" s="1">
        <f t="shared" si="7"/>
        <v>5.7200000000000001E-2</v>
      </c>
    </row>
    <row r="57" spans="1:12">
      <c r="A57" s="105">
        <v>41943</v>
      </c>
      <c r="B57" s="1">
        <v>4.9299999999999997E-2</v>
      </c>
      <c r="E57" s="105">
        <f t="shared" si="8"/>
        <v>42033</v>
      </c>
      <c r="F57" s="1">
        <f t="shared" si="9"/>
        <v>5.0299999999999997E-2</v>
      </c>
      <c r="G57" s="105">
        <f t="shared" si="10"/>
        <v>42123</v>
      </c>
      <c r="H57" s="1">
        <f t="shared" si="5"/>
        <v>5.1799999999999999E-2</v>
      </c>
      <c r="I57" s="105">
        <f t="shared" si="11"/>
        <v>42213</v>
      </c>
      <c r="J57" s="1">
        <f t="shared" si="6"/>
        <v>5.3800000000000001E-2</v>
      </c>
      <c r="K57" s="105">
        <f t="shared" si="12"/>
        <v>42308</v>
      </c>
      <c r="L57" s="1">
        <f t="shared" si="7"/>
        <v>5.7300000000000004E-2</v>
      </c>
    </row>
    <row r="58" spans="1:12">
      <c r="A58" s="105">
        <v>41973</v>
      </c>
      <c r="B58" s="1">
        <v>4.9299999999999997E-2</v>
      </c>
      <c r="E58" s="105">
        <f t="shared" si="8"/>
        <v>42063</v>
      </c>
      <c r="F58" s="1">
        <f t="shared" si="9"/>
        <v>5.0299999999999997E-2</v>
      </c>
      <c r="G58" s="105">
        <f t="shared" si="10"/>
        <v>42153</v>
      </c>
      <c r="H58" s="1">
        <f t="shared" si="5"/>
        <v>5.1799999999999999E-2</v>
      </c>
      <c r="I58" s="105">
        <f t="shared" si="11"/>
        <v>42243</v>
      </c>
      <c r="J58" s="1">
        <f t="shared" si="6"/>
        <v>5.3800000000000001E-2</v>
      </c>
      <c r="K58" s="105">
        <f t="shared" si="12"/>
        <v>42338</v>
      </c>
      <c r="L58" s="1">
        <f t="shared" si="7"/>
        <v>5.7300000000000004E-2</v>
      </c>
    </row>
    <row r="59" spans="1:12">
      <c r="A59" s="105">
        <v>42004</v>
      </c>
      <c r="B59" s="1">
        <v>4.8800000000000003E-2</v>
      </c>
      <c r="E59" s="105">
        <f t="shared" si="8"/>
        <v>42094</v>
      </c>
      <c r="F59" s="1">
        <f t="shared" si="9"/>
        <v>4.9800000000000004E-2</v>
      </c>
      <c r="G59" s="105">
        <f t="shared" si="10"/>
        <v>42184</v>
      </c>
      <c r="H59" s="1">
        <f t="shared" si="5"/>
        <v>5.1300000000000005E-2</v>
      </c>
      <c r="I59" s="105">
        <f t="shared" si="11"/>
        <v>42274</v>
      </c>
      <c r="J59" s="1">
        <f t="shared" si="6"/>
        <v>5.3300000000000007E-2</v>
      </c>
      <c r="K59" s="105">
        <f t="shared" si="12"/>
        <v>42369</v>
      </c>
      <c r="L59" s="1">
        <f t="shared" si="7"/>
        <v>5.6800000000000003E-2</v>
      </c>
    </row>
    <row r="60" spans="1:12">
      <c r="A60" s="105">
        <v>42035</v>
      </c>
      <c r="B60" s="1">
        <v>4.8899999999999999E-2</v>
      </c>
      <c r="E60" s="105">
        <f t="shared" si="8"/>
        <v>42125</v>
      </c>
      <c r="F60" s="1">
        <f t="shared" si="9"/>
        <v>4.99E-2</v>
      </c>
      <c r="G60" s="105">
        <f t="shared" si="10"/>
        <v>42215</v>
      </c>
      <c r="H60" s="1">
        <f t="shared" si="5"/>
        <v>5.1400000000000001E-2</v>
      </c>
      <c r="I60" s="105">
        <f t="shared" si="11"/>
        <v>42305</v>
      </c>
      <c r="J60" s="1">
        <f t="shared" si="6"/>
        <v>5.3400000000000003E-2</v>
      </c>
      <c r="K60" s="105">
        <f t="shared" si="12"/>
        <v>42400</v>
      </c>
      <c r="L60" s="1">
        <f t="shared" si="7"/>
        <v>5.6900000000000006E-2</v>
      </c>
    </row>
    <row r="61" spans="1:12">
      <c r="A61" s="105">
        <v>42063</v>
      </c>
      <c r="B61" s="1">
        <v>4.8000000000000001E-2</v>
      </c>
      <c r="E61" s="105">
        <f t="shared" si="8"/>
        <v>42153</v>
      </c>
      <c r="F61" s="1">
        <f t="shared" si="9"/>
        <v>4.9000000000000002E-2</v>
      </c>
      <c r="G61" s="105">
        <f t="shared" si="10"/>
        <v>42243</v>
      </c>
      <c r="H61" s="1">
        <f t="shared" si="5"/>
        <v>5.0500000000000003E-2</v>
      </c>
      <c r="I61" s="105">
        <f t="shared" si="11"/>
        <v>42333</v>
      </c>
      <c r="J61" s="1">
        <f t="shared" si="6"/>
        <v>5.2500000000000005E-2</v>
      </c>
      <c r="K61" s="105">
        <f t="shared" si="12"/>
        <v>42428</v>
      </c>
      <c r="L61" s="1">
        <f t="shared" si="7"/>
        <v>5.6000000000000008E-2</v>
      </c>
    </row>
    <row r="62" spans="1:12">
      <c r="A62" s="105">
        <v>42094</v>
      </c>
      <c r="B62" s="1">
        <v>4.82E-2</v>
      </c>
      <c r="E62" s="105">
        <f t="shared" si="8"/>
        <v>42184</v>
      </c>
      <c r="F62" s="1">
        <f t="shared" si="9"/>
        <v>4.9200000000000001E-2</v>
      </c>
      <c r="G62" s="105">
        <f t="shared" si="10"/>
        <v>42274</v>
      </c>
      <c r="H62" s="1">
        <f t="shared" si="5"/>
        <v>5.0700000000000002E-2</v>
      </c>
      <c r="I62" s="105">
        <f t="shared" si="11"/>
        <v>42364</v>
      </c>
      <c r="J62" s="1">
        <f t="shared" si="6"/>
        <v>5.2700000000000004E-2</v>
      </c>
      <c r="K62" s="105">
        <f t="shared" si="12"/>
        <v>42459</v>
      </c>
      <c r="L62" s="1">
        <f t="shared" si="7"/>
        <v>5.62E-2</v>
      </c>
    </row>
  </sheetData>
  <sortState ref="A3:B62">
    <sortCondition ref="A3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F31"/>
  <sheetViews>
    <sheetView zoomScale="80" zoomScaleNormal="80" workbookViewId="0">
      <selection activeCell="E2" sqref="E2"/>
    </sheetView>
  </sheetViews>
  <sheetFormatPr baseColWidth="10" defaultRowHeight="15"/>
  <cols>
    <col min="5" max="5" width="11.42578125" style="1"/>
  </cols>
  <sheetData>
    <row r="1" spans="1:6" ht="18.75">
      <c r="A1" s="10" t="s">
        <v>3</v>
      </c>
      <c r="B1" s="10" t="s">
        <v>2</v>
      </c>
      <c r="C1" s="7"/>
      <c r="D1" s="9" t="s">
        <v>1</v>
      </c>
      <c r="E1" s="8" t="s">
        <v>0</v>
      </c>
      <c r="F1" s="7"/>
    </row>
    <row r="2" spans="1:6">
      <c r="A2" s="6">
        <v>1</v>
      </c>
      <c r="B2" s="5">
        <v>4.7649999999999998E-2</v>
      </c>
      <c r="D2" s="2">
        <v>1</v>
      </c>
      <c r="E2" s="1">
        <f t="shared" ref="E2:E31" si="0">cubspline(D2,$A$2:$A$27,$B$2:$B$27)</f>
        <v>4.7649999999999998E-2</v>
      </c>
    </row>
    <row r="3" spans="1:6">
      <c r="A3" s="4">
        <v>21</v>
      </c>
      <c r="B3" s="3">
        <v>4.7730000000000002E-2</v>
      </c>
      <c r="D3" s="2">
        <f>7</f>
        <v>7</v>
      </c>
      <c r="E3" s="1">
        <f t="shared" si="0"/>
        <v>4.7674420000000002E-2</v>
      </c>
    </row>
    <row r="4" spans="1:6">
      <c r="A4" s="4">
        <v>48</v>
      </c>
      <c r="B4" s="3">
        <v>4.7829999999999998E-2</v>
      </c>
      <c r="D4" s="2">
        <f>30</f>
        <v>30</v>
      </c>
      <c r="E4" s="1">
        <f t="shared" si="0"/>
        <v>4.77636848913972E-2</v>
      </c>
    </row>
    <row r="5" spans="1:6">
      <c r="A5" s="4">
        <v>76</v>
      </c>
      <c r="B5" s="3">
        <v>4.7940000000000003E-2</v>
      </c>
      <c r="D5" s="2">
        <v>60</v>
      </c>
      <c r="E5" s="1">
        <f t="shared" si="0"/>
        <v>4.7876187355185784E-2</v>
      </c>
    </row>
    <row r="6" spans="1:6">
      <c r="A6" s="4">
        <v>104</v>
      </c>
      <c r="B6" s="3">
        <v>4.8059999999999999E-2</v>
      </c>
      <c r="D6" s="2">
        <f>90</f>
        <v>90</v>
      </c>
      <c r="E6" s="1">
        <f t="shared" si="0"/>
        <v>4.8000419254658387E-2</v>
      </c>
    </row>
    <row r="7" spans="1:6">
      <c r="A7" s="4">
        <v>139</v>
      </c>
      <c r="B7" s="3">
        <v>4.8189999999999997E-2</v>
      </c>
      <c r="D7" s="2">
        <f>180</f>
        <v>180</v>
      </c>
      <c r="E7" s="1">
        <f t="shared" si="0"/>
        <v>4.8356485165931912E-2</v>
      </c>
    </row>
    <row r="8" spans="1:6">
      <c r="A8" s="4">
        <v>167</v>
      </c>
      <c r="B8" s="3">
        <v>4.8300000000000003E-2</v>
      </c>
      <c r="D8" s="2">
        <f>270</f>
        <v>270</v>
      </c>
      <c r="E8" s="1">
        <f t="shared" si="0"/>
        <v>4.8714712333050983E-2</v>
      </c>
    </row>
    <row r="9" spans="1:6">
      <c r="A9" s="4">
        <v>188</v>
      </c>
      <c r="B9" s="3">
        <v>4.8390000000000002E-2</v>
      </c>
      <c r="D9" s="2">
        <f>365</f>
        <v>365</v>
      </c>
      <c r="E9" s="1">
        <f t="shared" si="0"/>
        <v>4.9274472451517379E-2</v>
      </c>
    </row>
    <row r="10" spans="1:6">
      <c r="A10" s="4">
        <v>224</v>
      </c>
      <c r="B10" s="3">
        <v>4.8520000000000001E-2</v>
      </c>
      <c r="D10" s="2">
        <f t="shared" ref="D10:D31" si="1">D9+365</f>
        <v>730</v>
      </c>
      <c r="E10" s="1">
        <f t="shared" si="0"/>
        <v>5.2488904423077798E-2</v>
      </c>
    </row>
    <row r="11" spans="1:6">
      <c r="A11" s="4">
        <v>236</v>
      </c>
      <c r="B11" s="3">
        <v>4.8579999999999998E-2</v>
      </c>
      <c r="D11" s="2">
        <f t="shared" si="1"/>
        <v>1095</v>
      </c>
      <c r="E11" s="1">
        <f t="shared" si="0"/>
        <v>5.5623476197514538E-2</v>
      </c>
    </row>
    <row r="12" spans="1:6">
      <c r="A12" s="4">
        <v>251</v>
      </c>
      <c r="B12" s="3">
        <v>4.8640000000000003E-2</v>
      </c>
      <c r="D12" s="2">
        <f t="shared" si="1"/>
        <v>1460</v>
      </c>
      <c r="E12" s="1">
        <f t="shared" si="0"/>
        <v>5.827798385998658E-2</v>
      </c>
    </row>
    <row r="13" spans="1:6">
      <c r="A13" s="4">
        <v>279</v>
      </c>
      <c r="B13" s="3">
        <v>4.8750000000000002E-2</v>
      </c>
      <c r="D13" s="2">
        <f t="shared" si="1"/>
        <v>1825</v>
      </c>
      <c r="E13" s="1">
        <f t="shared" si="0"/>
        <v>6.0139516709996461E-2</v>
      </c>
    </row>
    <row r="14" spans="1:6">
      <c r="A14" s="4">
        <v>307</v>
      </c>
      <c r="B14" s="3">
        <v>4.8860000000000001E-2</v>
      </c>
      <c r="D14" s="2">
        <f t="shared" si="1"/>
        <v>2190</v>
      </c>
      <c r="E14" s="1">
        <f t="shared" si="0"/>
        <v>6.2108277528703924E-2</v>
      </c>
    </row>
    <row r="15" spans="1:6">
      <c r="A15" s="4">
        <v>481</v>
      </c>
      <c r="B15" s="3">
        <v>5.0349999999999999E-2</v>
      </c>
      <c r="D15" s="2">
        <f t="shared" si="1"/>
        <v>2555</v>
      </c>
      <c r="E15" s="1">
        <f t="shared" si="0"/>
        <v>6.3174967685322422E-2</v>
      </c>
    </row>
    <row r="16" spans="1:6">
      <c r="A16" s="4">
        <v>632</v>
      </c>
      <c r="B16" s="3">
        <v>5.1650000000000001E-2</v>
      </c>
      <c r="D16" s="2">
        <f t="shared" si="1"/>
        <v>2920</v>
      </c>
      <c r="E16" s="1">
        <f t="shared" si="0"/>
        <v>6.3768839093106336E-2</v>
      </c>
    </row>
    <row r="17" spans="1:5">
      <c r="A17" s="4">
        <v>846</v>
      </c>
      <c r="B17" s="3">
        <v>5.348E-2</v>
      </c>
      <c r="D17" s="2">
        <f t="shared" si="1"/>
        <v>3285</v>
      </c>
      <c r="E17" s="1">
        <f t="shared" si="0"/>
        <v>6.4428829787234007E-2</v>
      </c>
    </row>
    <row r="18" spans="1:5">
      <c r="A18" s="4">
        <v>908</v>
      </c>
      <c r="B18" s="3">
        <v>5.4010000000000002E-2</v>
      </c>
      <c r="D18" s="2">
        <f t="shared" si="1"/>
        <v>3650</v>
      </c>
      <c r="E18" s="1">
        <f t="shared" si="0"/>
        <v>6.5088936170212691E-2</v>
      </c>
    </row>
    <row r="19" spans="1:5">
      <c r="A19" s="4">
        <v>1119</v>
      </c>
      <c r="B19" s="3">
        <v>5.5829999999999998E-2</v>
      </c>
      <c r="D19" s="2">
        <f t="shared" si="1"/>
        <v>4015</v>
      </c>
      <c r="E19" s="1">
        <f t="shared" si="0"/>
        <v>6.5749042553191375E-2</v>
      </c>
    </row>
    <row r="20" spans="1:5">
      <c r="A20" s="4">
        <v>1307</v>
      </c>
      <c r="B20" s="3">
        <v>5.7439999999999998E-2</v>
      </c>
      <c r="D20" s="2">
        <f t="shared" si="1"/>
        <v>4380</v>
      </c>
      <c r="E20" s="1">
        <f t="shared" si="0"/>
        <v>6.6409148936170059E-2</v>
      </c>
    </row>
    <row r="21" spans="1:5">
      <c r="A21" s="4">
        <v>1577</v>
      </c>
      <c r="B21" s="3">
        <v>5.885E-2</v>
      </c>
      <c r="D21" s="2">
        <f t="shared" si="1"/>
        <v>4745</v>
      </c>
      <c r="E21" s="1">
        <f t="shared" si="0"/>
        <v>6.7069255319148743E-2</v>
      </c>
    </row>
    <row r="22" spans="1:5">
      <c r="A22" s="4">
        <v>1636</v>
      </c>
      <c r="B22" s="3">
        <v>5.9150000000000001E-2</v>
      </c>
      <c r="D22" s="2">
        <f t="shared" si="1"/>
        <v>5110</v>
      </c>
      <c r="E22" s="1">
        <f t="shared" si="0"/>
        <v>6.7729361702127414E-2</v>
      </c>
    </row>
    <row r="23" spans="1:5">
      <c r="A23" s="4">
        <v>1727</v>
      </c>
      <c r="B23" s="3">
        <v>5.9630000000000002E-2</v>
      </c>
      <c r="D23" s="2">
        <f t="shared" si="1"/>
        <v>5475</v>
      </c>
      <c r="E23" s="1">
        <f t="shared" si="0"/>
        <v>6.8389468085106098E-2</v>
      </c>
    </row>
    <row r="24" spans="1:5">
      <c r="A24" s="4">
        <v>2065</v>
      </c>
      <c r="B24" s="3">
        <v>6.1379999999999997E-2</v>
      </c>
      <c r="D24" s="2">
        <f t="shared" si="1"/>
        <v>5840</v>
      </c>
      <c r="E24" s="1">
        <f t="shared" si="0"/>
        <v>6.9049574468084782E-2</v>
      </c>
    </row>
    <row r="25" spans="1:5">
      <c r="A25" s="4">
        <v>2311</v>
      </c>
      <c r="B25" s="3">
        <v>6.2659999999999993E-2</v>
      </c>
      <c r="D25" s="2">
        <f t="shared" si="1"/>
        <v>6205</v>
      </c>
      <c r="E25" s="1">
        <f t="shared" si="0"/>
        <v>6.9709680851063466E-2</v>
      </c>
    </row>
    <row r="26" spans="1:5">
      <c r="A26" s="4">
        <v>2882</v>
      </c>
      <c r="B26" s="3">
        <v>6.3700000000000007E-2</v>
      </c>
      <c r="D26" s="2">
        <f t="shared" si="1"/>
        <v>6570</v>
      </c>
      <c r="E26" s="1">
        <f t="shared" si="0"/>
        <v>7.036978723404215E-2</v>
      </c>
    </row>
    <row r="27" spans="1:5">
      <c r="A27" s="4">
        <v>2976</v>
      </c>
      <c r="B27" s="3">
        <v>6.3869999999999996E-2</v>
      </c>
      <c r="D27" s="2">
        <f t="shared" si="1"/>
        <v>6935</v>
      </c>
      <c r="E27" s="1">
        <f t="shared" si="0"/>
        <v>7.1029893617020834E-2</v>
      </c>
    </row>
    <row r="28" spans="1:5">
      <c r="D28" s="2">
        <f t="shared" si="1"/>
        <v>7300</v>
      </c>
      <c r="E28" s="1">
        <f t="shared" si="0"/>
        <v>7.1689999999999518E-2</v>
      </c>
    </row>
    <row r="29" spans="1:5">
      <c r="D29" s="2">
        <f t="shared" si="1"/>
        <v>7665</v>
      </c>
      <c r="E29" s="1">
        <f t="shared" si="0"/>
        <v>7.2350106382978202E-2</v>
      </c>
    </row>
    <row r="30" spans="1:5">
      <c r="D30" s="2">
        <f t="shared" si="1"/>
        <v>8030</v>
      </c>
      <c r="E30" s="1">
        <f t="shared" si="0"/>
        <v>7.3010212765956886E-2</v>
      </c>
    </row>
    <row r="31" spans="1:5">
      <c r="D31" s="2">
        <f t="shared" si="1"/>
        <v>8395</v>
      </c>
      <c r="E31" s="1">
        <f t="shared" si="0"/>
        <v>7.367031914893557E-2</v>
      </c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K1818"/>
  <sheetViews>
    <sheetView showGridLines="0" zoomScale="130" zoomScaleNormal="130" workbookViewId="0">
      <selection activeCell="A2" sqref="A2"/>
    </sheetView>
  </sheetViews>
  <sheetFormatPr baseColWidth="10" defaultColWidth="9.140625" defaultRowHeight="12.75"/>
  <cols>
    <col min="1" max="1" width="13.5703125" style="14" customWidth="1"/>
    <col min="2" max="2" width="12.85546875" style="13" customWidth="1"/>
    <col min="3" max="3" width="9.140625" style="11" customWidth="1"/>
    <col min="4" max="4" width="10.5703125" style="12" customWidth="1"/>
    <col min="5" max="5" width="10.28515625" style="12" customWidth="1"/>
    <col min="6" max="6" width="11.42578125" style="12" customWidth="1"/>
    <col min="7" max="7" width="10.5703125" style="12" customWidth="1"/>
    <col min="8" max="8" width="9.140625" style="11" customWidth="1"/>
    <col min="9" max="9" width="13.7109375" style="11" customWidth="1"/>
    <col min="10" max="10" width="13.5703125" style="11" customWidth="1"/>
    <col min="11" max="11" width="11" style="11" customWidth="1"/>
    <col min="12" max="16384" width="9.140625" style="11"/>
  </cols>
  <sheetData>
    <row r="1" spans="1:11" ht="30">
      <c r="A1" s="45" t="s">
        <v>108</v>
      </c>
      <c r="J1" s="38" t="s">
        <v>25</v>
      </c>
      <c r="K1" s="12">
        <f>SUM(G15:G1818)</f>
        <v>6955.5065088284728</v>
      </c>
    </row>
    <row r="2" spans="1:11">
      <c r="A2" s="44"/>
    </row>
    <row r="3" spans="1:11" ht="13.5" thickBot="1">
      <c r="A3" s="44"/>
    </row>
    <row r="4" spans="1:11" ht="25.5">
      <c r="A4" s="43" t="s">
        <v>24</v>
      </c>
      <c r="B4" s="42">
        <f>VAR(C14:C1818)</f>
        <v>2.9413187573321192E-5</v>
      </c>
    </row>
    <row r="5" spans="1:11">
      <c r="A5" s="40" t="s">
        <v>23</v>
      </c>
      <c r="B5" s="39">
        <v>1.43169547259568E-6</v>
      </c>
      <c r="D5" s="38" t="s">
        <v>22</v>
      </c>
      <c r="E5" s="41">
        <f>B5+B6+B7</f>
        <v>0.95110879151760086</v>
      </c>
    </row>
    <row r="6" spans="1:11">
      <c r="A6" s="40" t="s">
        <v>21</v>
      </c>
      <c r="B6" s="39">
        <v>5.9268198617418298E-2</v>
      </c>
      <c r="D6" s="38"/>
    </row>
    <row r="7" spans="1:11" ht="13.5" thickBot="1">
      <c r="A7" s="37" t="s">
        <v>20</v>
      </c>
      <c r="B7" s="36">
        <v>0.89183916120470996</v>
      </c>
    </row>
    <row r="8" spans="1:11" ht="13.5" thickBot="1">
      <c r="A8" s="35"/>
      <c r="B8" s="34"/>
    </row>
    <row r="9" spans="1:11" s="17" customFormat="1">
      <c r="A9" s="33" t="s">
        <v>19</v>
      </c>
      <c r="B9" s="32" t="s">
        <v>18</v>
      </c>
      <c r="C9" s="30" t="s">
        <v>13</v>
      </c>
      <c r="D9" s="31" t="s">
        <v>12</v>
      </c>
      <c r="E9" s="31" t="s">
        <v>17</v>
      </c>
      <c r="F9" s="31" t="s">
        <v>15</v>
      </c>
      <c r="G9" s="31" t="s">
        <v>16</v>
      </c>
      <c r="H9" s="30"/>
      <c r="I9" s="30" t="s">
        <v>15</v>
      </c>
      <c r="J9" s="29" t="s">
        <v>14</v>
      </c>
    </row>
    <row r="10" spans="1:11" s="17" customFormat="1">
      <c r="A10" s="28"/>
      <c r="B10" s="27"/>
      <c r="C10" s="25"/>
      <c r="D10" s="26" t="s">
        <v>13</v>
      </c>
      <c r="E10" s="26" t="s">
        <v>12</v>
      </c>
      <c r="F10" s="26" t="s">
        <v>11</v>
      </c>
      <c r="G10" s="26" t="s">
        <v>10</v>
      </c>
      <c r="H10" s="25"/>
      <c r="I10" s="25" t="s">
        <v>9</v>
      </c>
      <c r="J10" s="24" t="s">
        <v>9</v>
      </c>
    </row>
    <row r="11" spans="1:11" s="17" customFormat="1">
      <c r="A11" s="28"/>
      <c r="B11" s="27"/>
      <c r="C11" s="25"/>
      <c r="D11" s="26"/>
      <c r="E11" s="26" t="s">
        <v>8</v>
      </c>
      <c r="F11" s="26"/>
      <c r="G11" s="26" t="s">
        <v>7</v>
      </c>
      <c r="H11" s="25"/>
      <c r="I11" s="25" t="s">
        <v>6</v>
      </c>
      <c r="J11" s="24" t="s">
        <v>6</v>
      </c>
    </row>
    <row r="12" spans="1:11" s="17" customFormat="1" ht="13.5" thickBot="1">
      <c r="A12" s="23"/>
      <c r="B12" s="22"/>
      <c r="C12" s="20"/>
      <c r="D12" s="21"/>
      <c r="E12" s="21"/>
      <c r="F12" s="21"/>
      <c r="G12" s="21"/>
      <c r="H12" s="20"/>
      <c r="I12" s="19" t="s">
        <v>5</v>
      </c>
      <c r="J12" s="18" t="s">
        <v>4</v>
      </c>
    </row>
    <row r="13" spans="1:11">
      <c r="A13" s="15">
        <v>40277</v>
      </c>
      <c r="B13" s="11">
        <v>1.8940999999999999</v>
      </c>
    </row>
    <row r="14" spans="1:11">
      <c r="A14" s="15">
        <v>40278</v>
      </c>
      <c r="B14" s="11">
        <v>1.8940999999999999</v>
      </c>
      <c r="C14" s="11">
        <f t="shared" ref="C14:C77" si="0">B14-B13</f>
        <v>0</v>
      </c>
      <c r="D14" s="12">
        <f t="shared" ref="D14:D77" si="1">C14^2</f>
        <v>0</v>
      </c>
      <c r="F14" s="16">
        <f>B4</f>
        <v>2.9413187573321192E-5</v>
      </c>
    </row>
    <row r="15" spans="1:11">
      <c r="A15" s="15">
        <v>40279</v>
      </c>
      <c r="B15" s="11">
        <v>1.8940999999999999</v>
      </c>
      <c r="C15" s="11">
        <f t="shared" si="0"/>
        <v>0</v>
      </c>
      <c r="D15" s="12">
        <f t="shared" si="1"/>
        <v>0</v>
      </c>
      <c r="E15" s="12">
        <f t="shared" ref="E15:E78" si="2">D14</f>
        <v>0</v>
      </c>
      <c r="F15" s="12">
        <f t="shared" ref="F15:F78" si="3">$B$5+$B$6*E15+$B$7*F14</f>
        <v>2.7663528006343247E-5</v>
      </c>
      <c r="G15" s="12">
        <f t="shared" ref="G15:G78" si="4">LN((1/SQRT(2*3.1415927*F15))*EXP(-0.5*D15/F15))</f>
        <v>4.3287593048214523</v>
      </c>
      <c r="I15" s="12">
        <f t="shared" ref="I15:I78" si="5">SQRT(F15)</f>
        <v>5.259612914116708E-3</v>
      </c>
      <c r="J15" s="12">
        <f>SQRT(B4)</f>
        <v>5.4233926257759718E-3</v>
      </c>
    </row>
    <row r="16" spans="1:11">
      <c r="A16" s="15">
        <v>40280</v>
      </c>
      <c r="B16" s="11">
        <v>1.9026000000000001</v>
      </c>
      <c r="C16" s="11">
        <f t="shared" si="0"/>
        <v>8.5000000000001741E-3</v>
      </c>
      <c r="D16" s="12">
        <f t="shared" si="1"/>
        <v>7.2250000000002962E-5</v>
      </c>
      <c r="E16" s="12">
        <f t="shared" si="2"/>
        <v>0</v>
      </c>
      <c r="F16" s="12">
        <f t="shared" si="3"/>
        <v>2.6103113085735841E-5</v>
      </c>
      <c r="G16" s="12">
        <f t="shared" si="4"/>
        <v>2.9738548994968932</v>
      </c>
      <c r="I16" s="12">
        <f t="shared" si="5"/>
        <v>5.1091205785081884E-3</v>
      </c>
      <c r="J16" s="12">
        <f t="shared" ref="J16:J79" si="6">J15</f>
        <v>5.4233926257759718E-3</v>
      </c>
    </row>
    <row r="17" spans="1:10">
      <c r="A17" s="15">
        <v>40281</v>
      </c>
      <c r="B17" s="11">
        <v>1.9012</v>
      </c>
      <c r="C17" s="11">
        <f t="shared" si="0"/>
        <v>-1.4000000000000679E-3</v>
      </c>
      <c r="D17" s="12">
        <f t="shared" si="1"/>
        <v>1.96000000000019E-6</v>
      </c>
      <c r="E17" s="12">
        <f t="shared" si="2"/>
        <v>7.2250000000002962E-5</v>
      </c>
      <c r="F17" s="12">
        <f t="shared" si="3"/>
        <v>2.8993601301918669E-5</v>
      </c>
      <c r="G17" s="12">
        <f t="shared" si="4"/>
        <v>4.2714785965862667</v>
      </c>
      <c r="I17" s="12">
        <f t="shared" si="5"/>
        <v>5.3845706701573402E-3</v>
      </c>
      <c r="J17" s="12">
        <f t="shared" si="6"/>
        <v>5.4233926257759718E-3</v>
      </c>
    </row>
    <row r="18" spans="1:10">
      <c r="A18" s="15">
        <v>40282</v>
      </c>
      <c r="B18" s="11">
        <v>1.9033</v>
      </c>
      <c r="C18" s="11">
        <f t="shared" si="0"/>
        <v>2.0999999999999908E-3</v>
      </c>
      <c r="D18" s="12">
        <f t="shared" si="1"/>
        <v>4.4099999999999612E-6</v>
      </c>
      <c r="E18" s="12">
        <f t="shared" si="2"/>
        <v>1.96000000000019E-6</v>
      </c>
      <c r="F18" s="12">
        <f t="shared" si="3"/>
        <v>2.7405490207292764E-5</v>
      </c>
      <c r="G18" s="12">
        <f t="shared" si="4"/>
        <v>4.2529867245500146</v>
      </c>
      <c r="I18" s="12">
        <f t="shared" si="5"/>
        <v>5.2350253301481518E-3</v>
      </c>
      <c r="J18" s="12">
        <f t="shared" si="6"/>
        <v>5.4233926257759718E-3</v>
      </c>
    </row>
    <row r="19" spans="1:10">
      <c r="A19" s="15">
        <v>40283</v>
      </c>
      <c r="B19" s="11">
        <v>1.899</v>
      </c>
      <c r="C19" s="11">
        <f t="shared" si="0"/>
        <v>-4.2999999999999705E-3</v>
      </c>
      <c r="D19" s="12">
        <f t="shared" si="1"/>
        <v>1.8489999999999747E-5</v>
      </c>
      <c r="E19" s="12">
        <f t="shared" si="2"/>
        <v>4.4099999999999612E-6</v>
      </c>
      <c r="F19" s="12">
        <f t="shared" si="3"/>
        <v>2.6134357627374364E-5</v>
      </c>
      <c r="G19" s="12">
        <f t="shared" si="4"/>
        <v>4.0034424320276427</v>
      </c>
      <c r="I19" s="12">
        <f t="shared" si="5"/>
        <v>5.1121773861412872E-3</v>
      </c>
      <c r="J19" s="12">
        <f t="shared" si="6"/>
        <v>5.4233926257759718E-3</v>
      </c>
    </row>
    <row r="20" spans="1:10">
      <c r="A20" s="15">
        <v>40284</v>
      </c>
      <c r="B20" s="11">
        <v>1.895</v>
      </c>
      <c r="C20" s="11">
        <f t="shared" si="0"/>
        <v>-4.0000000000000036E-3</v>
      </c>
      <c r="D20" s="12">
        <f t="shared" si="1"/>
        <v>1.600000000000003E-5</v>
      </c>
      <c r="E20" s="12">
        <f t="shared" si="2"/>
        <v>1.8489999999999747E-5</v>
      </c>
      <c r="F20" s="12">
        <f t="shared" si="3"/>
        <v>2.5835208050053198E-5</v>
      </c>
      <c r="G20" s="12">
        <f t="shared" si="4"/>
        <v>4.0532926832277125</v>
      </c>
      <c r="I20" s="12">
        <f t="shared" si="5"/>
        <v>5.0828346471288241E-3</v>
      </c>
      <c r="J20" s="12">
        <f t="shared" si="6"/>
        <v>5.4233926257759718E-3</v>
      </c>
    </row>
    <row r="21" spans="1:10">
      <c r="A21" s="15">
        <v>40285</v>
      </c>
      <c r="B21" s="11">
        <v>1.8949</v>
      </c>
      <c r="C21" s="11">
        <f t="shared" si="0"/>
        <v>-9.9999999999988987E-5</v>
      </c>
      <c r="D21" s="12">
        <f t="shared" si="1"/>
        <v>9.9999999999977966E-9</v>
      </c>
      <c r="E21" s="12">
        <f t="shared" si="2"/>
        <v>1.600000000000003E-5</v>
      </c>
      <c r="F21" s="12">
        <f t="shared" si="3"/>
        <v>2.5420836927382988E-5</v>
      </c>
      <c r="G21" s="12">
        <f t="shared" si="4"/>
        <v>4.3708354547555395</v>
      </c>
      <c r="I21" s="12">
        <f t="shared" si="5"/>
        <v>5.041908064154184E-3</v>
      </c>
      <c r="J21" s="12">
        <f t="shared" si="6"/>
        <v>5.4233926257759718E-3</v>
      </c>
    </row>
    <row r="22" spans="1:10">
      <c r="A22" s="15">
        <v>40286</v>
      </c>
      <c r="B22" s="11">
        <v>1.8925000000000001</v>
      </c>
      <c r="C22" s="11">
        <f t="shared" si="0"/>
        <v>-2.3999999999999577E-3</v>
      </c>
      <c r="D22" s="12">
        <f t="shared" si="1"/>
        <v>5.7599999999997975E-6</v>
      </c>
      <c r="E22" s="12">
        <f t="shared" si="2"/>
        <v>9.9999999999977966E-9</v>
      </c>
      <c r="F22" s="12">
        <f t="shared" si="3"/>
        <v>2.4103586037020814E-5</v>
      </c>
      <c r="G22" s="12">
        <f t="shared" si="4"/>
        <v>4.2781521289304223</v>
      </c>
      <c r="I22" s="12">
        <f t="shared" si="5"/>
        <v>4.9095403081165162E-3</v>
      </c>
      <c r="J22" s="12">
        <f t="shared" si="6"/>
        <v>5.4233926257759718E-3</v>
      </c>
    </row>
    <row r="23" spans="1:10">
      <c r="A23" s="15">
        <v>40287</v>
      </c>
      <c r="B23" s="11">
        <v>1.8931</v>
      </c>
      <c r="C23" s="11">
        <f t="shared" si="0"/>
        <v>5.9999999999993392E-4</v>
      </c>
      <c r="D23" s="12">
        <f t="shared" si="1"/>
        <v>3.5999999999992069E-7</v>
      </c>
      <c r="E23" s="12">
        <f t="shared" si="2"/>
        <v>5.7599999999997975E-6</v>
      </c>
      <c r="F23" s="12">
        <f t="shared" si="3"/>
        <v>2.3269602249914202E-5</v>
      </c>
      <c r="G23" s="12">
        <f t="shared" si="4"/>
        <v>4.4075073825221391</v>
      </c>
      <c r="I23" s="12">
        <f t="shared" si="5"/>
        <v>4.8238576108664529E-3</v>
      </c>
      <c r="J23" s="12">
        <f t="shared" si="6"/>
        <v>5.4233926257759718E-3</v>
      </c>
    </row>
    <row r="24" spans="1:10">
      <c r="A24" s="15">
        <v>40288</v>
      </c>
      <c r="B24" s="11">
        <v>1.8964000000000001</v>
      </c>
      <c r="C24" s="11">
        <f t="shared" si="0"/>
        <v>3.3000000000000806E-3</v>
      </c>
      <c r="D24" s="12">
        <f t="shared" si="1"/>
        <v>1.0890000000000533E-5</v>
      </c>
      <c r="E24" s="12">
        <f t="shared" si="2"/>
        <v>3.5999999999992069E-7</v>
      </c>
      <c r="F24" s="12">
        <f t="shared" si="3"/>
        <v>2.2205774576228659E-5</v>
      </c>
      <c r="G24" s="12">
        <f t="shared" si="4"/>
        <v>4.1934340647128678</v>
      </c>
      <c r="I24" s="12">
        <f t="shared" si="5"/>
        <v>4.7123003486862613E-3</v>
      </c>
      <c r="J24" s="12">
        <f t="shared" si="6"/>
        <v>5.4233926257759718E-3</v>
      </c>
    </row>
    <row r="25" spans="1:10">
      <c r="A25" s="15">
        <v>40289</v>
      </c>
      <c r="B25" s="11">
        <v>1.8931</v>
      </c>
      <c r="C25" s="11">
        <f t="shared" si="0"/>
        <v>-3.3000000000000806E-3</v>
      </c>
      <c r="D25" s="12">
        <f t="shared" si="1"/>
        <v>1.0890000000000533E-5</v>
      </c>
      <c r="E25" s="12">
        <f t="shared" si="2"/>
        <v>1.0890000000000533E-5</v>
      </c>
      <c r="F25" s="12">
        <f t="shared" si="3"/>
        <v>2.1881105527504035E-5</v>
      </c>
      <c r="G25" s="12">
        <f t="shared" si="4"/>
        <v>4.1971601561505638</v>
      </c>
      <c r="I25" s="12">
        <f t="shared" si="5"/>
        <v>4.6777243962747564E-3</v>
      </c>
      <c r="J25" s="12">
        <f t="shared" si="6"/>
        <v>5.4233926257759718E-3</v>
      </c>
    </row>
    <row r="26" spans="1:10">
      <c r="A26" s="15">
        <v>40290</v>
      </c>
      <c r="B26" s="11">
        <v>1.8875999999999999</v>
      </c>
      <c r="C26" s="11">
        <f t="shared" si="0"/>
        <v>-5.5000000000000604E-3</v>
      </c>
      <c r="D26" s="12">
        <f t="shared" si="1"/>
        <v>3.0250000000000664E-5</v>
      </c>
      <c r="E26" s="12">
        <f t="shared" si="2"/>
        <v>1.0890000000000533E-5</v>
      </c>
      <c r="F26" s="12">
        <f t="shared" si="3"/>
        <v>2.1591552955420341E-5</v>
      </c>
      <c r="G26" s="12">
        <f t="shared" si="4"/>
        <v>3.7521602267767036</v>
      </c>
      <c r="I26" s="12">
        <f t="shared" si="5"/>
        <v>4.6466711692802563E-3</v>
      </c>
      <c r="J26" s="12">
        <f t="shared" si="6"/>
        <v>5.4233926257759718E-3</v>
      </c>
    </row>
    <row r="27" spans="1:10">
      <c r="A27" s="15">
        <v>40291</v>
      </c>
      <c r="B27" s="11">
        <v>1.8948</v>
      </c>
      <c r="C27" s="11">
        <f t="shared" si="0"/>
        <v>7.2000000000000952E-3</v>
      </c>
      <c r="D27" s="12">
        <f t="shared" si="1"/>
        <v>5.1840000000001374E-5</v>
      </c>
      <c r="E27" s="12">
        <f t="shared" si="2"/>
        <v>3.0250000000000664E-5</v>
      </c>
      <c r="F27" s="12">
        <f t="shared" si="3"/>
        <v>2.2480750957641776E-5</v>
      </c>
      <c r="G27" s="12">
        <f t="shared" si="4"/>
        <v>3.2795006285203829</v>
      </c>
      <c r="I27" s="12">
        <f t="shared" si="5"/>
        <v>4.7413870288810821E-3</v>
      </c>
      <c r="J27" s="12">
        <f t="shared" si="6"/>
        <v>5.4233926257759718E-3</v>
      </c>
    </row>
    <row r="28" spans="1:10">
      <c r="A28" s="15">
        <v>40292</v>
      </c>
      <c r="B28" s="11">
        <v>1.8940999999999999</v>
      </c>
      <c r="C28" s="11">
        <f t="shared" si="0"/>
        <v>-7.0000000000014495E-4</v>
      </c>
      <c r="D28" s="12">
        <f t="shared" si="1"/>
        <v>4.9000000000020294E-7</v>
      </c>
      <c r="E28" s="12">
        <f t="shared" si="2"/>
        <v>5.1840000000001374E-5</v>
      </c>
      <c r="F28" s="12">
        <f t="shared" si="3"/>
        <v>2.4553372966237948E-5</v>
      </c>
      <c r="G28" s="12">
        <f t="shared" si="4"/>
        <v>4.3784138576686322</v>
      </c>
      <c r="I28" s="12">
        <f t="shared" si="5"/>
        <v>4.9551360189441767E-3</v>
      </c>
      <c r="J28" s="12">
        <f t="shared" si="6"/>
        <v>5.4233926257759718E-3</v>
      </c>
    </row>
    <row r="29" spans="1:10">
      <c r="A29" s="15">
        <v>40293</v>
      </c>
      <c r="B29" s="11">
        <v>1.8952</v>
      </c>
      <c r="C29" s="11">
        <f t="shared" si="0"/>
        <v>1.1000000000001009E-3</v>
      </c>
      <c r="D29" s="12">
        <f t="shared" si="1"/>
        <v>1.210000000000222E-6</v>
      </c>
      <c r="E29" s="12">
        <f t="shared" si="2"/>
        <v>4.9000000000020294E-7</v>
      </c>
      <c r="F29" s="12">
        <f t="shared" si="3"/>
        <v>2.3358396440874282E-5</v>
      </c>
      <c r="G29" s="12">
        <f t="shared" si="4"/>
        <v>4.3874377327714118</v>
      </c>
      <c r="I29" s="12">
        <f t="shared" si="5"/>
        <v>4.8330524972189448E-3</v>
      </c>
      <c r="J29" s="12">
        <f t="shared" si="6"/>
        <v>5.4233926257759718E-3</v>
      </c>
    </row>
    <row r="30" spans="1:10">
      <c r="A30" s="15">
        <v>40294</v>
      </c>
      <c r="B30" s="11">
        <v>1.895</v>
      </c>
      <c r="C30" s="11">
        <f t="shared" si="0"/>
        <v>-1.9999999999997797E-4</v>
      </c>
      <c r="D30" s="12">
        <f t="shared" si="1"/>
        <v>3.9999999999991186E-8</v>
      </c>
      <c r="E30" s="12">
        <f t="shared" si="2"/>
        <v>1.210000000000222E-6</v>
      </c>
      <c r="F30" s="12">
        <f t="shared" si="3"/>
        <v>2.2335342681839172E-5</v>
      </c>
      <c r="G30" s="12">
        <f t="shared" si="4"/>
        <v>4.4348361478144618</v>
      </c>
      <c r="I30" s="12">
        <f t="shared" si="5"/>
        <v>4.7260282142449353E-3</v>
      </c>
      <c r="J30" s="12">
        <f t="shared" si="6"/>
        <v>5.4233926257759718E-3</v>
      </c>
    </row>
    <row r="31" spans="1:10">
      <c r="A31" s="15">
        <v>40295</v>
      </c>
      <c r="B31" s="11">
        <v>1.8884000000000001</v>
      </c>
      <c r="C31" s="11">
        <f t="shared" si="0"/>
        <v>-6.5999999999999392E-3</v>
      </c>
      <c r="D31" s="12">
        <f t="shared" si="1"/>
        <v>4.3559999999999197E-5</v>
      </c>
      <c r="E31" s="12">
        <f t="shared" si="2"/>
        <v>3.9999999999991186E-8</v>
      </c>
      <c r="F31" s="12">
        <f t="shared" si="3"/>
        <v>2.1353599483131583E-5</v>
      </c>
      <c r="G31" s="12">
        <f t="shared" si="4"/>
        <v>3.4382380240449466</v>
      </c>
      <c r="I31" s="12">
        <f t="shared" si="5"/>
        <v>4.6209955078025753E-3</v>
      </c>
      <c r="J31" s="12">
        <f t="shared" si="6"/>
        <v>5.4233926257759718E-3</v>
      </c>
    </row>
    <row r="32" spans="1:10">
      <c r="A32" s="15">
        <v>40296</v>
      </c>
      <c r="B32" s="11">
        <v>1.8948</v>
      </c>
      <c r="C32" s="11">
        <f t="shared" si="0"/>
        <v>6.3999999999999613E-3</v>
      </c>
      <c r="D32" s="12">
        <f t="shared" si="1"/>
        <v>4.0959999999999506E-5</v>
      </c>
      <c r="E32" s="12">
        <f t="shared" si="2"/>
        <v>4.3559999999999197E-5</v>
      </c>
      <c r="F32" s="12">
        <f t="shared" si="3"/>
        <v>2.3057394456107771E-5</v>
      </c>
      <c r="G32" s="12">
        <f t="shared" si="4"/>
        <v>3.5316051663024295</v>
      </c>
      <c r="I32" s="12">
        <f t="shared" si="5"/>
        <v>4.801811580654511E-3</v>
      </c>
      <c r="J32" s="12">
        <f t="shared" si="6"/>
        <v>5.4233926257759718E-3</v>
      </c>
    </row>
    <row r="33" spans="1:10">
      <c r="A33" s="15">
        <v>40297</v>
      </c>
      <c r="B33" s="11">
        <v>1.8972</v>
      </c>
      <c r="C33" s="11">
        <f t="shared" si="0"/>
        <v>2.3999999999999577E-3</v>
      </c>
      <c r="D33" s="12">
        <f t="shared" si="1"/>
        <v>5.7599999999997975E-6</v>
      </c>
      <c r="E33" s="12">
        <f t="shared" si="2"/>
        <v>4.0959999999999506E-5</v>
      </c>
      <c r="F33" s="12">
        <f t="shared" si="3"/>
        <v>2.4422808219266392E-5</v>
      </c>
      <c r="G33" s="12">
        <f t="shared" si="4"/>
        <v>4.2731354517767111</v>
      </c>
      <c r="I33" s="12">
        <f t="shared" si="5"/>
        <v>4.9419437693347338E-3</v>
      </c>
      <c r="J33" s="12">
        <f t="shared" si="6"/>
        <v>5.4233926257759718E-3</v>
      </c>
    </row>
    <row r="34" spans="1:10">
      <c r="A34" s="15">
        <v>40298</v>
      </c>
      <c r="B34" s="11">
        <v>1.8967000000000001</v>
      </c>
      <c r="C34" s="11">
        <f t="shared" si="0"/>
        <v>-4.9999999999994493E-4</v>
      </c>
      <c r="D34" s="12">
        <f t="shared" si="1"/>
        <v>2.4999999999994493E-7</v>
      </c>
      <c r="E34" s="12">
        <f t="shared" si="2"/>
        <v>5.7599999999997975E-6</v>
      </c>
      <c r="F34" s="12">
        <f t="shared" si="3"/>
        <v>2.3554297093166036E-5</v>
      </c>
      <c r="G34" s="12">
        <f t="shared" si="4"/>
        <v>4.4038557157862277</v>
      </c>
      <c r="I34" s="12">
        <f t="shared" si="5"/>
        <v>4.8532769437943718E-3</v>
      </c>
      <c r="J34" s="12">
        <f t="shared" si="6"/>
        <v>5.4233926257759718E-3</v>
      </c>
    </row>
    <row r="35" spans="1:10">
      <c r="A35" s="15">
        <v>40299</v>
      </c>
      <c r="B35" s="11">
        <v>1.9003000000000001</v>
      </c>
      <c r="C35" s="11">
        <f t="shared" si="0"/>
        <v>3.6000000000000476E-3</v>
      </c>
      <c r="D35" s="12">
        <f t="shared" si="1"/>
        <v>1.2960000000000343E-5</v>
      </c>
      <c r="E35" s="12">
        <f t="shared" si="2"/>
        <v>2.4999999999994493E-7</v>
      </c>
      <c r="F35" s="12">
        <f t="shared" si="3"/>
        <v>2.2453157084585767E-5</v>
      </c>
      <c r="G35" s="12">
        <f t="shared" si="4"/>
        <v>4.144500282341629</v>
      </c>
      <c r="I35" s="12">
        <f t="shared" si="5"/>
        <v>4.7384762407957437E-3</v>
      </c>
      <c r="J35" s="12">
        <f t="shared" si="6"/>
        <v>5.4233926257759718E-3</v>
      </c>
    </row>
    <row r="36" spans="1:10">
      <c r="A36" s="15">
        <v>40300</v>
      </c>
      <c r="B36" s="11">
        <v>1.8985000000000001</v>
      </c>
      <c r="C36" s="11">
        <f t="shared" si="0"/>
        <v>-1.8000000000000238E-3</v>
      </c>
      <c r="D36" s="12">
        <f t="shared" si="1"/>
        <v>3.2400000000000859E-6</v>
      </c>
      <c r="E36" s="12">
        <f t="shared" si="2"/>
        <v>1.2960000000000343E-5</v>
      </c>
      <c r="F36" s="12">
        <f t="shared" si="3"/>
        <v>2.2224416107392005E-5</v>
      </c>
      <c r="G36" s="12">
        <f t="shared" si="4"/>
        <v>4.3653281801351502</v>
      </c>
      <c r="I36" s="12">
        <f t="shared" si="5"/>
        <v>4.7142778988294703E-3</v>
      </c>
      <c r="J36" s="12">
        <f t="shared" si="6"/>
        <v>5.4233926257759718E-3</v>
      </c>
    </row>
    <row r="37" spans="1:10">
      <c r="A37" s="15">
        <v>40301</v>
      </c>
      <c r="B37" s="11">
        <v>1.8963000000000001</v>
      </c>
      <c r="C37" s="11">
        <f t="shared" si="0"/>
        <v>-2.1999999999999797E-3</v>
      </c>
      <c r="D37" s="12">
        <f t="shared" si="1"/>
        <v>4.8399999999999113E-6</v>
      </c>
      <c r="E37" s="12">
        <f t="shared" si="2"/>
        <v>3.2400000000000859E-6</v>
      </c>
      <c r="F37" s="12">
        <f t="shared" si="3"/>
        <v>2.1444329055597051E-5</v>
      </c>
      <c r="G37" s="12">
        <f t="shared" si="4"/>
        <v>4.343236274866646</v>
      </c>
      <c r="I37" s="12">
        <f t="shared" si="5"/>
        <v>4.630802204326703E-3</v>
      </c>
      <c r="J37" s="12">
        <f t="shared" si="6"/>
        <v>5.4233926257759718E-3</v>
      </c>
    </row>
    <row r="38" spans="1:10">
      <c r="A38" s="15">
        <v>40302</v>
      </c>
      <c r="B38" s="11">
        <v>1.8858999999999999</v>
      </c>
      <c r="C38" s="11">
        <f t="shared" si="0"/>
        <v>-1.0400000000000187E-2</v>
      </c>
      <c r="D38" s="12">
        <f t="shared" si="1"/>
        <v>1.0816000000000388E-4</v>
      </c>
      <c r="E38" s="12">
        <f t="shared" si="2"/>
        <v>4.8399999999999113E-6</v>
      </c>
      <c r="F38" s="12">
        <f t="shared" si="3"/>
        <v>2.0843445991445445E-5</v>
      </c>
      <c r="G38" s="12">
        <f t="shared" si="4"/>
        <v>1.8757163885455967</v>
      </c>
      <c r="I38" s="12">
        <f t="shared" si="5"/>
        <v>4.5654622976699132E-3</v>
      </c>
      <c r="J38" s="12">
        <f t="shared" si="6"/>
        <v>5.4233926257759718E-3</v>
      </c>
    </row>
    <row r="39" spans="1:10">
      <c r="A39" s="15">
        <v>40303</v>
      </c>
      <c r="B39" s="11">
        <v>1.8746</v>
      </c>
      <c r="C39" s="11">
        <f t="shared" si="0"/>
        <v>-1.1299999999999866E-2</v>
      </c>
      <c r="D39" s="12">
        <f t="shared" si="1"/>
        <v>1.2768999999999696E-4</v>
      </c>
      <c r="E39" s="12">
        <f t="shared" si="2"/>
        <v>1.0816000000000388E-4</v>
      </c>
      <c r="F39" s="12">
        <f t="shared" si="3"/>
        <v>2.6431145224682254E-5</v>
      </c>
      <c r="G39" s="12">
        <f t="shared" si="4"/>
        <v>1.936023692657572</v>
      </c>
      <c r="I39" s="12">
        <f t="shared" si="5"/>
        <v>5.1411229536631638E-3</v>
      </c>
      <c r="J39" s="12">
        <f t="shared" si="6"/>
        <v>5.4233926257759718E-3</v>
      </c>
    </row>
    <row r="40" spans="1:10">
      <c r="A40" s="15">
        <v>40304</v>
      </c>
      <c r="B40" s="11">
        <v>1.8746</v>
      </c>
      <c r="C40" s="11">
        <f t="shared" si="0"/>
        <v>0</v>
      </c>
      <c r="D40" s="12">
        <f t="shared" si="1"/>
        <v>0</v>
      </c>
      <c r="E40" s="12">
        <f t="shared" si="2"/>
        <v>1.2768999999999696E-4</v>
      </c>
      <c r="F40" s="12">
        <f t="shared" si="3"/>
        <v>3.2571982140914139E-5</v>
      </c>
      <c r="G40" s="12">
        <f t="shared" si="4"/>
        <v>4.2470905007365074</v>
      </c>
      <c r="I40" s="12">
        <f t="shared" si="5"/>
        <v>5.7071868850524024E-3</v>
      </c>
      <c r="J40" s="12">
        <f t="shared" si="6"/>
        <v>5.4233926257759718E-3</v>
      </c>
    </row>
    <row r="41" spans="1:10">
      <c r="A41" s="15">
        <v>40305</v>
      </c>
      <c r="B41" s="11">
        <v>1.8784000000000001</v>
      </c>
      <c r="C41" s="11">
        <f t="shared" si="0"/>
        <v>3.8000000000000256E-3</v>
      </c>
      <c r="D41" s="12">
        <f t="shared" si="1"/>
        <v>1.4440000000000194E-5</v>
      </c>
      <c r="E41" s="12">
        <f t="shared" si="2"/>
        <v>0</v>
      </c>
      <c r="F41" s="12">
        <f t="shared" si="3"/>
        <v>3.0480664703923339E-5</v>
      </c>
      <c r="G41" s="12">
        <f t="shared" si="4"/>
        <v>4.0433989944077044</v>
      </c>
      <c r="I41" s="12">
        <f t="shared" si="5"/>
        <v>5.5209296956149822E-3</v>
      </c>
      <c r="J41" s="12">
        <f t="shared" si="6"/>
        <v>5.4233926257759718E-3</v>
      </c>
    </row>
    <row r="42" spans="1:10">
      <c r="A42" s="15">
        <v>40306</v>
      </c>
      <c r="B42" s="11">
        <v>1.8782000000000001</v>
      </c>
      <c r="C42" s="11">
        <f t="shared" si="0"/>
        <v>-1.9999999999997797E-4</v>
      </c>
      <c r="D42" s="12">
        <f t="shared" si="1"/>
        <v>3.9999999999991186E-8</v>
      </c>
      <c r="E42" s="12">
        <f t="shared" si="2"/>
        <v>1.4440000000000194E-5</v>
      </c>
      <c r="F42" s="12">
        <f t="shared" si="3"/>
        <v>2.9471378703140214E-5</v>
      </c>
      <c r="G42" s="12">
        <f t="shared" si="4"/>
        <v>4.2964283244131343</v>
      </c>
      <c r="I42" s="12">
        <f t="shared" si="5"/>
        <v>5.4287548022672943E-3</v>
      </c>
      <c r="J42" s="12">
        <f t="shared" si="6"/>
        <v>5.4233926257759718E-3</v>
      </c>
    </row>
    <row r="43" spans="1:10">
      <c r="A43" s="15">
        <v>40307</v>
      </c>
      <c r="B43" s="11">
        <v>1.8824000000000001</v>
      </c>
      <c r="C43" s="11">
        <f t="shared" si="0"/>
        <v>4.1999999999999815E-3</v>
      </c>
      <c r="D43" s="12">
        <f t="shared" si="1"/>
        <v>1.7639999999999845E-5</v>
      </c>
      <c r="E43" s="12">
        <f t="shared" si="2"/>
        <v>3.9999999999991186E-8</v>
      </c>
      <c r="F43" s="12">
        <f t="shared" si="3"/>
        <v>2.7717795862695298E-5</v>
      </c>
      <c r="G43" s="12">
        <f t="shared" si="4"/>
        <v>4.0095722897686414</v>
      </c>
      <c r="I43" s="12">
        <f t="shared" si="5"/>
        <v>5.2647693076425771E-3</v>
      </c>
      <c r="J43" s="12">
        <f t="shared" si="6"/>
        <v>5.4233926257759718E-3</v>
      </c>
    </row>
    <row r="44" spans="1:10">
      <c r="A44" s="15">
        <v>40308</v>
      </c>
      <c r="B44" s="11">
        <v>1.8836999999999999</v>
      </c>
      <c r="C44" s="11">
        <f t="shared" si="0"/>
        <v>1.2999999999998568E-3</v>
      </c>
      <c r="D44" s="12">
        <f t="shared" si="1"/>
        <v>1.6899999999996276E-6</v>
      </c>
      <c r="E44" s="12">
        <f t="shared" si="2"/>
        <v>1.7639999999999845E-5</v>
      </c>
      <c r="F44" s="12">
        <f t="shared" si="3"/>
        <v>2.7197002308836486E-5</v>
      </c>
      <c r="G44" s="12">
        <f t="shared" si="4"/>
        <v>4.3061937587663275</v>
      </c>
      <c r="I44" s="12">
        <f t="shared" si="5"/>
        <v>5.2150745257221864E-3</v>
      </c>
      <c r="J44" s="12">
        <f t="shared" si="6"/>
        <v>5.4233926257759718E-3</v>
      </c>
    </row>
    <row r="45" spans="1:10">
      <c r="A45" s="15">
        <v>40309</v>
      </c>
      <c r="B45" s="11">
        <v>1.8701000000000001</v>
      </c>
      <c r="C45" s="11">
        <f t="shared" si="0"/>
        <v>-1.3599999999999834E-2</v>
      </c>
      <c r="D45" s="12">
        <f t="shared" si="1"/>
        <v>1.8495999999999549E-4</v>
      </c>
      <c r="E45" s="12">
        <f t="shared" si="2"/>
        <v>1.6899999999996276E-6</v>
      </c>
      <c r="F45" s="12">
        <f t="shared" si="3"/>
        <v>2.5787210454654384E-5</v>
      </c>
      <c r="G45" s="12">
        <f t="shared" si="4"/>
        <v>0.77760350581649773</v>
      </c>
      <c r="I45" s="12">
        <f t="shared" si="5"/>
        <v>5.0781109139772032E-3</v>
      </c>
      <c r="J45" s="12">
        <f t="shared" si="6"/>
        <v>5.4233926257759718E-3</v>
      </c>
    </row>
    <row r="46" spans="1:10">
      <c r="A46" s="15">
        <v>40310</v>
      </c>
      <c r="B46" s="11">
        <v>1.8684000000000001</v>
      </c>
      <c r="C46" s="11">
        <f t="shared" si="0"/>
        <v>-1.7000000000000348E-3</v>
      </c>
      <c r="D46" s="12">
        <f t="shared" si="1"/>
        <v>2.8900000000001184E-6</v>
      </c>
      <c r="E46" s="12">
        <f t="shared" si="2"/>
        <v>1.8495999999999549E-4</v>
      </c>
      <c r="F46" s="12">
        <f t="shared" si="3"/>
        <v>3.5391985630561394E-5</v>
      </c>
      <c r="G46" s="12">
        <f t="shared" si="4"/>
        <v>4.1647455860638205</v>
      </c>
      <c r="I46" s="12">
        <f t="shared" si="5"/>
        <v>5.949116373929946E-3</v>
      </c>
      <c r="J46" s="12">
        <f t="shared" si="6"/>
        <v>5.4233926257759718E-3</v>
      </c>
    </row>
    <row r="47" spans="1:10">
      <c r="A47" s="15">
        <v>40311</v>
      </c>
      <c r="B47" s="11">
        <v>1.8646</v>
      </c>
      <c r="C47" s="11">
        <f t="shared" si="0"/>
        <v>-3.8000000000000256E-3</v>
      </c>
      <c r="D47" s="12">
        <f t="shared" si="1"/>
        <v>1.4440000000000194E-5</v>
      </c>
      <c r="E47" s="12">
        <f t="shared" si="2"/>
        <v>2.8900000000001184E-6</v>
      </c>
      <c r="F47" s="12">
        <f t="shared" si="3"/>
        <v>3.3166939344729049E-5</v>
      </c>
      <c r="G47" s="12">
        <f t="shared" si="4"/>
        <v>4.0203532974238501</v>
      </c>
      <c r="I47" s="12">
        <f t="shared" si="5"/>
        <v>5.759074521546761E-3</v>
      </c>
      <c r="J47" s="12">
        <f t="shared" si="6"/>
        <v>5.4233926257759718E-3</v>
      </c>
    </row>
    <row r="48" spans="1:10">
      <c r="A48" s="15">
        <v>40312</v>
      </c>
      <c r="B48" s="11">
        <v>1.8593</v>
      </c>
      <c r="C48" s="11">
        <f t="shared" si="0"/>
        <v>-5.3000000000000824E-3</v>
      </c>
      <c r="D48" s="12">
        <f t="shared" si="1"/>
        <v>2.8090000000000875E-5</v>
      </c>
      <c r="E48" s="12">
        <f t="shared" si="2"/>
        <v>1.4440000000000194E-5</v>
      </c>
      <c r="F48" s="12">
        <f t="shared" si="3"/>
        <v>3.1867103625561858E-5</v>
      </c>
      <c r="G48" s="12">
        <f t="shared" si="4"/>
        <v>3.8172929822940018</v>
      </c>
      <c r="I48" s="12">
        <f t="shared" si="5"/>
        <v>5.6450955373281205E-3</v>
      </c>
      <c r="J48" s="12">
        <f t="shared" si="6"/>
        <v>5.4233926257759718E-3</v>
      </c>
    </row>
    <row r="49" spans="1:10">
      <c r="A49" s="15">
        <v>40313</v>
      </c>
      <c r="B49" s="11">
        <v>1.8584000000000001</v>
      </c>
      <c r="C49" s="11">
        <f t="shared" si="0"/>
        <v>-8.9999999999990088E-4</v>
      </c>
      <c r="D49" s="12">
        <f t="shared" si="1"/>
        <v>8.0999999999982157E-7</v>
      </c>
      <c r="E49" s="12">
        <f t="shared" si="2"/>
        <v>2.8090000000000875E-5</v>
      </c>
      <c r="F49" s="12">
        <f t="shared" si="3"/>
        <v>3.1516870139203672E-5</v>
      </c>
      <c r="G49" s="12">
        <f t="shared" si="4"/>
        <v>4.250704996396621</v>
      </c>
      <c r="I49" s="12">
        <f t="shared" si="5"/>
        <v>5.6139887904415762E-3</v>
      </c>
      <c r="J49" s="12">
        <f t="shared" si="6"/>
        <v>5.4233926257759718E-3</v>
      </c>
    </row>
    <row r="50" spans="1:10">
      <c r="A50" s="15">
        <v>40314</v>
      </c>
      <c r="B50" s="11">
        <v>1.8573999999999999</v>
      </c>
      <c r="C50" s="11">
        <f t="shared" si="0"/>
        <v>-1.0000000000001119E-3</v>
      </c>
      <c r="D50" s="12">
        <f t="shared" si="1"/>
        <v>1.0000000000002238E-6</v>
      </c>
      <c r="E50" s="12">
        <f t="shared" si="2"/>
        <v>8.0999999999982157E-7</v>
      </c>
      <c r="F50" s="12">
        <f t="shared" si="3"/>
        <v>2.9587681742220951E-5</v>
      </c>
      <c r="G50" s="12">
        <f t="shared" si="4"/>
        <v>4.278238755209836</v>
      </c>
      <c r="I50" s="12">
        <f t="shared" si="5"/>
        <v>5.4394560152850715E-3</v>
      </c>
      <c r="J50" s="12">
        <f t="shared" si="6"/>
        <v>5.4233926257759718E-3</v>
      </c>
    </row>
    <row r="51" spans="1:10">
      <c r="A51" s="15">
        <v>40315</v>
      </c>
      <c r="B51" s="11">
        <v>1.8624000000000001</v>
      </c>
      <c r="C51" s="11">
        <f t="shared" si="0"/>
        <v>5.0000000000001155E-3</v>
      </c>
      <c r="D51" s="12">
        <f t="shared" si="1"/>
        <v>2.5000000000001153E-5</v>
      </c>
      <c r="E51" s="12">
        <f t="shared" si="2"/>
        <v>1.0000000000002238E-6</v>
      </c>
      <c r="F51" s="12">
        <f t="shared" si="3"/>
        <v>2.7878416938187354E-5</v>
      </c>
      <c r="G51" s="12">
        <f t="shared" si="4"/>
        <v>3.876514805817834</v>
      </c>
      <c r="I51" s="12">
        <f t="shared" si="5"/>
        <v>5.2800016039947712E-3</v>
      </c>
      <c r="J51" s="12">
        <f t="shared" si="6"/>
        <v>5.4233926257759718E-3</v>
      </c>
    </row>
    <row r="52" spans="1:10">
      <c r="A52" s="15">
        <v>40316</v>
      </c>
      <c r="B52" s="11">
        <v>1.8549</v>
      </c>
      <c r="C52" s="11">
        <f t="shared" si="0"/>
        <v>-7.5000000000000622E-3</v>
      </c>
      <c r="D52" s="12">
        <f t="shared" si="1"/>
        <v>5.6250000000000934E-5</v>
      </c>
      <c r="E52" s="12">
        <f t="shared" si="2"/>
        <v>2.5000000000001153E-5</v>
      </c>
      <c r="F52" s="12">
        <f t="shared" si="3"/>
        <v>2.7776464415899393E-5</v>
      </c>
      <c r="G52" s="12">
        <f t="shared" si="4"/>
        <v>3.3141743348967094</v>
      </c>
      <c r="I52" s="12">
        <f t="shared" si="5"/>
        <v>5.2703381690266697E-3</v>
      </c>
      <c r="J52" s="12">
        <f t="shared" si="6"/>
        <v>5.4233926257759718E-3</v>
      </c>
    </row>
    <row r="53" spans="1:10">
      <c r="A53" s="15">
        <v>40317</v>
      </c>
      <c r="B53" s="11">
        <v>1.863</v>
      </c>
      <c r="C53" s="11">
        <f t="shared" si="0"/>
        <v>8.0999999999999961E-3</v>
      </c>
      <c r="D53" s="12">
        <f t="shared" si="1"/>
        <v>6.5609999999999936E-5</v>
      </c>
      <c r="E53" s="12">
        <f t="shared" si="2"/>
        <v>5.6250000000000934E-5</v>
      </c>
      <c r="F53" s="12">
        <f t="shared" si="3"/>
        <v>2.9537670370733702E-5</v>
      </c>
      <c r="G53" s="12">
        <f t="shared" si="4"/>
        <v>3.1853678485789012</v>
      </c>
      <c r="I53" s="12">
        <f t="shared" si="5"/>
        <v>5.4348569779464947E-3</v>
      </c>
      <c r="J53" s="12">
        <f t="shared" si="6"/>
        <v>5.4233926257759718E-3</v>
      </c>
    </row>
    <row r="54" spans="1:10">
      <c r="A54" s="15">
        <v>40318</v>
      </c>
      <c r="B54" s="11">
        <v>1.8662000000000001</v>
      </c>
      <c r="C54" s="11">
        <f t="shared" si="0"/>
        <v>3.2000000000000917E-3</v>
      </c>
      <c r="D54" s="12">
        <f t="shared" si="1"/>
        <v>1.0240000000000586E-5</v>
      </c>
      <c r="E54" s="12">
        <f t="shared" si="2"/>
        <v>6.5609999999999936E-5</v>
      </c>
      <c r="F54" s="12">
        <f t="shared" si="3"/>
        <v>3.1663133151260849E-5</v>
      </c>
      <c r="G54" s="12">
        <f t="shared" si="4"/>
        <v>4.099537978363017</v>
      </c>
      <c r="I54" s="12">
        <f t="shared" si="5"/>
        <v>5.6270003688697985E-3</v>
      </c>
      <c r="J54" s="12">
        <f t="shared" si="6"/>
        <v>5.4233926257759718E-3</v>
      </c>
    </row>
    <row r="55" spans="1:10">
      <c r="A55" s="15">
        <v>40319</v>
      </c>
      <c r="B55" s="11">
        <v>1.8693</v>
      </c>
      <c r="C55" s="11">
        <f t="shared" si="0"/>
        <v>3.0999999999998806E-3</v>
      </c>
      <c r="D55" s="12">
        <f t="shared" si="1"/>
        <v>9.6099999999992592E-6</v>
      </c>
      <c r="E55" s="12">
        <f t="shared" si="2"/>
        <v>1.0240000000000586E-5</v>
      </c>
      <c r="F55" s="12">
        <f t="shared" si="3"/>
        <v>3.0277023937171596E-5</v>
      </c>
      <c r="G55" s="12">
        <f t="shared" si="4"/>
        <v>4.1249209699388478</v>
      </c>
      <c r="I55" s="12">
        <f t="shared" si="5"/>
        <v>5.5024561731259244E-3</v>
      </c>
      <c r="J55" s="12">
        <f t="shared" si="6"/>
        <v>5.4233926257759718E-3</v>
      </c>
    </row>
    <row r="56" spans="1:10">
      <c r="A56" s="15">
        <v>40320</v>
      </c>
      <c r="B56" s="11">
        <v>1.8691</v>
      </c>
      <c r="C56" s="11">
        <f t="shared" si="0"/>
        <v>-1.9999999999997797E-4</v>
      </c>
      <c r="D56" s="12">
        <f t="shared" si="1"/>
        <v>3.9999999999991186E-8</v>
      </c>
      <c r="E56" s="12">
        <f t="shared" si="2"/>
        <v>9.6099999999992592E-6</v>
      </c>
      <c r="F56" s="12">
        <f t="shared" si="3"/>
        <v>2.9003498493211068E-5</v>
      </c>
      <c r="G56" s="12">
        <f t="shared" si="4"/>
        <v>4.3044189362033798</v>
      </c>
      <c r="I56" s="12">
        <f t="shared" si="5"/>
        <v>5.3854896242784712E-3</v>
      </c>
      <c r="J56" s="12">
        <f t="shared" si="6"/>
        <v>5.4233926257759718E-3</v>
      </c>
    </row>
    <row r="57" spans="1:10">
      <c r="A57" s="15">
        <v>40321</v>
      </c>
      <c r="B57" s="11">
        <v>1.869</v>
      </c>
      <c r="C57" s="11">
        <f t="shared" si="0"/>
        <v>-9.9999999999988987E-5</v>
      </c>
      <c r="D57" s="12">
        <f t="shared" si="1"/>
        <v>9.9999999999977966E-9</v>
      </c>
      <c r="E57" s="12">
        <f t="shared" si="2"/>
        <v>3.9999999999991186E-8</v>
      </c>
      <c r="F57" s="12">
        <f t="shared" si="3"/>
        <v>2.7300521968727805E-5</v>
      </c>
      <c r="G57" s="12">
        <f t="shared" si="4"/>
        <v>4.3351806808387394</v>
      </c>
      <c r="I57" s="12">
        <f t="shared" si="5"/>
        <v>5.2249901405388129E-3</v>
      </c>
      <c r="J57" s="12">
        <f t="shared" si="6"/>
        <v>5.4233926257759718E-3</v>
      </c>
    </row>
    <row r="58" spans="1:10">
      <c r="A58" s="15">
        <v>40322</v>
      </c>
      <c r="B58" s="11">
        <v>1.8591</v>
      </c>
      <c r="C58" s="11">
        <f t="shared" si="0"/>
        <v>-9.9000000000000199E-3</v>
      </c>
      <c r="D58" s="12">
        <f t="shared" si="1"/>
        <v>9.8010000000000398E-5</v>
      </c>
      <c r="E58" s="12">
        <f t="shared" si="2"/>
        <v>9.9999999999977966E-9</v>
      </c>
      <c r="F58" s="12">
        <f t="shared" si="3"/>
        <v>2.5779962767622816E-5</v>
      </c>
      <c r="G58" s="12">
        <f t="shared" si="4"/>
        <v>2.4631230519460638</v>
      </c>
      <c r="I58" s="12">
        <f t="shared" si="5"/>
        <v>5.0773972434331764E-3</v>
      </c>
      <c r="J58" s="12">
        <f t="shared" si="6"/>
        <v>5.4233926257759718E-3</v>
      </c>
    </row>
    <row r="59" spans="1:10">
      <c r="A59" s="15">
        <v>40323</v>
      </c>
      <c r="B59" s="11">
        <v>1.8526</v>
      </c>
      <c r="C59" s="11">
        <f t="shared" si="0"/>
        <v>-6.4999999999999503E-3</v>
      </c>
      <c r="D59" s="12">
        <f t="shared" si="1"/>
        <v>4.2249999999999353E-5</v>
      </c>
      <c r="E59" s="12">
        <f t="shared" si="2"/>
        <v>9.8010000000000398E-5</v>
      </c>
      <c r="F59" s="12">
        <f t="shared" si="3"/>
        <v>3.0232151989654255E-5</v>
      </c>
      <c r="G59" s="12">
        <f t="shared" si="4"/>
        <v>3.5856043543871015</v>
      </c>
      <c r="I59" s="12">
        <f t="shared" si="5"/>
        <v>5.4983772142018642E-3</v>
      </c>
      <c r="J59" s="12">
        <f t="shared" si="6"/>
        <v>5.4233926257759718E-3</v>
      </c>
    </row>
    <row r="60" spans="1:10">
      <c r="A60" s="15">
        <v>40324</v>
      </c>
      <c r="B60" s="11">
        <v>1.8502000000000001</v>
      </c>
      <c r="C60" s="11">
        <f t="shared" si="0"/>
        <v>-2.3999999999999577E-3</v>
      </c>
      <c r="D60" s="12">
        <f t="shared" si="1"/>
        <v>5.7599999999997975E-6</v>
      </c>
      <c r="E60" s="12">
        <f t="shared" si="2"/>
        <v>4.2249999999999353E-5</v>
      </c>
      <c r="F60" s="12">
        <f t="shared" si="3"/>
        <v>3.0897993936048116E-5</v>
      </c>
      <c r="G60" s="12">
        <f t="shared" si="4"/>
        <v>4.1802611732821235</v>
      </c>
      <c r="I60" s="12">
        <f t="shared" si="5"/>
        <v>5.5585963998160647E-3</v>
      </c>
      <c r="J60" s="12">
        <f t="shared" si="6"/>
        <v>5.4233926257759718E-3</v>
      </c>
    </row>
    <row r="61" spans="1:10">
      <c r="A61" s="15">
        <v>40325</v>
      </c>
      <c r="B61" s="11">
        <v>1.8551</v>
      </c>
      <c r="C61" s="11">
        <f t="shared" si="0"/>
        <v>4.8999999999999044E-3</v>
      </c>
      <c r="D61" s="12">
        <f t="shared" si="1"/>
        <v>2.4009999999999064E-5</v>
      </c>
      <c r="E61" s="12">
        <f t="shared" si="2"/>
        <v>5.7599999999997975E-6</v>
      </c>
      <c r="F61" s="12">
        <f t="shared" si="3"/>
        <v>2.9329121291465366E-5</v>
      </c>
      <c r="G61" s="12">
        <f t="shared" si="4"/>
        <v>3.8902061379379624</v>
      </c>
      <c r="I61" s="12">
        <f t="shared" si="5"/>
        <v>5.4156367392454753E-3</v>
      </c>
      <c r="J61" s="12">
        <f t="shared" si="6"/>
        <v>5.4233926257759718E-3</v>
      </c>
    </row>
    <row r="62" spans="1:10">
      <c r="A62" s="15">
        <v>40326</v>
      </c>
      <c r="B62" s="11">
        <v>1.8549</v>
      </c>
      <c r="C62" s="11">
        <f t="shared" si="0"/>
        <v>-1.9999999999997797E-4</v>
      </c>
      <c r="D62" s="12">
        <f t="shared" si="1"/>
        <v>3.9999999999991186E-8</v>
      </c>
      <c r="E62" s="12">
        <f t="shared" si="2"/>
        <v>2.4009999999999064E-5</v>
      </c>
      <c r="F62" s="12">
        <f t="shared" si="3"/>
        <v>2.901158385285151E-5</v>
      </c>
      <c r="G62" s="12">
        <f t="shared" si="4"/>
        <v>4.3042797618706867</v>
      </c>
      <c r="I62" s="12">
        <f t="shared" si="5"/>
        <v>5.3862402334886169E-3</v>
      </c>
      <c r="J62" s="12">
        <f t="shared" si="6"/>
        <v>5.4233926257759718E-3</v>
      </c>
    </row>
    <row r="63" spans="1:10">
      <c r="A63" s="15">
        <v>40327</v>
      </c>
      <c r="B63" s="11">
        <v>1.8549</v>
      </c>
      <c r="C63" s="11">
        <f t="shared" si="0"/>
        <v>0</v>
      </c>
      <c r="D63" s="12">
        <f t="shared" si="1"/>
        <v>0</v>
      </c>
      <c r="E63" s="12">
        <f t="shared" si="2"/>
        <v>3.9999999999991186E-8</v>
      </c>
      <c r="F63" s="12">
        <f t="shared" si="3"/>
        <v>2.7307732809087576E-5</v>
      </c>
      <c r="G63" s="12">
        <f t="shared" si="4"/>
        <v>4.335231780809818</v>
      </c>
      <c r="I63" s="12">
        <f t="shared" si="5"/>
        <v>5.2256801288528536E-3</v>
      </c>
      <c r="J63" s="12">
        <f t="shared" si="6"/>
        <v>5.4233926257759718E-3</v>
      </c>
    </row>
    <row r="64" spans="1:10">
      <c r="A64" s="15">
        <v>40328</v>
      </c>
      <c r="B64" s="11">
        <v>1.8552</v>
      </c>
      <c r="C64" s="11">
        <f t="shared" si="0"/>
        <v>2.9999999999996696E-4</v>
      </c>
      <c r="D64" s="12">
        <f t="shared" si="1"/>
        <v>8.9999999999980173E-8</v>
      </c>
      <c r="E64" s="12">
        <f t="shared" si="2"/>
        <v>0</v>
      </c>
      <c r="F64" s="12">
        <f t="shared" si="3"/>
        <v>2.5785800995454681E-5</v>
      </c>
      <c r="G64" s="12">
        <f t="shared" si="4"/>
        <v>4.3621595961966015</v>
      </c>
      <c r="I64" s="12">
        <f t="shared" si="5"/>
        <v>5.0779721341746922E-3</v>
      </c>
      <c r="J64" s="12">
        <f t="shared" si="6"/>
        <v>5.4233926257759718E-3</v>
      </c>
    </row>
    <row r="65" spans="1:10">
      <c r="A65" s="15">
        <v>40329</v>
      </c>
      <c r="B65" s="11">
        <v>1.855</v>
      </c>
      <c r="C65" s="11">
        <f t="shared" si="0"/>
        <v>-1.9999999999997797E-4</v>
      </c>
      <c r="D65" s="12">
        <f t="shared" si="1"/>
        <v>3.9999999999991186E-8</v>
      </c>
      <c r="E65" s="12">
        <f t="shared" si="2"/>
        <v>8.9999999999980173E-8</v>
      </c>
      <c r="F65" s="12">
        <f t="shared" si="3"/>
        <v>2.4433816741249127E-5</v>
      </c>
      <c r="G65" s="12">
        <f t="shared" si="4"/>
        <v>4.3900141482973849</v>
      </c>
      <c r="I65" s="12">
        <f t="shared" si="5"/>
        <v>4.9430574284797793E-3</v>
      </c>
      <c r="J65" s="12">
        <f t="shared" si="6"/>
        <v>5.4233926257759718E-3</v>
      </c>
    </row>
    <row r="66" spans="1:10">
      <c r="A66" s="15">
        <v>40330</v>
      </c>
      <c r="B66" s="11">
        <v>1.8465</v>
      </c>
      <c r="C66" s="11">
        <f t="shared" si="0"/>
        <v>-8.499999999999952E-3</v>
      </c>
      <c r="D66" s="12">
        <f t="shared" si="1"/>
        <v>7.2249999999999181E-5</v>
      </c>
      <c r="E66" s="12">
        <f t="shared" si="2"/>
        <v>3.9999999999991186E-8</v>
      </c>
      <c r="F66" s="12">
        <f t="shared" si="3"/>
        <v>2.3225100828085598E-5</v>
      </c>
      <c r="G66" s="12">
        <f t="shared" si="4"/>
        <v>2.8607707254066779</v>
      </c>
      <c r="I66" s="12">
        <f t="shared" si="5"/>
        <v>4.8192427650083783E-3</v>
      </c>
      <c r="J66" s="12">
        <f t="shared" si="6"/>
        <v>5.4233926257759718E-3</v>
      </c>
    </row>
    <row r="67" spans="1:10">
      <c r="A67" s="15">
        <v>40331</v>
      </c>
      <c r="B67" s="11">
        <v>1.8486</v>
      </c>
      <c r="C67" s="11">
        <f t="shared" si="0"/>
        <v>2.0999999999999908E-3</v>
      </c>
      <c r="D67" s="12">
        <f t="shared" si="1"/>
        <v>4.4099999999999612E-6</v>
      </c>
      <c r="E67" s="12">
        <f t="shared" si="2"/>
        <v>7.2249999999999181E-5</v>
      </c>
      <c r="F67" s="12">
        <f t="shared" si="3"/>
        <v>2.6426877264118778E-5</v>
      </c>
      <c r="G67" s="12">
        <f t="shared" si="4"/>
        <v>4.2681881720789328</v>
      </c>
      <c r="I67" s="12">
        <f t="shared" si="5"/>
        <v>5.1407078563286178E-3</v>
      </c>
      <c r="J67" s="12">
        <f t="shared" si="6"/>
        <v>5.4233926257759718E-3</v>
      </c>
    </row>
    <row r="68" spans="1:10">
      <c r="A68" s="15">
        <v>40332</v>
      </c>
      <c r="B68" s="11">
        <v>1.8480000000000001</v>
      </c>
      <c r="C68" s="11">
        <f t="shared" si="0"/>
        <v>-5.9999999999993392E-4</v>
      </c>
      <c r="D68" s="12">
        <f t="shared" si="1"/>
        <v>3.5999999999992069E-7</v>
      </c>
      <c r="E68" s="12">
        <f t="shared" si="2"/>
        <v>4.4099999999999612E-6</v>
      </c>
      <c r="F68" s="12">
        <f t="shared" si="3"/>
        <v>2.5261592280990004E-5</v>
      </c>
      <c r="G68" s="12">
        <f t="shared" si="4"/>
        <v>4.3670487215095211</v>
      </c>
      <c r="I68" s="12">
        <f t="shared" si="5"/>
        <v>5.0260911532710988E-3</v>
      </c>
      <c r="J68" s="12">
        <f t="shared" si="6"/>
        <v>5.4233926257759718E-3</v>
      </c>
    </row>
    <row r="69" spans="1:10">
      <c r="A69" s="15">
        <v>40333</v>
      </c>
      <c r="B69" s="11">
        <v>1.8362000000000001</v>
      </c>
      <c r="C69" s="11">
        <f t="shared" si="0"/>
        <v>-1.1800000000000033E-2</v>
      </c>
      <c r="D69" s="12">
        <f t="shared" si="1"/>
        <v>1.3924000000000076E-4</v>
      </c>
      <c r="E69" s="12">
        <f t="shared" si="2"/>
        <v>3.5999999999992069E-7</v>
      </c>
      <c r="F69" s="12">
        <f t="shared" si="3"/>
        <v>2.398230929467145E-5</v>
      </c>
      <c r="G69" s="12">
        <f t="shared" si="4"/>
        <v>1.497185363703454</v>
      </c>
      <c r="I69" s="12">
        <f t="shared" si="5"/>
        <v>4.8971736026683236E-3</v>
      </c>
      <c r="J69" s="12">
        <f t="shared" si="6"/>
        <v>5.4233926257759718E-3</v>
      </c>
    </row>
    <row r="70" spans="1:10">
      <c r="A70" s="15">
        <v>40334</v>
      </c>
      <c r="B70" s="11">
        <v>1.8334999999999999</v>
      </c>
      <c r="C70" s="11">
        <f t="shared" si="0"/>
        <v>-2.7000000000001467E-3</v>
      </c>
      <c r="D70" s="12">
        <f t="shared" si="1"/>
        <v>7.2900000000007925E-6</v>
      </c>
      <c r="E70" s="12">
        <f t="shared" si="2"/>
        <v>1.3924000000000076E-4</v>
      </c>
      <c r="F70" s="12">
        <f t="shared" si="3"/>
        <v>3.1072562053196753E-5</v>
      </c>
      <c r="G70" s="12">
        <f t="shared" si="4"/>
        <v>4.1533480825332987</v>
      </c>
      <c r="I70" s="12">
        <f t="shared" si="5"/>
        <v>5.5742768188525365E-3</v>
      </c>
      <c r="J70" s="12">
        <f t="shared" si="6"/>
        <v>5.4233926257759718E-3</v>
      </c>
    </row>
    <row r="71" spans="1:10">
      <c r="A71" s="15">
        <v>40335</v>
      </c>
      <c r="B71" s="11">
        <v>1.8347</v>
      </c>
      <c r="C71" s="11">
        <f t="shared" si="0"/>
        <v>1.2000000000000899E-3</v>
      </c>
      <c r="D71" s="12">
        <f t="shared" si="1"/>
        <v>1.4400000000002158E-6</v>
      </c>
      <c r="E71" s="12">
        <f t="shared" si="2"/>
        <v>7.2900000000007925E-6</v>
      </c>
      <c r="F71" s="12">
        <f t="shared" si="3"/>
        <v>2.9575488318520999E-5</v>
      </c>
      <c r="G71" s="12">
        <f t="shared" si="4"/>
        <v>4.2709992940037935</v>
      </c>
      <c r="I71" s="12">
        <f t="shared" si="5"/>
        <v>5.4383350686143823E-3</v>
      </c>
      <c r="J71" s="12">
        <f t="shared" si="6"/>
        <v>5.4233926257759718E-3</v>
      </c>
    </row>
    <row r="72" spans="1:10">
      <c r="A72" s="15">
        <v>40336</v>
      </c>
      <c r="B72" s="11">
        <v>1.8308</v>
      </c>
      <c r="C72" s="11">
        <f t="shared" si="0"/>
        <v>-3.9000000000000146E-3</v>
      </c>
      <c r="D72" s="12">
        <f t="shared" si="1"/>
        <v>1.5210000000000114E-5</v>
      </c>
      <c r="E72" s="12">
        <f t="shared" si="2"/>
        <v>1.4400000000002158E-6</v>
      </c>
      <c r="F72" s="12">
        <f t="shared" si="3"/>
        <v>2.7893620372814238E-5</v>
      </c>
      <c r="G72" s="12">
        <f t="shared" si="4"/>
        <v>4.0519747494513458</v>
      </c>
      <c r="I72" s="12">
        <f t="shared" si="5"/>
        <v>5.2814411265121796E-3</v>
      </c>
      <c r="J72" s="12">
        <f t="shared" si="6"/>
        <v>5.4233926257759718E-3</v>
      </c>
    </row>
    <row r="73" spans="1:10">
      <c r="A73" s="15">
        <v>40337</v>
      </c>
      <c r="B73" s="11">
        <v>1.8324</v>
      </c>
      <c r="C73" s="11">
        <f t="shared" si="0"/>
        <v>1.6000000000000458E-3</v>
      </c>
      <c r="D73" s="12">
        <f t="shared" si="1"/>
        <v>2.5600000000001466E-6</v>
      </c>
      <c r="E73" s="12">
        <f t="shared" si="2"/>
        <v>1.5210000000000114E-5</v>
      </c>
      <c r="F73" s="12">
        <f t="shared" si="3"/>
        <v>2.720978776981988E-5</v>
      </c>
      <c r="G73" s="12">
        <f t="shared" si="4"/>
        <v>4.2899864661020288</v>
      </c>
      <c r="I73" s="12">
        <f t="shared" si="5"/>
        <v>5.2163001993577674E-3</v>
      </c>
      <c r="J73" s="12">
        <f t="shared" si="6"/>
        <v>5.4233926257759718E-3</v>
      </c>
    </row>
    <row r="74" spans="1:10">
      <c r="A74" s="15">
        <v>40338</v>
      </c>
      <c r="B74" s="11">
        <v>1.8322000000000001</v>
      </c>
      <c r="C74" s="11">
        <f t="shared" si="0"/>
        <v>-1.9999999999997797E-4</v>
      </c>
      <c r="D74" s="12">
        <f t="shared" si="1"/>
        <v>3.9999999999991186E-8</v>
      </c>
      <c r="E74" s="12">
        <f t="shared" si="2"/>
        <v>2.5600000000001466E-6</v>
      </c>
      <c r="F74" s="12">
        <f t="shared" si="3"/>
        <v>2.5850176362250617E-5</v>
      </c>
      <c r="G74" s="12">
        <f t="shared" si="4"/>
        <v>4.3618843375511647</v>
      </c>
      <c r="I74" s="12">
        <f t="shared" si="5"/>
        <v>5.0843068713690579E-3</v>
      </c>
      <c r="J74" s="12">
        <f t="shared" si="6"/>
        <v>5.4233926257759718E-3</v>
      </c>
    </row>
    <row r="75" spans="1:10">
      <c r="A75" s="15">
        <v>40339</v>
      </c>
      <c r="B75" s="11">
        <v>1.8423</v>
      </c>
      <c r="C75" s="11">
        <f t="shared" si="0"/>
        <v>1.0099999999999998E-2</v>
      </c>
      <c r="D75" s="12">
        <f t="shared" si="1"/>
        <v>1.0200999999999995E-4</v>
      </c>
      <c r="E75" s="12">
        <f t="shared" si="2"/>
        <v>3.9999999999991186E-8</v>
      </c>
      <c r="F75" s="12">
        <f t="shared" si="3"/>
        <v>2.448826580444379E-5</v>
      </c>
      <c r="G75" s="12">
        <f t="shared" si="4"/>
        <v>2.306885408931485</v>
      </c>
      <c r="I75" s="12">
        <f t="shared" si="5"/>
        <v>4.9485619935940774E-3</v>
      </c>
      <c r="J75" s="12">
        <f t="shared" si="6"/>
        <v>5.4233926257759718E-3</v>
      </c>
    </row>
    <row r="76" spans="1:10">
      <c r="A76" s="15">
        <v>40340</v>
      </c>
      <c r="B76" s="11">
        <v>1.8429</v>
      </c>
      <c r="C76" s="11">
        <f t="shared" si="0"/>
        <v>5.9999999999993392E-4</v>
      </c>
      <c r="D76" s="12">
        <f t="shared" si="1"/>
        <v>3.5999999999992069E-7</v>
      </c>
      <c r="E76" s="12">
        <f t="shared" si="2"/>
        <v>1.0200999999999995E-4</v>
      </c>
      <c r="F76" s="12">
        <f t="shared" si="3"/>
        <v>2.9317238847951651E-5</v>
      </c>
      <c r="G76" s="12">
        <f t="shared" si="4"/>
        <v>4.293589156235857</v>
      </c>
      <c r="I76" s="12">
        <f t="shared" si="5"/>
        <v>5.4145395785746781E-3</v>
      </c>
      <c r="J76" s="12">
        <f t="shared" si="6"/>
        <v>5.4233926257759718E-3</v>
      </c>
    </row>
    <row r="77" spans="1:10">
      <c r="A77" s="15">
        <v>40341</v>
      </c>
      <c r="B77" s="11">
        <v>1.8429</v>
      </c>
      <c r="C77" s="11">
        <f t="shared" si="0"/>
        <v>0</v>
      </c>
      <c r="D77" s="12">
        <f t="shared" si="1"/>
        <v>0</v>
      </c>
      <c r="E77" s="12">
        <f t="shared" si="2"/>
        <v>3.5999999999992069E-7</v>
      </c>
      <c r="F77" s="12">
        <f t="shared" si="3"/>
        <v>2.7599293727093285E-5</v>
      </c>
      <c r="G77" s="12">
        <f t="shared" si="4"/>
        <v>4.3299216469922426</v>
      </c>
      <c r="I77" s="12">
        <f t="shared" si="5"/>
        <v>5.2535029958203396E-3</v>
      </c>
      <c r="J77" s="12">
        <f t="shared" si="6"/>
        <v>5.4233926257759718E-3</v>
      </c>
    </row>
    <row r="78" spans="1:10">
      <c r="A78" s="15">
        <v>40342</v>
      </c>
      <c r="B78" s="11">
        <v>1.847</v>
      </c>
      <c r="C78" s="11">
        <f t="shared" ref="C78:C141" si="7">B78-B77</f>
        <v>4.0999999999999925E-3</v>
      </c>
      <c r="D78" s="12">
        <f t="shared" ref="D78:D141" si="8">C78^2</f>
        <v>1.6809999999999939E-5</v>
      </c>
      <c r="E78" s="12">
        <f t="shared" si="2"/>
        <v>0</v>
      </c>
      <c r="F78" s="12">
        <f t="shared" si="3"/>
        <v>2.6045826440008969E-5</v>
      </c>
      <c r="G78" s="12">
        <f t="shared" si="4"/>
        <v>4.0361875140793595</v>
      </c>
      <c r="I78" s="12">
        <f t="shared" si="5"/>
        <v>5.1035111874090143E-3</v>
      </c>
      <c r="J78" s="12">
        <f t="shared" si="6"/>
        <v>5.4233926257759718E-3</v>
      </c>
    </row>
    <row r="79" spans="1:10">
      <c r="A79" s="15">
        <v>40343</v>
      </c>
      <c r="B79" s="11">
        <v>1.8525</v>
      </c>
      <c r="C79" s="11">
        <f t="shared" si="7"/>
        <v>5.5000000000000604E-3</v>
      </c>
      <c r="D79" s="12">
        <f t="shared" si="8"/>
        <v>3.0250000000000664E-5</v>
      </c>
      <c r="E79" s="12">
        <f t="shared" ref="E79:E142" si="9">D78</f>
        <v>1.6809999999999939E-5</v>
      </c>
      <c r="F79" s="12">
        <f t="shared" ref="F79:F142" si="10">$B$5+$B$6*E79+$B$7*F78</f>
        <v>2.5656681896495534E-5</v>
      </c>
      <c r="G79" s="12">
        <f t="shared" ref="G79:G142" si="11">LN((1/SQRT(2*3.1415927*F79))*EXP(-0.5*D79/F79))</f>
        <v>3.77689967247963</v>
      </c>
      <c r="I79" s="12">
        <f t="shared" ref="I79:I142" si="12">SQRT(F79)</f>
        <v>5.0652425308661706E-3</v>
      </c>
      <c r="J79" s="12">
        <f t="shared" si="6"/>
        <v>5.4233926257759718E-3</v>
      </c>
    </row>
    <row r="80" spans="1:10">
      <c r="A80" s="15">
        <v>40344</v>
      </c>
      <c r="B80" s="11">
        <v>1.8575999999999999</v>
      </c>
      <c r="C80" s="11">
        <f t="shared" si="7"/>
        <v>5.0999999999998824E-3</v>
      </c>
      <c r="D80" s="12">
        <f t="shared" si="8"/>
        <v>2.6009999999998801E-5</v>
      </c>
      <c r="E80" s="12">
        <f t="shared" si="9"/>
        <v>3.0250000000000664E-5</v>
      </c>
      <c r="F80" s="12">
        <f t="shared" si="10"/>
        <v>2.6106192142639266E-5</v>
      </c>
      <c r="G80" s="12">
        <f t="shared" si="11"/>
        <v>3.8595727961414563</v>
      </c>
      <c r="I80" s="12">
        <f t="shared" si="12"/>
        <v>5.1094218990644395E-3</v>
      </c>
      <c r="J80" s="12">
        <f t="shared" ref="J80:J143" si="13">J79</f>
        <v>5.4233926257759718E-3</v>
      </c>
    </row>
    <row r="81" spans="1:10">
      <c r="A81" s="15">
        <v>40345</v>
      </c>
      <c r="B81" s="11">
        <v>1.8569</v>
      </c>
      <c r="C81" s="11">
        <f t="shared" si="7"/>
        <v>-6.9999999999992291E-4</v>
      </c>
      <c r="D81" s="12">
        <f t="shared" si="8"/>
        <v>4.8999999999989208E-7</v>
      </c>
      <c r="E81" s="12">
        <f t="shared" si="9"/>
        <v>2.6009999999998801E-5</v>
      </c>
      <c r="F81" s="12">
        <f t="shared" si="10"/>
        <v>2.6255785821375051E-5</v>
      </c>
      <c r="G81" s="12">
        <f t="shared" si="11"/>
        <v>4.3455422732886833</v>
      </c>
      <c r="I81" s="12">
        <f t="shared" si="12"/>
        <v>5.1240399902201242E-3</v>
      </c>
      <c r="J81" s="12">
        <f t="shared" si="13"/>
        <v>5.4233926257759718E-3</v>
      </c>
    </row>
    <row r="82" spans="1:10">
      <c r="A82" s="15">
        <v>40346</v>
      </c>
      <c r="B82" s="11">
        <v>1.8616999999999999</v>
      </c>
      <c r="C82" s="11">
        <f t="shared" si="7"/>
        <v>4.7999999999999154E-3</v>
      </c>
      <c r="D82" s="12">
        <f t="shared" si="8"/>
        <v>2.303999999999919E-5</v>
      </c>
      <c r="E82" s="12">
        <f t="shared" si="9"/>
        <v>4.8999999999989208E-7</v>
      </c>
      <c r="F82" s="12">
        <f t="shared" si="10"/>
        <v>2.487667489362385E-5</v>
      </c>
      <c r="G82" s="12">
        <f t="shared" si="11"/>
        <v>3.9187670344962688</v>
      </c>
      <c r="I82" s="12">
        <f t="shared" si="12"/>
        <v>4.9876522426512302E-3</v>
      </c>
      <c r="J82" s="12">
        <f t="shared" si="13"/>
        <v>5.4233926257759718E-3</v>
      </c>
    </row>
    <row r="83" spans="1:10">
      <c r="A83" s="15">
        <v>40347</v>
      </c>
      <c r="B83" s="11">
        <v>1.8615999999999999</v>
      </c>
      <c r="C83" s="11">
        <f t="shared" si="7"/>
        <v>-9.9999999999988987E-5</v>
      </c>
      <c r="D83" s="12">
        <f t="shared" si="8"/>
        <v>9.9999999999977966E-9</v>
      </c>
      <c r="E83" s="12">
        <f t="shared" si="9"/>
        <v>2.303999999999919E-5</v>
      </c>
      <c r="F83" s="12">
        <f t="shared" si="10"/>
        <v>2.4983227639432713E-5</v>
      </c>
      <c r="G83" s="12">
        <f t="shared" si="11"/>
        <v>4.3795142514745162</v>
      </c>
      <c r="I83" s="12">
        <f t="shared" si="12"/>
        <v>4.9983224825367869E-3</v>
      </c>
      <c r="J83" s="12">
        <f t="shared" si="13"/>
        <v>5.4233926257759718E-3</v>
      </c>
    </row>
    <row r="84" spans="1:10">
      <c r="A84" s="15">
        <v>40348</v>
      </c>
      <c r="B84" s="11">
        <v>1.8615999999999999</v>
      </c>
      <c r="C84" s="11">
        <f t="shared" si="7"/>
        <v>0</v>
      </c>
      <c r="D84" s="12">
        <f t="shared" si="8"/>
        <v>0</v>
      </c>
      <c r="E84" s="12">
        <f t="shared" si="9"/>
        <v>9.9999999999977966E-9</v>
      </c>
      <c r="F84" s="12">
        <f t="shared" si="10"/>
        <v>2.3713308936719849E-5</v>
      </c>
      <c r="G84" s="12">
        <f t="shared" si="11"/>
        <v>4.4057985138723028</v>
      </c>
      <c r="I84" s="12">
        <f t="shared" si="12"/>
        <v>4.8696312937141191E-3</v>
      </c>
      <c r="J84" s="12">
        <f t="shared" si="13"/>
        <v>5.4233926257759718E-3</v>
      </c>
    </row>
    <row r="85" spans="1:10">
      <c r="A85" s="15">
        <v>40349</v>
      </c>
      <c r="B85" s="11">
        <v>1.8615999999999999</v>
      </c>
      <c r="C85" s="11">
        <f t="shared" si="7"/>
        <v>0</v>
      </c>
      <c r="D85" s="12">
        <f t="shared" si="8"/>
        <v>0</v>
      </c>
      <c r="E85" s="12">
        <f t="shared" si="9"/>
        <v>0</v>
      </c>
      <c r="F85" s="12">
        <f t="shared" si="10"/>
        <v>2.2580153024108065E-5</v>
      </c>
      <c r="G85" s="12">
        <f t="shared" si="11"/>
        <v>4.4302810705539963</v>
      </c>
      <c r="I85" s="12">
        <f t="shared" si="12"/>
        <v>4.7518578497370966E-3</v>
      </c>
      <c r="J85" s="12">
        <f t="shared" si="13"/>
        <v>5.4233926257759718E-3</v>
      </c>
    </row>
    <row r="86" spans="1:10">
      <c r="A86" s="15">
        <v>40350</v>
      </c>
      <c r="B86" s="11">
        <v>1.8604000000000001</v>
      </c>
      <c r="C86" s="11">
        <f t="shared" si="7"/>
        <v>-1.1999999999998678E-3</v>
      </c>
      <c r="D86" s="12">
        <f t="shared" si="8"/>
        <v>1.4399999999996828E-6</v>
      </c>
      <c r="E86" s="12">
        <f t="shared" si="9"/>
        <v>0</v>
      </c>
      <c r="F86" s="12">
        <f t="shared" si="10"/>
        <v>2.1569560205490208E-5</v>
      </c>
      <c r="G86" s="12">
        <f t="shared" si="11"/>
        <v>4.4197948282642949</v>
      </c>
      <c r="I86" s="12">
        <f t="shared" si="12"/>
        <v>4.6443040604045522E-3</v>
      </c>
      <c r="J86" s="12">
        <f t="shared" si="13"/>
        <v>5.4233926257759718E-3</v>
      </c>
    </row>
    <row r="87" spans="1:10">
      <c r="A87" s="15">
        <v>40351</v>
      </c>
      <c r="B87" s="11">
        <v>1.8579000000000001</v>
      </c>
      <c r="C87" s="11">
        <f t="shared" si="7"/>
        <v>-2.4999999999999467E-3</v>
      </c>
      <c r="D87" s="12">
        <f t="shared" si="8"/>
        <v>6.2499999999997335E-6</v>
      </c>
      <c r="E87" s="12">
        <f t="shared" si="9"/>
        <v>1.4399999999996828E-6</v>
      </c>
      <c r="F87" s="12">
        <f t="shared" si="10"/>
        <v>2.0753620159823623E-5</v>
      </c>
      <c r="G87" s="12">
        <f t="shared" si="11"/>
        <v>4.3218802506024847</v>
      </c>
      <c r="I87" s="12">
        <f t="shared" si="12"/>
        <v>4.5556141364061576E-3</v>
      </c>
      <c r="J87" s="12">
        <f t="shared" si="13"/>
        <v>5.4233926257759718E-3</v>
      </c>
    </row>
    <row r="88" spans="1:10">
      <c r="A88" s="15">
        <v>40352</v>
      </c>
      <c r="B88" s="11">
        <v>1.8603000000000001</v>
      </c>
      <c r="C88" s="11">
        <f t="shared" si="7"/>
        <v>2.3999999999999577E-3</v>
      </c>
      <c r="D88" s="12">
        <f t="shared" si="8"/>
        <v>5.7599999999997975E-6</v>
      </c>
      <c r="E88" s="12">
        <f t="shared" si="9"/>
        <v>6.2499999999997335E-6</v>
      </c>
      <c r="F88" s="12">
        <f t="shared" si="10"/>
        <v>2.0311012909252788E-5</v>
      </c>
      <c r="G88" s="12">
        <f t="shared" si="11"/>
        <v>4.341440118712387</v>
      </c>
      <c r="I88" s="12">
        <f t="shared" si="12"/>
        <v>4.5067741134044853E-3</v>
      </c>
      <c r="J88" s="12">
        <f t="shared" si="13"/>
        <v>5.4233926257759718E-3</v>
      </c>
    </row>
    <row r="89" spans="1:10">
      <c r="A89" s="15">
        <v>40353</v>
      </c>
      <c r="B89" s="11">
        <v>1.8622000000000001</v>
      </c>
      <c r="C89" s="11">
        <f t="shared" si="7"/>
        <v>1.9000000000000128E-3</v>
      </c>
      <c r="D89" s="12">
        <f t="shared" si="8"/>
        <v>3.6100000000000484E-6</v>
      </c>
      <c r="E89" s="12">
        <f t="shared" si="9"/>
        <v>5.7599999999997975E-6</v>
      </c>
      <c r="F89" s="12">
        <f t="shared" si="10"/>
        <v>1.9887237012838041E-5</v>
      </c>
      <c r="G89" s="12">
        <f t="shared" si="11"/>
        <v>4.4030159252941612</v>
      </c>
      <c r="I89" s="12">
        <f t="shared" si="12"/>
        <v>4.4595108490548645E-3</v>
      </c>
      <c r="J89" s="12">
        <f t="shared" si="13"/>
        <v>5.4233926257759718E-3</v>
      </c>
    </row>
    <row r="90" spans="1:10">
      <c r="A90" s="15">
        <v>40354</v>
      </c>
      <c r="B90" s="11">
        <v>1.8608</v>
      </c>
      <c r="C90" s="11">
        <f t="shared" si="7"/>
        <v>-1.4000000000000679E-3</v>
      </c>
      <c r="D90" s="12">
        <f t="shared" si="8"/>
        <v>1.96000000000019E-6</v>
      </c>
      <c r="E90" s="12">
        <f t="shared" si="9"/>
        <v>3.6100000000000484E-6</v>
      </c>
      <c r="F90" s="12">
        <f t="shared" si="10"/>
        <v>1.9381870445813304E-5</v>
      </c>
      <c r="G90" s="12">
        <f t="shared" si="11"/>
        <v>4.4560849649348127</v>
      </c>
      <c r="I90" s="12">
        <f t="shared" si="12"/>
        <v>4.4024845764424102E-3</v>
      </c>
      <c r="J90" s="12">
        <f t="shared" si="13"/>
        <v>5.4233926257759718E-3</v>
      </c>
    </row>
    <row r="91" spans="1:10">
      <c r="A91" s="15">
        <v>40355</v>
      </c>
      <c r="B91" s="11">
        <v>1.8631</v>
      </c>
      <c r="C91" s="11">
        <f t="shared" si="7"/>
        <v>2.2999999999999687E-3</v>
      </c>
      <c r="D91" s="12">
        <f t="shared" si="8"/>
        <v>5.2899999999998562E-6</v>
      </c>
      <c r="E91" s="12">
        <f t="shared" si="9"/>
        <v>1.96000000000019E-6</v>
      </c>
      <c r="F91" s="12">
        <f t="shared" si="10"/>
        <v>1.8833372222858327E-5</v>
      </c>
      <c r="G91" s="12">
        <f t="shared" si="11"/>
        <v>4.3805593433119672</v>
      </c>
      <c r="I91" s="12">
        <f t="shared" si="12"/>
        <v>4.3397433360578283E-3</v>
      </c>
      <c r="J91" s="12">
        <f t="shared" si="13"/>
        <v>5.4233926257759718E-3</v>
      </c>
    </row>
    <row r="92" spans="1:10">
      <c r="A92" s="15">
        <v>40356</v>
      </c>
      <c r="B92" s="11">
        <v>1.8631</v>
      </c>
      <c r="C92" s="11">
        <f t="shared" si="7"/>
        <v>0</v>
      </c>
      <c r="D92" s="12">
        <f t="shared" si="8"/>
        <v>0</v>
      </c>
      <c r="E92" s="12">
        <f t="shared" si="9"/>
        <v>5.2899999999998562E-6</v>
      </c>
      <c r="F92" s="12">
        <f t="shared" si="10"/>
        <v>1.8541563129171871E-5</v>
      </c>
      <c r="G92" s="12">
        <f t="shared" si="11"/>
        <v>4.5288093045120306</v>
      </c>
      <c r="I92" s="12">
        <f t="shared" si="12"/>
        <v>4.3059915384463859E-3</v>
      </c>
      <c r="J92" s="12">
        <f t="shared" si="13"/>
        <v>5.4233926257759718E-3</v>
      </c>
    </row>
    <row r="93" spans="1:10">
      <c r="A93" s="15">
        <v>40357</v>
      </c>
      <c r="B93" s="11">
        <v>1.8626</v>
      </c>
      <c r="C93" s="11">
        <f t="shared" si="7"/>
        <v>-4.9999999999994493E-4</v>
      </c>
      <c r="D93" s="12">
        <f t="shared" si="8"/>
        <v>2.4999999999994493E-7</v>
      </c>
      <c r="E93" s="12">
        <f t="shared" si="9"/>
        <v>0</v>
      </c>
      <c r="F93" s="12">
        <f t="shared" si="10"/>
        <v>1.7967787581140501E-5</v>
      </c>
      <c r="G93" s="12">
        <f t="shared" si="11"/>
        <v>4.5375695561050522</v>
      </c>
      <c r="I93" s="12">
        <f t="shared" si="12"/>
        <v>4.2388427171977617E-3</v>
      </c>
      <c r="J93" s="12">
        <f t="shared" si="13"/>
        <v>5.4233926257759718E-3</v>
      </c>
    </row>
    <row r="94" spans="1:10">
      <c r="A94" s="15">
        <v>40358</v>
      </c>
      <c r="B94" s="11">
        <v>1.8577999999999999</v>
      </c>
      <c r="C94" s="11">
        <f t="shared" si="7"/>
        <v>-4.8000000000001375E-3</v>
      </c>
      <c r="D94" s="12">
        <f t="shared" si="8"/>
        <v>2.3040000000001321E-5</v>
      </c>
      <c r="E94" s="12">
        <f t="shared" si="9"/>
        <v>2.4999999999994493E-7</v>
      </c>
      <c r="F94" s="12">
        <f t="shared" si="10"/>
        <v>1.7470889127318782E-5</v>
      </c>
      <c r="G94" s="12">
        <f t="shared" si="11"/>
        <v>3.8991661467084837</v>
      </c>
      <c r="I94" s="12">
        <f t="shared" si="12"/>
        <v>4.1798192696956143E-3</v>
      </c>
      <c r="J94" s="12">
        <f t="shared" si="13"/>
        <v>5.4233926257759718E-3</v>
      </c>
    </row>
    <row r="95" spans="1:10">
      <c r="A95" s="15">
        <v>40359</v>
      </c>
      <c r="B95" s="11">
        <v>1.8607</v>
      </c>
      <c r="C95" s="11">
        <f t="shared" si="7"/>
        <v>2.9000000000001247E-3</v>
      </c>
      <c r="D95" s="12">
        <f t="shared" si="8"/>
        <v>8.4100000000007225E-6</v>
      </c>
      <c r="E95" s="12">
        <f t="shared" si="9"/>
        <v>2.3040000000001321E-5</v>
      </c>
      <c r="F95" s="12">
        <f t="shared" si="10"/>
        <v>1.8378457873549547E-5</v>
      </c>
      <c r="G95" s="12">
        <f t="shared" si="11"/>
        <v>4.3044266519784342</v>
      </c>
      <c r="I95" s="12">
        <f t="shared" si="12"/>
        <v>4.2870103654586078E-3</v>
      </c>
      <c r="J95" s="12">
        <f t="shared" si="13"/>
        <v>5.4233926257759718E-3</v>
      </c>
    </row>
    <row r="96" spans="1:10">
      <c r="A96" s="15">
        <v>40360</v>
      </c>
      <c r="B96" s="11">
        <v>1.8696999999999999</v>
      </c>
      <c r="C96" s="11">
        <f t="shared" si="7"/>
        <v>8.999999999999897E-3</v>
      </c>
      <c r="D96" s="12">
        <f t="shared" si="8"/>
        <v>8.0999999999998147E-5</v>
      </c>
      <c r="E96" s="12">
        <f t="shared" si="9"/>
        <v>8.4100000000007225E-6</v>
      </c>
      <c r="F96" s="12">
        <f t="shared" si="10"/>
        <v>1.8320769477150733E-5</v>
      </c>
      <c r="G96" s="12">
        <f t="shared" si="11"/>
        <v>2.3241932181669891</v>
      </c>
      <c r="I96" s="12">
        <f t="shared" si="12"/>
        <v>4.2802767991276837E-3</v>
      </c>
      <c r="J96" s="12">
        <f t="shared" si="13"/>
        <v>5.4233926257759718E-3</v>
      </c>
    </row>
    <row r="97" spans="1:10">
      <c r="A97" s="15">
        <v>40361</v>
      </c>
      <c r="B97" s="11">
        <v>1.8756999999999999</v>
      </c>
      <c r="C97" s="11">
        <f t="shared" si="7"/>
        <v>6.0000000000000053E-3</v>
      </c>
      <c r="D97" s="12">
        <f t="shared" si="8"/>
        <v>3.6000000000000062E-5</v>
      </c>
      <c r="E97" s="12">
        <f t="shared" si="9"/>
        <v>8.0999999999998147E-5</v>
      </c>
      <c r="F97" s="12">
        <f t="shared" si="10"/>
        <v>2.2571599243733415E-5</v>
      </c>
      <c r="G97" s="12">
        <f t="shared" si="11"/>
        <v>3.6330081912300458</v>
      </c>
      <c r="I97" s="12">
        <f t="shared" si="12"/>
        <v>4.7509577185798459E-3</v>
      </c>
      <c r="J97" s="12">
        <f t="shared" si="13"/>
        <v>5.4233926257759718E-3</v>
      </c>
    </row>
    <row r="98" spans="1:10">
      <c r="A98" s="15">
        <v>40362</v>
      </c>
      <c r="B98" s="11">
        <v>1.8762000000000001</v>
      </c>
      <c r="C98" s="11">
        <f t="shared" si="7"/>
        <v>5.0000000000016698E-4</v>
      </c>
      <c r="D98" s="12">
        <f t="shared" si="8"/>
        <v>2.5000000000016696E-7</v>
      </c>
      <c r="E98" s="12">
        <f t="shared" si="9"/>
        <v>3.6000000000000062E-5</v>
      </c>
      <c r="F98" s="12">
        <f t="shared" si="10"/>
        <v>2.3695586759402817E-5</v>
      </c>
      <c r="G98" s="12">
        <f t="shared" si="11"/>
        <v>4.4008970854113825</v>
      </c>
      <c r="I98" s="12">
        <f t="shared" si="12"/>
        <v>4.8678112904469517E-3</v>
      </c>
      <c r="J98" s="12">
        <f t="shared" si="13"/>
        <v>5.4233926257759718E-3</v>
      </c>
    </row>
    <row r="99" spans="1:10">
      <c r="A99" s="15">
        <v>40363</v>
      </c>
      <c r="B99" s="11">
        <v>1.8762000000000001</v>
      </c>
      <c r="C99" s="11">
        <f t="shared" si="7"/>
        <v>0</v>
      </c>
      <c r="D99" s="12">
        <f t="shared" si="8"/>
        <v>0</v>
      </c>
      <c r="E99" s="12">
        <f t="shared" si="9"/>
        <v>2.5000000000016696E-7</v>
      </c>
      <c r="F99" s="12">
        <f t="shared" si="10"/>
        <v>2.2579164742009285E-5</v>
      </c>
      <c r="G99" s="12">
        <f t="shared" si="11"/>
        <v>4.4303029548991946</v>
      </c>
      <c r="I99" s="12">
        <f t="shared" si="12"/>
        <v>4.7517538595774596E-3</v>
      </c>
      <c r="J99" s="12">
        <f t="shared" si="13"/>
        <v>5.4233926257759718E-3</v>
      </c>
    </row>
    <row r="100" spans="1:10">
      <c r="A100" s="15">
        <v>40364</v>
      </c>
      <c r="B100" s="11">
        <v>1.8684000000000001</v>
      </c>
      <c r="C100" s="11">
        <f t="shared" si="7"/>
        <v>-7.8000000000000291E-3</v>
      </c>
      <c r="D100" s="12">
        <f t="shared" si="8"/>
        <v>6.0840000000000454E-5</v>
      </c>
      <c r="E100" s="12">
        <f t="shared" si="9"/>
        <v>0</v>
      </c>
      <c r="F100" s="12">
        <f t="shared" si="10"/>
        <v>2.1568678816812203E-5</v>
      </c>
      <c r="G100" s="12">
        <f t="shared" si="11"/>
        <v>3.0428171752520154</v>
      </c>
      <c r="I100" s="12">
        <f t="shared" si="12"/>
        <v>4.6442091702261004E-3</v>
      </c>
      <c r="J100" s="12">
        <f t="shared" si="13"/>
        <v>5.4233926257759718E-3</v>
      </c>
    </row>
    <row r="101" spans="1:10">
      <c r="A101" s="15">
        <v>40365</v>
      </c>
      <c r="B101" s="11">
        <v>1.8711</v>
      </c>
      <c r="C101" s="11">
        <f t="shared" si="7"/>
        <v>2.6999999999999247E-3</v>
      </c>
      <c r="D101" s="12">
        <f t="shared" si="8"/>
        <v>7.2899999999995931E-6</v>
      </c>
      <c r="E101" s="12">
        <f t="shared" si="9"/>
        <v>6.0840000000000454E-5</v>
      </c>
      <c r="F101" s="12">
        <f t="shared" si="10"/>
        <v>2.4273365100759026E-5</v>
      </c>
      <c r="G101" s="12">
        <f t="shared" si="11"/>
        <v>4.2439623136162368</v>
      </c>
      <c r="I101" s="12">
        <f t="shared" si="12"/>
        <v>4.9268006962692361E-3</v>
      </c>
      <c r="J101" s="12">
        <f t="shared" si="13"/>
        <v>5.4233926257759718E-3</v>
      </c>
    </row>
    <row r="102" spans="1:10">
      <c r="A102" s="15">
        <v>40366</v>
      </c>
      <c r="B102" s="11">
        <v>1.8738999999999999</v>
      </c>
      <c r="C102" s="11">
        <f t="shared" si="7"/>
        <v>2.7999999999999137E-3</v>
      </c>
      <c r="D102" s="12">
        <f t="shared" si="8"/>
        <v>7.8399999999995167E-6</v>
      </c>
      <c r="E102" s="12">
        <f t="shared" si="9"/>
        <v>7.2899999999995931E-6</v>
      </c>
      <c r="F102" s="12">
        <f t="shared" si="10"/>
        <v>2.3511698211593247E-5</v>
      </c>
      <c r="G102" s="12">
        <f t="shared" si="11"/>
        <v>4.2433421763227219</v>
      </c>
      <c r="I102" s="12">
        <f t="shared" si="12"/>
        <v>4.848886285694195E-3</v>
      </c>
      <c r="J102" s="12">
        <f t="shared" si="13"/>
        <v>5.4233926257759718E-3</v>
      </c>
    </row>
    <row r="103" spans="1:10">
      <c r="A103" s="15">
        <v>40367</v>
      </c>
      <c r="B103" s="11">
        <v>1.8808</v>
      </c>
      <c r="C103" s="11">
        <f t="shared" si="7"/>
        <v>6.9000000000001283E-3</v>
      </c>
      <c r="D103" s="12">
        <f t="shared" si="8"/>
        <v>4.7610000000001768E-5</v>
      </c>
      <c r="E103" s="12">
        <f t="shared" si="9"/>
        <v>7.8399999999995167E-6</v>
      </c>
      <c r="F103" s="12">
        <f t="shared" si="10"/>
        <v>2.2865011361281811E-5</v>
      </c>
      <c r="G103" s="12">
        <f t="shared" si="11"/>
        <v>3.3829024605667524</v>
      </c>
      <c r="I103" s="12">
        <f t="shared" si="12"/>
        <v>4.7817372743890699E-3</v>
      </c>
      <c r="J103" s="12">
        <f t="shared" si="13"/>
        <v>5.4233926257759718E-3</v>
      </c>
    </row>
    <row r="104" spans="1:10">
      <c r="A104" s="15">
        <v>40368</v>
      </c>
      <c r="B104" s="11">
        <v>1.8794999999999999</v>
      </c>
      <c r="C104" s="11">
        <f t="shared" si="7"/>
        <v>-1.3000000000000789E-3</v>
      </c>
      <c r="D104" s="12">
        <f t="shared" si="8"/>
        <v>1.6900000000002051E-6</v>
      </c>
      <c r="E104" s="12">
        <f t="shared" si="9"/>
        <v>4.7610000000001768E-5</v>
      </c>
      <c r="F104" s="12">
        <f t="shared" si="10"/>
        <v>2.4645366962152805E-5</v>
      </c>
      <c r="G104" s="12">
        <f t="shared" si="11"/>
        <v>4.3522359103224062</v>
      </c>
      <c r="I104" s="12">
        <f t="shared" si="12"/>
        <v>4.9644100316304255E-3</v>
      </c>
      <c r="J104" s="12">
        <f t="shared" si="13"/>
        <v>5.4233926257759718E-3</v>
      </c>
    </row>
    <row r="105" spans="1:10">
      <c r="A105" s="15">
        <v>40369</v>
      </c>
      <c r="B105" s="11">
        <v>1.8798999999999999</v>
      </c>
      <c r="C105" s="11">
        <f t="shared" si="7"/>
        <v>3.9999999999995595E-4</v>
      </c>
      <c r="D105" s="12">
        <f t="shared" si="8"/>
        <v>1.5999999999996475E-7</v>
      </c>
      <c r="E105" s="12">
        <f t="shared" si="9"/>
        <v>1.6900000000002051E-6</v>
      </c>
      <c r="F105" s="12">
        <f t="shared" si="10"/>
        <v>2.3511562127367758E-5</v>
      </c>
      <c r="G105" s="12">
        <f t="shared" si="11"/>
        <v>4.4066680043727908</v>
      </c>
      <c r="I105" s="12">
        <f t="shared" si="12"/>
        <v>4.848872253149979E-3</v>
      </c>
      <c r="J105" s="12">
        <f t="shared" si="13"/>
        <v>5.4233926257759718E-3</v>
      </c>
    </row>
    <row r="106" spans="1:10">
      <c r="A106" s="15">
        <v>40370</v>
      </c>
      <c r="B106" s="11">
        <v>1.8797999999999999</v>
      </c>
      <c r="C106" s="11">
        <f t="shared" si="7"/>
        <v>-9.9999999999988987E-5</v>
      </c>
      <c r="D106" s="12">
        <f t="shared" si="8"/>
        <v>9.9999999999977966E-9</v>
      </c>
      <c r="E106" s="12">
        <f t="shared" si="9"/>
        <v>1.5999999999996475E-7</v>
      </c>
      <c r="F106" s="12">
        <f t="shared" si="10"/>
        <v>2.2409710230658551E-5</v>
      </c>
      <c r="G106" s="12">
        <f t="shared" si="11"/>
        <v>4.4338464421399122</v>
      </c>
      <c r="I106" s="12">
        <f t="shared" si="12"/>
        <v>4.7338895456757917E-3</v>
      </c>
      <c r="J106" s="12">
        <f t="shared" si="13"/>
        <v>5.4233926257759718E-3</v>
      </c>
    </row>
    <row r="107" spans="1:10">
      <c r="A107" s="15">
        <v>40371</v>
      </c>
      <c r="B107" s="11">
        <v>1.8788</v>
      </c>
      <c r="C107" s="11">
        <f t="shared" si="7"/>
        <v>-9.9999999999988987E-4</v>
      </c>
      <c r="D107" s="12">
        <f t="shared" si="8"/>
        <v>9.9999999999977973E-7</v>
      </c>
      <c r="E107" s="12">
        <f t="shared" si="9"/>
        <v>9.9999999999977966E-9</v>
      </c>
      <c r="F107" s="12">
        <f t="shared" si="10"/>
        <v>2.1418145329532981E-5</v>
      </c>
      <c r="G107" s="12">
        <f t="shared" si="11"/>
        <v>4.4333528089938881</v>
      </c>
      <c r="I107" s="12">
        <f t="shared" si="12"/>
        <v>4.6279742144412364E-3</v>
      </c>
      <c r="J107" s="12">
        <f t="shared" si="13"/>
        <v>5.4233926257759718E-3</v>
      </c>
    </row>
    <row r="108" spans="1:10">
      <c r="A108" s="15">
        <v>40372</v>
      </c>
      <c r="B108" s="11">
        <v>1.8819999999999999</v>
      </c>
      <c r="C108" s="11">
        <f t="shared" si="7"/>
        <v>3.1999999999998696E-3</v>
      </c>
      <c r="D108" s="12">
        <f t="shared" si="8"/>
        <v>1.0239999999999165E-5</v>
      </c>
      <c r="E108" s="12">
        <f t="shared" si="9"/>
        <v>9.9999999999977973E-7</v>
      </c>
      <c r="F108" s="12">
        <f t="shared" si="10"/>
        <v>2.0592504436464356E-5</v>
      </c>
      <c r="G108" s="12">
        <f t="shared" si="11"/>
        <v>4.2277190068352306</v>
      </c>
      <c r="I108" s="12">
        <f t="shared" si="12"/>
        <v>4.5378964770545786E-3</v>
      </c>
      <c r="J108" s="12">
        <f t="shared" si="13"/>
        <v>5.4233926257759718E-3</v>
      </c>
    </row>
    <row r="109" spans="1:10">
      <c r="A109" s="15">
        <v>40373</v>
      </c>
      <c r="B109" s="11">
        <v>1.8848</v>
      </c>
      <c r="C109" s="11">
        <f t="shared" si="7"/>
        <v>2.8000000000001357E-3</v>
      </c>
      <c r="D109" s="12">
        <f t="shared" si="8"/>
        <v>7.8400000000007601E-6</v>
      </c>
      <c r="E109" s="12">
        <f t="shared" si="9"/>
        <v>1.0239999999999165E-5</v>
      </c>
      <c r="F109" s="12">
        <f t="shared" si="10"/>
        <v>2.0403803710158634E-5</v>
      </c>
      <c r="G109" s="12">
        <f t="shared" si="11"/>
        <v>4.2888350279149066</v>
      </c>
      <c r="I109" s="12">
        <f t="shared" si="12"/>
        <v>4.5170569744202513E-3</v>
      </c>
      <c r="J109" s="12">
        <f t="shared" si="13"/>
        <v>5.4233926257759718E-3</v>
      </c>
    </row>
    <row r="110" spans="1:10">
      <c r="A110" s="15">
        <v>40374</v>
      </c>
      <c r="B110" s="11">
        <v>1.8904000000000001</v>
      </c>
      <c r="C110" s="11">
        <f t="shared" si="7"/>
        <v>5.6000000000000494E-3</v>
      </c>
      <c r="D110" s="12">
        <f t="shared" si="8"/>
        <v>3.1360000000000554E-5</v>
      </c>
      <c r="E110" s="12">
        <f t="shared" si="9"/>
        <v>7.8400000000007601E-6</v>
      </c>
      <c r="F110" s="12">
        <f t="shared" si="10"/>
        <v>2.0093269336009711E-5</v>
      </c>
      <c r="G110" s="12">
        <f t="shared" si="11"/>
        <v>3.7082634750949119</v>
      </c>
      <c r="I110" s="12">
        <f t="shared" si="12"/>
        <v>4.4825516545835492E-3</v>
      </c>
      <c r="J110" s="12">
        <f t="shared" si="13"/>
        <v>5.4233926257759718E-3</v>
      </c>
    </row>
    <row r="111" spans="1:10">
      <c r="A111" s="15">
        <v>40375</v>
      </c>
      <c r="B111" s="11">
        <v>1.8944000000000001</v>
      </c>
      <c r="C111" s="11">
        <f t="shared" si="7"/>
        <v>4.0000000000000036E-3</v>
      </c>
      <c r="D111" s="12">
        <f t="shared" si="8"/>
        <v>1.600000000000003E-5</v>
      </c>
      <c r="E111" s="12">
        <f t="shared" si="9"/>
        <v>3.1360000000000554E-5</v>
      </c>
      <c r="F111" s="12">
        <f t="shared" si="10"/>
        <v>2.1210310651725171E-5</v>
      </c>
      <c r="G111" s="12">
        <f t="shared" si="11"/>
        <v>4.0843979800035157</v>
      </c>
      <c r="I111" s="12">
        <f t="shared" si="12"/>
        <v>4.6054653024124688E-3</v>
      </c>
      <c r="J111" s="12">
        <f t="shared" si="13"/>
        <v>5.4233926257759718E-3</v>
      </c>
    </row>
    <row r="112" spans="1:10">
      <c r="A112" s="15">
        <v>40376</v>
      </c>
      <c r="B112" s="11">
        <v>1.8938999999999999</v>
      </c>
      <c r="C112" s="11">
        <f t="shared" si="7"/>
        <v>-5.0000000000016698E-4</v>
      </c>
      <c r="D112" s="12">
        <f t="shared" si="8"/>
        <v>2.5000000000016696E-7</v>
      </c>
      <c r="E112" s="12">
        <f t="shared" si="9"/>
        <v>1.600000000000003E-5</v>
      </c>
      <c r="F112" s="12">
        <f t="shared" si="10"/>
        <v>2.1296172311000274E-5</v>
      </c>
      <c r="G112" s="12">
        <f t="shared" si="11"/>
        <v>4.4536834625724149</v>
      </c>
      <c r="I112" s="12">
        <f t="shared" si="12"/>
        <v>4.6147776014668655E-3</v>
      </c>
      <c r="J112" s="12">
        <f t="shared" si="13"/>
        <v>5.4233926257759718E-3</v>
      </c>
    </row>
    <row r="113" spans="1:10">
      <c r="A113" s="15">
        <v>40377</v>
      </c>
      <c r="B113" s="11">
        <v>1.8936999999999999</v>
      </c>
      <c r="C113" s="11">
        <f t="shared" si="7"/>
        <v>-1.9999999999997797E-4</v>
      </c>
      <c r="D113" s="12">
        <f t="shared" si="8"/>
        <v>3.9999999999991186E-8</v>
      </c>
      <c r="E113" s="12">
        <f t="shared" si="9"/>
        <v>2.5000000000016696E-7</v>
      </c>
      <c r="F113" s="12">
        <f t="shared" si="10"/>
        <v>2.04392729729635E-5</v>
      </c>
      <c r="G113" s="12">
        <f t="shared" si="11"/>
        <v>4.4791091320726739</v>
      </c>
      <c r="I113" s="12">
        <f t="shared" si="12"/>
        <v>4.5209814170115211E-3</v>
      </c>
      <c r="J113" s="12">
        <f t="shared" si="13"/>
        <v>5.4233926257759718E-3</v>
      </c>
    </row>
    <row r="114" spans="1:10">
      <c r="A114" s="15">
        <v>40378</v>
      </c>
      <c r="B114" s="11">
        <v>1.8956</v>
      </c>
      <c r="C114" s="11">
        <f t="shared" si="7"/>
        <v>1.9000000000000128E-3</v>
      </c>
      <c r="D114" s="12">
        <f t="shared" si="8"/>
        <v>3.6100000000000484E-6</v>
      </c>
      <c r="E114" s="12">
        <f t="shared" si="9"/>
        <v>3.9999999999991186E-8</v>
      </c>
      <c r="F114" s="12">
        <f t="shared" si="10"/>
        <v>1.9662610264382243E-5</v>
      </c>
      <c r="G114" s="12">
        <f t="shared" si="11"/>
        <v>4.4076587050928806</v>
      </c>
      <c r="I114" s="12">
        <f t="shared" si="12"/>
        <v>4.4342541948316676E-3</v>
      </c>
      <c r="J114" s="12">
        <f t="shared" si="13"/>
        <v>5.4233926257759718E-3</v>
      </c>
    </row>
    <row r="115" spans="1:10">
      <c r="A115" s="15">
        <v>40379</v>
      </c>
      <c r="B115" s="11">
        <v>1.8937999999999999</v>
      </c>
      <c r="C115" s="11">
        <f t="shared" si="7"/>
        <v>-1.8000000000000238E-3</v>
      </c>
      <c r="D115" s="12">
        <f t="shared" si="8"/>
        <v>3.2400000000000859E-6</v>
      </c>
      <c r="E115" s="12">
        <f t="shared" si="9"/>
        <v>3.6100000000000484E-6</v>
      </c>
      <c r="F115" s="12">
        <f t="shared" si="10"/>
        <v>1.9181539514886344E-5</v>
      </c>
      <c r="G115" s="12">
        <f t="shared" si="11"/>
        <v>4.4273863686806214</v>
      </c>
      <c r="I115" s="12">
        <f t="shared" si="12"/>
        <v>4.3796734484304132E-3</v>
      </c>
      <c r="J115" s="12">
        <f t="shared" si="13"/>
        <v>5.4233926257759718E-3</v>
      </c>
    </row>
    <row r="116" spans="1:10">
      <c r="A116" s="15">
        <v>40380</v>
      </c>
      <c r="B116" s="11">
        <v>1.8885000000000001</v>
      </c>
      <c r="C116" s="11">
        <f t="shared" si="7"/>
        <v>-5.2999999999998604E-3</v>
      </c>
      <c r="D116" s="12">
        <f t="shared" si="8"/>
        <v>2.808999999999852E-5</v>
      </c>
      <c r="E116" s="12">
        <f t="shared" si="9"/>
        <v>3.2400000000000859E-6</v>
      </c>
      <c r="F116" s="12">
        <f t="shared" si="10"/>
        <v>1.8730572547687357E-5</v>
      </c>
      <c r="G116" s="12">
        <f t="shared" si="11"/>
        <v>3.7738945934440484</v>
      </c>
      <c r="I116" s="12">
        <f t="shared" si="12"/>
        <v>4.3278831485712918E-3</v>
      </c>
      <c r="J116" s="12">
        <f t="shared" si="13"/>
        <v>5.4233926257759718E-3</v>
      </c>
    </row>
    <row r="117" spans="1:10">
      <c r="A117" s="15">
        <v>40381</v>
      </c>
      <c r="B117" s="11">
        <v>1.8948</v>
      </c>
      <c r="C117" s="11">
        <f t="shared" si="7"/>
        <v>6.2999999999999723E-3</v>
      </c>
      <c r="D117" s="12">
        <f t="shared" si="8"/>
        <v>3.9689999999999649E-5</v>
      </c>
      <c r="E117" s="12">
        <f t="shared" si="9"/>
        <v>2.808999999999852E-5</v>
      </c>
      <c r="F117" s="12">
        <f t="shared" si="10"/>
        <v>1.980119728157233E-5</v>
      </c>
      <c r="G117" s="12">
        <f t="shared" si="11"/>
        <v>3.493733411329762</v>
      </c>
      <c r="I117" s="12">
        <f t="shared" si="12"/>
        <v>4.4498536247355742E-3</v>
      </c>
      <c r="J117" s="12">
        <f t="shared" si="13"/>
        <v>5.4233926257759718E-3</v>
      </c>
    </row>
    <row r="118" spans="1:10">
      <c r="A118" s="15">
        <v>40382</v>
      </c>
      <c r="B118" s="11">
        <v>1.8942000000000001</v>
      </c>
      <c r="C118" s="11">
        <f t="shared" si="7"/>
        <v>-5.9999999999993392E-4</v>
      </c>
      <c r="D118" s="12">
        <f t="shared" si="8"/>
        <v>3.5999999999992069E-7</v>
      </c>
      <c r="E118" s="12">
        <f t="shared" si="9"/>
        <v>3.9689999999999649E-5</v>
      </c>
      <c r="F118" s="12">
        <f t="shared" si="10"/>
        <v>2.144353345016744E-5</v>
      </c>
      <c r="G118" s="12">
        <f t="shared" si="11"/>
        <v>4.4477110348772477</v>
      </c>
      <c r="I118" s="12">
        <f t="shared" si="12"/>
        <v>4.6307162999008524E-3</v>
      </c>
      <c r="J118" s="12">
        <f t="shared" si="13"/>
        <v>5.4233926257759718E-3</v>
      </c>
    </row>
    <row r="119" spans="1:10">
      <c r="A119" s="15">
        <v>40383</v>
      </c>
      <c r="B119" s="11">
        <v>1.8946000000000001</v>
      </c>
      <c r="C119" s="11">
        <f t="shared" si="7"/>
        <v>3.9999999999995595E-4</v>
      </c>
      <c r="D119" s="12">
        <f t="shared" si="8"/>
        <v>1.5999999999996475E-7</v>
      </c>
      <c r="E119" s="12">
        <f t="shared" si="9"/>
        <v>3.5999999999992069E-7</v>
      </c>
      <c r="F119" s="12">
        <f t="shared" si="10"/>
        <v>2.0577214909560416E-5</v>
      </c>
      <c r="G119" s="12">
        <f t="shared" si="11"/>
        <v>4.472836747415176</v>
      </c>
      <c r="I119" s="12">
        <f t="shared" si="12"/>
        <v>4.5362115150817664E-3</v>
      </c>
      <c r="J119" s="12">
        <f t="shared" si="13"/>
        <v>5.4233926257759718E-3</v>
      </c>
    </row>
    <row r="120" spans="1:10">
      <c r="A120" s="15">
        <v>40384</v>
      </c>
      <c r="B120" s="11">
        <v>1.8935</v>
      </c>
      <c r="C120" s="11">
        <f t="shared" si="7"/>
        <v>-1.1000000000001009E-3</v>
      </c>
      <c r="D120" s="12">
        <f t="shared" si="8"/>
        <v>1.210000000000222E-6</v>
      </c>
      <c r="E120" s="12">
        <f t="shared" si="9"/>
        <v>1.5999999999996475E-7</v>
      </c>
      <c r="F120" s="12">
        <f t="shared" si="10"/>
        <v>1.9792744469245876E-5</v>
      </c>
      <c r="G120" s="12">
        <f t="shared" si="11"/>
        <v>4.4655922671255865</v>
      </c>
      <c r="I120" s="12">
        <f t="shared" si="12"/>
        <v>4.4489037379163284E-3</v>
      </c>
      <c r="J120" s="12">
        <f t="shared" si="13"/>
        <v>5.4233926257759718E-3</v>
      </c>
    </row>
    <row r="121" spans="1:10">
      <c r="A121" s="15">
        <v>40385</v>
      </c>
      <c r="B121" s="11">
        <v>1.8995</v>
      </c>
      <c r="C121" s="11">
        <f t="shared" si="7"/>
        <v>6.0000000000000053E-3</v>
      </c>
      <c r="D121" s="12">
        <f t="shared" si="8"/>
        <v>3.6000000000000062E-5</v>
      </c>
      <c r="E121" s="12">
        <f t="shared" si="9"/>
        <v>1.210000000000222E-6</v>
      </c>
      <c r="F121" s="12">
        <f t="shared" si="10"/>
        <v>1.9155354618314174E-5</v>
      </c>
      <c r="G121" s="12">
        <f t="shared" si="11"/>
        <v>3.5728405617660997</v>
      </c>
      <c r="I121" s="12">
        <f t="shared" si="12"/>
        <v>4.3766830612136142E-3</v>
      </c>
      <c r="J121" s="12">
        <f t="shared" si="13"/>
        <v>5.4233926257759718E-3</v>
      </c>
    </row>
    <row r="122" spans="1:10">
      <c r="A122" s="15">
        <v>40386</v>
      </c>
      <c r="B122" s="11">
        <v>1.8997999999999999</v>
      </c>
      <c r="C122" s="11">
        <f t="shared" si="7"/>
        <v>2.9999999999996696E-4</v>
      </c>
      <c r="D122" s="12">
        <f t="shared" si="8"/>
        <v>8.9999999999980173E-8</v>
      </c>
      <c r="E122" s="12">
        <f t="shared" si="9"/>
        <v>3.6000000000000062E-5</v>
      </c>
      <c r="F122" s="12">
        <f t="shared" si="10"/>
        <v>2.0648846018198822E-5</v>
      </c>
      <c r="G122" s="12">
        <f t="shared" si="11"/>
        <v>4.4728077223752924</v>
      </c>
      <c r="I122" s="12">
        <f t="shared" si="12"/>
        <v>4.5441001329414848E-3</v>
      </c>
      <c r="J122" s="12">
        <f t="shared" si="13"/>
        <v>5.4233926257759718E-3</v>
      </c>
    </row>
    <row r="123" spans="1:10">
      <c r="A123" s="15">
        <v>40387</v>
      </c>
      <c r="B123" s="11">
        <v>1.8996999999999999</v>
      </c>
      <c r="C123" s="11">
        <f t="shared" si="7"/>
        <v>-9.9999999999988987E-5</v>
      </c>
      <c r="D123" s="12">
        <f t="shared" si="8"/>
        <v>9.9999999999977966E-9</v>
      </c>
      <c r="E123" s="12">
        <f t="shared" si="9"/>
        <v>8.9999999999980173E-8</v>
      </c>
      <c r="F123" s="12">
        <f t="shared" si="10"/>
        <v>1.9852479123186901E-5</v>
      </c>
      <c r="G123" s="12">
        <f t="shared" si="11"/>
        <v>4.4944004345822641</v>
      </c>
      <c r="I123" s="12">
        <f t="shared" si="12"/>
        <v>4.4556120929886726E-3</v>
      </c>
      <c r="J123" s="12">
        <f t="shared" si="13"/>
        <v>5.4233926257759718E-3</v>
      </c>
    </row>
    <row r="124" spans="1:10">
      <c r="A124" s="15">
        <v>40388</v>
      </c>
      <c r="B124" s="11">
        <v>1.9057999999999999</v>
      </c>
      <c r="C124" s="11">
        <f t="shared" si="7"/>
        <v>6.0999999999999943E-3</v>
      </c>
      <c r="D124" s="12">
        <f t="shared" si="8"/>
        <v>3.720999999999993E-5</v>
      </c>
      <c r="E124" s="12">
        <f t="shared" si="9"/>
        <v>9.9999999999977966E-9</v>
      </c>
      <c r="F124" s="12">
        <f t="shared" si="10"/>
        <v>1.9137506483638876E-5</v>
      </c>
      <c r="G124" s="12">
        <f t="shared" si="11"/>
        <v>3.54081696888078</v>
      </c>
      <c r="I124" s="12">
        <f t="shared" si="12"/>
        <v>4.3746435836121414E-3</v>
      </c>
      <c r="J124" s="12">
        <f t="shared" si="13"/>
        <v>5.4233926257759718E-3</v>
      </c>
    </row>
    <row r="125" spans="1:10">
      <c r="A125" s="15">
        <v>40389</v>
      </c>
      <c r="B125" s="11">
        <v>1.9056999999999999</v>
      </c>
      <c r="C125" s="11">
        <f t="shared" si="7"/>
        <v>-9.9999999999988987E-5</v>
      </c>
      <c r="D125" s="12">
        <f t="shared" si="8"/>
        <v>9.9999999999977966E-9</v>
      </c>
      <c r="E125" s="12">
        <f t="shared" si="9"/>
        <v>3.720999999999993E-5</v>
      </c>
      <c r="F125" s="12">
        <f t="shared" si="10"/>
        <v>2.0704642873068006E-5</v>
      </c>
      <c r="G125" s="12">
        <f t="shared" si="11"/>
        <v>4.473396262409203</v>
      </c>
      <c r="I125" s="12">
        <f t="shared" si="12"/>
        <v>4.5502354744637128E-3</v>
      </c>
      <c r="J125" s="12">
        <f t="shared" si="13"/>
        <v>5.4233926257759718E-3</v>
      </c>
    </row>
    <row r="126" spans="1:10">
      <c r="A126" s="15">
        <v>40390</v>
      </c>
      <c r="B126" s="11">
        <v>1.9026000000000001</v>
      </c>
      <c r="C126" s="11">
        <f t="shared" si="7"/>
        <v>-3.0999999999998806E-3</v>
      </c>
      <c r="D126" s="12">
        <f t="shared" si="8"/>
        <v>9.6099999999992592E-6</v>
      </c>
      <c r="E126" s="12">
        <f t="shared" si="9"/>
        <v>9.9999999999977966E-9</v>
      </c>
      <c r="F126" s="12">
        <f t="shared" si="10"/>
        <v>1.98974994875419E-5</v>
      </c>
      <c r="G126" s="12">
        <f t="shared" si="11"/>
        <v>4.2520320731267196</v>
      </c>
      <c r="I126" s="12">
        <f t="shared" si="12"/>
        <v>4.460661328496247E-3</v>
      </c>
      <c r="J126" s="12">
        <f t="shared" si="13"/>
        <v>5.4233926257759718E-3</v>
      </c>
    </row>
    <row r="127" spans="1:10">
      <c r="A127" s="15">
        <v>40391</v>
      </c>
      <c r="B127" s="11">
        <v>1.9026000000000001</v>
      </c>
      <c r="C127" s="11">
        <f t="shared" si="7"/>
        <v>0</v>
      </c>
      <c r="D127" s="12">
        <f t="shared" si="8"/>
        <v>0</v>
      </c>
      <c r="E127" s="12">
        <f t="shared" si="9"/>
        <v>9.6099999999992592E-6</v>
      </c>
      <c r="F127" s="12">
        <f t="shared" si="10"/>
        <v>1.9746632114349542E-5</v>
      </c>
      <c r="G127" s="12">
        <f t="shared" si="11"/>
        <v>4.4973252629159379</v>
      </c>
      <c r="I127" s="12">
        <f t="shared" si="12"/>
        <v>4.4437182757629387E-3</v>
      </c>
      <c r="J127" s="12">
        <f t="shared" si="13"/>
        <v>5.4233926257759718E-3</v>
      </c>
    </row>
    <row r="128" spans="1:10">
      <c r="A128" s="15">
        <v>40392</v>
      </c>
      <c r="B128" s="11">
        <v>1.9116</v>
      </c>
      <c r="C128" s="11">
        <f t="shared" si="7"/>
        <v>8.999999999999897E-3</v>
      </c>
      <c r="D128" s="12">
        <f t="shared" si="8"/>
        <v>8.0999999999998147E-5</v>
      </c>
      <c r="E128" s="12">
        <f t="shared" si="9"/>
        <v>0</v>
      </c>
      <c r="F128" s="12">
        <f t="shared" si="10"/>
        <v>1.9042515294075162E-5</v>
      </c>
      <c r="G128" s="12">
        <f t="shared" si="11"/>
        <v>2.3886598000465269</v>
      </c>
      <c r="I128" s="12">
        <f t="shared" si="12"/>
        <v>4.3637730571232918E-3</v>
      </c>
      <c r="J128" s="12">
        <f t="shared" si="13"/>
        <v>5.4233926257759718E-3</v>
      </c>
    </row>
    <row r="129" spans="1:10">
      <c r="A129" s="15">
        <v>40393</v>
      </c>
      <c r="B129" s="11">
        <v>1.9109</v>
      </c>
      <c r="C129" s="11">
        <f t="shared" si="7"/>
        <v>-6.9999999999992291E-4</v>
      </c>
      <c r="D129" s="12">
        <f t="shared" si="8"/>
        <v>4.8999999999989208E-7</v>
      </c>
      <c r="E129" s="12">
        <f t="shared" si="9"/>
        <v>8.0999999999998147E-5</v>
      </c>
      <c r="F129" s="12">
        <f t="shared" si="10"/>
        <v>2.3215280427702307E-5</v>
      </c>
      <c r="G129" s="12">
        <f t="shared" si="11"/>
        <v>4.4058579939467197</v>
      </c>
      <c r="I129" s="12">
        <f t="shared" si="12"/>
        <v>4.8182237834810361E-3</v>
      </c>
      <c r="J129" s="12">
        <f t="shared" si="13"/>
        <v>5.4233926257759718E-3</v>
      </c>
    </row>
    <row r="130" spans="1:10">
      <c r="A130" s="15">
        <v>40394</v>
      </c>
      <c r="B130" s="11">
        <v>1.9069</v>
      </c>
      <c r="C130" s="11">
        <f t="shared" si="7"/>
        <v>-4.0000000000000036E-3</v>
      </c>
      <c r="D130" s="12">
        <f t="shared" si="8"/>
        <v>1.600000000000003E-5</v>
      </c>
      <c r="E130" s="12">
        <f t="shared" si="9"/>
        <v>4.8999999999989208E-7</v>
      </c>
      <c r="F130" s="12">
        <f t="shared" si="10"/>
        <v>2.2165033113692353E-5</v>
      </c>
      <c r="G130" s="12">
        <f t="shared" si="11"/>
        <v>4.0786299033384799</v>
      </c>
      <c r="I130" s="12">
        <f t="shared" si="12"/>
        <v>4.7079754793002433E-3</v>
      </c>
      <c r="J130" s="12">
        <f t="shared" si="13"/>
        <v>5.4233926257759718E-3</v>
      </c>
    </row>
    <row r="131" spans="1:10">
      <c r="A131" s="15">
        <v>40395</v>
      </c>
      <c r="B131" s="11">
        <v>1.909</v>
      </c>
      <c r="C131" s="11">
        <f t="shared" si="7"/>
        <v>2.0999999999999908E-3</v>
      </c>
      <c r="D131" s="12">
        <f t="shared" si="8"/>
        <v>4.4099999999999612E-6</v>
      </c>
      <c r="E131" s="12">
        <f t="shared" si="9"/>
        <v>1.600000000000003E-5</v>
      </c>
      <c r="F131" s="12">
        <f t="shared" si="10"/>
        <v>2.2147631190664382E-5</v>
      </c>
      <c r="G131" s="12">
        <f t="shared" si="11"/>
        <v>4.3403922850118359</v>
      </c>
      <c r="I131" s="12">
        <f t="shared" si="12"/>
        <v>4.7061269841202095E-3</v>
      </c>
      <c r="J131" s="12">
        <f t="shared" si="13"/>
        <v>5.4233926257759718E-3</v>
      </c>
    </row>
    <row r="132" spans="1:10">
      <c r="A132" s="15">
        <v>40396</v>
      </c>
      <c r="B132" s="11">
        <v>1.9127000000000001</v>
      </c>
      <c r="C132" s="11">
        <f t="shared" si="7"/>
        <v>3.7000000000000366E-3</v>
      </c>
      <c r="D132" s="12">
        <f t="shared" si="8"/>
        <v>1.369000000000027E-5</v>
      </c>
      <c r="E132" s="12">
        <f t="shared" si="9"/>
        <v>4.4099999999999612E-6</v>
      </c>
      <c r="F132" s="12">
        <f t="shared" si="10"/>
        <v>2.1445193052251887E-5</v>
      </c>
      <c r="G132" s="12">
        <f t="shared" si="11"/>
        <v>4.1368807296437913</v>
      </c>
      <c r="I132" s="12">
        <f t="shared" si="12"/>
        <v>4.630895491398169E-3</v>
      </c>
      <c r="J132" s="12">
        <f t="shared" si="13"/>
        <v>5.4233926257759718E-3</v>
      </c>
    </row>
    <row r="133" spans="1:10">
      <c r="A133" s="15">
        <v>40397</v>
      </c>
      <c r="B133" s="11">
        <v>1.9098999999999999</v>
      </c>
      <c r="C133" s="11">
        <f t="shared" si="7"/>
        <v>-2.8000000000001357E-3</v>
      </c>
      <c r="D133" s="12">
        <f t="shared" si="8"/>
        <v>7.8400000000007601E-6</v>
      </c>
      <c r="E133" s="12">
        <f t="shared" si="9"/>
        <v>1.369000000000027E-5</v>
      </c>
      <c r="F133" s="12">
        <f t="shared" si="10"/>
        <v>2.1368740095261547E-5</v>
      </c>
      <c r="G133" s="12">
        <f t="shared" si="11"/>
        <v>4.2744066460296084</v>
      </c>
      <c r="I133" s="12">
        <f t="shared" si="12"/>
        <v>4.6226334588913218E-3</v>
      </c>
      <c r="J133" s="12">
        <f t="shared" si="13"/>
        <v>5.4233926257759718E-3</v>
      </c>
    </row>
    <row r="134" spans="1:10">
      <c r="A134" s="15">
        <v>40398</v>
      </c>
      <c r="B134" s="11">
        <v>1.9115</v>
      </c>
      <c r="C134" s="11">
        <f t="shared" si="7"/>
        <v>1.6000000000000458E-3</v>
      </c>
      <c r="D134" s="12">
        <f t="shared" si="8"/>
        <v>2.5600000000001466E-6</v>
      </c>
      <c r="E134" s="12">
        <f t="shared" si="9"/>
        <v>7.8400000000007601E-6</v>
      </c>
      <c r="F134" s="12">
        <f t="shared" si="10"/>
        <v>2.0953837392315799E-5</v>
      </c>
      <c r="G134" s="12">
        <f t="shared" si="11"/>
        <v>4.40656917621099</v>
      </c>
      <c r="I134" s="12">
        <f t="shared" si="12"/>
        <v>4.5775361705087374E-3</v>
      </c>
      <c r="J134" s="12">
        <f t="shared" si="13"/>
        <v>5.4233926257759718E-3</v>
      </c>
    </row>
    <row r="135" spans="1:10">
      <c r="A135" s="15">
        <v>40399</v>
      </c>
      <c r="B135" s="11">
        <v>1.9065000000000001</v>
      </c>
      <c r="C135" s="11">
        <f t="shared" si="7"/>
        <v>-4.9999999999998934E-3</v>
      </c>
      <c r="D135" s="12">
        <f t="shared" si="8"/>
        <v>2.4999999999998934E-5</v>
      </c>
      <c r="E135" s="12">
        <f t="shared" si="9"/>
        <v>2.5600000000001466E-6</v>
      </c>
      <c r="F135" s="12">
        <f t="shared" si="10"/>
        <v>2.0270874825039088E-5</v>
      </c>
      <c r="G135" s="12">
        <f t="shared" si="11"/>
        <v>3.8675759040037598</v>
      </c>
      <c r="I135" s="12">
        <f t="shared" si="12"/>
        <v>4.502318827564202E-3</v>
      </c>
      <c r="J135" s="12">
        <f t="shared" si="13"/>
        <v>5.4233926257759718E-3</v>
      </c>
    </row>
    <row r="136" spans="1:10">
      <c r="A136" s="15">
        <v>40400</v>
      </c>
      <c r="B136" s="11">
        <v>1.9037999999999999</v>
      </c>
      <c r="C136" s="11">
        <f t="shared" si="7"/>
        <v>-2.7000000000001467E-3</v>
      </c>
      <c r="D136" s="12">
        <f t="shared" si="8"/>
        <v>7.2900000000007925E-6</v>
      </c>
      <c r="E136" s="12">
        <f t="shared" si="9"/>
        <v>2.4999999999998934E-5</v>
      </c>
      <c r="F136" s="12">
        <f t="shared" si="10"/>
        <v>2.0991760438879607E-5</v>
      </c>
      <c r="G136" s="12">
        <f t="shared" si="11"/>
        <v>4.2931121802550791</v>
      </c>
      <c r="I136" s="12">
        <f t="shared" si="12"/>
        <v>4.5816765969325692E-3</v>
      </c>
      <c r="J136" s="12">
        <f t="shared" si="13"/>
        <v>5.4233926257759718E-3</v>
      </c>
    </row>
    <row r="137" spans="1:10">
      <c r="A137" s="15">
        <v>40401</v>
      </c>
      <c r="B137" s="11">
        <v>1.885</v>
      </c>
      <c r="C137" s="11">
        <f t="shared" si="7"/>
        <v>-1.8799999999999928E-2</v>
      </c>
      <c r="D137" s="12">
        <f t="shared" si="8"/>
        <v>3.5343999999999729E-4</v>
      </c>
      <c r="E137" s="12">
        <f t="shared" si="9"/>
        <v>7.2900000000007925E-6</v>
      </c>
      <c r="F137" s="12">
        <f t="shared" si="10"/>
        <v>2.0585034662537309E-5</v>
      </c>
      <c r="G137" s="12">
        <f t="shared" si="11"/>
        <v>-4.1083428868938006</v>
      </c>
      <c r="I137" s="12">
        <f t="shared" si="12"/>
        <v>4.5370733587343842E-3</v>
      </c>
      <c r="J137" s="12">
        <f t="shared" si="13"/>
        <v>5.4233926257759718E-3</v>
      </c>
    </row>
    <row r="138" spans="1:10">
      <c r="A138" s="15">
        <v>40402</v>
      </c>
      <c r="B138" s="11">
        <v>1.8853</v>
      </c>
      <c r="C138" s="11">
        <f t="shared" si="7"/>
        <v>2.9999999999996696E-4</v>
      </c>
      <c r="D138" s="12">
        <f t="shared" si="8"/>
        <v>8.9999999999980173E-8</v>
      </c>
      <c r="E138" s="12">
        <f t="shared" si="9"/>
        <v>3.5343999999999729E-4</v>
      </c>
      <c r="F138" s="12">
        <f t="shared" si="10"/>
        <v>4.0737987638742992E-5</v>
      </c>
      <c r="G138" s="12">
        <f t="shared" si="11"/>
        <v>4.1341316111111341</v>
      </c>
      <c r="I138" s="12">
        <f t="shared" si="12"/>
        <v>6.3826317173046251E-3</v>
      </c>
      <c r="J138" s="12">
        <f t="shared" si="13"/>
        <v>5.4233926257759718E-3</v>
      </c>
    </row>
    <row r="139" spans="1:10">
      <c r="A139" s="15">
        <v>40403</v>
      </c>
      <c r="B139" s="11">
        <v>1.8829</v>
      </c>
      <c r="C139" s="11">
        <f t="shared" si="7"/>
        <v>-2.3999999999999577E-3</v>
      </c>
      <c r="D139" s="12">
        <f t="shared" si="8"/>
        <v>5.7599999999997975E-6</v>
      </c>
      <c r="E139" s="12">
        <f t="shared" si="9"/>
        <v>8.9999999999980173E-8</v>
      </c>
      <c r="F139" s="12">
        <f t="shared" si="10"/>
        <v>3.7768762335375641E-5</v>
      </c>
      <c r="G139" s="12">
        <f t="shared" si="11"/>
        <v>4.0968220629651295</v>
      </c>
      <c r="I139" s="12">
        <f t="shared" si="12"/>
        <v>6.1456295312502882E-3</v>
      </c>
      <c r="J139" s="12">
        <f t="shared" si="13"/>
        <v>5.4233926257759718E-3</v>
      </c>
    </row>
    <row r="140" spans="1:10">
      <c r="A140" s="15">
        <v>40404</v>
      </c>
      <c r="B140" s="11">
        <v>1.8798999999999999</v>
      </c>
      <c r="C140" s="11">
        <f t="shared" si="7"/>
        <v>-3.0000000000001137E-3</v>
      </c>
      <c r="D140" s="12">
        <f t="shared" si="8"/>
        <v>9.0000000000006829E-6</v>
      </c>
      <c r="E140" s="12">
        <f t="shared" si="9"/>
        <v>5.7599999999997975E-6</v>
      </c>
      <c r="F140" s="12">
        <f t="shared" si="10"/>
        <v>3.5456741617553454E-5</v>
      </c>
      <c r="G140" s="12">
        <f t="shared" si="11"/>
        <v>4.0777448192516008</v>
      </c>
      <c r="I140" s="12">
        <f t="shared" si="12"/>
        <v>5.9545563745381953E-3</v>
      </c>
      <c r="J140" s="12">
        <f t="shared" si="13"/>
        <v>5.4233926257759718E-3</v>
      </c>
    </row>
    <row r="141" spans="1:10">
      <c r="A141" s="15">
        <v>40405</v>
      </c>
      <c r="B141" s="11">
        <v>1.8827</v>
      </c>
      <c r="C141" s="11">
        <f t="shared" si="7"/>
        <v>2.8000000000001357E-3</v>
      </c>
      <c r="D141" s="12">
        <f t="shared" si="8"/>
        <v>7.8400000000007601E-6</v>
      </c>
      <c r="E141" s="12">
        <f t="shared" si="9"/>
        <v>9.0000000000006829E-6</v>
      </c>
      <c r="F141" s="12">
        <f t="shared" si="10"/>
        <v>3.3586819963403491E-5</v>
      </c>
      <c r="G141" s="12">
        <f t="shared" si="11"/>
        <v>4.1150374262398568</v>
      </c>
      <c r="I141" s="12">
        <f t="shared" si="12"/>
        <v>5.7954137007985452E-3</v>
      </c>
      <c r="J141" s="12">
        <f t="shared" si="13"/>
        <v>5.4233926257759718E-3</v>
      </c>
    </row>
    <row r="142" spans="1:10">
      <c r="A142" s="15">
        <v>40406</v>
      </c>
      <c r="B142" s="11">
        <v>1.8869</v>
      </c>
      <c r="C142" s="11">
        <f t="shared" ref="C142:C205" si="14">B142-B141</f>
        <v>4.1999999999999815E-3</v>
      </c>
      <c r="D142" s="12">
        <f t="shared" ref="D142:D205" si="15">C142^2</f>
        <v>1.7639999999999845E-5</v>
      </c>
      <c r="E142" s="12">
        <f t="shared" si="9"/>
        <v>7.8400000000007601E-6</v>
      </c>
      <c r="F142" s="12">
        <f t="shared" si="10"/>
        <v>3.1850399493451661E-5</v>
      </c>
      <c r="G142" s="12">
        <f t="shared" si="11"/>
        <v>3.9813721724085012</v>
      </c>
      <c r="I142" s="12">
        <f t="shared" si="12"/>
        <v>5.643615817315319E-3</v>
      </c>
      <c r="J142" s="12">
        <f t="shared" si="13"/>
        <v>5.4233926257759718E-3</v>
      </c>
    </row>
    <row r="143" spans="1:10">
      <c r="A143" s="15">
        <v>40407</v>
      </c>
      <c r="B143" s="11">
        <v>1.8896999999999999</v>
      </c>
      <c r="C143" s="11">
        <f t="shared" si="14"/>
        <v>2.7999999999999137E-3</v>
      </c>
      <c r="D143" s="12">
        <f t="shared" si="15"/>
        <v>7.8399999999995167E-6</v>
      </c>
      <c r="E143" s="12">
        <f t="shared" ref="E143:E206" si="16">D142</f>
        <v>1.7639999999999845E-5</v>
      </c>
      <c r="F143" s="12">
        <f t="shared" ref="F143:F206" si="17">$B$5+$B$6*E143+$B$7*F142</f>
        <v>3.0882620064481782E-5</v>
      </c>
      <c r="G143" s="12">
        <f t="shared" ref="G143:G206" si="18">LN((1/SQRT(2*3.1415927*F143))*EXP(-0.5*D143/F143))</f>
        <v>4.1467877188818596</v>
      </c>
      <c r="I143" s="12">
        <f t="shared" ref="I143:I206" si="19">SQRT(F143)</f>
        <v>5.557213336239826E-3</v>
      </c>
      <c r="J143" s="12">
        <f t="shared" si="13"/>
        <v>5.4233926257759718E-3</v>
      </c>
    </row>
    <row r="144" spans="1:10">
      <c r="A144" s="15">
        <v>40408</v>
      </c>
      <c r="B144" s="11">
        <v>1.889</v>
      </c>
      <c r="C144" s="11">
        <f t="shared" si="14"/>
        <v>-6.9999999999992291E-4</v>
      </c>
      <c r="D144" s="12">
        <f t="shared" si="15"/>
        <v>4.8999999999989208E-7</v>
      </c>
      <c r="E144" s="12">
        <f t="shared" si="16"/>
        <v>7.8399999999995167E-6</v>
      </c>
      <c r="F144" s="12">
        <f t="shared" si="17"/>
        <v>2.9438688123867388E-5</v>
      </c>
      <c r="G144" s="12">
        <f t="shared" si="18"/>
        <v>4.2893394907388203</v>
      </c>
      <c r="I144" s="12">
        <f t="shared" si="19"/>
        <v>5.425743094163913E-3</v>
      </c>
      <c r="J144" s="12">
        <f t="shared" ref="J144:J207" si="20">J143</f>
        <v>5.4233926257759718E-3</v>
      </c>
    </row>
    <row r="145" spans="1:10">
      <c r="A145" s="15">
        <v>40409</v>
      </c>
      <c r="B145" s="11">
        <v>1.8886000000000001</v>
      </c>
      <c r="C145" s="11">
        <f t="shared" si="14"/>
        <v>-3.9999999999995595E-4</v>
      </c>
      <c r="D145" s="12">
        <f t="shared" si="15"/>
        <v>1.5999999999996475E-7</v>
      </c>
      <c r="E145" s="12">
        <f t="shared" si="16"/>
        <v>4.8999999999989208E-7</v>
      </c>
      <c r="F145" s="12">
        <f t="shared" si="17"/>
        <v>2.7715311813275156E-5</v>
      </c>
      <c r="G145" s="12">
        <f t="shared" si="18"/>
        <v>4.324937730566413</v>
      </c>
      <c r="I145" s="12">
        <f t="shared" si="19"/>
        <v>5.2645333898908037E-3</v>
      </c>
      <c r="J145" s="12">
        <f t="shared" si="20"/>
        <v>5.4233926257759718E-3</v>
      </c>
    </row>
    <row r="146" spans="1:10">
      <c r="A146" s="15">
        <v>40410</v>
      </c>
      <c r="B146" s="11">
        <v>1.8858999999999999</v>
      </c>
      <c r="C146" s="11">
        <f t="shared" si="14"/>
        <v>-2.7000000000001467E-3</v>
      </c>
      <c r="D146" s="12">
        <f t="shared" si="15"/>
        <v>7.2900000000007925E-6</v>
      </c>
      <c r="E146" s="12">
        <f t="shared" si="16"/>
        <v>1.5999999999996475E-7</v>
      </c>
      <c r="F146" s="12">
        <f t="shared" si="17"/>
        <v>2.6158778824452767E-5</v>
      </c>
      <c r="G146" s="12">
        <f t="shared" si="18"/>
        <v>4.2173829491697559</v>
      </c>
      <c r="I146" s="12">
        <f t="shared" si="19"/>
        <v>5.1145653602679446E-3</v>
      </c>
      <c r="J146" s="12">
        <f t="shared" si="20"/>
        <v>5.4233926257759718E-3</v>
      </c>
    </row>
    <row r="147" spans="1:10">
      <c r="A147" s="15">
        <v>40411</v>
      </c>
      <c r="B147" s="11">
        <v>1.8858999999999999</v>
      </c>
      <c r="C147" s="11">
        <f t="shared" si="14"/>
        <v>0</v>
      </c>
      <c r="D147" s="12">
        <f t="shared" si="15"/>
        <v>0</v>
      </c>
      <c r="E147" s="12">
        <f t="shared" si="16"/>
        <v>7.2900000000007925E-6</v>
      </c>
      <c r="F147" s="12">
        <f t="shared" si="17"/>
        <v>2.5193184005456191E-5</v>
      </c>
      <c r="G147" s="12">
        <f t="shared" si="18"/>
        <v>4.3755299974119541</v>
      </c>
      <c r="I147" s="12">
        <f t="shared" si="19"/>
        <v>5.01928122398578E-3</v>
      </c>
      <c r="J147" s="12">
        <f t="shared" si="20"/>
        <v>5.4233926257759718E-3</v>
      </c>
    </row>
    <row r="148" spans="1:10">
      <c r="A148" s="15">
        <v>40412</v>
      </c>
      <c r="B148" s="11">
        <v>1.8852</v>
      </c>
      <c r="C148" s="11">
        <f t="shared" si="14"/>
        <v>-6.9999999999992291E-4</v>
      </c>
      <c r="D148" s="12">
        <f t="shared" si="15"/>
        <v>4.8999999999989208E-7</v>
      </c>
      <c r="E148" s="12">
        <f t="shared" si="16"/>
        <v>0</v>
      </c>
      <c r="F148" s="12">
        <f t="shared" si="17"/>
        <v>2.3899963564097641E-5</v>
      </c>
      <c r="G148" s="12">
        <f t="shared" si="18"/>
        <v>4.3916272095272735</v>
      </c>
      <c r="I148" s="12">
        <f t="shared" si="19"/>
        <v>4.8887588981353577E-3</v>
      </c>
      <c r="J148" s="12">
        <f t="shared" si="20"/>
        <v>5.4233926257759718E-3</v>
      </c>
    </row>
    <row r="149" spans="1:10">
      <c r="A149" s="15">
        <v>40413</v>
      </c>
      <c r="B149" s="11">
        <v>1.8844000000000001</v>
      </c>
      <c r="C149" s="11">
        <f t="shared" si="14"/>
        <v>-7.9999999999991189E-4</v>
      </c>
      <c r="D149" s="12">
        <f t="shared" si="15"/>
        <v>6.3999999999985898E-7</v>
      </c>
      <c r="E149" s="12">
        <f t="shared" si="16"/>
        <v>4.8999999999989208E-7</v>
      </c>
      <c r="F149" s="12">
        <f t="shared" si="17"/>
        <v>2.2775660347746178E-5</v>
      </c>
      <c r="G149" s="12">
        <f t="shared" si="18"/>
        <v>4.411920433233254</v>
      </c>
      <c r="I149" s="12">
        <f t="shared" si="19"/>
        <v>4.7723851843440067E-3</v>
      </c>
      <c r="J149" s="12">
        <f t="shared" si="20"/>
        <v>5.4233926257759718E-3</v>
      </c>
    </row>
    <row r="150" spans="1:10">
      <c r="A150" s="15">
        <v>40414</v>
      </c>
      <c r="B150" s="11">
        <v>1.8872</v>
      </c>
      <c r="C150" s="11">
        <f t="shared" si="14"/>
        <v>2.7999999999999137E-3</v>
      </c>
      <c r="D150" s="12">
        <f t="shared" si="15"/>
        <v>7.8399999999995167E-6</v>
      </c>
      <c r="E150" s="12">
        <f t="shared" si="16"/>
        <v>6.3999999999985898E-7</v>
      </c>
      <c r="F150" s="12">
        <f t="shared" si="17"/>
        <v>2.1781852940128144E-5</v>
      </c>
      <c r="G150" s="12">
        <f t="shared" si="18"/>
        <v>4.2683118199585213</v>
      </c>
      <c r="I150" s="12">
        <f t="shared" si="19"/>
        <v>4.6671032707802963E-3</v>
      </c>
      <c r="J150" s="12">
        <f t="shared" si="20"/>
        <v>5.4233926257759718E-3</v>
      </c>
    </row>
    <row r="151" spans="1:10">
      <c r="A151" s="15">
        <v>40415</v>
      </c>
      <c r="B151" s="11">
        <v>1.8894</v>
      </c>
      <c r="C151" s="11">
        <f t="shared" si="14"/>
        <v>2.1999999999999797E-3</v>
      </c>
      <c r="D151" s="12">
        <f t="shared" si="15"/>
        <v>4.8399999999999113E-6</v>
      </c>
      <c r="E151" s="12">
        <f t="shared" si="16"/>
        <v>7.8399999999995167E-6</v>
      </c>
      <c r="F151" s="12">
        <f t="shared" si="17"/>
        <v>2.1322267605364439E-5</v>
      </c>
      <c r="G151" s="12">
        <f t="shared" si="18"/>
        <v>4.3454443900832107</v>
      </c>
      <c r="I151" s="12">
        <f t="shared" si="19"/>
        <v>4.6176040979456481E-3</v>
      </c>
      <c r="J151" s="12">
        <f t="shared" si="20"/>
        <v>5.4233926257759718E-3</v>
      </c>
    </row>
    <row r="152" spans="1:10">
      <c r="A152" s="15">
        <v>40416</v>
      </c>
      <c r="B152" s="11">
        <v>1.8929</v>
      </c>
      <c r="C152" s="11">
        <f t="shared" si="14"/>
        <v>3.5000000000000586E-3</v>
      </c>
      <c r="D152" s="12">
        <f t="shared" si="15"/>
        <v>1.225000000000041E-5</v>
      </c>
      <c r="E152" s="12">
        <f t="shared" si="16"/>
        <v>4.8399999999999113E-6</v>
      </c>
      <c r="F152" s="12">
        <f t="shared" si="17"/>
        <v>2.0734586810054563E-5</v>
      </c>
      <c r="G152" s="12">
        <f t="shared" si="18"/>
        <v>4.1775150078264298</v>
      </c>
      <c r="I152" s="12">
        <f t="shared" si="19"/>
        <v>4.5535246578946474E-3</v>
      </c>
      <c r="J152" s="12">
        <f t="shared" si="20"/>
        <v>5.4233926257759718E-3</v>
      </c>
    </row>
    <row r="153" spans="1:10">
      <c r="A153" s="15">
        <v>40417</v>
      </c>
      <c r="B153" s="11">
        <v>1.8949</v>
      </c>
      <c r="C153" s="11">
        <f t="shared" si="14"/>
        <v>2.0000000000000018E-3</v>
      </c>
      <c r="D153" s="12">
        <f t="shared" si="15"/>
        <v>4.0000000000000074E-6</v>
      </c>
      <c r="E153" s="12">
        <f t="shared" si="16"/>
        <v>1.225000000000041E-5</v>
      </c>
      <c r="F153" s="12">
        <f t="shared" si="17"/>
        <v>2.0649647414264385E-5</v>
      </c>
      <c r="G153" s="12">
        <f t="shared" si="18"/>
        <v>4.3781136619829413</v>
      </c>
      <c r="I153" s="12">
        <f t="shared" si="19"/>
        <v>4.5441883119281476E-3</v>
      </c>
      <c r="J153" s="12">
        <f t="shared" si="20"/>
        <v>5.4233926257759718E-3</v>
      </c>
    </row>
    <row r="154" spans="1:10">
      <c r="A154" s="15">
        <v>40418</v>
      </c>
      <c r="B154" s="11">
        <v>1.8948</v>
      </c>
      <c r="C154" s="11">
        <f t="shared" si="14"/>
        <v>-9.9999999999988987E-5</v>
      </c>
      <c r="D154" s="12">
        <f t="shared" si="15"/>
        <v>9.9999999999977966E-9</v>
      </c>
      <c r="E154" s="12">
        <f t="shared" si="16"/>
        <v>4.0000000000000074E-6</v>
      </c>
      <c r="F154" s="12">
        <f t="shared" si="17"/>
        <v>2.0084932496175911E-5</v>
      </c>
      <c r="G154" s="12">
        <f t="shared" si="18"/>
        <v>4.4885828421087375</v>
      </c>
      <c r="I154" s="12">
        <f t="shared" si="19"/>
        <v>4.4816216368827825E-3</v>
      </c>
      <c r="J154" s="12">
        <f t="shared" si="20"/>
        <v>5.4233926257759718E-3</v>
      </c>
    </row>
    <row r="155" spans="1:10">
      <c r="A155" s="15">
        <v>40419</v>
      </c>
      <c r="B155" s="11">
        <v>1.8976999999999999</v>
      </c>
      <c r="C155" s="11">
        <f t="shared" si="14"/>
        <v>2.8999999999999027E-3</v>
      </c>
      <c r="D155" s="12">
        <f t="shared" si="15"/>
        <v>8.409999999999435E-6</v>
      </c>
      <c r="E155" s="12">
        <f t="shared" si="16"/>
        <v>9.9999999999977966E-9</v>
      </c>
      <c r="F155" s="12">
        <f t="shared" si="17"/>
        <v>1.9344817504824597E-5</v>
      </c>
      <c r="G155" s="12">
        <f t="shared" si="18"/>
        <v>4.2902335814242232</v>
      </c>
      <c r="I155" s="12">
        <f t="shared" si="19"/>
        <v>4.3982743780742687E-3</v>
      </c>
      <c r="J155" s="12">
        <f t="shared" si="20"/>
        <v>5.4233926257759718E-3</v>
      </c>
    </row>
    <row r="156" spans="1:10">
      <c r="A156" s="15">
        <v>40420</v>
      </c>
      <c r="B156" s="11">
        <v>1.8893</v>
      </c>
      <c r="C156" s="11">
        <f t="shared" si="14"/>
        <v>-8.3999999999999631E-3</v>
      </c>
      <c r="D156" s="12">
        <f t="shared" si="15"/>
        <v>7.0559999999999379E-5</v>
      </c>
      <c r="E156" s="12">
        <f t="shared" si="16"/>
        <v>8.409999999999435E-6</v>
      </c>
      <c r="F156" s="12">
        <f t="shared" si="17"/>
        <v>1.9182606840129095E-5</v>
      </c>
      <c r="G156" s="12">
        <f t="shared" si="18"/>
        <v>2.6726486619777732</v>
      </c>
      <c r="I156" s="12">
        <f t="shared" si="19"/>
        <v>4.3797952966010975E-3</v>
      </c>
      <c r="J156" s="12">
        <f t="shared" si="20"/>
        <v>5.4233926257759718E-3</v>
      </c>
    </row>
    <row r="157" spans="1:10">
      <c r="A157" s="15">
        <v>40421</v>
      </c>
      <c r="B157" s="11">
        <v>1.8902000000000001</v>
      </c>
      <c r="C157" s="11">
        <f t="shared" si="14"/>
        <v>9.0000000000012292E-4</v>
      </c>
      <c r="D157" s="12">
        <f t="shared" si="15"/>
        <v>8.1000000000022126E-7</v>
      </c>
      <c r="E157" s="12">
        <f t="shared" si="16"/>
        <v>7.0559999999999379E-5</v>
      </c>
      <c r="F157" s="12">
        <f t="shared" si="17"/>
        <v>2.2721459561061143E-5</v>
      </c>
      <c r="G157" s="12">
        <f t="shared" si="18"/>
        <v>4.4093372627208156</v>
      </c>
      <c r="I157" s="12">
        <f t="shared" si="19"/>
        <v>4.7667032172205919E-3</v>
      </c>
      <c r="J157" s="12">
        <f t="shared" si="20"/>
        <v>5.4233926257759718E-3</v>
      </c>
    </row>
    <row r="158" spans="1:10">
      <c r="A158" s="15">
        <v>40422</v>
      </c>
      <c r="B158" s="11">
        <v>1.8982000000000001</v>
      </c>
      <c r="C158" s="11">
        <f t="shared" si="14"/>
        <v>8.0000000000000071E-3</v>
      </c>
      <c r="D158" s="12">
        <f t="shared" si="15"/>
        <v>6.4000000000000119E-5</v>
      </c>
      <c r="E158" s="12">
        <f t="shared" si="16"/>
        <v>8.1000000000022126E-7</v>
      </c>
      <c r="F158" s="12">
        <f t="shared" si="17"/>
        <v>2.174359014975931E-5</v>
      </c>
      <c r="G158" s="12">
        <f t="shared" si="18"/>
        <v>2.9774591485036619</v>
      </c>
      <c r="I158" s="12">
        <f t="shared" si="19"/>
        <v>4.6630022678269536E-3</v>
      </c>
      <c r="J158" s="12">
        <f t="shared" si="20"/>
        <v>5.4233926257759718E-3</v>
      </c>
    </row>
    <row r="159" spans="1:10">
      <c r="A159" s="15">
        <v>40423</v>
      </c>
      <c r="B159" s="11">
        <v>1.8997999999999999</v>
      </c>
      <c r="C159" s="11">
        <f t="shared" si="14"/>
        <v>1.5999999999998238E-3</v>
      </c>
      <c r="D159" s="12">
        <f t="shared" si="15"/>
        <v>2.5599999999994359E-6</v>
      </c>
      <c r="E159" s="12">
        <f t="shared" si="16"/>
        <v>6.4000000000000119E-5</v>
      </c>
      <c r="F159" s="12">
        <f t="shared" si="17"/>
        <v>2.4616645384850796E-5</v>
      </c>
      <c r="G159" s="12">
        <f t="shared" si="18"/>
        <v>4.3351079737400697</v>
      </c>
      <c r="I159" s="12">
        <f t="shared" si="19"/>
        <v>4.9615164400464091E-3</v>
      </c>
      <c r="J159" s="12">
        <f t="shared" si="20"/>
        <v>5.4233926257759718E-3</v>
      </c>
    </row>
    <row r="160" spans="1:10">
      <c r="A160" s="15">
        <v>40424</v>
      </c>
      <c r="B160" s="11">
        <v>1.9058999999999999</v>
      </c>
      <c r="C160" s="11">
        <f t="shared" si="14"/>
        <v>6.0999999999999943E-3</v>
      </c>
      <c r="D160" s="12">
        <f t="shared" si="15"/>
        <v>3.720999999999993E-5</v>
      </c>
      <c r="E160" s="12">
        <f t="shared" si="16"/>
        <v>2.5599999999994359E-6</v>
      </c>
      <c r="F160" s="12">
        <f t="shared" si="17"/>
        <v>2.3537510432755367E-5</v>
      </c>
      <c r="G160" s="12">
        <f t="shared" si="18"/>
        <v>3.6190786341543895</v>
      </c>
      <c r="I160" s="12">
        <f t="shared" si="19"/>
        <v>4.8515472205014525E-3</v>
      </c>
      <c r="J160" s="12">
        <f t="shared" si="20"/>
        <v>5.4233926257759718E-3</v>
      </c>
    </row>
    <row r="161" spans="1:10">
      <c r="A161" s="15">
        <v>40425</v>
      </c>
      <c r="B161" s="11">
        <v>1.8995</v>
      </c>
      <c r="C161" s="11">
        <f t="shared" si="14"/>
        <v>-6.3999999999999613E-3</v>
      </c>
      <c r="D161" s="12">
        <f t="shared" si="15"/>
        <v>4.0959999999999506E-5</v>
      </c>
      <c r="E161" s="12">
        <f t="shared" si="16"/>
        <v>3.720999999999993E-5</v>
      </c>
      <c r="F161" s="12">
        <f t="shared" si="17"/>
        <v>2.4628738704345467E-5</v>
      </c>
      <c r="G161" s="12">
        <f t="shared" si="18"/>
        <v>3.5553108613135085</v>
      </c>
      <c r="I161" s="12">
        <f t="shared" si="19"/>
        <v>4.9627350024301587E-3</v>
      </c>
      <c r="J161" s="12">
        <f t="shared" si="20"/>
        <v>5.4233926257759718E-3</v>
      </c>
    </row>
    <row r="162" spans="1:10">
      <c r="A162" s="15">
        <v>40426</v>
      </c>
      <c r="B162" s="11">
        <v>1.8995</v>
      </c>
      <c r="C162" s="11">
        <f t="shared" si="14"/>
        <v>0</v>
      </c>
      <c r="D162" s="12">
        <f t="shared" si="15"/>
        <v>0</v>
      </c>
      <c r="E162" s="12">
        <f t="shared" si="16"/>
        <v>4.0959999999999506E-5</v>
      </c>
      <c r="F162" s="12">
        <f t="shared" si="17"/>
        <v>2.5824194555578539E-5</v>
      </c>
      <c r="G162" s="12">
        <f t="shared" si="18"/>
        <v>4.3631608254086647</v>
      </c>
      <c r="I162" s="12">
        <f t="shared" si="19"/>
        <v>5.0817511308188382E-3</v>
      </c>
      <c r="J162" s="12">
        <f t="shared" si="20"/>
        <v>5.4233926257759718E-3</v>
      </c>
    </row>
    <row r="163" spans="1:10">
      <c r="A163" s="15">
        <v>40427</v>
      </c>
      <c r="B163" s="11">
        <v>1.9021999999999999</v>
      </c>
      <c r="C163" s="11">
        <f t="shared" si="14"/>
        <v>2.6999999999999247E-3</v>
      </c>
      <c r="D163" s="12">
        <f t="shared" si="15"/>
        <v>7.2899999999995931E-6</v>
      </c>
      <c r="E163" s="12">
        <f t="shared" si="16"/>
        <v>0</v>
      </c>
      <c r="F163" s="12">
        <f t="shared" si="17"/>
        <v>2.446272348383008E-5</v>
      </c>
      <c r="G163" s="12">
        <f t="shared" si="18"/>
        <v>4.2412392885115651</v>
      </c>
      <c r="I163" s="12">
        <f t="shared" si="19"/>
        <v>4.9459805381572297E-3</v>
      </c>
      <c r="J163" s="12">
        <f t="shared" si="20"/>
        <v>5.4233926257759718E-3</v>
      </c>
    </row>
    <row r="164" spans="1:10">
      <c r="A164" s="15">
        <v>40428</v>
      </c>
      <c r="B164" s="11">
        <v>1.8909</v>
      </c>
      <c r="C164" s="11">
        <f t="shared" si="14"/>
        <v>-1.1299999999999866E-2</v>
      </c>
      <c r="D164" s="12">
        <f t="shared" si="15"/>
        <v>1.2768999999999696E-4</v>
      </c>
      <c r="E164" s="12">
        <f t="shared" si="16"/>
        <v>7.2899999999995931E-6</v>
      </c>
      <c r="F164" s="12">
        <f t="shared" si="17"/>
        <v>2.3680575433118415E-5</v>
      </c>
      <c r="G164" s="12">
        <f t="shared" si="18"/>
        <v>1.7103976048072458</v>
      </c>
      <c r="I164" s="12">
        <f t="shared" si="19"/>
        <v>4.8662691492680939E-3</v>
      </c>
      <c r="J164" s="12">
        <f t="shared" si="20"/>
        <v>5.4233926257759718E-3</v>
      </c>
    </row>
    <row r="165" spans="1:10">
      <c r="A165" s="15">
        <v>40429</v>
      </c>
      <c r="B165" s="11">
        <v>1.8918999999999999</v>
      </c>
      <c r="C165" s="11">
        <f t="shared" si="14"/>
        <v>9.9999999999988987E-4</v>
      </c>
      <c r="D165" s="12">
        <f t="shared" si="15"/>
        <v>9.9999999999977973E-7</v>
      </c>
      <c r="E165" s="12">
        <f t="shared" si="16"/>
        <v>1.2768999999999696E-4</v>
      </c>
      <c r="F165" s="12">
        <f t="shared" si="17"/>
        <v>3.0118916285170831E-5</v>
      </c>
      <c r="G165" s="12">
        <f t="shared" si="18"/>
        <v>4.269639164301088</v>
      </c>
      <c r="I165" s="12">
        <f t="shared" si="19"/>
        <v>5.4880703608072325E-3</v>
      </c>
      <c r="J165" s="12">
        <f t="shared" si="20"/>
        <v>5.4233926257759718E-3</v>
      </c>
    </row>
    <row r="166" spans="1:10">
      <c r="A166" s="15">
        <v>40430</v>
      </c>
      <c r="B166" s="11">
        <v>1.8912</v>
      </c>
      <c r="C166" s="11">
        <f t="shared" si="14"/>
        <v>-6.9999999999992291E-4</v>
      </c>
      <c r="D166" s="12">
        <f t="shared" si="15"/>
        <v>4.8999999999989208E-7</v>
      </c>
      <c r="E166" s="12">
        <f t="shared" si="16"/>
        <v>9.9999999999977973E-7</v>
      </c>
      <c r="F166" s="12">
        <f t="shared" si="17"/>
        <v>2.8352192707374718E-5</v>
      </c>
      <c r="G166" s="12">
        <f t="shared" si="18"/>
        <v>4.3078232457580068</v>
      </c>
      <c r="I166" s="12">
        <f t="shared" si="19"/>
        <v>5.3246777092491445E-3</v>
      </c>
      <c r="J166" s="12">
        <f t="shared" si="20"/>
        <v>5.4233926257759718E-3</v>
      </c>
    </row>
    <row r="167" spans="1:10">
      <c r="A167" s="15">
        <v>40431</v>
      </c>
      <c r="B167" s="11">
        <v>1.8900999999999999</v>
      </c>
      <c r="C167" s="11">
        <f t="shared" si="14"/>
        <v>-1.1000000000001009E-3</v>
      </c>
      <c r="D167" s="12">
        <f t="shared" si="15"/>
        <v>1.210000000000222E-6</v>
      </c>
      <c r="E167" s="12">
        <f t="shared" si="16"/>
        <v>4.8999999999989208E-7</v>
      </c>
      <c r="F167" s="12">
        <f t="shared" si="17"/>
        <v>2.6746332652377572E-5</v>
      </c>
      <c r="G167" s="12">
        <f t="shared" si="18"/>
        <v>4.3229981314170676</v>
      </c>
      <c r="I167" s="12">
        <f t="shared" si="19"/>
        <v>5.1716856683655449E-3</v>
      </c>
      <c r="J167" s="12">
        <f t="shared" si="20"/>
        <v>5.4233926257759718E-3</v>
      </c>
    </row>
    <row r="168" spans="1:10">
      <c r="A168" s="15">
        <v>40432</v>
      </c>
      <c r="B168" s="11">
        <v>1.8896999999999999</v>
      </c>
      <c r="C168" s="11">
        <f t="shared" si="14"/>
        <v>-3.9999999999995595E-4</v>
      </c>
      <c r="D168" s="12">
        <f t="shared" si="15"/>
        <v>1.5999999999996475E-7</v>
      </c>
      <c r="E168" s="12">
        <f t="shared" si="16"/>
        <v>1.210000000000222E-6</v>
      </c>
      <c r="F168" s="12">
        <f t="shared" si="17"/>
        <v>2.5356836870921329E-5</v>
      </c>
      <c r="G168" s="12">
        <f t="shared" si="18"/>
        <v>4.3691375743798497</v>
      </c>
      <c r="I168" s="12">
        <f t="shared" si="19"/>
        <v>5.0355572552520274E-3</v>
      </c>
      <c r="J168" s="12">
        <f t="shared" si="20"/>
        <v>5.4233926257759718E-3</v>
      </c>
    </row>
    <row r="169" spans="1:10">
      <c r="A169" s="15">
        <v>40433</v>
      </c>
      <c r="B169" s="11">
        <v>1.8896999999999999</v>
      </c>
      <c r="C169" s="11">
        <f t="shared" si="14"/>
        <v>0</v>
      </c>
      <c r="D169" s="12">
        <f t="shared" si="15"/>
        <v>0</v>
      </c>
      <c r="E169" s="12">
        <f t="shared" si="16"/>
        <v>1.5999999999996475E-7</v>
      </c>
      <c r="F169" s="12">
        <f t="shared" si="17"/>
        <v>2.4055398510141603E-5</v>
      </c>
      <c r="G169" s="12">
        <f t="shared" si="18"/>
        <v>4.3986370175719278</v>
      </c>
      <c r="I169" s="12">
        <f t="shared" si="19"/>
        <v>4.9046303133000353E-3</v>
      </c>
      <c r="J169" s="12">
        <f t="shared" si="20"/>
        <v>5.4233926257759718E-3</v>
      </c>
    </row>
    <row r="170" spans="1:10">
      <c r="A170" s="15">
        <v>40434</v>
      </c>
      <c r="B170" s="11">
        <v>1.9016</v>
      </c>
      <c r="C170" s="11">
        <f t="shared" si="14"/>
        <v>1.1900000000000022E-2</v>
      </c>
      <c r="D170" s="12">
        <f t="shared" si="15"/>
        <v>1.4161000000000051E-4</v>
      </c>
      <c r="E170" s="12">
        <f t="shared" si="16"/>
        <v>0</v>
      </c>
      <c r="F170" s="12">
        <f t="shared" si="17"/>
        <v>2.2885241902325396E-5</v>
      </c>
      <c r="G170" s="12">
        <f t="shared" si="18"/>
        <v>1.329655319069567</v>
      </c>
      <c r="I170" s="12">
        <f t="shared" si="19"/>
        <v>4.7838522032275822E-3</v>
      </c>
      <c r="J170" s="12">
        <f t="shared" si="20"/>
        <v>5.4233926257759718E-3</v>
      </c>
    </row>
    <row r="171" spans="1:10">
      <c r="A171" s="15">
        <v>40435</v>
      </c>
      <c r="B171" s="11">
        <v>1.8997999999999999</v>
      </c>
      <c r="C171" s="11">
        <f t="shared" si="14"/>
        <v>-1.8000000000000238E-3</v>
      </c>
      <c r="D171" s="12">
        <f t="shared" si="15"/>
        <v>3.2400000000000859E-6</v>
      </c>
      <c r="E171" s="12">
        <f t="shared" si="16"/>
        <v>1.4161000000000051E-4</v>
      </c>
      <c r="F171" s="12">
        <f t="shared" si="17"/>
        <v>3.0234620020945077E-5</v>
      </c>
      <c r="G171" s="12">
        <f t="shared" si="18"/>
        <v>4.2307419642034523</v>
      </c>
      <c r="I171" s="12">
        <f t="shared" si="19"/>
        <v>5.4986016423218985E-3</v>
      </c>
      <c r="J171" s="12">
        <f t="shared" si="20"/>
        <v>5.4233926257759718E-3</v>
      </c>
    </row>
    <row r="172" spans="1:10">
      <c r="A172" s="15">
        <v>40436</v>
      </c>
      <c r="B172" s="11">
        <v>1.901</v>
      </c>
      <c r="C172" s="11">
        <f t="shared" si="14"/>
        <v>1.2000000000000899E-3</v>
      </c>
      <c r="D172" s="12">
        <f t="shared" si="15"/>
        <v>1.4400000000002158E-6</v>
      </c>
      <c r="E172" s="12">
        <f t="shared" si="16"/>
        <v>3.2400000000000859E-6</v>
      </c>
      <c r="F172" s="12">
        <f t="shared" si="17"/>
        <v>2.858814259493891E-5</v>
      </c>
      <c r="G172" s="12">
        <f t="shared" si="18"/>
        <v>4.2871354529034473</v>
      </c>
      <c r="I172" s="12">
        <f t="shared" si="19"/>
        <v>5.3467880634020751E-3</v>
      </c>
      <c r="J172" s="12">
        <f t="shared" si="20"/>
        <v>5.4233926257759718E-3</v>
      </c>
    </row>
    <row r="173" spans="1:10">
      <c r="A173" s="15">
        <v>40437</v>
      </c>
      <c r="B173" s="11">
        <v>1.9072</v>
      </c>
      <c r="C173" s="11">
        <f t="shared" si="14"/>
        <v>6.1999999999999833E-3</v>
      </c>
      <c r="D173" s="12">
        <f t="shared" si="15"/>
        <v>3.8439999999999795E-5</v>
      </c>
      <c r="E173" s="12">
        <f t="shared" si="16"/>
        <v>1.4400000000002158E-6</v>
      </c>
      <c r="F173" s="12">
        <f t="shared" si="17"/>
        <v>2.7013066790875731E-5</v>
      </c>
      <c r="G173" s="12">
        <f t="shared" si="18"/>
        <v>3.6291488722363203</v>
      </c>
      <c r="I173" s="12">
        <f t="shared" si="19"/>
        <v>5.1974096231561092E-3</v>
      </c>
      <c r="J173" s="12">
        <f t="shared" si="20"/>
        <v>5.4233926257759718E-3</v>
      </c>
    </row>
    <row r="174" spans="1:10">
      <c r="A174" s="15">
        <v>40438</v>
      </c>
      <c r="B174" s="11">
        <v>1.9018999999999999</v>
      </c>
      <c r="C174" s="11">
        <f t="shared" si="14"/>
        <v>-5.3000000000000824E-3</v>
      </c>
      <c r="D174" s="12">
        <f t="shared" si="15"/>
        <v>2.8090000000000875E-5</v>
      </c>
      <c r="E174" s="12">
        <f t="shared" si="16"/>
        <v>3.8439999999999795E-5</v>
      </c>
      <c r="F174" s="12">
        <f t="shared" si="17"/>
        <v>2.7801275855790647E-5</v>
      </c>
      <c r="G174" s="12">
        <f t="shared" si="18"/>
        <v>3.8210831395427554</v>
      </c>
      <c r="I174" s="12">
        <f t="shared" si="19"/>
        <v>5.2726915191191152E-3</v>
      </c>
      <c r="J174" s="12">
        <f t="shared" si="20"/>
        <v>5.4233926257759718E-3</v>
      </c>
    </row>
    <row r="175" spans="1:10">
      <c r="A175" s="15">
        <v>40439</v>
      </c>
      <c r="B175" s="11">
        <v>1.9028</v>
      </c>
      <c r="C175" s="11">
        <f t="shared" si="14"/>
        <v>9.0000000000012292E-4</v>
      </c>
      <c r="D175" s="12">
        <f t="shared" si="15"/>
        <v>8.1000000000022126E-7</v>
      </c>
      <c r="E175" s="12">
        <f t="shared" si="16"/>
        <v>2.8090000000000875E-5</v>
      </c>
      <c r="F175" s="12">
        <f t="shared" si="17"/>
        <v>2.78908057114081E-5</v>
      </c>
      <c r="G175" s="12">
        <f t="shared" si="18"/>
        <v>4.3101472790120496</v>
      </c>
      <c r="I175" s="12">
        <f t="shared" si="19"/>
        <v>5.2811746526135739E-3</v>
      </c>
      <c r="J175" s="12">
        <f t="shared" si="20"/>
        <v>5.4233926257759718E-3</v>
      </c>
    </row>
    <row r="176" spans="1:10">
      <c r="A176" s="15">
        <v>40440</v>
      </c>
      <c r="B176" s="11">
        <v>1.9028</v>
      </c>
      <c r="C176" s="11">
        <f t="shared" si="14"/>
        <v>0</v>
      </c>
      <c r="D176" s="12">
        <f t="shared" si="15"/>
        <v>0</v>
      </c>
      <c r="E176" s="12">
        <f t="shared" si="16"/>
        <v>8.1000000000022126E-7</v>
      </c>
      <c r="F176" s="12">
        <f t="shared" si="17"/>
        <v>2.6353815484461534E-5</v>
      </c>
      <c r="G176" s="12">
        <f t="shared" si="18"/>
        <v>4.3530102060539724</v>
      </c>
      <c r="I176" s="12">
        <f t="shared" si="19"/>
        <v>5.133596739563942E-3</v>
      </c>
      <c r="J176" s="12">
        <f t="shared" si="20"/>
        <v>5.4233926257759718E-3</v>
      </c>
    </row>
    <row r="177" spans="1:10">
      <c r="A177" s="15">
        <v>40441</v>
      </c>
      <c r="B177" s="11">
        <v>1.9100999999999999</v>
      </c>
      <c r="C177" s="11">
        <f t="shared" si="14"/>
        <v>7.2999999999998622E-3</v>
      </c>
      <c r="D177" s="12">
        <f t="shared" si="15"/>
        <v>5.3289999999997987E-5</v>
      </c>
      <c r="E177" s="12">
        <f t="shared" si="16"/>
        <v>0</v>
      </c>
      <c r="F177" s="12">
        <f t="shared" si="17"/>
        <v>2.4935060168801552E-5</v>
      </c>
      <c r="G177" s="12">
        <f t="shared" si="18"/>
        <v>3.3121035872921389</v>
      </c>
      <c r="I177" s="12">
        <f t="shared" si="19"/>
        <v>4.9935017942123096E-3</v>
      </c>
      <c r="J177" s="12">
        <f t="shared" si="20"/>
        <v>5.4233926257759718E-3</v>
      </c>
    </row>
    <row r="178" spans="1:10">
      <c r="A178" s="15">
        <v>40442</v>
      </c>
      <c r="B178" s="11">
        <v>1.9208000000000001</v>
      </c>
      <c r="C178" s="11">
        <f t="shared" si="14"/>
        <v>1.0700000000000154E-2</v>
      </c>
      <c r="D178" s="12">
        <f t="shared" si="15"/>
        <v>1.1449000000000329E-4</v>
      </c>
      <c r="E178" s="12">
        <f t="shared" si="16"/>
        <v>5.3289999999997987E-5</v>
      </c>
      <c r="F178" s="12">
        <f t="shared" si="17"/>
        <v>2.6828160922450734E-5</v>
      </c>
      <c r="G178" s="12">
        <f t="shared" si="18"/>
        <v>2.2103253368599982</v>
      </c>
      <c r="I178" s="12">
        <f t="shared" si="19"/>
        <v>5.1795908064682806E-3</v>
      </c>
      <c r="J178" s="12">
        <f t="shared" si="20"/>
        <v>5.4233926257759718E-3</v>
      </c>
    </row>
    <row r="179" spans="1:10">
      <c r="A179" s="15">
        <v>40443</v>
      </c>
      <c r="B179" s="11">
        <v>1.9267000000000001</v>
      </c>
      <c r="C179" s="11">
        <f t="shared" si="14"/>
        <v>5.9000000000000163E-3</v>
      </c>
      <c r="D179" s="12">
        <f t="shared" si="15"/>
        <v>3.481000000000019E-5</v>
      </c>
      <c r="E179" s="12">
        <f t="shared" si="16"/>
        <v>1.1449000000000329E-4</v>
      </c>
      <c r="F179" s="12">
        <f t="shared" si="17"/>
        <v>3.2143716066047535E-5</v>
      </c>
      <c r="G179" s="12">
        <f t="shared" si="18"/>
        <v>3.7122338313878323</v>
      </c>
      <c r="I179" s="12">
        <f t="shared" si="19"/>
        <v>5.6695428445376027E-3</v>
      </c>
      <c r="J179" s="12">
        <f t="shared" si="20"/>
        <v>5.4233926257759718E-3</v>
      </c>
    </row>
    <row r="180" spans="1:10">
      <c r="A180" s="15">
        <v>40444</v>
      </c>
      <c r="B180" s="11">
        <v>1.9245000000000001</v>
      </c>
      <c r="C180" s="11">
        <f t="shared" si="14"/>
        <v>-2.1999999999999797E-3</v>
      </c>
      <c r="D180" s="12">
        <f t="shared" si="15"/>
        <v>4.8399999999999113E-6</v>
      </c>
      <c r="E180" s="12">
        <f t="shared" si="16"/>
        <v>3.481000000000019E-5</v>
      </c>
      <c r="F180" s="12">
        <f t="shared" si="17"/>
        <v>3.2161846240814218E-5</v>
      </c>
      <c r="G180" s="12">
        <f t="shared" si="18"/>
        <v>4.1781818764794192</v>
      </c>
      <c r="I180" s="12">
        <f t="shared" si="19"/>
        <v>5.6711415288999987E-3</v>
      </c>
      <c r="J180" s="12">
        <f t="shared" si="20"/>
        <v>5.4233926257759718E-3</v>
      </c>
    </row>
    <row r="181" spans="1:10">
      <c r="A181" s="15">
        <v>40445</v>
      </c>
      <c r="B181" s="11">
        <v>1.9296</v>
      </c>
      <c r="C181" s="11">
        <f t="shared" si="14"/>
        <v>5.0999999999998824E-3</v>
      </c>
      <c r="D181" s="12">
        <f t="shared" si="15"/>
        <v>2.6009999999998801E-5</v>
      </c>
      <c r="E181" s="12">
        <f t="shared" si="16"/>
        <v>4.8399999999999113E-6</v>
      </c>
      <c r="F181" s="12">
        <f t="shared" si="17"/>
        <v>3.0401747528106583E-5</v>
      </c>
      <c r="G181" s="12">
        <f t="shared" si="18"/>
        <v>3.8537952303597667</v>
      </c>
      <c r="I181" s="12">
        <f t="shared" si="19"/>
        <v>5.5137779723259247E-3</v>
      </c>
      <c r="J181" s="12">
        <f t="shared" si="20"/>
        <v>5.4233926257759718E-3</v>
      </c>
    </row>
    <row r="182" spans="1:10">
      <c r="A182" s="15">
        <v>40446</v>
      </c>
      <c r="B182" s="11">
        <v>1.9308000000000001</v>
      </c>
      <c r="C182" s="11">
        <f t="shared" si="14"/>
        <v>1.2000000000000899E-3</v>
      </c>
      <c r="D182" s="12">
        <f t="shared" si="15"/>
        <v>1.4400000000002158E-6</v>
      </c>
      <c r="E182" s="12">
        <f t="shared" si="16"/>
        <v>2.6009999999998801E-5</v>
      </c>
      <c r="F182" s="12">
        <f t="shared" si="17"/>
        <v>3.0086730333258598E-5</v>
      </c>
      <c r="G182" s="12">
        <f t="shared" si="18"/>
        <v>4.2628438117276861</v>
      </c>
      <c r="I182" s="12">
        <f t="shared" si="19"/>
        <v>5.4851372210053774E-3</v>
      </c>
      <c r="J182" s="12">
        <f t="shared" si="20"/>
        <v>5.4233926257759718E-3</v>
      </c>
    </row>
    <row r="183" spans="1:10">
      <c r="A183" s="15">
        <v>40447</v>
      </c>
      <c r="B183" s="11">
        <v>1.9307000000000001</v>
      </c>
      <c r="C183" s="11">
        <f t="shared" si="14"/>
        <v>-9.9999999999988987E-5</v>
      </c>
      <c r="D183" s="12">
        <f t="shared" si="15"/>
        <v>9.9999999999977966E-9</v>
      </c>
      <c r="E183" s="12">
        <f t="shared" si="16"/>
        <v>1.4400000000002158E-6</v>
      </c>
      <c r="F183" s="12">
        <f t="shared" si="17"/>
        <v>2.8349566022410426E-5</v>
      </c>
      <c r="G183" s="12">
        <f t="shared" si="18"/>
        <v>4.3163345077456228</v>
      </c>
      <c r="I183" s="12">
        <f t="shared" si="19"/>
        <v>5.3244310515218832E-3</v>
      </c>
      <c r="J183" s="12">
        <f t="shared" si="20"/>
        <v>5.4233926257759718E-3</v>
      </c>
    </row>
    <row r="184" spans="1:10">
      <c r="A184" s="15">
        <v>40448</v>
      </c>
      <c r="B184" s="11">
        <v>1.9236</v>
      </c>
      <c r="C184" s="11">
        <f t="shared" si="14"/>
        <v>-7.1000000000001062E-3</v>
      </c>
      <c r="D184" s="12">
        <f t="shared" si="15"/>
        <v>5.0410000000001511E-5</v>
      </c>
      <c r="E184" s="12">
        <f t="shared" si="16"/>
        <v>9.9999999999977966E-9</v>
      </c>
      <c r="F184" s="12">
        <f t="shared" si="17"/>
        <v>2.6715541336525913E-5</v>
      </c>
      <c r="G184" s="12">
        <f t="shared" si="18"/>
        <v>3.4027356746318316</v>
      </c>
      <c r="I184" s="12">
        <f t="shared" si="19"/>
        <v>5.1687078981623551E-3</v>
      </c>
      <c r="J184" s="12">
        <f t="shared" si="20"/>
        <v>5.4233926257759718E-3</v>
      </c>
    </row>
    <row r="185" spans="1:10">
      <c r="A185" s="15">
        <v>40449</v>
      </c>
      <c r="B185" s="11">
        <v>1.9320999999999999</v>
      </c>
      <c r="C185" s="11">
        <f t="shared" si="14"/>
        <v>8.499999999999952E-3</v>
      </c>
      <c r="D185" s="12">
        <f t="shared" si="15"/>
        <v>7.2249999999999181E-5</v>
      </c>
      <c r="E185" s="12">
        <f t="shared" si="16"/>
        <v>5.0410000000001511E-5</v>
      </c>
      <c r="F185" s="12">
        <f t="shared" si="17"/>
        <v>2.8245371341596851E-5</v>
      </c>
      <c r="G185" s="12">
        <f t="shared" si="18"/>
        <v>3.0393813228949349</v>
      </c>
      <c r="I185" s="12">
        <f t="shared" si="19"/>
        <v>5.314637460974817E-3</v>
      </c>
      <c r="J185" s="12">
        <f t="shared" si="20"/>
        <v>5.4233926257759718E-3</v>
      </c>
    </row>
    <row r="186" spans="1:10">
      <c r="A186" s="15">
        <v>40450</v>
      </c>
      <c r="B186" s="11">
        <v>1.9358</v>
      </c>
      <c r="C186" s="11">
        <f t="shared" si="14"/>
        <v>3.7000000000000366E-3</v>
      </c>
      <c r="D186" s="12">
        <f t="shared" si="15"/>
        <v>1.369000000000027E-5</v>
      </c>
      <c r="E186" s="12">
        <f t="shared" si="16"/>
        <v>7.2249999999999181E-5</v>
      </c>
      <c r="F186" s="12">
        <f t="shared" si="17"/>
        <v>3.0904151107909389E-5</v>
      </c>
      <c r="G186" s="12">
        <f t="shared" si="18"/>
        <v>4.0518802004733052</v>
      </c>
      <c r="I186" s="12">
        <f t="shared" si="19"/>
        <v>5.5591502145480283E-3</v>
      </c>
      <c r="J186" s="12">
        <f t="shared" si="20"/>
        <v>5.4233926257759718E-3</v>
      </c>
    </row>
    <row r="187" spans="1:10">
      <c r="A187" s="15">
        <v>40451</v>
      </c>
      <c r="B187" s="11">
        <v>1.9349000000000001</v>
      </c>
      <c r="C187" s="11">
        <f t="shared" si="14"/>
        <v>-8.9999999999990088E-4</v>
      </c>
      <c r="D187" s="12">
        <f t="shared" si="15"/>
        <v>8.0999999999982157E-7</v>
      </c>
      <c r="E187" s="12">
        <f t="shared" si="16"/>
        <v>1.369000000000027E-5</v>
      </c>
      <c r="F187" s="12">
        <f t="shared" si="17"/>
        <v>2.9804609313489673E-5</v>
      </c>
      <c r="G187" s="12">
        <f t="shared" si="18"/>
        <v>4.2778967079152306</v>
      </c>
      <c r="I187" s="12">
        <f t="shared" si="19"/>
        <v>5.4593597897088326E-3</v>
      </c>
      <c r="J187" s="12">
        <f t="shared" si="20"/>
        <v>5.4233926257759718E-3</v>
      </c>
    </row>
    <row r="188" spans="1:10">
      <c r="A188" s="15">
        <v>40452</v>
      </c>
      <c r="B188" s="11">
        <v>1.9461999999999999</v>
      </c>
      <c r="C188" s="11">
        <f t="shared" si="14"/>
        <v>1.1299999999999866E-2</v>
      </c>
      <c r="D188" s="12">
        <f t="shared" si="15"/>
        <v>1.2768999999999696E-4</v>
      </c>
      <c r="E188" s="12">
        <f t="shared" si="16"/>
        <v>8.0999999999982157E-7</v>
      </c>
      <c r="F188" s="12">
        <f t="shared" si="17"/>
        <v>2.8060620483652494E-5</v>
      </c>
      <c r="G188" s="12">
        <f t="shared" si="18"/>
        <v>2.0463805345768908</v>
      </c>
      <c r="I188" s="12">
        <f t="shared" si="19"/>
        <v>5.2972276224127366E-3</v>
      </c>
      <c r="J188" s="12">
        <f t="shared" si="20"/>
        <v>5.4233926257759718E-3</v>
      </c>
    </row>
    <row r="189" spans="1:10">
      <c r="A189" s="15">
        <v>40453</v>
      </c>
      <c r="B189" s="11">
        <v>1.946</v>
      </c>
      <c r="C189" s="11">
        <f t="shared" si="14"/>
        <v>-1.9999999999997797E-4</v>
      </c>
      <c r="D189" s="12">
        <f t="shared" si="15"/>
        <v>3.9999999999991186E-8</v>
      </c>
      <c r="E189" s="12">
        <f t="shared" si="16"/>
        <v>1.2768999999999696E-4</v>
      </c>
      <c r="F189" s="12">
        <f t="shared" si="17"/>
        <v>3.4025211989077985E-5</v>
      </c>
      <c r="G189" s="12">
        <f t="shared" si="18"/>
        <v>4.2246780495123888</v>
      </c>
      <c r="I189" s="12">
        <f t="shared" si="19"/>
        <v>5.8331134044417466E-3</v>
      </c>
      <c r="J189" s="12">
        <f t="shared" si="20"/>
        <v>5.4233926257759718E-3</v>
      </c>
    </row>
    <row r="190" spans="1:10">
      <c r="A190" s="15">
        <v>40454</v>
      </c>
      <c r="B190" s="11">
        <v>1.946</v>
      </c>
      <c r="C190" s="11">
        <f t="shared" si="14"/>
        <v>0</v>
      </c>
      <c r="D190" s="12">
        <f t="shared" si="15"/>
        <v>0</v>
      </c>
      <c r="E190" s="12">
        <f t="shared" si="16"/>
        <v>3.9999999999991186E-8</v>
      </c>
      <c r="F190" s="12">
        <f t="shared" si="17"/>
        <v>3.1779082720692128E-5</v>
      </c>
      <c r="G190" s="12">
        <f t="shared" si="18"/>
        <v>4.2594125897522161</v>
      </c>
      <c r="I190" s="12">
        <f t="shared" si="19"/>
        <v>5.6372939182458923E-3</v>
      </c>
      <c r="J190" s="12">
        <f t="shared" si="20"/>
        <v>5.4233926257759718E-3</v>
      </c>
    </row>
    <row r="191" spans="1:10">
      <c r="A191" s="15">
        <v>40455</v>
      </c>
      <c r="B191" s="11">
        <v>1.9377</v>
      </c>
      <c r="C191" s="11">
        <f t="shared" si="14"/>
        <v>-8.2999999999999741E-3</v>
      </c>
      <c r="D191" s="12">
        <f t="shared" si="15"/>
        <v>6.8889999999999566E-5</v>
      </c>
      <c r="E191" s="12">
        <f t="shared" si="16"/>
        <v>0</v>
      </c>
      <c r="F191" s="12">
        <f t="shared" si="17"/>
        <v>2.9773525950072842E-5</v>
      </c>
      <c r="G191" s="12">
        <f t="shared" si="18"/>
        <v>3.1351066716002522</v>
      </c>
      <c r="I191" s="12">
        <f t="shared" si="19"/>
        <v>5.4565122514361533E-3</v>
      </c>
      <c r="J191" s="12">
        <f t="shared" si="20"/>
        <v>5.4233926257759718E-3</v>
      </c>
    </row>
    <row r="192" spans="1:10">
      <c r="A192" s="15">
        <v>40456</v>
      </c>
      <c r="B192" s="11">
        <v>1.946</v>
      </c>
      <c r="C192" s="11">
        <f t="shared" si="14"/>
        <v>8.2999999999999741E-3</v>
      </c>
      <c r="D192" s="12">
        <f t="shared" si="15"/>
        <v>6.8889999999999566E-5</v>
      </c>
      <c r="E192" s="12">
        <f t="shared" si="16"/>
        <v>6.8889999999999566E-5</v>
      </c>
      <c r="F192" s="12">
        <f t="shared" si="17"/>
        <v>3.2067878084769233E-5</v>
      </c>
      <c r="G192" s="12">
        <f t="shared" si="18"/>
        <v>3.1807614945423826</v>
      </c>
      <c r="I192" s="12">
        <f t="shared" si="19"/>
        <v>5.6628507030266331E-3</v>
      </c>
      <c r="J192" s="12">
        <f t="shared" si="20"/>
        <v>5.4233926257759718E-3</v>
      </c>
    </row>
    <row r="193" spans="1:10">
      <c r="A193" s="15">
        <v>40457</v>
      </c>
      <c r="B193" s="11">
        <v>1.9468000000000001</v>
      </c>
      <c r="C193" s="11">
        <f t="shared" si="14"/>
        <v>8.0000000000013394E-4</v>
      </c>
      <c r="D193" s="12">
        <f t="shared" si="15"/>
        <v>6.4000000000021431E-7</v>
      </c>
      <c r="E193" s="12">
        <f t="shared" si="16"/>
        <v>6.8889999999999566E-5</v>
      </c>
      <c r="F193" s="12">
        <f t="shared" si="17"/>
        <v>3.4114071168085096E-5</v>
      </c>
      <c r="G193" s="12">
        <f t="shared" si="18"/>
        <v>4.2145814731918048</v>
      </c>
      <c r="I193" s="12">
        <f t="shared" si="19"/>
        <v>5.8407252262099351E-3</v>
      </c>
      <c r="J193" s="12">
        <f t="shared" si="20"/>
        <v>5.4233926257759718E-3</v>
      </c>
    </row>
    <row r="194" spans="1:10">
      <c r="A194" s="15">
        <v>40458</v>
      </c>
      <c r="B194" s="11">
        <v>1.9427000000000001</v>
      </c>
      <c r="C194" s="11">
        <f t="shared" si="14"/>
        <v>-4.0999999999999925E-3</v>
      </c>
      <c r="D194" s="12">
        <f t="shared" si="15"/>
        <v>1.6809999999999939E-5</v>
      </c>
      <c r="E194" s="12">
        <f t="shared" si="16"/>
        <v>6.4000000000021431E-7</v>
      </c>
      <c r="F194" s="12">
        <f t="shared" si="17"/>
        <v>3.1893891735533635E-5</v>
      </c>
      <c r="G194" s="12">
        <f t="shared" si="18"/>
        <v>3.9940793984869258</v>
      </c>
      <c r="I194" s="12">
        <f t="shared" si="19"/>
        <v>5.6474677277106805E-3</v>
      </c>
      <c r="J194" s="12">
        <f t="shared" si="20"/>
        <v>5.4233926257759718E-3</v>
      </c>
    </row>
    <row r="195" spans="1:10">
      <c r="A195" s="15">
        <v>40459</v>
      </c>
      <c r="B195" s="11">
        <v>1.9393</v>
      </c>
      <c r="C195" s="11">
        <f t="shared" si="14"/>
        <v>-3.4000000000000696E-3</v>
      </c>
      <c r="D195" s="12">
        <f t="shared" si="15"/>
        <v>1.1560000000000474E-5</v>
      </c>
      <c r="E195" s="12">
        <f t="shared" si="16"/>
        <v>1.6809999999999939E-5</v>
      </c>
      <c r="F195" s="12">
        <f t="shared" si="17"/>
        <v>3.0872215544326628E-5</v>
      </c>
      <c r="G195" s="12">
        <f t="shared" si="18"/>
        <v>4.0866650729158591</v>
      </c>
      <c r="I195" s="12">
        <f t="shared" si="19"/>
        <v>5.5562771299069152E-3</v>
      </c>
      <c r="J195" s="12">
        <f t="shared" si="20"/>
        <v>5.4233926257759718E-3</v>
      </c>
    </row>
    <row r="196" spans="1:10">
      <c r="A196" s="15">
        <v>40461</v>
      </c>
      <c r="B196" s="11">
        <v>1.9409000000000001</v>
      </c>
      <c r="C196" s="11">
        <f t="shared" si="14"/>
        <v>1.6000000000000458E-3</v>
      </c>
      <c r="D196" s="12">
        <f t="shared" si="15"/>
        <v>2.5600000000001466E-6</v>
      </c>
      <c r="E196" s="12">
        <f t="shared" si="16"/>
        <v>1.1560000000000474E-5</v>
      </c>
      <c r="F196" s="12">
        <f t="shared" si="17"/>
        <v>2.9649886664196329E-5</v>
      </c>
      <c r="G196" s="12">
        <f t="shared" si="18"/>
        <v>4.2509171014785734</v>
      </c>
      <c r="I196" s="12">
        <f t="shared" si="19"/>
        <v>5.4451709490333112E-3</v>
      </c>
      <c r="J196" s="12">
        <f t="shared" si="20"/>
        <v>5.4233926257759718E-3</v>
      </c>
    </row>
    <row r="197" spans="1:10">
      <c r="A197" s="15">
        <v>40462</v>
      </c>
      <c r="B197" s="11">
        <v>1.9377</v>
      </c>
      <c r="C197" s="11">
        <f t="shared" si="14"/>
        <v>-3.2000000000000917E-3</v>
      </c>
      <c r="D197" s="12">
        <f t="shared" si="15"/>
        <v>1.0240000000000586E-5</v>
      </c>
      <c r="E197" s="12">
        <f t="shared" si="16"/>
        <v>2.5600000000001466E-6</v>
      </c>
      <c r="F197" s="12">
        <f t="shared" si="17"/>
        <v>2.8026352113467848E-5</v>
      </c>
      <c r="G197" s="12">
        <f t="shared" si="18"/>
        <v>4.1395589219121458</v>
      </c>
      <c r="I197" s="12">
        <f t="shared" si="19"/>
        <v>5.293992077201084E-3</v>
      </c>
      <c r="J197" s="12">
        <f t="shared" si="20"/>
        <v>5.4233926257759718E-3</v>
      </c>
    </row>
    <row r="198" spans="1:10">
      <c r="A198" s="15">
        <v>40463</v>
      </c>
      <c r="B198" s="11">
        <v>1.9397</v>
      </c>
      <c r="C198" s="11">
        <f t="shared" si="14"/>
        <v>2.0000000000000018E-3</v>
      </c>
      <c r="D198" s="12">
        <f t="shared" si="15"/>
        <v>4.0000000000000074E-6</v>
      </c>
      <c r="E198" s="12">
        <f t="shared" si="16"/>
        <v>1.0240000000000586E-5</v>
      </c>
      <c r="F198" s="12">
        <f t="shared" si="17"/>
        <v>2.7033600186941091E-5</v>
      </c>
      <c r="G198" s="12">
        <f t="shared" si="18"/>
        <v>4.2662944594845262</v>
      </c>
      <c r="I198" s="12">
        <f t="shared" si="19"/>
        <v>5.1993845969442471E-3</v>
      </c>
      <c r="J198" s="12">
        <f t="shared" si="20"/>
        <v>5.4233926257759718E-3</v>
      </c>
    </row>
    <row r="199" spans="1:10">
      <c r="A199" s="15">
        <v>40464</v>
      </c>
      <c r="B199" s="11">
        <v>1.9448000000000001</v>
      </c>
      <c r="C199" s="11">
        <f t="shared" si="14"/>
        <v>5.1000000000001044E-3</v>
      </c>
      <c r="D199" s="12">
        <f t="shared" si="15"/>
        <v>2.6010000000001064E-5</v>
      </c>
      <c r="E199" s="12">
        <f t="shared" si="16"/>
        <v>4.0000000000000074E-6</v>
      </c>
      <c r="F199" s="12">
        <f t="shared" si="17"/>
        <v>2.5778391582130389E-5</v>
      </c>
      <c r="G199" s="12">
        <f t="shared" si="18"/>
        <v>3.8595561379906886</v>
      </c>
      <c r="I199" s="12">
        <f t="shared" si="19"/>
        <v>5.0772425175611207E-3</v>
      </c>
      <c r="J199" s="12">
        <f t="shared" si="20"/>
        <v>5.4233926257759718E-3</v>
      </c>
    </row>
    <row r="200" spans="1:10">
      <c r="A200" s="15">
        <v>40465</v>
      </c>
      <c r="B200" s="11">
        <v>1.9468000000000001</v>
      </c>
      <c r="C200" s="11">
        <f t="shared" si="14"/>
        <v>2.0000000000000018E-3</v>
      </c>
      <c r="D200" s="12">
        <f t="shared" si="15"/>
        <v>4.0000000000000074E-6</v>
      </c>
      <c r="E200" s="12">
        <f t="shared" si="16"/>
        <v>2.6010000000001064E-5</v>
      </c>
      <c r="F200" s="12">
        <f t="shared" si="17"/>
        <v>2.5963440444448513E-5</v>
      </c>
      <c r="G200" s="12">
        <f t="shared" si="18"/>
        <v>4.2834406389286341</v>
      </c>
      <c r="I200" s="12">
        <f t="shared" si="19"/>
        <v>5.0954332931016288E-3</v>
      </c>
      <c r="J200" s="12">
        <f t="shared" si="20"/>
        <v>5.4233926257759718E-3</v>
      </c>
    </row>
    <row r="201" spans="1:10">
      <c r="A201" s="15">
        <v>40466</v>
      </c>
      <c r="B201" s="11">
        <v>1.9399</v>
      </c>
      <c r="C201" s="11">
        <f t="shared" si="14"/>
        <v>-6.9000000000001283E-3</v>
      </c>
      <c r="D201" s="12">
        <f t="shared" si="15"/>
        <v>4.7610000000001768E-5</v>
      </c>
      <c r="E201" s="12">
        <f t="shared" si="16"/>
        <v>4.0000000000000074E-6</v>
      </c>
      <c r="F201" s="12">
        <f t="shared" si="17"/>
        <v>2.4823981215030758E-5</v>
      </c>
      <c r="G201" s="12">
        <f t="shared" si="18"/>
        <v>3.4239599123707154</v>
      </c>
      <c r="I201" s="12">
        <f t="shared" si="19"/>
        <v>4.9823670293376379E-3</v>
      </c>
      <c r="J201" s="12">
        <f t="shared" si="20"/>
        <v>5.4233926257759718E-3</v>
      </c>
    </row>
    <row r="202" spans="1:10">
      <c r="A202" s="15">
        <v>40467</v>
      </c>
      <c r="B202" s="11">
        <v>1.9419999999999999</v>
      </c>
      <c r="C202" s="11">
        <f t="shared" si="14"/>
        <v>2.0999999999999908E-3</v>
      </c>
      <c r="D202" s="12">
        <f t="shared" si="15"/>
        <v>4.4099999999999612E-6</v>
      </c>
      <c r="E202" s="12">
        <f t="shared" si="16"/>
        <v>4.7610000000001768E-5</v>
      </c>
      <c r="F202" s="12">
        <f t="shared" si="17"/>
        <v>2.6392452993345577E-5</v>
      </c>
      <c r="G202" s="12">
        <f t="shared" si="18"/>
        <v>4.2687310786168222</v>
      </c>
      <c r="I202" s="12">
        <f t="shared" si="19"/>
        <v>5.13735856188232E-3</v>
      </c>
      <c r="J202" s="12">
        <f t="shared" si="20"/>
        <v>5.4233926257759718E-3</v>
      </c>
    </row>
    <row r="203" spans="1:10">
      <c r="A203" s="15">
        <v>40468</v>
      </c>
      <c r="B203" s="11">
        <v>1.9419999999999999</v>
      </c>
      <c r="C203" s="11">
        <f t="shared" si="14"/>
        <v>0</v>
      </c>
      <c r="D203" s="12">
        <f t="shared" si="15"/>
        <v>0</v>
      </c>
      <c r="E203" s="12">
        <f t="shared" si="16"/>
        <v>4.4099999999999612E-6</v>
      </c>
      <c r="F203" s="12">
        <f t="shared" si="17"/>
        <v>2.5230891368218549E-5</v>
      </c>
      <c r="G203" s="12">
        <f t="shared" si="18"/>
        <v>4.3747821925288353</v>
      </c>
      <c r="I203" s="12">
        <f t="shared" si="19"/>
        <v>5.02303607076622E-3</v>
      </c>
      <c r="J203" s="12">
        <f t="shared" si="20"/>
        <v>5.4233926257759718E-3</v>
      </c>
    </row>
    <row r="204" spans="1:10">
      <c r="A204" s="15">
        <v>40469</v>
      </c>
      <c r="B204" s="11">
        <v>1.9336</v>
      </c>
      <c r="C204" s="11">
        <f t="shared" si="14"/>
        <v>-8.3999999999999631E-3</v>
      </c>
      <c r="D204" s="12">
        <f t="shared" si="15"/>
        <v>7.0559999999999379E-5</v>
      </c>
      <c r="E204" s="12">
        <f t="shared" si="16"/>
        <v>0</v>
      </c>
      <c r="F204" s="12">
        <f t="shared" si="17"/>
        <v>2.3933592466874866E-5</v>
      </c>
      <c r="G204" s="12">
        <f t="shared" si="18"/>
        <v>2.9270964838558395</v>
      </c>
      <c r="I204" s="12">
        <f t="shared" si="19"/>
        <v>4.8921971001662295E-3</v>
      </c>
      <c r="J204" s="12">
        <f t="shared" si="20"/>
        <v>5.4233926257759718E-3</v>
      </c>
    </row>
    <row r="205" spans="1:10">
      <c r="A205" s="15">
        <v>40470</v>
      </c>
      <c r="B205" s="11">
        <v>1.9293</v>
      </c>
      <c r="C205" s="11">
        <f t="shared" si="14"/>
        <v>-4.2999999999999705E-3</v>
      </c>
      <c r="D205" s="12">
        <f t="shared" si="15"/>
        <v>1.8489999999999747E-5</v>
      </c>
      <c r="E205" s="12">
        <f t="shared" si="16"/>
        <v>7.0559999999999379E-5</v>
      </c>
      <c r="F205" s="12">
        <f t="shared" si="17"/>
        <v>2.6958574597313725E-5</v>
      </c>
      <c r="G205" s="12">
        <f t="shared" si="18"/>
        <v>3.998732470063536</v>
      </c>
      <c r="I205" s="12">
        <f t="shared" si="19"/>
        <v>5.1921647313344869E-3</v>
      </c>
      <c r="J205" s="12">
        <f t="shared" si="20"/>
        <v>5.4233926257759718E-3</v>
      </c>
    </row>
    <row r="206" spans="1:10">
      <c r="A206" s="15">
        <v>40471</v>
      </c>
      <c r="B206" s="11">
        <v>1.9410000000000001</v>
      </c>
      <c r="C206" s="11">
        <f t="shared" ref="C206:C269" si="21">B206-B205</f>
        <v>1.1700000000000044E-2</v>
      </c>
      <c r="D206" s="12">
        <f t="shared" ref="D206:D269" si="22">C206^2</f>
        <v>1.3689000000000103E-4</v>
      </c>
      <c r="E206" s="12">
        <f t="shared" si="16"/>
        <v>1.8489999999999747E-5</v>
      </c>
      <c r="F206" s="12">
        <f t="shared" si="17"/>
        <v>2.6570277021174606E-5</v>
      </c>
      <c r="G206" s="12">
        <f t="shared" si="18"/>
        <v>1.7729214103053264</v>
      </c>
      <c r="I206" s="12">
        <f t="shared" si="19"/>
        <v>5.1546364586820869E-3</v>
      </c>
      <c r="J206" s="12">
        <f t="shared" si="20"/>
        <v>5.4233926257759718E-3</v>
      </c>
    </row>
    <row r="207" spans="1:10">
      <c r="A207" s="15">
        <v>40472</v>
      </c>
      <c r="B207" s="11">
        <v>1.94</v>
      </c>
      <c r="C207" s="11">
        <f t="shared" si="21"/>
        <v>-1.0000000000001119E-3</v>
      </c>
      <c r="D207" s="12">
        <f t="shared" si="22"/>
        <v>1.0000000000002238E-6</v>
      </c>
      <c r="E207" s="12">
        <f t="shared" ref="E207:E270" si="23">D206</f>
        <v>1.3689000000000103E-4</v>
      </c>
      <c r="F207" s="12">
        <f t="shared" ref="F207:F270" si="24">$B$5+$B$6*E207+$B$7*F206</f>
        <v>3.3241332752875271E-5</v>
      </c>
      <c r="G207" s="12">
        <f t="shared" ref="G207:G270" si="25">LN((1/SQRT(2*3.1415927*F207))*EXP(-0.5*D207/F207))</f>
        <v>4.2218781915304948</v>
      </c>
      <c r="I207" s="12">
        <f t="shared" ref="I207:I270" si="26">SQRT(F207)</f>
        <v>5.765529702713817E-3</v>
      </c>
      <c r="J207" s="12">
        <f t="shared" si="20"/>
        <v>5.4233926257759718E-3</v>
      </c>
    </row>
    <row r="208" spans="1:10">
      <c r="A208" s="15">
        <v>40473</v>
      </c>
      <c r="B208" s="11">
        <v>1.9435</v>
      </c>
      <c r="C208" s="11">
        <f t="shared" si="21"/>
        <v>3.5000000000000586E-3</v>
      </c>
      <c r="D208" s="12">
        <f t="shared" si="22"/>
        <v>1.225000000000041E-5</v>
      </c>
      <c r="E208" s="12">
        <f t="shared" si="23"/>
        <v>1.0000000000002238E-6</v>
      </c>
      <c r="F208" s="12">
        <f t="shared" si="24"/>
        <v>3.113688599086405E-5</v>
      </c>
      <c r="G208" s="12">
        <f t="shared" si="25"/>
        <v>4.0729081294774616</v>
      </c>
      <c r="I208" s="12">
        <f t="shared" si="26"/>
        <v>5.5800435473985369E-3</v>
      </c>
      <c r="J208" s="12">
        <f t="shared" ref="J208:J271" si="27">J207</f>
        <v>5.4233926257759718E-3</v>
      </c>
    </row>
    <row r="209" spans="1:10">
      <c r="A209" s="15">
        <v>40474</v>
      </c>
      <c r="B209" s="11">
        <v>1.9420999999999999</v>
      </c>
      <c r="C209" s="11">
        <f t="shared" si="21"/>
        <v>-1.4000000000000679E-3</v>
      </c>
      <c r="D209" s="12">
        <f t="shared" si="22"/>
        <v>1.96000000000019E-6</v>
      </c>
      <c r="E209" s="12">
        <f t="shared" si="23"/>
        <v>1.225000000000041E-5</v>
      </c>
      <c r="F209" s="12">
        <f t="shared" si="24"/>
        <v>2.9926825190277957E-5</v>
      </c>
      <c r="G209" s="12">
        <f t="shared" si="25"/>
        <v>4.2566925767912762</v>
      </c>
      <c r="I209" s="12">
        <f t="shared" si="26"/>
        <v>5.4705415810756761E-3</v>
      </c>
      <c r="J209" s="12">
        <f t="shared" si="27"/>
        <v>5.4233926257759718E-3</v>
      </c>
    </row>
    <row r="210" spans="1:10">
      <c r="A210" s="15">
        <v>40475</v>
      </c>
      <c r="B210" s="11">
        <v>1.9453</v>
      </c>
      <c r="C210" s="11">
        <f t="shared" si="21"/>
        <v>3.2000000000000917E-3</v>
      </c>
      <c r="D210" s="12">
        <f t="shared" si="22"/>
        <v>1.0240000000000586E-5</v>
      </c>
      <c r="E210" s="12">
        <f t="shared" si="23"/>
        <v>1.96000000000019E-6</v>
      </c>
      <c r="F210" s="12">
        <f t="shared" si="24"/>
        <v>2.823777581710331E-5</v>
      </c>
      <c r="G210" s="12">
        <f t="shared" si="25"/>
        <v>4.1371690169295174</v>
      </c>
      <c r="I210" s="12">
        <f t="shared" si="26"/>
        <v>5.3139228275449497E-3</v>
      </c>
      <c r="J210" s="12">
        <f t="shared" si="27"/>
        <v>5.4233926257759718E-3</v>
      </c>
    </row>
    <row r="211" spans="1:10">
      <c r="A211" s="15">
        <v>40476</v>
      </c>
      <c r="B211" s="11">
        <v>1.9429000000000001</v>
      </c>
      <c r="C211" s="11">
        <f t="shared" si="21"/>
        <v>-2.3999999999999577E-3</v>
      </c>
      <c r="D211" s="12">
        <f t="shared" si="22"/>
        <v>5.7599999999997975E-6</v>
      </c>
      <c r="E211" s="12">
        <f t="shared" si="23"/>
        <v>1.0240000000000586E-5</v>
      </c>
      <c r="F211" s="12">
        <f t="shared" si="24"/>
        <v>2.7222156125450138E-5</v>
      </c>
      <c r="G211" s="12">
        <f t="shared" si="25"/>
        <v>4.2310049605654303</v>
      </c>
      <c r="I211" s="12">
        <f t="shared" si="26"/>
        <v>5.2174856133438583E-3</v>
      </c>
      <c r="J211" s="12">
        <f t="shared" si="27"/>
        <v>5.4233926257759718E-3</v>
      </c>
    </row>
    <row r="212" spans="1:10">
      <c r="A212" s="15">
        <v>40477</v>
      </c>
      <c r="B212" s="11">
        <v>1.9379</v>
      </c>
      <c r="C212" s="11">
        <f t="shared" si="21"/>
        <v>-5.0000000000001155E-3</v>
      </c>
      <c r="D212" s="12">
        <f t="shared" si="22"/>
        <v>2.5000000000001153E-5</v>
      </c>
      <c r="E212" s="12">
        <f t="shared" si="23"/>
        <v>5.7599999999997975E-6</v>
      </c>
      <c r="F212" s="12">
        <f t="shared" si="24"/>
        <v>2.6050865181737108E-5</v>
      </c>
      <c r="G212" s="12">
        <f t="shared" si="25"/>
        <v>3.8789607355547409</v>
      </c>
      <c r="I212" s="12">
        <f t="shared" si="26"/>
        <v>5.104004817957866E-3</v>
      </c>
      <c r="J212" s="12">
        <f t="shared" si="27"/>
        <v>5.4233926257759718E-3</v>
      </c>
    </row>
    <row r="213" spans="1:10">
      <c r="A213" s="15">
        <v>40478</v>
      </c>
      <c r="B213" s="11">
        <v>1.9212</v>
      </c>
      <c r="C213" s="11">
        <f t="shared" si="21"/>
        <v>-1.6699999999999937E-2</v>
      </c>
      <c r="D213" s="12">
        <f t="shared" si="22"/>
        <v>2.7888999999999789E-4</v>
      </c>
      <c r="E213" s="12">
        <f t="shared" si="23"/>
        <v>2.5000000000001153E-5</v>
      </c>
      <c r="F213" s="12">
        <f t="shared" si="24"/>
        <v>2.6146582190368611E-5</v>
      </c>
      <c r="G213" s="12">
        <f t="shared" si="25"/>
        <v>-0.97624433304334435</v>
      </c>
      <c r="I213" s="12">
        <f t="shared" si="26"/>
        <v>5.1133728780882598E-3</v>
      </c>
      <c r="J213" s="12">
        <f t="shared" si="27"/>
        <v>5.4233926257759718E-3</v>
      </c>
    </row>
    <row r="214" spans="1:10">
      <c r="A214" s="15">
        <v>40479</v>
      </c>
      <c r="B214" s="11">
        <v>1.9400999999999999</v>
      </c>
      <c r="C214" s="11">
        <f t="shared" si="21"/>
        <v>1.8899999999999917E-2</v>
      </c>
      <c r="D214" s="12">
        <f t="shared" si="22"/>
        <v>3.5720999999999686E-4</v>
      </c>
      <c r="E214" s="12">
        <f t="shared" si="23"/>
        <v>2.7888999999999789E-4</v>
      </c>
      <c r="F214" s="12">
        <f t="shared" si="24"/>
        <v>4.1279549314035687E-5</v>
      </c>
      <c r="G214" s="12">
        <f t="shared" si="25"/>
        <v>-0.19808561306765227</v>
      </c>
      <c r="I214" s="12">
        <f t="shared" si="26"/>
        <v>6.4249162884846747E-3</v>
      </c>
      <c r="J214" s="12">
        <f t="shared" si="27"/>
        <v>5.4233926257759718E-3</v>
      </c>
    </row>
    <row r="215" spans="1:10">
      <c r="A215" s="15">
        <v>40480</v>
      </c>
      <c r="B215" s="11">
        <v>1.9448000000000001</v>
      </c>
      <c r="C215" s="11">
        <f t="shared" si="21"/>
        <v>4.7000000000001485E-3</v>
      </c>
      <c r="D215" s="12">
        <f t="shared" si="22"/>
        <v>2.2090000000001396E-5</v>
      </c>
      <c r="E215" s="12">
        <f t="shared" si="23"/>
        <v>3.5720999999999686E-4</v>
      </c>
      <c r="F215" s="12">
        <f t="shared" si="24"/>
        <v>5.9417607335861531E-5</v>
      </c>
      <c r="G215" s="12">
        <f t="shared" si="25"/>
        <v>3.7606337771102263</v>
      </c>
      <c r="I215" s="12">
        <f t="shared" si="26"/>
        <v>7.7082817369282458E-3</v>
      </c>
      <c r="J215" s="12">
        <f t="shared" si="27"/>
        <v>5.4233926257759718E-3</v>
      </c>
    </row>
    <row r="216" spans="1:10">
      <c r="A216" s="15">
        <v>40481</v>
      </c>
      <c r="B216" s="11">
        <v>1.9499</v>
      </c>
      <c r="C216" s="11">
        <f t="shared" si="21"/>
        <v>5.0999999999998824E-3</v>
      </c>
      <c r="D216" s="12">
        <f t="shared" si="22"/>
        <v>2.6009999999998801E-5</v>
      </c>
      <c r="E216" s="12">
        <f t="shared" si="23"/>
        <v>2.2090000000001396E-5</v>
      </c>
      <c r="F216" s="12">
        <f t="shared" si="24"/>
        <v>5.5731879067260098E-5</v>
      </c>
      <c r="G216" s="12">
        <f t="shared" si="25"/>
        <v>3.7451911889265244</v>
      </c>
      <c r="I216" s="12">
        <f t="shared" si="26"/>
        <v>7.4653786955023319E-3</v>
      </c>
      <c r="J216" s="12">
        <f t="shared" si="27"/>
        <v>5.4233926257759718E-3</v>
      </c>
    </row>
    <row r="217" spans="1:10">
      <c r="A217" s="15">
        <v>40482</v>
      </c>
      <c r="B217" s="11">
        <v>1.9440999999999999</v>
      </c>
      <c r="C217" s="11">
        <f t="shared" si="21"/>
        <v>-5.8000000000000274E-3</v>
      </c>
      <c r="D217" s="12">
        <f t="shared" si="22"/>
        <v>3.3640000000000315E-5</v>
      </c>
      <c r="E217" s="12">
        <f t="shared" si="23"/>
        <v>2.6009999999998801E-5</v>
      </c>
      <c r="F217" s="12">
        <f t="shared" si="24"/>
        <v>5.2677133598342239E-5</v>
      </c>
      <c r="G217" s="12">
        <f t="shared" si="25"/>
        <v>3.6874223760234766</v>
      </c>
      <c r="I217" s="12">
        <f t="shared" si="26"/>
        <v>7.2579014596742932E-3</v>
      </c>
      <c r="J217" s="12">
        <f t="shared" si="27"/>
        <v>5.4233926257759718E-3</v>
      </c>
    </row>
    <row r="218" spans="1:10">
      <c r="A218" s="15">
        <v>40483</v>
      </c>
      <c r="B218" s="11">
        <v>1.9403999999999999</v>
      </c>
      <c r="C218" s="11">
        <f t="shared" si="21"/>
        <v>-3.7000000000000366E-3</v>
      </c>
      <c r="D218" s="12">
        <f t="shared" si="22"/>
        <v>1.369000000000027E-5</v>
      </c>
      <c r="E218" s="12">
        <f t="shared" si="23"/>
        <v>3.3640000000000315E-5</v>
      </c>
      <c r="F218" s="12">
        <f t="shared" si="24"/>
        <v>5.0405008317099636E-5</v>
      </c>
      <c r="G218" s="12">
        <f t="shared" si="25"/>
        <v>3.8929714702038156</v>
      </c>
      <c r="I218" s="12">
        <f t="shared" si="26"/>
        <v>7.0996484643325568E-3</v>
      </c>
      <c r="J218" s="12">
        <f t="shared" si="27"/>
        <v>5.4233926257759718E-3</v>
      </c>
    </row>
    <row r="219" spans="1:10">
      <c r="A219" s="15">
        <v>40484</v>
      </c>
      <c r="B219" s="11">
        <v>1.9460999999999999</v>
      </c>
      <c r="C219" s="11">
        <f t="shared" si="21"/>
        <v>5.7000000000000384E-3</v>
      </c>
      <c r="D219" s="12">
        <f t="shared" si="22"/>
        <v>3.2490000000000436E-5</v>
      </c>
      <c r="E219" s="12">
        <f t="shared" si="23"/>
        <v>1.369000000000027E-5</v>
      </c>
      <c r="F219" s="12">
        <f t="shared" si="24"/>
        <v>4.7196237449706721E-5</v>
      </c>
      <c r="G219" s="12">
        <f t="shared" si="25"/>
        <v>3.7174584843819947</v>
      </c>
      <c r="I219" s="12">
        <f t="shared" si="26"/>
        <v>6.8699517792854062E-3</v>
      </c>
      <c r="J219" s="12">
        <f t="shared" si="27"/>
        <v>5.4233926257759718E-3</v>
      </c>
    </row>
    <row r="220" spans="1:10">
      <c r="A220" s="15">
        <v>40485</v>
      </c>
      <c r="B220" s="11">
        <v>1.9517</v>
      </c>
      <c r="C220" s="11">
        <f t="shared" si="21"/>
        <v>5.6000000000000494E-3</v>
      </c>
      <c r="D220" s="12">
        <f t="shared" si="22"/>
        <v>3.1360000000000554E-5</v>
      </c>
      <c r="E220" s="12">
        <f t="shared" si="23"/>
        <v>3.2490000000000436E-5</v>
      </c>
      <c r="F220" s="12">
        <f t="shared" si="24"/>
        <v>4.5448772064840387E-5</v>
      </c>
      <c r="G220" s="12">
        <f t="shared" si="25"/>
        <v>3.7355200163862845</v>
      </c>
      <c r="I220" s="12">
        <f t="shared" si="26"/>
        <v>6.7415704449957639E-3</v>
      </c>
      <c r="J220" s="12">
        <f t="shared" si="27"/>
        <v>5.4233926257759718E-3</v>
      </c>
    </row>
    <row r="221" spans="1:10">
      <c r="A221" s="15">
        <v>40486</v>
      </c>
      <c r="B221" s="11">
        <v>1.9643999999999999</v>
      </c>
      <c r="C221" s="11">
        <f t="shared" si="21"/>
        <v>1.2699999999999934E-2</v>
      </c>
      <c r="D221" s="12">
        <f t="shared" si="22"/>
        <v>1.6128999999999832E-4</v>
      </c>
      <c r="E221" s="12">
        <f t="shared" si="23"/>
        <v>3.1360000000000554E-5</v>
      </c>
      <c r="F221" s="12">
        <f t="shared" si="24"/>
        <v>4.3823340937329255E-5</v>
      </c>
      <c r="G221" s="12">
        <f t="shared" si="25"/>
        <v>2.2585040607204343</v>
      </c>
      <c r="I221" s="12">
        <f t="shared" si="26"/>
        <v>6.6199200098890363E-3</v>
      </c>
      <c r="J221" s="12">
        <f t="shared" si="27"/>
        <v>5.4233926257759718E-3</v>
      </c>
    </row>
    <row r="222" spans="1:10">
      <c r="A222" s="15">
        <v>40487</v>
      </c>
      <c r="B222" s="11">
        <v>1.9342999999999999</v>
      </c>
      <c r="C222" s="11">
        <f t="shared" si="21"/>
        <v>-3.0100000000000016E-2</v>
      </c>
      <c r="D222" s="12">
        <f t="shared" si="22"/>
        <v>9.0601000000000093E-4</v>
      </c>
      <c r="E222" s="12">
        <f t="shared" si="23"/>
        <v>1.6128999999999832E-4</v>
      </c>
      <c r="F222" s="12">
        <f t="shared" si="24"/>
        <v>5.0074434850334725E-5</v>
      </c>
      <c r="G222" s="12">
        <f t="shared" si="25"/>
        <v>-5.0145708648869896</v>
      </c>
      <c r="I222" s="12">
        <f t="shared" si="26"/>
        <v>7.0763291931858797E-3</v>
      </c>
      <c r="J222" s="12">
        <f t="shared" si="27"/>
        <v>5.4233926257759718E-3</v>
      </c>
    </row>
    <row r="223" spans="1:10">
      <c r="A223" s="15">
        <v>40488</v>
      </c>
      <c r="B223" s="11">
        <v>1.9326000000000001</v>
      </c>
      <c r="C223" s="11">
        <f t="shared" si="21"/>
        <v>-1.6999999999998128E-3</v>
      </c>
      <c r="D223" s="12">
        <f t="shared" si="22"/>
        <v>2.8899999999993633E-6</v>
      </c>
      <c r="E223" s="12">
        <f t="shared" si="23"/>
        <v>9.0601000000000093E-4</v>
      </c>
      <c r="F223" s="12">
        <f t="shared" si="24"/>
        <v>9.9787618076685304E-5</v>
      </c>
      <c r="G223" s="12">
        <f t="shared" si="25"/>
        <v>3.6728139297598541</v>
      </c>
      <c r="I223" s="12">
        <f t="shared" si="26"/>
        <v>9.989375259578815E-3</v>
      </c>
      <c r="J223" s="12">
        <f t="shared" si="27"/>
        <v>5.4233926257759718E-3</v>
      </c>
    </row>
    <row r="224" spans="1:10">
      <c r="A224" s="15">
        <v>40489</v>
      </c>
      <c r="B224" s="11">
        <v>1.9326000000000001</v>
      </c>
      <c r="C224" s="11">
        <f t="shared" si="21"/>
        <v>0</v>
      </c>
      <c r="D224" s="12">
        <f t="shared" si="22"/>
        <v>0</v>
      </c>
      <c r="E224" s="12">
        <f t="shared" si="23"/>
        <v>2.8899999999993633E-6</v>
      </c>
      <c r="F224" s="12">
        <f t="shared" si="24"/>
        <v>9.0597486170726954E-5</v>
      </c>
      <c r="G224" s="12">
        <f t="shared" si="25"/>
        <v>3.7356035052890375</v>
      </c>
      <c r="I224" s="12">
        <f t="shared" si="26"/>
        <v>9.5182711755195833E-3</v>
      </c>
      <c r="J224" s="12">
        <f t="shared" si="27"/>
        <v>5.4233926257759718E-3</v>
      </c>
    </row>
    <row r="225" spans="1:10">
      <c r="A225" s="15">
        <v>40490</v>
      </c>
      <c r="B225" s="11">
        <v>1.9422999999999999</v>
      </c>
      <c r="C225" s="11">
        <f t="shared" si="21"/>
        <v>9.6999999999998199E-3</v>
      </c>
      <c r="D225" s="12">
        <f t="shared" si="22"/>
        <v>9.4089999999996506E-5</v>
      </c>
      <c r="E225" s="12">
        <f t="shared" si="23"/>
        <v>0</v>
      </c>
      <c r="F225" s="12">
        <f t="shared" si="24"/>
        <v>8.2230081546352126E-5</v>
      </c>
      <c r="G225" s="12">
        <f t="shared" si="25"/>
        <v>3.2119419104632456</v>
      </c>
      <c r="I225" s="12">
        <f t="shared" si="26"/>
        <v>9.0680803672195213E-3</v>
      </c>
      <c r="J225" s="12">
        <f t="shared" si="27"/>
        <v>5.4233926257759718E-3</v>
      </c>
    </row>
    <row r="226" spans="1:10">
      <c r="A226" s="15">
        <v>40491</v>
      </c>
      <c r="B226" s="11">
        <v>1.9350000000000001</v>
      </c>
      <c r="C226" s="11">
        <f t="shared" si="21"/>
        <v>-7.2999999999998622E-3</v>
      </c>
      <c r="D226" s="12">
        <f t="shared" si="22"/>
        <v>5.3289999999997987E-5</v>
      </c>
      <c r="E226" s="12">
        <f t="shared" si="23"/>
        <v>9.4089999999996506E-5</v>
      </c>
      <c r="F226" s="12">
        <f t="shared" si="24"/>
        <v>8.0344247232601947E-5</v>
      </c>
      <c r="G226" s="12">
        <f t="shared" si="25"/>
        <v>3.4640210490523873</v>
      </c>
      <c r="I226" s="12">
        <f t="shared" si="26"/>
        <v>8.963495257576809E-3</v>
      </c>
      <c r="J226" s="12">
        <f t="shared" si="27"/>
        <v>5.4233926257759718E-3</v>
      </c>
    </row>
    <row r="227" spans="1:10">
      <c r="A227" s="15">
        <v>40492</v>
      </c>
      <c r="B227" s="11">
        <v>1.9356</v>
      </c>
      <c r="C227" s="11">
        <f t="shared" si="21"/>
        <v>5.9999999999993392E-4</v>
      </c>
      <c r="D227" s="12">
        <f t="shared" si="22"/>
        <v>3.5999999999992069E-7</v>
      </c>
      <c r="E227" s="12">
        <f t="shared" si="23"/>
        <v>5.3289999999997987E-5</v>
      </c>
      <c r="F227" s="12">
        <f t="shared" si="24"/>
        <v>7.6244243836465339E-5</v>
      </c>
      <c r="G227" s="12">
        <f t="shared" si="25"/>
        <v>3.8194849434480855</v>
      </c>
      <c r="I227" s="12">
        <f t="shared" si="26"/>
        <v>8.7317949951006835E-3</v>
      </c>
      <c r="J227" s="12">
        <f t="shared" si="27"/>
        <v>5.4233926257759718E-3</v>
      </c>
    </row>
    <row r="228" spans="1:10">
      <c r="A228" s="15">
        <v>40493</v>
      </c>
      <c r="B228" s="11">
        <v>1.9309000000000001</v>
      </c>
      <c r="C228" s="11">
        <f t="shared" si="21"/>
        <v>-4.6999999999999265E-3</v>
      </c>
      <c r="D228" s="12">
        <f t="shared" si="22"/>
        <v>2.2089999999999309E-5</v>
      </c>
      <c r="E228" s="12">
        <f t="shared" si="23"/>
        <v>3.5999999999992069E-7</v>
      </c>
      <c r="F228" s="12">
        <f t="shared" si="24"/>
        <v>6.9450634493898578E-5</v>
      </c>
      <c r="G228" s="12">
        <f t="shared" si="25"/>
        <v>3.7094748115733274</v>
      </c>
      <c r="I228" s="12">
        <f t="shared" si="26"/>
        <v>8.3337047280245408E-3</v>
      </c>
      <c r="J228" s="12">
        <f t="shared" si="27"/>
        <v>5.4233926257759718E-3</v>
      </c>
    </row>
    <row r="229" spans="1:10">
      <c r="A229" s="15">
        <v>40494</v>
      </c>
      <c r="B229" s="11">
        <v>1.9321999999999999</v>
      </c>
      <c r="C229" s="11">
        <f t="shared" si="21"/>
        <v>1.2999999999998568E-3</v>
      </c>
      <c r="D229" s="12">
        <f t="shared" si="22"/>
        <v>1.6899999999996276E-6</v>
      </c>
      <c r="E229" s="12">
        <f t="shared" si="23"/>
        <v>2.2089999999999309E-5</v>
      </c>
      <c r="F229" s="12">
        <f t="shared" si="24"/>
        <v>6.4679725592227817E-5</v>
      </c>
      <c r="G229" s="12">
        <f t="shared" si="25"/>
        <v>3.8910284702513795</v>
      </c>
      <c r="I229" s="12">
        <f t="shared" si="26"/>
        <v>8.0423706450416608E-3</v>
      </c>
      <c r="J229" s="12">
        <f t="shared" si="27"/>
        <v>5.4233926257759718E-3</v>
      </c>
    </row>
    <row r="230" spans="1:10">
      <c r="A230" s="15">
        <v>40495</v>
      </c>
      <c r="B230" s="11">
        <v>1.9355</v>
      </c>
      <c r="C230" s="11">
        <f t="shared" si="21"/>
        <v>3.3000000000000806E-3</v>
      </c>
      <c r="D230" s="12">
        <f t="shared" si="22"/>
        <v>1.0890000000000533E-5</v>
      </c>
      <c r="E230" s="12">
        <f t="shared" si="23"/>
        <v>1.6899999999996276E-6</v>
      </c>
      <c r="F230" s="12">
        <f t="shared" si="24"/>
        <v>5.9215770947382365E-5</v>
      </c>
      <c r="G230" s="12">
        <f t="shared" si="25"/>
        <v>3.8562709293437538</v>
      </c>
      <c r="I230" s="12">
        <f t="shared" si="26"/>
        <v>7.6951784220628937E-3</v>
      </c>
      <c r="J230" s="12">
        <f t="shared" si="27"/>
        <v>5.4233926257759718E-3</v>
      </c>
    </row>
    <row r="231" spans="1:10">
      <c r="A231" s="15">
        <v>40496</v>
      </c>
      <c r="B231" s="11">
        <v>1.9359</v>
      </c>
      <c r="C231" s="11">
        <f t="shared" si="21"/>
        <v>3.9999999999995595E-4</v>
      </c>
      <c r="D231" s="12">
        <f t="shared" si="22"/>
        <v>1.5999999999996475E-7</v>
      </c>
      <c r="E231" s="12">
        <f t="shared" si="23"/>
        <v>1.0890000000000533E-5</v>
      </c>
      <c r="F231" s="12">
        <f t="shared" si="24"/>
        <v>5.4888069647343123E-5</v>
      </c>
      <c r="G231" s="12">
        <f t="shared" si="25"/>
        <v>3.9847112196149594</v>
      </c>
      <c r="I231" s="12">
        <f t="shared" si="26"/>
        <v>7.4086483009617298E-3</v>
      </c>
      <c r="J231" s="12">
        <f t="shared" si="27"/>
        <v>5.4233926257759718E-3</v>
      </c>
    </row>
    <row r="232" spans="1:10">
      <c r="A232" s="15">
        <v>40497</v>
      </c>
      <c r="B232" s="11">
        <v>1.9280999999999999</v>
      </c>
      <c r="C232" s="11">
        <f t="shared" si="21"/>
        <v>-7.8000000000000291E-3</v>
      </c>
      <c r="D232" s="12">
        <f t="shared" si="22"/>
        <v>6.0840000000000454E-5</v>
      </c>
      <c r="E232" s="12">
        <f t="shared" si="23"/>
        <v>1.5999999999996475E-7</v>
      </c>
      <c r="F232" s="12">
        <f t="shared" si="24"/>
        <v>5.0392508378806657E-5</v>
      </c>
      <c r="G232" s="12">
        <f t="shared" si="25"/>
        <v>3.425234319270809</v>
      </c>
      <c r="I232" s="12">
        <f t="shared" si="26"/>
        <v>7.0987680888170068E-3</v>
      </c>
      <c r="J232" s="12">
        <f t="shared" si="27"/>
        <v>5.4233926257759718E-3</v>
      </c>
    </row>
    <row r="233" spans="1:10">
      <c r="A233" s="15">
        <v>40498</v>
      </c>
      <c r="B233" s="11">
        <v>1.9195</v>
      </c>
      <c r="C233" s="11">
        <f t="shared" si="21"/>
        <v>-8.599999999999941E-3</v>
      </c>
      <c r="D233" s="12">
        <f t="shared" si="22"/>
        <v>7.3959999999998987E-5</v>
      </c>
      <c r="E233" s="12">
        <f t="shared" si="23"/>
        <v>6.0840000000000454E-5</v>
      </c>
      <c r="F233" s="12">
        <f t="shared" si="24"/>
        <v>4.9979585080035686E-5</v>
      </c>
      <c r="G233" s="12">
        <f t="shared" si="25"/>
        <v>3.2931073257214716</v>
      </c>
      <c r="I233" s="12">
        <f t="shared" si="26"/>
        <v>7.0696241116508934E-3</v>
      </c>
      <c r="J233" s="12">
        <f t="shared" si="27"/>
        <v>5.4233926257759718E-3</v>
      </c>
    </row>
    <row r="234" spans="1:10">
      <c r="A234" s="15">
        <v>40499</v>
      </c>
      <c r="B234" s="11">
        <v>1.9236</v>
      </c>
      <c r="C234" s="11">
        <f t="shared" si="21"/>
        <v>4.0999999999999925E-3</v>
      </c>
      <c r="D234" s="12">
        <f t="shared" si="22"/>
        <v>1.6809999999999939E-5</v>
      </c>
      <c r="E234" s="12">
        <f t="shared" si="23"/>
        <v>7.3959999999998987E-5</v>
      </c>
      <c r="F234" s="12">
        <f t="shared" si="24"/>
        <v>5.0388922677478339E-5</v>
      </c>
      <c r="G234" s="12">
        <f t="shared" si="25"/>
        <v>3.8621285227680033</v>
      </c>
      <c r="I234" s="12">
        <f t="shared" si="26"/>
        <v>7.0985155263250882E-3</v>
      </c>
      <c r="J234" s="12">
        <f t="shared" si="27"/>
        <v>5.4233926257759718E-3</v>
      </c>
    </row>
    <row r="235" spans="1:10">
      <c r="A235" s="15">
        <v>40500</v>
      </c>
      <c r="B235" s="11">
        <v>1.9297</v>
      </c>
      <c r="C235" s="11">
        <f t="shared" si="21"/>
        <v>6.0999999999999943E-3</v>
      </c>
      <c r="D235" s="12">
        <f t="shared" si="22"/>
        <v>3.720999999999993E-5</v>
      </c>
      <c r="E235" s="12">
        <f t="shared" si="23"/>
        <v>1.6809999999999939E-5</v>
      </c>
      <c r="F235" s="12">
        <f t="shared" si="24"/>
        <v>4.7366808426045752E-5</v>
      </c>
      <c r="G235" s="12">
        <f t="shared" si="25"/>
        <v>3.6670702744232302</v>
      </c>
      <c r="I235" s="12">
        <f t="shared" si="26"/>
        <v>6.8823548605143683E-3</v>
      </c>
      <c r="J235" s="12">
        <f t="shared" si="27"/>
        <v>5.4233926257759718E-3</v>
      </c>
    </row>
    <row r="236" spans="1:10">
      <c r="A236" s="15">
        <v>40501</v>
      </c>
      <c r="B236" s="11">
        <v>1.9315</v>
      </c>
      <c r="C236" s="11">
        <f t="shared" si="21"/>
        <v>1.8000000000000238E-3</v>
      </c>
      <c r="D236" s="12">
        <f t="shared" si="22"/>
        <v>3.2400000000000859E-6</v>
      </c>
      <c r="E236" s="12">
        <f t="shared" si="23"/>
        <v>3.720999999999993E-5</v>
      </c>
      <c r="F236" s="12">
        <f t="shared" si="24"/>
        <v>4.5880639838778641E-5</v>
      </c>
      <c r="G236" s="12">
        <f t="shared" si="25"/>
        <v>4.0404861087145987</v>
      </c>
      <c r="I236" s="12">
        <f t="shared" si="26"/>
        <v>6.7735249197724695E-3</v>
      </c>
      <c r="J236" s="12">
        <f t="shared" si="27"/>
        <v>5.4233926257759718E-3</v>
      </c>
    </row>
    <row r="237" spans="1:10">
      <c r="A237" s="15">
        <v>40502</v>
      </c>
      <c r="B237" s="11">
        <v>1.925</v>
      </c>
      <c r="C237" s="11">
        <f t="shared" si="21"/>
        <v>-6.4999999999999503E-3</v>
      </c>
      <c r="D237" s="12">
        <f t="shared" si="22"/>
        <v>4.2249999999999353E-5</v>
      </c>
      <c r="E237" s="12">
        <f t="shared" si="23"/>
        <v>3.2400000000000859E-6</v>
      </c>
      <c r="F237" s="12">
        <f t="shared" si="24"/>
        <v>4.254187578546786E-5</v>
      </c>
      <c r="G237" s="12">
        <f t="shared" si="25"/>
        <v>3.6170027393791093</v>
      </c>
      <c r="I237" s="12">
        <f t="shared" si="26"/>
        <v>6.522413340587045E-3</v>
      </c>
      <c r="J237" s="12">
        <f t="shared" si="27"/>
        <v>5.4233926257759718E-3</v>
      </c>
    </row>
    <row r="238" spans="1:10">
      <c r="A238" s="15">
        <v>40504</v>
      </c>
      <c r="B238" s="11">
        <v>1.93</v>
      </c>
      <c r="C238" s="11">
        <f t="shared" si="21"/>
        <v>4.9999999999998934E-3</v>
      </c>
      <c r="D238" s="12">
        <f t="shared" si="22"/>
        <v>2.4999999999998934E-5</v>
      </c>
      <c r="E238" s="12">
        <f t="shared" si="23"/>
        <v>4.2249999999999353E-5</v>
      </c>
      <c r="F238" s="12">
        <f t="shared" si="24"/>
        <v>4.1876287680768181E-5</v>
      </c>
      <c r="G238" s="12">
        <f t="shared" si="25"/>
        <v>3.8229585845725178</v>
      </c>
      <c r="I238" s="12">
        <f t="shared" si="26"/>
        <v>6.4711890469038363E-3</v>
      </c>
      <c r="J238" s="12">
        <f t="shared" si="27"/>
        <v>5.4233926257759718E-3</v>
      </c>
    </row>
    <row r="239" spans="1:10">
      <c r="A239" s="15">
        <v>40505</v>
      </c>
      <c r="B239" s="11">
        <v>1.9148000000000001</v>
      </c>
      <c r="C239" s="11">
        <f t="shared" si="21"/>
        <v>-1.519999999999988E-2</v>
      </c>
      <c r="D239" s="12">
        <f t="shared" si="22"/>
        <v>2.3103999999999635E-4</v>
      </c>
      <c r="E239" s="12">
        <f t="shared" si="23"/>
        <v>2.4999999999998934E-5</v>
      </c>
      <c r="F239" s="12">
        <f t="shared" si="24"/>
        <v>4.0260313717614499E-5</v>
      </c>
      <c r="G239" s="12">
        <f t="shared" si="25"/>
        <v>1.271806760778696</v>
      </c>
      <c r="I239" s="12">
        <f t="shared" si="26"/>
        <v>6.3451015529788412E-3</v>
      </c>
      <c r="J239" s="12">
        <f t="shared" si="27"/>
        <v>5.4233926257759718E-3</v>
      </c>
    </row>
    <row r="240" spans="1:10">
      <c r="A240" s="15">
        <v>40506</v>
      </c>
      <c r="B240" s="11">
        <v>1.9128000000000001</v>
      </c>
      <c r="C240" s="11">
        <f t="shared" si="21"/>
        <v>-2.0000000000000018E-3</v>
      </c>
      <c r="D240" s="12">
        <f t="shared" si="22"/>
        <v>4.0000000000000074E-6</v>
      </c>
      <c r="E240" s="12">
        <f t="shared" si="23"/>
        <v>2.3103999999999635E-4</v>
      </c>
      <c r="F240" s="12">
        <f t="shared" si="24"/>
        <v>5.1030744496919576E-5</v>
      </c>
      <c r="G240" s="12">
        <f t="shared" si="25"/>
        <v>3.9834105362112053</v>
      </c>
      <c r="I240" s="12">
        <f t="shared" si="26"/>
        <v>7.143580649570604E-3</v>
      </c>
      <c r="J240" s="12">
        <f t="shared" si="27"/>
        <v>5.4233926257759718E-3</v>
      </c>
    </row>
    <row r="241" spans="1:10">
      <c r="A241" s="15">
        <v>40507</v>
      </c>
      <c r="B241" s="11">
        <v>1.9157999999999999</v>
      </c>
      <c r="C241" s="11">
        <f t="shared" si="21"/>
        <v>2.9999999999998916E-3</v>
      </c>
      <c r="D241" s="12">
        <f t="shared" si="22"/>
        <v>8.9999999999993497E-6</v>
      </c>
      <c r="E241" s="12">
        <f t="shared" si="23"/>
        <v>4.0000000000000074E-6</v>
      </c>
      <c r="F241" s="12">
        <f t="shared" si="24"/>
        <v>4.7179984634849976E-5</v>
      </c>
      <c r="G241" s="12">
        <f t="shared" si="25"/>
        <v>3.9664524351244177</v>
      </c>
      <c r="I241" s="12">
        <f t="shared" si="26"/>
        <v>6.8687687859506508E-3</v>
      </c>
      <c r="J241" s="12">
        <f t="shared" si="27"/>
        <v>5.4233926257759718E-3</v>
      </c>
    </row>
    <row r="242" spans="1:10">
      <c r="A242" s="15">
        <v>40508</v>
      </c>
      <c r="B242" s="11">
        <v>1.9103000000000001</v>
      </c>
      <c r="C242" s="11">
        <f t="shared" si="21"/>
        <v>-5.4999999999998384E-3</v>
      </c>
      <c r="D242" s="12">
        <f t="shared" si="22"/>
        <v>3.0249999999998221E-5</v>
      </c>
      <c r="E242" s="12">
        <f t="shared" si="23"/>
        <v>8.9999999999993497E-6</v>
      </c>
      <c r="F242" s="12">
        <f t="shared" si="24"/>
        <v>4.4042067182548109E-5</v>
      </c>
      <c r="G242" s="12">
        <f t="shared" si="25"/>
        <v>3.7528224495903864</v>
      </c>
      <c r="I242" s="12">
        <f t="shared" si="26"/>
        <v>6.6364197563556892E-3</v>
      </c>
      <c r="J242" s="12">
        <f t="shared" si="27"/>
        <v>5.4233926257759718E-3</v>
      </c>
    </row>
    <row r="243" spans="1:10">
      <c r="A243" s="15">
        <v>40509</v>
      </c>
      <c r="B243" s="11">
        <v>1.9113</v>
      </c>
      <c r="C243" s="11">
        <f t="shared" si="21"/>
        <v>9.9999999999988987E-4</v>
      </c>
      <c r="D243" s="12">
        <f t="shared" si="22"/>
        <v>9.9999999999977973E-7</v>
      </c>
      <c r="E243" s="12">
        <f t="shared" si="23"/>
        <v>3.0249999999998221E-5</v>
      </c>
      <c r="F243" s="12">
        <f t="shared" si="24"/>
        <v>4.2502998734577672E-5</v>
      </c>
      <c r="G243" s="12">
        <f t="shared" si="25"/>
        <v>4.1022655465987254</v>
      </c>
      <c r="I243" s="12">
        <f t="shared" si="26"/>
        <v>6.5194323935890055E-3</v>
      </c>
      <c r="J243" s="12">
        <f t="shared" si="27"/>
        <v>5.4233926257759718E-3</v>
      </c>
    </row>
    <row r="244" spans="1:10">
      <c r="A244" s="15">
        <v>40510</v>
      </c>
      <c r="B244" s="11">
        <v>1.9117</v>
      </c>
      <c r="C244" s="11">
        <f t="shared" si="21"/>
        <v>3.9999999999995595E-4</v>
      </c>
      <c r="D244" s="12">
        <f t="shared" si="22"/>
        <v>1.5999999999996475E-7</v>
      </c>
      <c r="E244" s="12">
        <f t="shared" si="23"/>
        <v>9.9999999999977973E-7</v>
      </c>
      <c r="F244" s="12">
        <f t="shared" si="24"/>
        <v>3.9396802411343689E-5</v>
      </c>
      <c r="G244" s="12">
        <f t="shared" si="25"/>
        <v>4.1499437887699608</v>
      </c>
      <c r="I244" s="12">
        <f t="shared" si="26"/>
        <v>6.2766872163063604E-3</v>
      </c>
      <c r="J244" s="12">
        <f t="shared" si="27"/>
        <v>5.4233926257759718E-3</v>
      </c>
    </row>
    <row r="245" spans="1:10">
      <c r="A245" s="15">
        <v>40511</v>
      </c>
      <c r="B245" s="11">
        <v>1.9077999999999999</v>
      </c>
      <c r="C245" s="11">
        <f t="shared" si="21"/>
        <v>-3.9000000000000146E-3</v>
      </c>
      <c r="D245" s="12">
        <f t="shared" si="22"/>
        <v>1.5210000000000114E-5</v>
      </c>
      <c r="E245" s="12">
        <f t="shared" si="23"/>
        <v>1.5999999999996475E-7</v>
      </c>
      <c r="F245" s="12">
        <f t="shared" si="24"/>
        <v>3.657678960105492E-5</v>
      </c>
      <c r="G245" s="12">
        <f t="shared" si="25"/>
        <v>3.9811910609176966</v>
      </c>
      <c r="I245" s="12">
        <f t="shared" si="26"/>
        <v>6.0478748003786357E-3</v>
      </c>
      <c r="J245" s="12">
        <f t="shared" si="27"/>
        <v>5.4233926257759718E-3</v>
      </c>
    </row>
    <row r="246" spans="1:10">
      <c r="A246" s="15">
        <v>40512</v>
      </c>
      <c r="B246" s="11">
        <v>1.9015</v>
      </c>
      <c r="C246" s="11">
        <f t="shared" si="21"/>
        <v>-6.2999999999999723E-3</v>
      </c>
      <c r="D246" s="12">
        <f t="shared" si="22"/>
        <v>3.9689999999999649E-5</v>
      </c>
      <c r="E246" s="12">
        <f t="shared" si="23"/>
        <v>1.5210000000000114E-5</v>
      </c>
      <c r="F246" s="12">
        <f t="shared" si="24"/>
        <v>3.4953778130932595E-5</v>
      </c>
      <c r="G246" s="12">
        <f t="shared" si="25"/>
        <v>3.644053671995465</v>
      </c>
      <c r="I246" s="12">
        <f t="shared" si="26"/>
        <v>5.9121720315745713E-3</v>
      </c>
      <c r="J246" s="12">
        <f t="shared" si="27"/>
        <v>5.4233926257759718E-3</v>
      </c>
    </row>
    <row r="247" spans="1:10">
      <c r="A247" s="15">
        <v>40513</v>
      </c>
      <c r="B247" s="11">
        <v>1.9094</v>
      </c>
      <c r="C247" s="11">
        <f t="shared" si="21"/>
        <v>7.9000000000000181E-3</v>
      </c>
      <c r="D247" s="12">
        <f t="shared" si="22"/>
        <v>6.2410000000000292E-5</v>
      </c>
      <c r="E247" s="12">
        <f t="shared" si="23"/>
        <v>3.9689999999999649E-5</v>
      </c>
      <c r="F247" s="12">
        <f t="shared" si="24"/>
        <v>3.4957198444947457E-5</v>
      </c>
      <c r="G247" s="12">
        <f t="shared" si="25"/>
        <v>3.3190914649690115</v>
      </c>
      <c r="I247" s="12">
        <f t="shared" si="26"/>
        <v>5.9124612848582324E-3</v>
      </c>
      <c r="J247" s="12">
        <f t="shared" si="27"/>
        <v>5.4233926257759718E-3</v>
      </c>
    </row>
    <row r="248" spans="1:10">
      <c r="A248" s="15">
        <v>40514</v>
      </c>
      <c r="B248" s="11">
        <v>1.9131</v>
      </c>
      <c r="C248" s="11">
        <f t="shared" si="21"/>
        <v>3.7000000000000366E-3</v>
      </c>
      <c r="D248" s="12">
        <f t="shared" si="22"/>
        <v>1.369000000000027E-5</v>
      </c>
      <c r="E248" s="12">
        <f t="shared" si="23"/>
        <v>6.2410000000000292E-5</v>
      </c>
      <c r="F248" s="12">
        <f t="shared" si="24"/>
        <v>3.6306822287517307E-5</v>
      </c>
      <c r="G248" s="12">
        <f t="shared" si="25"/>
        <v>4.0042818456253242</v>
      </c>
      <c r="I248" s="12">
        <f t="shared" si="26"/>
        <v>6.0255142757707665E-3</v>
      </c>
      <c r="J248" s="12">
        <f t="shared" si="27"/>
        <v>5.4233926257759718E-3</v>
      </c>
    </row>
    <row r="249" spans="1:10">
      <c r="A249" s="15">
        <v>40515</v>
      </c>
      <c r="B249" s="11">
        <v>1.9224000000000001</v>
      </c>
      <c r="C249" s="11">
        <f t="shared" si="21"/>
        <v>9.300000000000086E-3</v>
      </c>
      <c r="D249" s="12">
        <f t="shared" si="22"/>
        <v>8.6490000000001593E-5</v>
      </c>
      <c r="E249" s="12">
        <f t="shared" si="23"/>
        <v>1.369000000000027E-5</v>
      </c>
      <c r="F249" s="12">
        <f t="shared" si="24"/>
        <v>3.4622923046576058E-5</v>
      </c>
      <c r="G249" s="12">
        <f t="shared" si="25"/>
        <v>2.9675307585891963</v>
      </c>
      <c r="I249" s="12">
        <f t="shared" si="26"/>
        <v>5.8841246627324324E-3</v>
      </c>
      <c r="J249" s="12">
        <f t="shared" si="27"/>
        <v>5.4233926257759718E-3</v>
      </c>
    </row>
    <row r="250" spans="1:10">
      <c r="A250" s="15">
        <v>40517</v>
      </c>
      <c r="B250" s="11">
        <v>1.9247000000000001</v>
      </c>
      <c r="C250" s="11">
        <f t="shared" si="21"/>
        <v>2.2999999999999687E-3</v>
      </c>
      <c r="D250" s="12">
        <f t="shared" si="22"/>
        <v>5.2899999999998562E-6</v>
      </c>
      <c r="E250" s="12">
        <f t="shared" si="23"/>
        <v>8.6490000000001593E-5</v>
      </c>
      <c r="F250" s="12">
        <f t="shared" si="24"/>
        <v>3.7435880619329895E-5</v>
      </c>
      <c r="G250" s="12">
        <f t="shared" si="25"/>
        <v>4.1068477873820104</v>
      </c>
      <c r="I250" s="12">
        <f t="shared" si="26"/>
        <v>6.1184867916282944E-3</v>
      </c>
      <c r="J250" s="12">
        <f t="shared" si="27"/>
        <v>5.4233926257759718E-3</v>
      </c>
    </row>
    <row r="251" spans="1:10">
      <c r="A251" s="15">
        <v>40518</v>
      </c>
      <c r="B251" s="11">
        <v>1.9155</v>
      </c>
      <c r="C251" s="11">
        <f t="shared" si="21"/>
        <v>-9.200000000000097E-3</v>
      </c>
      <c r="D251" s="12">
        <f t="shared" si="22"/>
        <v>8.4640000000001778E-5</v>
      </c>
      <c r="E251" s="12">
        <f t="shared" si="23"/>
        <v>5.2899999999998562E-6</v>
      </c>
      <c r="F251" s="12">
        <f t="shared" si="24"/>
        <v>3.5132008613784641E-5</v>
      </c>
      <c r="G251" s="12">
        <f t="shared" si="25"/>
        <v>3.004660918061099</v>
      </c>
      <c r="I251" s="12">
        <f t="shared" si="26"/>
        <v>5.9272260471307011E-3</v>
      </c>
      <c r="J251" s="12">
        <f t="shared" si="27"/>
        <v>5.4233926257759718E-3</v>
      </c>
    </row>
    <row r="252" spans="1:10">
      <c r="A252" s="15">
        <v>40519</v>
      </c>
      <c r="B252" s="11">
        <v>1.9113</v>
      </c>
      <c r="C252" s="11">
        <f t="shared" si="21"/>
        <v>-4.1999999999999815E-3</v>
      </c>
      <c r="D252" s="12">
        <f t="shared" si="22"/>
        <v>1.7639999999999845E-5</v>
      </c>
      <c r="E252" s="12">
        <f t="shared" si="23"/>
        <v>8.4640000000001778E-5</v>
      </c>
      <c r="F252" s="12">
        <f t="shared" si="24"/>
        <v>3.7780256897128415E-5</v>
      </c>
      <c r="G252" s="12">
        <f t="shared" si="25"/>
        <v>3.9394681394311437</v>
      </c>
      <c r="I252" s="12">
        <f t="shared" si="26"/>
        <v>6.1465646419059496E-3</v>
      </c>
      <c r="J252" s="12">
        <f t="shared" si="27"/>
        <v>5.4233926257759718E-3</v>
      </c>
    </row>
    <row r="253" spans="1:10">
      <c r="A253" s="15">
        <v>40520</v>
      </c>
      <c r="B253" s="11">
        <v>1.9140999999999999</v>
      </c>
      <c r="C253" s="11">
        <f t="shared" si="21"/>
        <v>2.7999999999999137E-3</v>
      </c>
      <c r="D253" s="12">
        <f t="shared" si="22"/>
        <v>7.8399999999995167E-6</v>
      </c>
      <c r="E253" s="12">
        <f t="shared" si="23"/>
        <v>1.7639999999999845E-5</v>
      </c>
      <c r="F253" s="12">
        <f t="shared" si="24"/>
        <v>3.6171099117440394E-5</v>
      </c>
      <c r="G253" s="12">
        <f t="shared" si="25"/>
        <v>4.086312706981615</v>
      </c>
      <c r="I253" s="12">
        <f t="shared" si="26"/>
        <v>6.0142413584292074E-3</v>
      </c>
      <c r="J253" s="12">
        <f t="shared" si="27"/>
        <v>5.4233926257759718E-3</v>
      </c>
    </row>
    <row r="254" spans="1:10">
      <c r="A254" s="15">
        <v>40521</v>
      </c>
      <c r="B254" s="11">
        <v>1.9115</v>
      </c>
      <c r="C254" s="11">
        <f t="shared" si="21"/>
        <v>-2.5999999999999357E-3</v>
      </c>
      <c r="D254" s="12">
        <f t="shared" si="22"/>
        <v>6.7599999999996659E-6</v>
      </c>
      <c r="E254" s="12">
        <f t="shared" si="23"/>
        <v>7.8399999999995167E-6</v>
      </c>
      <c r="F254" s="12">
        <f t="shared" si="24"/>
        <v>3.4155160846506681E-5</v>
      </c>
      <c r="G254" s="12">
        <f t="shared" si="25"/>
        <v>4.1243997349837107</v>
      </c>
      <c r="I254" s="12">
        <f t="shared" si="26"/>
        <v>5.8442416827597645E-3</v>
      </c>
      <c r="J254" s="12">
        <f t="shared" si="27"/>
        <v>5.4233926257759718E-3</v>
      </c>
    </row>
    <row r="255" spans="1:10">
      <c r="A255" s="15">
        <v>40522</v>
      </c>
      <c r="B255" s="11">
        <v>1.9125000000000001</v>
      </c>
      <c r="C255" s="11">
        <f t="shared" si="21"/>
        <v>1.0000000000001119E-3</v>
      </c>
      <c r="D255" s="12">
        <f t="shared" si="22"/>
        <v>1.0000000000002238E-6</v>
      </c>
      <c r="E255" s="12">
        <f t="shared" si="23"/>
        <v>6.7599999999996659E-6</v>
      </c>
      <c r="F255" s="12">
        <f t="shared" si="24"/>
        <v>3.2293258495409882E-5</v>
      </c>
      <c r="G255" s="12">
        <f t="shared" si="25"/>
        <v>4.2359043841023158</v>
      </c>
      <c r="I255" s="12">
        <f t="shared" si="26"/>
        <v>5.6827157676070583E-3</v>
      </c>
      <c r="J255" s="12">
        <f t="shared" si="27"/>
        <v>5.4233926257759718E-3</v>
      </c>
    </row>
    <row r="256" spans="1:10">
      <c r="A256" s="15">
        <v>40523</v>
      </c>
      <c r="B256" s="11">
        <v>1.9133</v>
      </c>
      <c r="C256" s="11">
        <f t="shared" si="21"/>
        <v>7.9999999999991189E-4</v>
      </c>
      <c r="D256" s="12">
        <f t="shared" si="22"/>
        <v>6.3999999999985898E-7</v>
      </c>
      <c r="E256" s="12">
        <f t="shared" si="23"/>
        <v>1.0000000000002238E-6</v>
      </c>
      <c r="F256" s="12">
        <f t="shared" si="24"/>
        <v>3.0291356240326333E-5</v>
      </c>
      <c r="G256" s="12">
        <f t="shared" si="25"/>
        <v>4.2728214690354038</v>
      </c>
      <c r="I256" s="12">
        <f t="shared" si="26"/>
        <v>5.5037583740864147E-3</v>
      </c>
      <c r="J256" s="12">
        <f t="shared" si="27"/>
        <v>5.4233926257759718E-3</v>
      </c>
    </row>
    <row r="257" spans="1:10">
      <c r="A257" s="15">
        <v>40524</v>
      </c>
      <c r="B257" s="11">
        <v>1.9135</v>
      </c>
      <c r="C257" s="11">
        <f t="shared" si="21"/>
        <v>1.9999999999997797E-4</v>
      </c>
      <c r="D257" s="12">
        <f t="shared" si="22"/>
        <v>3.9999999999991186E-8</v>
      </c>
      <c r="E257" s="12">
        <f t="shared" si="23"/>
        <v>6.3999999999985898E-7</v>
      </c>
      <c r="F257" s="12">
        <f t="shared" si="24"/>
        <v>2.8484644860836513E-5</v>
      </c>
      <c r="G257" s="12">
        <f t="shared" si="25"/>
        <v>4.313432023077544</v>
      </c>
      <c r="I257" s="12">
        <f t="shared" si="26"/>
        <v>5.3371007917067219E-3</v>
      </c>
      <c r="J257" s="12">
        <f t="shared" si="27"/>
        <v>5.4233926257759718E-3</v>
      </c>
    </row>
    <row r="258" spans="1:10">
      <c r="A258" s="15">
        <v>40525</v>
      </c>
      <c r="B258" s="11">
        <v>1.9194</v>
      </c>
      <c r="C258" s="11">
        <f t="shared" si="21"/>
        <v>5.9000000000000163E-3</v>
      </c>
      <c r="D258" s="12">
        <f t="shared" si="22"/>
        <v>3.481000000000019E-5</v>
      </c>
      <c r="E258" s="12">
        <f t="shared" si="23"/>
        <v>3.9999999999991186E-8</v>
      </c>
      <c r="F258" s="12">
        <f t="shared" si="24"/>
        <v>2.6837787980442866E-5</v>
      </c>
      <c r="G258" s="12">
        <f t="shared" si="25"/>
        <v>3.695385414061835</v>
      </c>
      <c r="I258" s="12">
        <f t="shared" si="26"/>
        <v>5.180520049226995E-3</v>
      </c>
      <c r="J258" s="12">
        <f t="shared" si="27"/>
        <v>5.4233926257759718E-3</v>
      </c>
    </row>
    <row r="259" spans="1:10">
      <c r="A259" s="15">
        <v>40526</v>
      </c>
      <c r="B259" s="11">
        <v>1.9188000000000001</v>
      </c>
      <c r="C259" s="11">
        <f t="shared" si="21"/>
        <v>-5.9999999999993392E-4</v>
      </c>
      <c r="D259" s="12">
        <f t="shared" si="22"/>
        <v>3.5999999999992069E-7</v>
      </c>
      <c r="E259" s="12">
        <f t="shared" si="23"/>
        <v>3.481000000000019E-5</v>
      </c>
      <c r="F259" s="12">
        <f t="shared" si="24"/>
        <v>2.7429811787536035E-5</v>
      </c>
      <c r="G259" s="12">
        <f t="shared" si="25"/>
        <v>4.3264393134579073</v>
      </c>
      <c r="I259" s="12">
        <f t="shared" si="26"/>
        <v>5.237347781801017E-3</v>
      </c>
      <c r="J259" s="12">
        <f t="shared" si="27"/>
        <v>5.4233926257759718E-3</v>
      </c>
    </row>
    <row r="260" spans="1:10">
      <c r="A260" s="15">
        <v>40527</v>
      </c>
      <c r="B260" s="11">
        <v>1.9141999999999999</v>
      </c>
      <c r="C260" s="11">
        <f t="shared" si="21"/>
        <v>-4.6000000000001595E-3</v>
      </c>
      <c r="D260" s="12">
        <f t="shared" si="22"/>
        <v>2.1160000000001468E-5</v>
      </c>
      <c r="E260" s="12">
        <f t="shared" si="23"/>
        <v>3.5999999999992069E-7</v>
      </c>
      <c r="F260" s="12">
        <f t="shared" si="24"/>
        <v>2.5916012360697149E-5</v>
      </c>
      <c r="G260" s="12">
        <f t="shared" si="25"/>
        <v>3.9531444126766688</v>
      </c>
      <c r="I260" s="12">
        <f t="shared" si="26"/>
        <v>5.0907771863142022E-3</v>
      </c>
      <c r="J260" s="12">
        <f t="shared" si="27"/>
        <v>5.4233926257759718E-3</v>
      </c>
    </row>
    <row r="261" spans="1:10">
      <c r="A261" s="15">
        <v>40528</v>
      </c>
      <c r="B261" s="11">
        <v>1.9153</v>
      </c>
      <c r="C261" s="11">
        <f t="shared" si="21"/>
        <v>1.1000000000001009E-3</v>
      </c>
      <c r="D261" s="12">
        <f t="shared" si="22"/>
        <v>1.210000000000222E-6</v>
      </c>
      <c r="E261" s="12">
        <f t="shared" si="23"/>
        <v>2.1160000000001468E-5</v>
      </c>
      <c r="F261" s="12">
        <f t="shared" si="24"/>
        <v>2.5798725280875379E-5</v>
      </c>
      <c r="G261" s="12">
        <f t="shared" si="25"/>
        <v>4.3402034258443818</v>
      </c>
      <c r="I261" s="12">
        <f t="shared" si="26"/>
        <v>5.0792445580888678E-3</v>
      </c>
      <c r="J261" s="12">
        <f t="shared" si="27"/>
        <v>5.4233926257759718E-3</v>
      </c>
    </row>
    <row r="262" spans="1:10">
      <c r="A262" s="15">
        <v>40529</v>
      </c>
      <c r="B262" s="11">
        <v>1.9153</v>
      </c>
      <c r="C262" s="11">
        <f t="shared" si="21"/>
        <v>0</v>
      </c>
      <c r="D262" s="12">
        <f t="shared" si="22"/>
        <v>0</v>
      </c>
      <c r="E262" s="12">
        <f t="shared" si="23"/>
        <v>1.210000000000222E-6</v>
      </c>
      <c r="F262" s="12">
        <f t="shared" si="24"/>
        <v>2.4511723507569414E-5</v>
      </c>
      <c r="G262" s="12">
        <f t="shared" si="25"/>
        <v>4.389240981584015</v>
      </c>
      <c r="I262" s="12">
        <f t="shared" si="26"/>
        <v>4.9509315797705601E-3</v>
      </c>
      <c r="J262" s="12">
        <f t="shared" si="27"/>
        <v>5.4233926257759718E-3</v>
      </c>
    </row>
    <row r="263" spans="1:10">
      <c r="A263" s="15">
        <v>40530</v>
      </c>
      <c r="B263" s="11">
        <v>1.9153</v>
      </c>
      <c r="C263" s="11">
        <f t="shared" si="21"/>
        <v>0</v>
      </c>
      <c r="D263" s="12">
        <f t="shared" si="22"/>
        <v>0</v>
      </c>
      <c r="E263" s="12">
        <f t="shared" si="23"/>
        <v>0</v>
      </c>
      <c r="F263" s="12">
        <f t="shared" si="24"/>
        <v>2.329221040526816E-5</v>
      </c>
      <c r="G263" s="12">
        <f t="shared" si="25"/>
        <v>4.4147572447387109</v>
      </c>
      <c r="I263" s="12">
        <f t="shared" si="26"/>
        <v>4.8262004108064306E-3</v>
      </c>
      <c r="J263" s="12">
        <f t="shared" si="27"/>
        <v>5.4233926257759718E-3</v>
      </c>
    </row>
    <row r="264" spans="1:10">
      <c r="A264" s="15">
        <v>40531</v>
      </c>
      <c r="B264" s="11">
        <v>1.9153</v>
      </c>
      <c r="C264" s="11">
        <f t="shared" si="21"/>
        <v>0</v>
      </c>
      <c r="D264" s="12">
        <f t="shared" si="22"/>
        <v>0</v>
      </c>
      <c r="E264" s="12">
        <f t="shared" si="23"/>
        <v>0</v>
      </c>
      <c r="F264" s="12">
        <f t="shared" si="24"/>
        <v>2.2204600863033651E-5</v>
      </c>
      <c r="G264" s="12">
        <f t="shared" si="25"/>
        <v>4.4386669816468869</v>
      </c>
      <c r="I264" s="12">
        <f t="shared" si="26"/>
        <v>4.7121758098604138E-3</v>
      </c>
      <c r="J264" s="12">
        <f t="shared" si="27"/>
        <v>5.4233926257759718E-3</v>
      </c>
    </row>
    <row r="265" spans="1:10">
      <c r="A265" s="15">
        <v>40532</v>
      </c>
      <c r="B265" s="11">
        <v>1.9120999999999999</v>
      </c>
      <c r="C265" s="11">
        <f t="shared" si="21"/>
        <v>-3.2000000000000917E-3</v>
      </c>
      <c r="D265" s="12">
        <f t="shared" si="22"/>
        <v>1.0240000000000586E-5</v>
      </c>
      <c r="E265" s="12">
        <f t="shared" si="23"/>
        <v>0</v>
      </c>
      <c r="F265" s="12">
        <f t="shared" si="24"/>
        <v>2.123462808116899E-5</v>
      </c>
      <c r="G265" s="12">
        <f t="shared" si="25"/>
        <v>4.2198845180630933</v>
      </c>
      <c r="I265" s="12">
        <f t="shared" si="26"/>
        <v>4.6081046083144631E-3</v>
      </c>
      <c r="J265" s="12">
        <f t="shared" si="27"/>
        <v>5.4233926257759718E-3</v>
      </c>
    </row>
    <row r="266" spans="1:10">
      <c r="A266" s="15">
        <v>40533</v>
      </c>
      <c r="B266" s="11">
        <v>1.9105000000000001</v>
      </c>
      <c r="C266" s="11">
        <f t="shared" si="21"/>
        <v>-1.5999999999998238E-3</v>
      </c>
      <c r="D266" s="12">
        <f t="shared" si="22"/>
        <v>2.5599999999994359E-6</v>
      </c>
      <c r="E266" s="12">
        <f t="shared" si="23"/>
        <v>1.0240000000000586E-5</v>
      </c>
      <c r="F266" s="12">
        <f t="shared" si="24"/>
        <v>2.097647472284181E-5</v>
      </c>
      <c r="G266" s="12">
        <f t="shared" si="25"/>
        <v>4.4060952196364882</v>
      </c>
      <c r="I266" s="12">
        <f t="shared" si="26"/>
        <v>4.5800081575082165E-3</v>
      </c>
      <c r="J266" s="12">
        <f t="shared" si="27"/>
        <v>5.4233926257759718E-3</v>
      </c>
    </row>
    <row r="267" spans="1:10">
      <c r="A267" s="15">
        <v>40534</v>
      </c>
      <c r="B267" s="11">
        <v>1.9098999999999999</v>
      </c>
      <c r="C267" s="11">
        <f t="shared" si="21"/>
        <v>-6.0000000000015596E-4</v>
      </c>
      <c r="D267" s="12">
        <f t="shared" si="22"/>
        <v>3.6000000000018714E-7</v>
      </c>
      <c r="E267" s="12">
        <f t="shared" si="23"/>
        <v>2.5599999999994359E-6</v>
      </c>
      <c r="F267" s="12">
        <f t="shared" si="24"/>
        <v>2.0291063682907278E-5</v>
      </c>
      <c r="G267" s="12">
        <f t="shared" si="25"/>
        <v>4.4748555500040412</v>
      </c>
      <c r="I267" s="12">
        <f t="shared" si="26"/>
        <v>4.5045603207091453E-3</v>
      </c>
      <c r="J267" s="12">
        <f t="shared" si="27"/>
        <v>5.4233926257759718E-3</v>
      </c>
    </row>
    <row r="268" spans="1:10">
      <c r="A268" s="15">
        <v>40535</v>
      </c>
      <c r="B268" s="11">
        <v>1.9049</v>
      </c>
      <c r="C268" s="11">
        <f t="shared" si="21"/>
        <v>-4.9999999999998934E-3</v>
      </c>
      <c r="D268" s="12">
        <f t="shared" si="22"/>
        <v>2.4999999999998934E-5</v>
      </c>
      <c r="E268" s="12">
        <f t="shared" si="23"/>
        <v>3.6000000000018714E-7</v>
      </c>
      <c r="F268" s="12">
        <f t="shared" si="24"/>
        <v>1.9549397239013339E-5</v>
      </c>
      <c r="G268" s="12">
        <f t="shared" si="25"/>
        <v>3.8629386080248196</v>
      </c>
      <c r="I268" s="12">
        <f t="shared" si="26"/>
        <v>4.4214700314503252E-3</v>
      </c>
      <c r="J268" s="12">
        <f t="shared" si="27"/>
        <v>5.4233926257759718E-3</v>
      </c>
    </row>
    <row r="269" spans="1:10">
      <c r="A269" s="15">
        <v>40536</v>
      </c>
      <c r="B269" s="11">
        <v>1.9074</v>
      </c>
      <c r="C269" s="11">
        <f t="shared" si="21"/>
        <v>2.4999999999999467E-3</v>
      </c>
      <c r="D269" s="12">
        <f t="shared" si="22"/>
        <v>6.2499999999997335E-6</v>
      </c>
      <c r="E269" s="12">
        <f t="shared" si="23"/>
        <v>2.4999999999998934E-5</v>
      </c>
      <c r="F269" s="12">
        <f t="shared" si="24"/>
        <v>2.0348318473730402E-5</v>
      </c>
      <c r="G269" s="12">
        <f t="shared" si="25"/>
        <v>4.3287422557587174</v>
      </c>
      <c r="I269" s="12">
        <f t="shared" si="26"/>
        <v>4.5109110469760318E-3</v>
      </c>
      <c r="J269" s="12">
        <f t="shared" si="27"/>
        <v>5.4233926257759718E-3</v>
      </c>
    </row>
    <row r="270" spans="1:10">
      <c r="A270" s="15">
        <v>40537</v>
      </c>
      <c r="B270" s="11">
        <v>1.9065000000000001</v>
      </c>
      <c r="C270" s="11">
        <f t="shared" ref="C270:C333" si="28">B270-B269</f>
        <v>-8.9999999999990088E-4</v>
      </c>
      <c r="D270" s="12">
        <f t="shared" ref="D270:D333" si="29">C270^2</f>
        <v>8.0999999999982157E-7</v>
      </c>
      <c r="E270" s="12">
        <f t="shared" si="23"/>
        <v>6.2499999999997335E-6</v>
      </c>
      <c r="F270" s="12">
        <f t="shared" si="24"/>
        <v>1.9949548993492554E-5</v>
      </c>
      <c r="G270" s="12">
        <f t="shared" si="25"/>
        <v>4.4719122594461531</v>
      </c>
      <c r="I270" s="12">
        <f t="shared" si="26"/>
        <v>4.4664917993311659E-3</v>
      </c>
      <c r="J270" s="12">
        <f t="shared" si="27"/>
        <v>5.4233926257759718E-3</v>
      </c>
    </row>
    <row r="271" spans="1:10">
      <c r="A271" s="15">
        <v>40538</v>
      </c>
      <c r="B271" s="11">
        <v>1.9065000000000001</v>
      </c>
      <c r="C271" s="11">
        <f t="shared" si="28"/>
        <v>0</v>
      </c>
      <c r="D271" s="12">
        <f t="shared" si="29"/>
        <v>0</v>
      </c>
      <c r="E271" s="12">
        <f t="shared" ref="E271:E334" si="30">D270</f>
        <v>8.0999999999982157E-7</v>
      </c>
      <c r="F271" s="12">
        <f t="shared" ref="F271:F334" si="31">$B$5+$B$6*E271+$B$7*F270</f>
        <v>1.9271491754244444E-5</v>
      </c>
      <c r="G271" s="12">
        <f t="shared" ref="G271:G334" si="32">LN((1/SQRT(2*3.1415927*F271))*EXP(-0.5*D271/F271))</f>
        <v>4.5095032920272482</v>
      </c>
      <c r="I271" s="12">
        <f t="shared" ref="I271:I334" si="33">SQRT(F271)</f>
        <v>4.3899307231714309E-3</v>
      </c>
      <c r="J271" s="12">
        <f t="shared" si="27"/>
        <v>5.4233926257759718E-3</v>
      </c>
    </row>
    <row r="272" spans="1:10">
      <c r="A272" s="15">
        <v>40539</v>
      </c>
      <c r="B272" s="11">
        <v>1.9097999999999999</v>
      </c>
      <c r="C272" s="11">
        <f t="shared" si="28"/>
        <v>3.2999999999998586E-3</v>
      </c>
      <c r="D272" s="12">
        <f t="shared" si="29"/>
        <v>1.0889999999999067E-5</v>
      </c>
      <c r="E272" s="12">
        <f t="shared" si="30"/>
        <v>0</v>
      </c>
      <c r="F272" s="12">
        <f t="shared" si="31"/>
        <v>1.861876651386453E-5</v>
      </c>
      <c r="G272" s="12">
        <f t="shared" si="32"/>
        <v>4.2342848556533301</v>
      </c>
      <c r="I272" s="12">
        <f t="shared" si="33"/>
        <v>4.3149468726584031E-3</v>
      </c>
      <c r="J272" s="12">
        <f t="shared" ref="J272:J335" si="34">J271</f>
        <v>5.4233926257759718E-3</v>
      </c>
    </row>
    <row r="273" spans="1:10">
      <c r="A273" s="15">
        <v>40540</v>
      </c>
      <c r="B273" s="11">
        <v>1.9088000000000001</v>
      </c>
      <c r="C273" s="11">
        <f t="shared" si="28"/>
        <v>-9.9999999999988987E-4</v>
      </c>
      <c r="D273" s="12">
        <f t="shared" si="29"/>
        <v>9.9999999999977973E-7</v>
      </c>
      <c r="E273" s="12">
        <f t="shared" si="30"/>
        <v>1.0889999999999067E-5</v>
      </c>
      <c r="F273" s="12">
        <f t="shared" si="31"/>
        <v>1.8682071265930594E-5</v>
      </c>
      <c r="G273" s="12">
        <f t="shared" si="32"/>
        <v>4.4982709566286605</v>
      </c>
      <c r="I273" s="12">
        <f t="shared" si="33"/>
        <v>4.3222761672445913E-3</v>
      </c>
      <c r="J273" s="12">
        <f t="shared" si="34"/>
        <v>5.4233926257759718E-3</v>
      </c>
    </row>
    <row r="274" spans="1:10">
      <c r="A274" s="15">
        <v>40541</v>
      </c>
      <c r="B274" s="11">
        <v>1.9137999999999999</v>
      </c>
      <c r="C274" s="11">
        <f t="shared" si="28"/>
        <v>4.9999999999998934E-3</v>
      </c>
      <c r="D274" s="12">
        <f t="shared" si="29"/>
        <v>2.4999999999998934E-5</v>
      </c>
      <c r="E274" s="12">
        <f t="shared" si="30"/>
        <v>9.9999999999977973E-7</v>
      </c>
      <c r="F274" s="12">
        <f t="shared" si="31"/>
        <v>1.8152366438587242E-5</v>
      </c>
      <c r="G274" s="12">
        <f t="shared" si="32"/>
        <v>3.850800820240051</v>
      </c>
      <c r="I274" s="12">
        <f t="shared" si="33"/>
        <v>4.2605594044194759E-3</v>
      </c>
      <c r="J274" s="12">
        <f t="shared" si="34"/>
        <v>5.4233926257759718E-3</v>
      </c>
    </row>
    <row r="275" spans="1:10">
      <c r="A275" s="15">
        <v>40542</v>
      </c>
      <c r="B275" s="11">
        <v>1.9165000000000001</v>
      </c>
      <c r="C275" s="11">
        <f t="shared" si="28"/>
        <v>2.7000000000001467E-3</v>
      </c>
      <c r="D275" s="12">
        <f t="shared" si="29"/>
        <v>7.2900000000007925E-6</v>
      </c>
      <c r="E275" s="12">
        <f t="shared" si="30"/>
        <v>2.4999999999998934E-5</v>
      </c>
      <c r="F275" s="12">
        <f t="shared" si="31"/>
        <v>1.9102391696501251E-5</v>
      </c>
      <c r="G275" s="12">
        <f t="shared" si="32"/>
        <v>4.3230961622427104</v>
      </c>
      <c r="I275" s="12">
        <f t="shared" si="33"/>
        <v>4.3706282953942964E-3</v>
      </c>
      <c r="J275" s="12">
        <f t="shared" si="34"/>
        <v>5.4233926257759718E-3</v>
      </c>
    </row>
    <row r="276" spans="1:10">
      <c r="A276" s="15">
        <v>40543</v>
      </c>
      <c r="B276" s="11">
        <v>1.927</v>
      </c>
      <c r="C276" s="11">
        <f t="shared" si="28"/>
        <v>1.0499999999999954E-2</v>
      </c>
      <c r="D276" s="12">
        <f t="shared" si="29"/>
        <v>1.1024999999999903E-4</v>
      </c>
      <c r="E276" s="12">
        <f t="shared" si="30"/>
        <v>7.2900000000007925E-6</v>
      </c>
      <c r="F276" s="12">
        <f t="shared" si="31"/>
        <v>1.8900021628128198E-5</v>
      </c>
      <c r="G276" s="12">
        <f t="shared" si="32"/>
        <v>1.6025718761895202</v>
      </c>
      <c r="I276" s="12">
        <f t="shared" si="33"/>
        <v>4.347415511327184E-3</v>
      </c>
      <c r="J276" s="12">
        <f t="shared" si="34"/>
        <v>5.4233926257759718E-3</v>
      </c>
    </row>
    <row r="277" spans="1:10">
      <c r="A277" s="15">
        <v>40546</v>
      </c>
      <c r="B277" s="11">
        <v>1.9216</v>
      </c>
      <c r="C277" s="11">
        <f t="shared" si="28"/>
        <v>-5.4000000000000714E-3</v>
      </c>
      <c r="D277" s="12">
        <f t="shared" si="29"/>
        <v>2.9160000000000771E-5</v>
      </c>
      <c r="E277" s="12">
        <f t="shared" si="30"/>
        <v>1.1024999999999903E-4</v>
      </c>
      <c r="F277" s="12">
        <f t="shared" si="31"/>
        <v>2.4821793805746719E-5</v>
      </c>
      <c r="G277" s="12">
        <f t="shared" si="32"/>
        <v>3.7955686731516511</v>
      </c>
      <c r="I277" s="12">
        <f t="shared" si="33"/>
        <v>4.9821475094327262E-3</v>
      </c>
      <c r="J277" s="12">
        <f t="shared" si="34"/>
        <v>5.4233926257759718E-3</v>
      </c>
    </row>
    <row r="278" spans="1:10">
      <c r="A278" s="15">
        <v>40547</v>
      </c>
      <c r="B278" s="11">
        <v>1.9177</v>
      </c>
      <c r="C278" s="11">
        <f t="shared" si="28"/>
        <v>-3.9000000000000146E-3</v>
      </c>
      <c r="D278" s="12">
        <f t="shared" si="29"/>
        <v>1.5210000000000114E-5</v>
      </c>
      <c r="E278" s="12">
        <f t="shared" si="30"/>
        <v>2.9160000000000771E-5</v>
      </c>
      <c r="F278" s="12">
        <f t="shared" si="31"/>
        <v>2.529700391159306E-5</v>
      </c>
      <c r="G278" s="12">
        <f t="shared" si="32"/>
        <v>4.0728452687214727</v>
      </c>
      <c r="I278" s="12">
        <f t="shared" si="33"/>
        <v>5.029612699959417E-3</v>
      </c>
      <c r="J278" s="12">
        <f t="shared" si="34"/>
        <v>5.4233926257759718E-3</v>
      </c>
    </row>
    <row r="279" spans="1:10">
      <c r="A279" s="15">
        <v>40548</v>
      </c>
      <c r="B279" s="11">
        <v>1.9092</v>
      </c>
      <c r="C279" s="11">
        <f t="shared" si="28"/>
        <v>-8.499999999999952E-3</v>
      </c>
      <c r="D279" s="12">
        <f t="shared" si="29"/>
        <v>7.2249999999999181E-5</v>
      </c>
      <c r="E279" s="12">
        <f t="shared" si="30"/>
        <v>1.5210000000000114E-5</v>
      </c>
      <c r="F279" s="12">
        <f t="shared" si="31"/>
        <v>2.4894023523074042E-5</v>
      </c>
      <c r="G279" s="12">
        <f t="shared" si="32"/>
        <v>2.9303513436268256</v>
      </c>
      <c r="I279" s="12">
        <f t="shared" si="33"/>
        <v>4.9893910974260214E-3</v>
      </c>
      <c r="J279" s="12">
        <f t="shared" si="34"/>
        <v>5.4233926257759718E-3</v>
      </c>
    </row>
    <row r="280" spans="1:10">
      <c r="A280" s="15">
        <v>40549</v>
      </c>
      <c r="B280" s="11">
        <v>1.9039999999999999</v>
      </c>
      <c r="C280" s="11">
        <f t="shared" si="28"/>
        <v>-5.2000000000000934E-3</v>
      </c>
      <c r="D280" s="12">
        <f t="shared" si="29"/>
        <v>2.7040000000000971E-5</v>
      </c>
      <c r="E280" s="12">
        <f t="shared" si="30"/>
        <v>7.2249999999999181E-5</v>
      </c>
      <c r="F280" s="12">
        <f t="shared" si="31"/>
        <v>2.7915287880532776E-5</v>
      </c>
      <c r="G280" s="12">
        <f t="shared" si="32"/>
        <v>3.839907064824823</v>
      </c>
      <c r="I280" s="12">
        <f t="shared" si="33"/>
        <v>5.2834920157536699E-3</v>
      </c>
      <c r="J280" s="12">
        <f t="shared" si="34"/>
        <v>5.4233926257759718E-3</v>
      </c>
    </row>
    <row r="281" spans="1:10">
      <c r="A281" s="15">
        <v>40550</v>
      </c>
      <c r="B281" s="11">
        <v>1.8983000000000001</v>
      </c>
      <c r="C281" s="11">
        <f t="shared" si="28"/>
        <v>-5.6999999999998163E-3</v>
      </c>
      <c r="D281" s="12">
        <f t="shared" si="29"/>
        <v>3.2489999999997908E-5</v>
      </c>
      <c r="E281" s="12">
        <f t="shared" si="30"/>
        <v>2.7040000000000971E-5</v>
      </c>
      <c r="F281" s="12">
        <f t="shared" si="31"/>
        <v>2.7930254491373086E-5</v>
      </c>
      <c r="G281" s="12">
        <f t="shared" si="32"/>
        <v>3.7423341391406857</v>
      </c>
      <c r="I281" s="12">
        <f t="shared" si="33"/>
        <v>5.2849081819245532E-3</v>
      </c>
      <c r="J281" s="12">
        <f t="shared" si="34"/>
        <v>5.4233926257759718E-3</v>
      </c>
    </row>
    <row r="282" spans="1:10">
      <c r="A282" s="15">
        <v>40551</v>
      </c>
      <c r="B282" s="11">
        <v>1.8982000000000001</v>
      </c>
      <c r="C282" s="11">
        <f t="shared" si="28"/>
        <v>-9.9999999999988987E-5</v>
      </c>
      <c r="D282" s="12">
        <f t="shared" si="29"/>
        <v>9.9999999999977966E-9</v>
      </c>
      <c r="E282" s="12">
        <f t="shared" si="30"/>
        <v>3.2489999999997908E-5</v>
      </c>
      <c r="F282" s="12">
        <f t="shared" si="31"/>
        <v>2.8266613983495732E-5</v>
      </c>
      <c r="G282" s="12">
        <f t="shared" si="32"/>
        <v>4.3177991561006239</v>
      </c>
      <c r="I282" s="12">
        <f t="shared" si="33"/>
        <v>5.3166355887436685E-3</v>
      </c>
      <c r="J282" s="12">
        <f t="shared" si="34"/>
        <v>5.4233926257759718E-3</v>
      </c>
    </row>
    <row r="283" spans="1:10">
      <c r="A283" s="15">
        <v>40552</v>
      </c>
      <c r="B283" s="11">
        <v>1.8982000000000001</v>
      </c>
      <c r="C283" s="11">
        <f t="shared" si="28"/>
        <v>0</v>
      </c>
      <c r="D283" s="12">
        <f t="shared" si="29"/>
        <v>0</v>
      </c>
      <c r="E283" s="12">
        <f t="shared" si="30"/>
        <v>9.9999999999977966E-9</v>
      </c>
      <c r="F283" s="12">
        <f t="shared" si="31"/>
        <v>2.6641561459720013E-5</v>
      </c>
      <c r="G283" s="12">
        <f t="shared" si="32"/>
        <v>4.3475805097373774</v>
      </c>
      <c r="I283" s="12">
        <f t="shared" si="33"/>
        <v>5.1615464213469993E-3</v>
      </c>
      <c r="J283" s="12">
        <f t="shared" si="34"/>
        <v>5.4233926257759718E-3</v>
      </c>
    </row>
    <row r="284" spans="1:10">
      <c r="A284" s="15">
        <v>40553</v>
      </c>
      <c r="B284" s="11">
        <v>1.9013</v>
      </c>
      <c r="C284" s="11">
        <f t="shared" si="28"/>
        <v>3.0999999999998806E-3</v>
      </c>
      <c r="D284" s="12">
        <f t="shared" si="29"/>
        <v>9.6099999999992592E-6</v>
      </c>
      <c r="E284" s="12">
        <f t="shared" si="30"/>
        <v>0</v>
      </c>
      <c r="F284" s="12">
        <f t="shared" si="31"/>
        <v>2.5191683298016106E-5</v>
      </c>
      <c r="G284" s="12">
        <f t="shared" si="32"/>
        <v>4.1848222304162128</v>
      </c>
      <c r="I284" s="12">
        <f t="shared" si="33"/>
        <v>5.0191317275018899E-3</v>
      </c>
      <c r="J284" s="12">
        <f t="shared" si="34"/>
        <v>5.4233926257759718E-3</v>
      </c>
    </row>
    <row r="285" spans="1:10">
      <c r="A285" s="15">
        <v>40554</v>
      </c>
      <c r="B285" s="11">
        <v>1.9020999999999999</v>
      </c>
      <c r="C285" s="11">
        <f t="shared" si="28"/>
        <v>7.9999999999991189E-4</v>
      </c>
      <c r="D285" s="12">
        <f t="shared" si="29"/>
        <v>6.3999999999985898E-7</v>
      </c>
      <c r="E285" s="12">
        <f t="shared" si="30"/>
        <v>9.6099999999992592E-6</v>
      </c>
      <c r="F285" s="12">
        <f t="shared" si="31"/>
        <v>2.4468192563146411E-5</v>
      </c>
      <c r="G285" s="12">
        <f t="shared" si="32"/>
        <v>4.3770515292827836</v>
      </c>
      <c r="I285" s="12">
        <f t="shared" si="33"/>
        <v>4.9465333884596806E-3</v>
      </c>
      <c r="J285" s="12">
        <f t="shared" si="34"/>
        <v>5.4233926257759718E-3</v>
      </c>
    </row>
    <row r="286" spans="1:10">
      <c r="A286" s="15">
        <v>40555</v>
      </c>
      <c r="B286" s="11">
        <v>1.9096</v>
      </c>
      <c r="C286" s="11">
        <f t="shared" si="28"/>
        <v>7.5000000000000622E-3</v>
      </c>
      <c r="D286" s="12">
        <f t="shared" si="29"/>
        <v>5.6250000000000934E-5</v>
      </c>
      <c r="E286" s="12">
        <f t="shared" si="30"/>
        <v>6.3999999999985898E-7</v>
      </c>
      <c r="F286" s="12">
        <f t="shared" si="31"/>
        <v>2.3291319451422635E-5</v>
      </c>
      <c r="G286" s="12">
        <f t="shared" si="32"/>
        <v>3.207244952862951</v>
      </c>
      <c r="I286" s="12">
        <f t="shared" si="33"/>
        <v>4.8261081060646206E-3</v>
      </c>
      <c r="J286" s="12">
        <f t="shared" si="34"/>
        <v>5.4233926257759718E-3</v>
      </c>
    </row>
    <row r="287" spans="1:10">
      <c r="A287" s="15">
        <v>40556</v>
      </c>
      <c r="B287" s="11">
        <v>1.9198</v>
      </c>
      <c r="C287" s="11">
        <f t="shared" si="28"/>
        <v>1.0199999999999987E-2</v>
      </c>
      <c r="D287" s="12">
        <f t="shared" si="29"/>
        <v>1.0403999999999973E-4</v>
      </c>
      <c r="E287" s="12">
        <f t="shared" si="30"/>
        <v>5.6250000000000934E-5</v>
      </c>
      <c r="F287" s="12">
        <f t="shared" si="31"/>
        <v>2.5537642447733223E-5</v>
      </c>
      <c r="G287" s="12">
        <f t="shared" si="32"/>
        <v>2.3317469263612254</v>
      </c>
      <c r="I287" s="12">
        <f t="shared" si="33"/>
        <v>5.0534782524250784E-3</v>
      </c>
      <c r="J287" s="12">
        <f t="shared" si="34"/>
        <v>5.4233926257759718E-3</v>
      </c>
    </row>
    <row r="288" spans="1:10">
      <c r="A288" s="15">
        <v>40557</v>
      </c>
      <c r="B288" s="11">
        <v>1.9245000000000001</v>
      </c>
      <c r="C288" s="11">
        <f t="shared" si="28"/>
        <v>4.7000000000001485E-3</v>
      </c>
      <c r="D288" s="12">
        <f t="shared" si="29"/>
        <v>2.2090000000001396E-5</v>
      </c>
      <c r="E288" s="12">
        <f t="shared" si="30"/>
        <v>1.0403999999999973E-4</v>
      </c>
      <c r="F288" s="12">
        <f t="shared" si="31"/>
        <v>3.0373428476484056E-5</v>
      </c>
      <c r="G288" s="12">
        <f t="shared" si="32"/>
        <v>3.9183924439537337</v>
      </c>
      <c r="I288" s="12">
        <f t="shared" si="33"/>
        <v>5.5112093479094092E-3</v>
      </c>
      <c r="J288" s="12">
        <f t="shared" si="34"/>
        <v>5.4233926257759718E-3</v>
      </c>
    </row>
    <row r="289" spans="1:10">
      <c r="A289" s="15">
        <v>40558</v>
      </c>
      <c r="B289" s="11">
        <v>1.9215</v>
      </c>
      <c r="C289" s="11">
        <f t="shared" si="28"/>
        <v>-3.0000000000001137E-3</v>
      </c>
      <c r="D289" s="12">
        <f t="shared" si="29"/>
        <v>9.0000000000006829E-6</v>
      </c>
      <c r="E289" s="12">
        <f t="shared" si="30"/>
        <v>2.2090000000001396E-5</v>
      </c>
      <c r="F289" s="12">
        <f t="shared" si="31"/>
        <v>2.9829142955433327E-5</v>
      </c>
      <c r="G289" s="12">
        <f t="shared" si="32"/>
        <v>4.1402146263687483</v>
      </c>
      <c r="I289" s="12">
        <f t="shared" si="33"/>
        <v>5.4616062614796139E-3</v>
      </c>
      <c r="J289" s="12">
        <f t="shared" si="34"/>
        <v>5.4233926257759718E-3</v>
      </c>
    </row>
    <row r="290" spans="1:10">
      <c r="A290" s="15">
        <v>40560</v>
      </c>
      <c r="B290" s="11">
        <v>1.92</v>
      </c>
      <c r="C290" s="11">
        <f t="shared" si="28"/>
        <v>-1.5000000000000568E-3</v>
      </c>
      <c r="D290" s="12">
        <f t="shared" si="29"/>
        <v>2.2500000000001707E-6</v>
      </c>
      <c r="E290" s="12">
        <f t="shared" si="30"/>
        <v>9.0000000000006829E-6</v>
      </c>
      <c r="F290" s="12">
        <f t="shared" si="31"/>
        <v>2.8567907092981528E-5</v>
      </c>
      <c r="G290" s="12">
        <f t="shared" si="32"/>
        <v>4.2732949056798653</v>
      </c>
      <c r="I290" s="12">
        <f t="shared" si="33"/>
        <v>5.3448954239518594E-3</v>
      </c>
      <c r="J290" s="12">
        <f t="shared" si="34"/>
        <v>5.4233926257759718E-3</v>
      </c>
    </row>
    <row r="291" spans="1:10">
      <c r="A291" s="15">
        <v>40561</v>
      </c>
      <c r="B291" s="11">
        <v>1.9216</v>
      </c>
      <c r="C291" s="11">
        <f t="shared" si="28"/>
        <v>1.6000000000000458E-3</v>
      </c>
      <c r="D291" s="12">
        <f t="shared" si="29"/>
        <v>2.5600000000001466E-6</v>
      </c>
      <c r="E291" s="12">
        <f t="shared" si="30"/>
        <v>2.2500000000001707E-6</v>
      </c>
      <c r="F291" s="12">
        <f t="shared" si="31"/>
        <v>2.7043027218663611E-5</v>
      </c>
      <c r="G291" s="12">
        <f t="shared" si="32"/>
        <v>4.2927701601276054</v>
      </c>
      <c r="I291" s="12">
        <f t="shared" si="33"/>
        <v>5.2002910705713015E-3</v>
      </c>
      <c r="J291" s="12">
        <f t="shared" si="34"/>
        <v>5.4233926257759718E-3</v>
      </c>
    </row>
    <row r="292" spans="1:10">
      <c r="A292" s="15">
        <v>40562</v>
      </c>
      <c r="B292" s="11">
        <v>1.9254</v>
      </c>
      <c r="C292" s="11">
        <f t="shared" si="28"/>
        <v>3.8000000000000256E-3</v>
      </c>
      <c r="D292" s="12">
        <f t="shared" si="29"/>
        <v>1.4440000000000194E-5</v>
      </c>
      <c r="E292" s="12">
        <f t="shared" si="30"/>
        <v>2.5600000000001466E-6</v>
      </c>
      <c r="F292" s="12">
        <f t="shared" si="31"/>
        <v>2.5701452772185375E-5</v>
      </c>
      <c r="G292" s="12">
        <f t="shared" si="32"/>
        <v>4.0846250068083121</v>
      </c>
      <c r="I292" s="12">
        <f t="shared" si="33"/>
        <v>5.0696600253059745E-3</v>
      </c>
      <c r="J292" s="12">
        <f t="shared" si="34"/>
        <v>5.4233926257759718E-3</v>
      </c>
    </row>
    <row r="293" spans="1:10">
      <c r="A293" s="15">
        <v>40563</v>
      </c>
      <c r="B293" s="11">
        <v>1.9251</v>
      </c>
      <c r="C293" s="11">
        <f t="shared" si="28"/>
        <v>-2.9999999999996696E-4</v>
      </c>
      <c r="D293" s="12">
        <f t="shared" si="29"/>
        <v>8.9999999999980173E-8</v>
      </c>
      <c r="E293" s="12">
        <f t="shared" si="30"/>
        <v>1.4440000000000194E-5</v>
      </c>
      <c r="F293" s="12">
        <f t="shared" si="31"/>
        <v>2.5209090342719486E-5</v>
      </c>
      <c r="G293" s="12">
        <f t="shared" si="32"/>
        <v>4.3734293393517891</v>
      </c>
      <c r="I293" s="12">
        <f t="shared" si="33"/>
        <v>5.0208654973738828E-3</v>
      </c>
      <c r="J293" s="12">
        <f t="shared" si="34"/>
        <v>5.4233926257759718E-3</v>
      </c>
    </row>
    <row r="294" spans="1:10">
      <c r="A294" s="15">
        <v>40564</v>
      </c>
      <c r="B294" s="11">
        <v>1.929</v>
      </c>
      <c r="C294" s="11">
        <f t="shared" si="28"/>
        <v>3.9000000000000146E-3</v>
      </c>
      <c r="D294" s="12">
        <f t="shared" si="29"/>
        <v>1.5210000000000114E-5</v>
      </c>
      <c r="E294" s="12">
        <f t="shared" si="30"/>
        <v>8.9999999999980173E-8</v>
      </c>
      <c r="F294" s="12">
        <f t="shared" si="31"/>
        <v>2.391948359645595E-5</v>
      </c>
      <c r="G294" s="12">
        <f t="shared" si="32"/>
        <v>4.0835284217748367</v>
      </c>
      <c r="I294" s="12">
        <f t="shared" si="33"/>
        <v>4.8907549106917995E-3</v>
      </c>
      <c r="J294" s="12">
        <f t="shared" si="34"/>
        <v>5.4233926257759718E-3</v>
      </c>
    </row>
    <row r="295" spans="1:10">
      <c r="A295" s="15">
        <v>40565</v>
      </c>
      <c r="B295" s="11">
        <v>1.929</v>
      </c>
      <c r="C295" s="11">
        <f t="shared" si="28"/>
        <v>0</v>
      </c>
      <c r="D295" s="12">
        <f t="shared" si="29"/>
        <v>0</v>
      </c>
      <c r="E295" s="12">
        <f t="shared" si="30"/>
        <v>1.5210000000000114E-5</v>
      </c>
      <c r="F295" s="12">
        <f t="shared" si="31"/>
        <v>2.3665496960679715E-5</v>
      </c>
      <c r="G295" s="12">
        <f t="shared" si="32"/>
        <v>4.4068076569134718</v>
      </c>
      <c r="I295" s="12">
        <f t="shared" si="33"/>
        <v>4.8647196178895772E-3</v>
      </c>
      <c r="J295" s="12">
        <f t="shared" si="34"/>
        <v>5.4233926257759718E-3</v>
      </c>
    </row>
    <row r="296" spans="1:10">
      <c r="A296" s="15">
        <v>40566</v>
      </c>
      <c r="B296" s="11">
        <v>1.929</v>
      </c>
      <c r="C296" s="11">
        <f t="shared" si="28"/>
        <v>0</v>
      </c>
      <c r="D296" s="12">
        <f t="shared" si="29"/>
        <v>0</v>
      </c>
      <c r="E296" s="12">
        <f t="shared" si="30"/>
        <v>0</v>
      </c>
      <c r="F296" s="12">
        <f t="shared" si="31"/>
        <v>2.2537512431500889E-5</v>
      </c>
      <c r="G296" s="12">
        <f t="shared" si="32"/>
        <v>4.4312261683304932</v>
      </c>
      <c r="I296" s="12">
        <f t="shared" si="33"/>
        <v>4.747369000983691E-3</v>
      </c>
      <c r="J296" s="12">
        <f t="shared" si="34"/>
        <v>5.4233926257759718E-3</v>
      </c>
    </row>
    <row r="297" spans="1:10">
      <c r="A297" s="15">
        <v>40567</v>
      </c>
      <c r="B297" s="11">
        <v>1.9321999999999999</v>
      </c>
      <c r="C297" s="11">
        <f t="shared" si="28"/>
        <v>3.1999999999998696E-3</v>
      </c>
      <c r="D297" s="12">
        <f t="shared" si="29"/>
        <v>1.0239999999999165E-5</v>
      </c>
      <c r="E297" s="12">
        <f t="shared" si="30"/>
        <v>0</v>
      </c>
      <c r="F297" s="12">
        <f t="shared" si="31"/>
        <v>2.1531531655146158E-5</v>
      </c>
      <c r="G297" s="12">
        <f t="shared" si="32"/>
        <v>4.2162667201000108</v>
      </c>
      <c r="I297" s="12">
        <f t="shared" si="33"/>
        <v>4.6402081478254999E-3</v>
      </c>
      <c r="J297" s="12">
        <f t="shared" si="34"/>
        <v>5.4233926257759718E-3</v>
      </c>
    </row>
    <row r="298" spans="1:10">
      <c r="A298" s="15">
        <v>40568</v>
      </c>
      <c r="B298" s="11">
        <v>1.9369000000000001</v>
      </c>
      <c r="C298" s="11">
        <f t="shared" si="28"/>
        <v>4.7000000000001485E-3</v>
      </c>
      <c r="D298" s="12">
        <f t="shared" si="29"/>
        <v>2.2090000000001396E-5</v>
      </c>
      <c r="E298" s="12">
        <f t="shared" si="30"/>
        <v>1.0239999999999165E-5</v>
      </c>
      <c r="F298" s="12">
        <f t="shared" si="31"/>
        <v>2.1241264957216204E-5</v>
      </c>
      <c r="G298" s="12">
        <f t="shared" si="32"/>
        <v>3.9408654147199593</v>
      </c>
      <c r="I298" s="12">
        <f t="shared" si="33"/>
        <v>4.6088246828466153E-3</v>
      </c>
      <c r="J298" s="12">
        <f t="shared" si="34"/>
        <v>5.4233926257759718E-3</v>
      </c>
    </row>
    <row r="299" spans="1:10">
      <c r="A299" s="15">
        <v>40569</v>
      </c>
      <c r="B299" s="11">
        <v>1.9383999999999999</v>
      </c>
      <c r="C299" s="11">
        <f t="shared" si="28"/>
        <v>1.4999999999998348E-3</v>
      </c>
      <c r="D299" s="12">
        <f t="shared" si="29"/>
        <v>2.2499999999995045E-6</v>
      </c>
      <c r="E299" s="12">
        <f t="shared" si="30"/>
        <v>2.2090000000001396E-5</v>
      </c>
      <c r="F299" s="12">
        <f t="shared" si="31"/>
        <v>2.1684721902425233E-5</v>
      </c>
      <c r="G299" s="12">
        <f t="shared" si="32"/>
        <v>4.3986329175140595</v>
      </c>
      <c r="I299" s="12">
        <f t="shared" si="33"/>
        <v>4.6566857208131659E-3</v>
      </c>
      <c r="J299" s="12">
        <f t="shared" si="34"/>
        <v>5.4233926257759718E-3</v>
      </c>
    </row>
    <row r="300" spans="1:10">
      <c r="A300" s="15">
        <v>40570</v>
      </c>
      <c r="B300" s="11">
        <v>1.9397</v>
      </c>
      <c r="C300" s="11">
        <f t="shared" si="28"/>
        <v>1.3000000000000789E-3</v>
      </c>
      <c r="D300" s="12">
        <f t="shared" si="29"/>
        <v>1.6900000000002051E-6</v>
      </c>
      <c r="E300" s="12">
        <f t="shared" si="30"/>
        <v>2.2499999999995045E-6</v>
      </c>
      <c r="F300" s="12">
        <f t="shared" si="31"/>
        <v>2.0904333111901166E-5</v>
      </c>
      <c r="G300" s="12">
        <f t="shared" si="32"/>
        <v>4.4284162652552039</v>
      </c>
      <c r="I300" s="12">
        <f t="shared" si="33"/>
        <v>4.5721256666785923E-3</v>
      </c>
      <c r="J300" s="12">
        <f t="shared" si="34"/>
        <v>5.4233926257759718E-3</v>
      </c>
    </row>
    <row r="301" spans="1:10">
      <c r="A301" s="15">
        <v>40571</v>
      </c>
      <c r="B301" s="11">
        <v>1.9359</v>
      </c>
      <c r="C301" s="11">
        <f t="shared" si="28"/>
        <v>-3.8000000000000256E-3</v>
      </c>
      <c r="D301" s="12">
        <f t="shared" si="29"/>
        <v>1.4440000000000194E-5</v>
      </c>
      <c r="E301" s="12">
        <f t="shared" si="30"/>
        <v>1.6900000000002051E-6</v>
      </c>
      <c r="F301" s="12">
        <f t="shared" si="31"/>
        <v>2.0175161636320907E-5</v>
      </c>
      <c r="G301" s="12">
        <f t="shared" si="32"/>
        <v>4.1287248432719839</v>
      </c>
      <c r="I301" s="12">
        <f t="shared" si="33"/>
        <v>4.4916769292014875E-3</v>
      </c>
      <c r="J301" s="12">
        <f t="shared" si="34"/>
        <v>5.4233926257759718E-3</v>
      </c>
    </row>
    <row r="302" spans="1:10">
      <c r="A302" s="15">
        <v>40572</v>
      </c>
      <c r="B302" s="11">
        <v>1.9297</v>
      </c>
      <c r="C302" s="11">
        <f t="shared" si="28"/>
        <v>-6.1999999999999833E-3</v>
      </c>
      <c r="D302" s="12">
        <f t="shared" si="29"/>
        <v>3.8439999999999795E-5</v>
      </c>
      <c r="E302" s="12">
        <f t="shared" si="30"/>
        <v>1.4440000000000194E-5</v>
      </c>
      <c r="F302" s="12">
        <f t="shared" si="31"/>
        <v>2.0280527491537096E-5</v>
      </c>
      <c r="G302" s="12">
        <f t="shared" si="32"/>
        <v>3.5362790388293219</v>
      </c>
      <c r="I302" s="12">
        <f t="shared" si="33"/>
        <v>4.5033906661022752E-3</v>
      </c>
      <c r="J302" s="12">
        <f t="shared" si="34"/>
        <v>5.4233926257759718E-3</v>
      </c>
    </row>
    <row r="303" spans="1:10">
      <c r="A303" s="15">
        <v>40574</v>
      </c>
      <c r="B303" s="11">
        <v>1.9437</v>
      </c>
      <c r="C303" s="11">
        <f t="shared" si="28"/>
        <v>1.4000000000000012E-2</v>
      </c>
      <c r="D303" s="12">
        <f t="shared" si="29"/>
        <v>1.9600000000000035E-4</v>
      </c>
      <c r="E303" s="12">
        <f t="shared" si="30"/>
        <v>3.8439999999999795E-5</v>
      </c>
      <c r="F303" s="12">
        <f t="shared" si="31"/>
        <v>2.1796933654290734E-5</v>
      </c>
      <c r="G303" s="12">
        <f t="shared" si="32"/>
        <v>-4.8113161569173987E-2</v>
      </c>
      <c r="I303" s="12">
        <f t="shared" si="33"/>
        <v>4.6687186308762207E-3</v>
      </c>
      <c r="J303" s="12">
        <f t="shared" si="34"/>
        <v>5.4233926257759718E-3</v>
      </c>
    </row>
    <row r="304" spans="1:10">
      <c r="A304" s="15">
        <v>40575</v>
      </c>
      <c r="B304" s="11">
        <v>1.9442999999999999</v>
      </c>
      <c r="C304" s="11">
        <f t="shared" si="28"/>
        <v>5.9999999999993392E-4</v>
      </c>
      <c r="D304" s="12">
        <f t="shared" si="29"/>
        <v>3.5999999999992069E-7</v>
      </c>
      <c r="E304" s="12">
        <f t="shared" si="30"/>
        <v>1.9600000000000035E-4</v>
      </c>
      <c r="F304" s="12">
        <f t="shared" si="31"/>
        <v>3.2487621428687049E-5</v>
      </c>
      <c r="G304" s="12">
        <f t="shared" si="32"/>
        <v>4.2428465977317353</v>
      </c>
      <c r="I304" s="12">
        <f t="shared" si="33"/>
        <v>5.6997913495747407E-3</v>
      </c>
      <c r="J304" s="12">
        <f t="shared" si="34"/>
        <v>5.4233926257759718E-3</v>
      </c>
    </row>
    <row r="305" spans="1:10">
      <c r="A305" s="15">
        <v>40576</v>
      </c>
      <c r="B305" s="11">
        <v>1.944</v>
      </c>
      <c r="C305" s="11">
        <f t="shared" si="28"/>
        <v>-2.9999999999996696E-4</v>
      </c>
      <c r="D305" s="12">
        <f t="shared" si="29"/>
        <v>8.9999999999980173E-8</v>
      </c>
      <c r="E305" s="12">
        <f t="shared" si="30"/>
        <v>3.5999999999992069E-7</v>
      </c>
      <c r="F305" s="12">
        <f t="shared" si="31"/>
        <v>3.0426765068594367E-5</v>
      </c>
      <c r="G305" s="12">
        <f t="shared" si="32"/>
        <v>4.2796764518801087</v>
      </c>
      <c r="I305" s="12">
        <f t="shared" si="33"/>
        <v>5.5160461445309143E-3</v>
      </c>
      <c r="J305" s="12">
        <f t="shared" si="34"/>
        <v>5.4233926257759718E-3</v>
      </c>
    </row>
    <row r="306" spans="1:10">
      <c r="A306" s="15">
        <v>40577</v>
      </c>
      <c r="B306" s="11">
        <v>1.9361999999999999</v>
      </c>
      <c r="C306" s="11">
        <f t="shared" si="28"/>
        <v>-7.8000000000000291E-3</v>
      </c>
      <c r="D306" s="12">
        <f t="shared" si="29"/>
        <v>6.0840000000000454E-5</v>
      </c>
      <c r="E306" s="12">
        <f t="shared" si="30"/>
        <v>8.9999999999980173E-8</v>
      </c>
      <c r="F306" s="12">
        <f t="shared" si="31"/>
        <v>2.8572810247419218E-5</v>
      </c>
      <c r="G306" s="12">
        <f t="shared" si="32"/>
        <v>3.2479404358746748</v>
      </c>
      <c r="I306" s="12">
        <f t="shared" si="33"/>
        <v>5.3453540806404224E-3</v>
      </c>
      <c r="J306" s="12">
        <f t="shared" si="34"/>
        <v>5.4233926257759718E-3</v>
      </c>
    </row>
    <row r="307" spans="1:10">
      <c r="A307" s="15">
        <v>40578</v>
      </c>
      <c r="B307" s="11">
        <v>1.9287000000000001</v>
      </c>
      <c r="C307" s="11">
        <f t="shared" si="28"/>
        <v>-7.4999999999998401E-3</v>
      </c>
      <c r="D307" s="12">
        <f t="shared" si="29"/>
        <v>5.62499999999976E-5</v>
      </c>
      <c r="E307" s="12">
        <f t="shared" si="30"/>
        <v>6.0840000000000454E-5</v>
      </c>
      <c r="F307" s="12">
        <f t="shared" si="31"/>
        <v>3.0519923800799133E-5</v>
      </c>
      <c r="G307" s="12">
        <f t="shared" si="32"/>
        <v>3.3580977151260085</v>
      </c>
      <c r="I307" s="12">
        <f t="shared" si="33"/>
        <v>5.524484030278224E-3</v>
      </c>
      <c r="J307" s="12">
        <f t="shared" si="34"/>
        <v>5.4233926257759718E-3</v>
      </c>
    </row>
    <row r="308" spans="1:10">
      <c r="A308" s="15">
        <v>40579</v>
      </c>
      <c r="B308" s="11">
        <v>1.9239999999999999</v>
      </c>
      <c r="C308" s="11">
        <f t="shared" si="28"/>
        <v>-4.7000000000001485E-3</v>
      </c>
      <c r="D308" s="12">
        <f t="shared" si="29"/>
        <v>2.2090000000001396E-5</v>
      </c>
      <c r="E308" s="12">
        <f t="shared" si="30"/>
        <v>5.62499999999976E-5</v>
      </c>
      <c r="F308" s="12">
        <f t="shared" si="31"/>
        <v>3.1984394887361679E-5</v>
      </c>
      <c r="G308" s="12">
        <f t="shared" si="32"/>
        <v>3.9108680254086532</v>
      </c>
      <c r="I308" s="12">
        <f t="shared" si="33"/>
        <v>5.6554747711718848E-3</v>
      </c>
      <c r="J308" s="12">
        <f t="shared" si="34"/>
        <v>5.4233926257759718E-3</v>
      </c>
    </row>
    <row r="309" spans="1:10">
      <c r="A309" s="15">
        <v>40580</v>
      </c>
      <c r="B309" s="11">
        <v>1.9239999999999999</v>
      </c>
      <c r="C309" s="11">
        <f t="shared" si="28"/>
        <v>0</v>
      </c>
      <c r="D309" s="12">
        <f t="shared" si="29"/>
        <v>0</v>
      </c>
      <c r="E309" s="12">
        <f t="shared" si="30"/>
        <v>2.2090000000001396E-5</v>
      </c>
      <c r="F309" s="12">
        <f t="shared" si="31"/>
        <v>3.1265865888039384E-5</v>
      </c>
      <c r="G309" s="12">
        <f t="shared" si="32"/>
        <v>4.2675532605113711</v>
      </c>
      <c r="I309" s="12">
        <f t="shared" si="33"/>
        <v>5.5915888518416109E-3</v>
      </c>
      <c r="J309" s="12">
        <f t="shared" si="34"/>
        <v>5.4233926257759718E-3</v>
      </c>
    </row>
    <row r="310" spans="1:10">
      <c r="A310" s="15">
        <v>40581</v>
      </c>
      <c r="B310" s="11">
        <v>1.9287000000000001</v>
      </c>
      <c r="C310" s="11">
        <f t="shared" si="28"/>
        <v>4.7000000000001485E-3</v>
      </c>
      <c r="D310" s="12">
        <f t="shared" si="29"/>
        <v>2.2090000000001396E-5</v>
      </c>
      <c r="E310" s="12">
        <f t="shared" si="30"/>
        <v>0</v>
      </c>
      <c r="F310" s="12">
        <f t="shared" si="31"/>
        <v>2.9315819080523675E-5</v>
      </c>
      <c r="G310" s="12">
        <f t="shared" si="32"/>
        <v>3.9229940580526406</v>
      </c>
      <c r="I310" s="12">
        <f t="shared" si="33"/>
        <v>5.4144084700476448E-3</v>
      </c>
      <c r="J310" s="12">
        <f t="shared" si="34"/>
        <v>5.4233926257759718E-3</v>
      </c>
    </row>
    <row r="311" spans="1:10">
      <c r="A311" s="15">
        <v>40582</v>
      </c>
      <c r="B311" s="11">
        <v>1.9308000000000001</v>
      </c>
      <c r="C311" s="11">
        <f t="shared" si="28"/>
        <v>2.0999999999999908E-3</v>
      </c>
      <c r="D311" s="12">
        <f t="shared" si="29"/>
        <v>4.4099999999999612E-6</v>
      </c>
      <c r="E311" s="12">
        <f t="shared" si="30"/>
        <v>2.2090000000001396E-5</v>
      </c>
      <c r="F311" s="12">
        <f t="shared" si="31"/>
        <v>2.8885925478857801E-5</v>
      </c>
      <c r="G311" s="12">
        <f t="shared" si="32"/>
        <v>4.2308047505074988</v>
      </c>
      <c r="I311" s="12">
        <f t="shared" si="33"/>
        <v>5.3745628174631842E-3</v>
      </c>
      <c r="J311" s="12">
        <f t="shared" si="34"/>
        <v>5.4233926257759718E-3</v>
      </c>
    </row>
    <row r="312" spans="1:10">
      <c r="A312" s="15">
        <v>40583</v>
      </c>
      <c r="B312" s="11">
        <v>1.93</v>
      </c>
      <c r="C312" s="11">
        <f t="shared" si="28"/>
        <v>-8.0000000000013394E-4</v>
      </c>
      <c r="D312" s="12">
        <f t="shared" si="29"/>
        <v>6.4000000000021431E-7</v>
      </c>
      <c r="E312" s="12">
        <f t="shared" si="30"/>
        <v>4.4099999999999612E-6</v>
      </c>
      <c r="F312" s="12">
        <f t="shared" si="31"/>
        <v>2.7454667778184794E-5</v>
      </c>
      <c r="G312" s="12">
        <f t="shared" si="32"/>
        <v>4.3208930611516756</v>
      </c>
      <c r="I312" s="12">
        <f t="shared" si="33"/>
        <v>5.2397202003718474E-3</v>
      </c>
      <c r="J312" s="12">
        <f t="shared" si="34"/>
        <v>5.4233926257759718E-3</v>
      </c>
    </row>
    <row r="313" spans="1:10">
      <c r="A313" s="15">
        <v>40584</v>
      </c>
      <c r="B313" s="11">
        <v>1.9242999999999999</v>
      </c>
      <c r="C313" s="11">
        <f t="shared" si="28"/>
        <v>-5.7000000000000384E-3</v>
      </c>
      <c r="D313" s="12">
        <f t="shared" si="29"/>
        <v>3.2490000000000436E-5</v>
      </c>
      <c r="E313" s="12">
        <f t="shared" si="30"/>
        <v>6.4000000000021431E-7</v>
      </c>
      <c r="F313" s="12">
        <f t="shared" si="31"/>
        <v>2.5954775002161146E-5</v>
      </c>
      <c r="G313" s="12">
        <f t="shared" si="32"/>
        <v>3.734742547271837</v>
      </c>
      <c r="I313" s="12">
        <f t="shared" si="33"/>
        <v>5.0945829075755697E-3</v>
      </c>
      <c r="J313" s="12">
        <f t="shared" si="34"/>
        <v>5.4233926257759718E-3</v>
      </c>
    </row>
    <row r="314" spans="1:10">
      <c r="A314" s="15">
        <v>40585</v>
      </c>
      <c r="B314" s="11">
        <v>1.9252</v>
      </c>
      <c r="C314" s="11">
        <f t="shared" si="28"/>
        <v>9.0000000000012292E-4</v>
      </c>
      <c r="D314" s="12">
        <f t="shared" si="29"/>
        <v>8.1000000000022126E-7</v>
      </c>
      <c r="E314" s="12">
        <f t="shared" si="30"/>
        <v>3.2490000000000436E-5</v>
      </c>
      <c r="F314" s="12">
        <f t="shared" si="31"/>
        <v>2.6504804012859998E-5</v>
      </c>
      <c r="G314" s="12">
        <f t="shared" si="32"/>
        <v>4.3348734895469407</v>
      </c>
      <c r="I314" s="12">
        <f t="shared" si="33"/>
        <v>5.1482816563257292E-3</v>
      </c>
      <c r="J314" s="12">
        <f t="shared" si="34"/>
        <v>5.4233926257759718E-3</v>
      </c>
    </row>
    <row r="315" spans="1:10">
      <c r="A315" s="15">
        <v>40586</v>
      </c>
      <c r="B315" s="11">
        <v>1.9252</v>
      </c>
      <c r="C315" s="11">
        <f t="shared" si="28"/>
        <v>0</v>
      </c>
      <c r="D315" s="12">
        <f t="shared" si="29"/>
        <v>0</v>
      </c>
      <c r="E315" s="12">
        <f t="shared" si="30"/>
        <v>8.1000000000022126E-7</v>
      </c>
      <c r="F315" s="12">
        <f t="shared" si="31"/>
        <v>2.5117724892200092E-5</v>
      </c>
      <c r="G315" s="12">
        <f t="shared" si="32"/>
        <v>4.3770298544308988</v>
      </c>
      <c r="I315" s="12">
        <f t="shared" si="33"/>
        <v>5.0117586626053827E-3</v>
      </c>
      <c r="J315" s="12">
        <f t="shared" si="34"/>
        <v>5.4233926257759718E-3</v>
      </c>
    </row>
    <row r="316" spans="1:10">
      <c r="A316" s="15">
        <v>40587</v>
      </c>
      <c r="B316" s="11">
        <v>1.9260999999999999</v>
      </c>
      <c r="C316" s="11">
        <f t="shared" si="28"/>
        <v>8.9999999999990088E-4</v>
      </c>
      <c r="D316" s="12">
        <f t="shared" si="29"/>
        <v>8.0999999999982157E-7</v>
      </c>
      <c r="E316" s="12">
        <f t="shared" si="30"/>
        <v>0</v>
      </c>
      <c r="F316" s="12">
        <f t="shared" si="31"/>
        <v>2.3832666171826075E-5</v>
      </c>
      <c r="G316" s="12">
        <f t="shared" si="32"/>
        <v>4.3862946717782796</v>
      </c>
      <c r="I316" s="12">
        <f t="shared" si="33"/>
        <v>4.8818711752591417E-3</v>
      </c>
      <c r="J316" s="12">
        <f t="shared" si="34"/>
        <v>5.4233926257759718E-3</v>
      </c>
    </row>
    <row r="317" spans="1:10">
      <c r="A317" s="15">
        <v>40588</v>
      </c>
      <c r="B317" s="11">
        <v>1.9278</v>
      </c>
      <c r="C317" s="11">
        <f t="shared" si="28"/>
        <v>1.7000000000000348E-3</v>
      </c>
      <c r="D317" s="12">
        <f t="shared" si="29"/>
        <v>2.8900000000001184E-6</v>
      </c>
      <c r="E317" s="12">
        <f t="shared" si="30"/>
        <v>8.0999999999982157E-7</v>
      </c>
      <c r="F317" s="12">
        <f t="shared" si="31"/>
        <v>2.273460772142901E-5</v>
      </c>
      <c r="G317" s="12">
        <f t="shared" si="32"/>
        <v>4.3633130851947417</v>
      </c>
      <c r="I317" s="12">
        <f t="shared" si="33"/>
        <v>4.7680821848442387E-3</v>
      </c>
      <c r="J317" s="12">
        <f t="shared" si="34"/>
        <v>5.4233926257759718E-3</v>
      </c>
    </row>
    <row r="318" spans="1:10">
      <c r="A318" s="15">
        <v>40589</v>
      </c>
      <c r="B318" s="11">
        <v>1.9277</v>
      </c>
      <c r="C318" s="11">
        <f t="shared" si="28"/>
        <v>-9.9999999999988987E-5</v>
      </c>
      <c r="D318" s="12">
        <f t="shared" si="29"/>
        <v>9.9999999999977966E-9</v>
      </c>
      <c r="E318" s="12">
        <f t="shared" si="30"/>
        <v>2.8900000000001184E-6</v>
      </c>
      <c r="F318" s="12">
        <f t="shared" si="31"/>
        <v>2.1878594047197399E-5</v>
      </c>
      <c r="G318" s="12">
        <f t="shared" si="32"/>
        <v>4.445833845486197</v>
      </c>
      <c r="I318" s="12">
        <f t="shared" si="33"/>
        <v>4.6774559374939493E-3</v>
      </c>
      <c r="J318" s="12">
        <f t="shared" si="34"/>
        <v>5.4233926257759718E-3</v>
      </c>
    </row>
    <row r="319" spans="1:10">
      <c r="A319" s="15">
        <v>40590</v>
      </c>
      <c r="B319" s="11">
        <v>1.9318</v>
      </c>
      <c r="C319" s="11">
        <f t="shared" si="28"/>
        <v>4.0999999999999925E-3</v>
      </c>
      <c r="D319" s="12">
        <f t="shared" si="29"/>
        <v>1.6809999999999939E-5</v>
      </c>
      <c r="E319" s="12">
        <f t="shared" si="30"/>
        <v>9.9999999999977966E-9</v>
      </c>
      <c r="F319" s="12">
        <f t="shared" si="31"/>
        <v>2.094447511797274E-5</v>
      </c>
      <c r="G319" s="12">
        <f t="shared" si="32"/>
        <v>4.0665801443184204</v>
      </c>
      <c r="I319" s="12">
        <f t="shared" si="33"/>
        <v>4.576513423772811E-3</v>
      </c>
      <c r="J319" s="12">
        <f t="shared" si="34"/>
        <v>5.4233926257759718E-3</v>
      </c>
    </row>
    <row r="320" spans="1:10">
      <c r="A320" s="15">
        <v>40591</v>
      </c>
      <c r="B320" s="11">
        <v>1.9338</v>
      </c>
      <c r="C320" s="11">
        <f t="shared" si="28"/>
        <v>2.0000000000000018E-3</v>
      </c>
      <c r="D320" s="12">
        <f t="shared" si="29"/>
        <v>4.0000000000000074E-6</v>
      </c>
      <c r="E320" s="12">
        <f t="shared" si="30"/>
        <v>1.6809999999999939E-5</v>
      </c>
      <c r="F320" s="12">
        <f t="shared" si="31"/>
        <v>2.1107097012440205E-5</v>
      </c>
      <c r="G320" s="12">
        <f t="shared" si="32"/>
        <v>4.3692572118387183</v>
      </c>
      <c r="I320" s="12">
        <f t="shared" si="33"/>
        <v>4.594246076609328E-3</v>
      </c>
      <c r="J320" s="12">
        <f t="shared" si="34"/>
        <v>5.4233926257759718E-3</v>
      </c>
    </row>
    <row r="321" spans="1:10">
      <c r="A321" s="15">
        <v>40592</v>
      </c>
      <c r="B321" s="11">
        <v>1.9395</v>
      </c>
      <c r="C321" s="11">
        <f t="shared" si="28"/>
        <v>5.7000000000000384E-3</v>
      </c>
      <c r="D321" s="12">
        <f t="shared" si="29"/>
        <v>3.2490000000000436E-5</v>
      </c>
      <c r="E321" s="12">
        <f t="shared" si="30"/>
        <v>4.0000000000000074E-6</v>
      </c>
      <c r="F321" s="12">
        <f t="shared" si="31"/>
        <v>2.0492903962106466E-5</v>
      </c>
      <c r="G321" s="12">
        <f t="shared" si="32"/>
        <v>3.6860639786694263</v>
      </c>
      <c r="I321" s="12">
        <f t="shared" si="33"/>
        <v>4.5269088749505951E-3</v>
      </c>
      <c r="J321" s="12">
        <f t="shared" si="34"/>
        <v>5.4233926257759718E-3</v>
      </c>
    </row>
    <row r="322" spans="1:10">
      <c r="A322" s="15">
        <v>40593</v>
      </c>
      <c r="B322" s="11">
        <v>1.9392</v>
      </c>
      <c r="C322" s="11">
        <f t="shared" si="28"/>
        <v>-2.9999999999996696E-4</v>
      </c>
      <c r="D322" s="12">
        <f t="shared" si="29"/>
        <v>8.9999999999980173E-8</v>
      </c>
      <c r="E322" s="12">
        <f t="shared" si="30"/>
        <v>3.2490000000000436E-5</v>
      </c>
      <c r="F322" s="12">
        <f t="shared" si="31"/>
        <v>2.1633693525889333E-5</v>
      </c>
      <c r="G322" s="12">
        <f t="shared" si="32"/>
        <v>4.4496106573625518</v>
      </c>
      <c r="I322" s="12">
        <f t="shared" si="33"/>
        <v>4.6512034492042307E-3</v>
      </c>
      <c r="J322" s="12">
        <f t="shared" si="34"/>
        <v>5.4233926257759718E-3</v>
      </c>
    </row>
    <row r="323" spans="1:10">
      <c r="A323" s="15">
        <v>40594</v>
      </c>
      <c r="B323" s="11">
        <v>1.9392</v>
      </c>
      <c r="C323" s="11">
        <f t="shared" si="28"/>
        <v>0</v>
      </c>
      <c r="D323" s="12">
        <f t="shared" si="29"/>
        <v>0</v>
      </c>
      <c r="E323" s="12">
        <f t="shared" si="30"/>
        <v>8.9999999999980173E-8</v>
      </c>
      <c r="F323" s="12">
        <f t="shared" si="31"/>
        <v>2.0730804698360155E-5</v>
      </c>
      <c r="G323" s="12">
        <f t="shared" si="32"/>
        <v>4.4730063665144773</v>
      </c>
      <c r="I323" s="12">
        <f t="shared" si="33"/>
        <v>4.5531093439934158E-3</v>
      </c>
      <c r="J323" s="12">
        <f t="shared" si="34"/>
        <v>5.4233926257759718E-3</v>
      </c>
    </row>
    <row r="324" spans="1:10">
      <c r="A324" s="15">
        <v>40595</v>
      </c>
      <c r="B324" s="11">
        <v>1.9374</v>
      </c>
      <c r="C324" s="11">
        <f t="shared" si="28"/>
        <v>-1.8000000000000238E-3</v>
      </c>
      <c r="D324" s="12">
        <f t="shared" si="29"/>
        <v>3.2400000000000859E-6</v>
      </c>
      <c r="E324" s="12">
        <f t="shared" si="30"/>
        <v>0</v>
      </c>
      <c r="F324" s="12">
        <f t="shared" si="31"/>
        <v>1.9920238945879859E-5</v>
      </c>
      <c r="G324" s="12">
        <f t="shared" si="32"/>
        <v>4.4116242890140862</v>
      </c>
      <c r="I324" s="12">
        <f t="shared" si="33"/>
        <v>4.46320948935627E-3</v>
      </c>
      <c r="J324" s="12">
        <f t="shared" si="34"/>
        <v>5.4233926257759718E-3</v>
      </c>
    </row>
    <row r="325" spans="1:10">
      <c r="A325" s="15">
        <v>40596</v>
      </c>
      <c r="B325" s="11">
        <v>1.9359999999999999</v>
      </c>
      <c r="C325" s="11">
        <f t="shared" si="28"/>
        <v>-1.4000000000000679E-3</v>
      </c>
      <c r="D325" s="12">
        <f t="shared" si="29"/>
        <v>1.96000000000019E-6</v>
      </c>
      <c r="E325" s="12">
        <f t="shared" si="30"/>
        <v>3.2400000000000859E-6</v>
      </c>
      <c r="F325" s="12">
        <f t="shared" si="31"/>
        <v>1.938937362860701E-5</v>
      </c>
      <c r="G325" s="12">
        <f t="shared" si="32"/>
        <v>4.4559110069598722</v>
      </c>
      <c r="I325" s="12">
        <f t="shared" si="33"/>
        <v>4.4033366472036872E-3</v>
      </c>
      <c r="J325" s="12">
        <f t="shared" si="34"/>
        <v>5.4233926257759718E-3</v>
      </c>
    </row>
    <row r="326" spans="1:10">
      <c r="A326" s="15">
        <v>40597</v>
      </c>
      <c r="B326" s="11">
        <v>1.9406000000000001</v>
      </c>
      <c r="C326" s="11">
        <f t="shared" si="28"/>
        <v>4.6000000000001595E-3</v>
      </c>
      <c r="D326" s="12">
        <f t="shared" si="29"/>
        <v>2.1160000000001468E-5</v>
      </c>
      <c r="E326" s="12">
        <f t="shared" si="30"/>
        <v>1.96000000000019E-6</v>
      </c>
      <c r="F326" s="12">
        <f t="shared" si="31"/>
        <v>1.8840063855107429E-5</v>
      </c>
      <c r="G326" s="12">
        <f t="shared" si="32"/>
        <v>3.9592546872332184</v>
      </c>
      <c r="I326" s="12">
        <f t="shared" si="33"/>
        <v>4.3405142385560067E-3</v>
      </c>
      <c r="J326" s="12">
        <f t="shared" si="34"/>
        <v>5.4233926257759718E-3</v>
      </c>
    </row>
    <row r="327" spans="1:10">
      <c r="A327" s="15">
        <v>40598</v>
      </c>
      <c r="B327" s="11">
        <v>1.9431</v>
      </c>
      <c r="C327" s="11">
        <f t="shared" si="28"/>
        <v>2.4999999999999467E-3</v>
      </c>
      <c r="D327" s="12">
        <f t="shared" si="29"/>
        <v>6.2499999999997335E-6</v>
      </c>
      <c r="E327" s="12">
        <f t="shared" si="30"/>
        <v>2.1160000000001468E-5</v>
      </c>
      <c r="F327" s="12">
        <f t="shared" si="31"/>
        <v>1.9488117300922523E-5</v>
      </c>
      <c r="G327" s="12">
        <f t="shared" si="32"/>
        <v>4.3435601579496694</v>
      </c>
      <c r="I327" s="12">
        <f t="shared" si="33"/>
        <v>4.4145347774054884E-3</v>
      </c>
      <c r="J327" s="12">
        <f t="shared" si="34"/>
        <v>5.4233926257759718E-3</v>
      </c>
    </row>
    <row r="328" spans="1:10">
      <c r="A328" s="15">
        <v>40599</v>
      </c>
      <c r="B328" s="11">
        <v>1.9408000000000001</v>
      </c>
      <c r="C328" s="11">
        <f t="shared" si="28"/>
        <v>-2.2999999999999687E-3</v>
      </c>
      <c r="D328" s="12">
        <f t="shared" si="29"/>
        <v>5.2899999999998562E-6</v>
      </c>
      <c r="E328" s="12">
        <f t="shared" si="30"/>
        <v>6.2499999999997335E-6</v>
      </c>
      <c r="F328" s="12">
        <f t="shared" si="31"/>
        <v>1.9182387901068268E-5</v>
      </c>
      <c r="G328" s="12">
        <f t="shared" si="32"/>
        <v>4.3739335578896004</v>
      </c>
      <c r="I328" s="12">
        <f t="shared" si="33"/>
        <v>4.3797703023181781E-3</v>
      </c>
      <c r="J328" s="12">
        <f t="shared" si="34"/>
        <v>5.4233926257759718E-3</v>
      </c>
    </row>
    <row r="329" spans="1:10">
      <c r="A329" s="15">
        <v>40600</v>
      </c>
      <c r="B329" s="11">
        <v>1.9420999999999999</v>
      </c>
      <c r="C329" s="11">
        <f t="shared" si="28"/>
        <v>1.2999999999998568E-3</v>
      </c>
      <c r="D329" s="12">
        <f t="shared" si="29"/>
        <v>1.6899999999996276E-6</v>
      </c>
      <c r="E329" s="12">
        <f t="shared" si="30"/>
        <v>5.2899999999998562E-6</v>
      </c>
      <c r="F329" s="12">
        <f t="shared" si="31"/>
        <v>1.8852828978873917E-5</v>
      </c>
      <c r="G329" s="12">
        <f t="shared" si="32"/>
        <v>4.4756643882853995</v>
      </c>
      <c r="I329" s="12">
        <f t="shared" si="33"/>
        <v>4.341984451707988E-3</v>
      </c>
      <c r="J329" s="12">
        <f t="shared" si="34"/>
        <v>5.4233926257759718E-3</v>
      </c>
    </row>
    <row r="330" spans="1:10">
      <c r="A330" s="15">
        <v>40601</v>
      </c>
      <c r="B330" s="11">
        <v>1.9406000000000001</v>
      </c>
      <c r="C330" s="11">
        <f t="shared" si="28"/>
        <v>-1.4999999999998348E-3</v>
      </c>
      <c r="D330" s="12">
        <f t="shared" si="29"/>
        <v>2.2499999999995045E-6</v>
      </c>
      <c r="E330" s="12">
        <f t="shared" si="30"/>
        <v>1.6899999999996276E-6</v>
      </c>
      <c r="F330" s="12">
        <f t="shared" si="31"/>
        <v>1.8345549911113856E-5</v>
      </c>
      <c r="G330" s="12">
        <f t="shared" si="32"/>
        <v>4.4728004482794095</v>
      </c>
      <c r="I330" s="12">
        <f t="shared" si="33"/>
        <v>4.2831705442480175E-3</v>
      </c>
      <c r="J330" s="12">
        <f t="shared" si="34"/>
        <v>5.4233926257759718E-3</v>
      </c>
    </row>
    <row r="331" spans="1:10">
      <c r="A331" s="15">
        <v>40602</v>
      </c>
      <c r="B331" s="11">
        <v>1.9435</v>
      </c>
      <c r="C331" s="11">
        <f t="shared" si="28"/>
        <v>2.8999999999999027E-3</v>
      </c>
      <c r="D331" s="12">
        <f t="shared" si="29"/>
        <v>8.409999999999435E-6</v>
      </c>
      <c r="E331" s="12">
        <f t="shared" si="30"/>
        <v>2.2499999999995045E-6</v>
      </c>
      <c r="F331" s="12">
        <f t="shared" si="31"/>
        <v>1.7926328764051767E-5</v>
      </c>
      <c r="G331" s="12">
        <f t="shared" si="32"/>
        <v>4.3111103070641361</v>
      </c>
      <c r="I331" s="12">
        <f t="shared" si="33"/>
        <v>4.233949546705979E-3</v>
      </c>
      <c r="J331" s="12">
        <f t="shared" si="34"/>
        <v>5.4233926257759718E-3</v>
      </c>
    </row>
    <row r="332" spans="1:10">
      <c r="A332" s="15">
        <v>40603</v>
      </c>
      <c r="B332" s="11">
        <v>1.9419999999999999</v>
      </c>
      <c r="C332" s="11">
        <f t="shared" si="28"/>
        <v>-1.5000000000000568E-3</v>
      </c>
      <c r="D332" s="12">
        <f t="shared" si="29"/>
        <v>2.2500000000001707E-6</v>
      </c>
      <c r="E332" s="12">
        <f t="shared" si="30"/>
        <v>8.409999999999435E-6</v>
      </c>
      <c r="F332" s="12">
        <f t="shared" si="31"/>
        <v>1.7917543031379928E-5</v>
      </c>
      <c r="G332" s="12">
        <f t="shared" si="32"/>
        <v>4.4831389666102277</v>
      </c>
      <c r="I332" s="12">
        <f t="shared" si="33"/>
        <v>4.232911885614905E-3</v>
      </c>
      <c r="J332" s="12">
        <f t="shared" si="34"/>
        <v>5.4233926257759718E-3</v>
      </c>
    </row>
    <row r="333" spans="1:10">
      <c r="A333" s="15">
        <v>40604</v>
      </c>
      <c r="B333" s="11">
        <v>1.9461999999999999</v>
      </c>
      <c r="C333" s="11">
        <f t="shared" si="28"/>
        <v>4.1999999999999815E-3</v>
      </c>
      <c r="D333" s="12">
        <f t="shared" si="29"/>
        <v>1.7639999999999845E-5</v>
      </c>
      <c r="E333" s="12">
        <f t="shared" si="30"/>
        <v>2.2500000000001707E-6</v>
      </c>
      <c r="F333" s="12">
        <f t="shared" si="31"/>
        <v>1.7544615467440051E-5</v>
      </c>
      <c r="G333" s="12">
        <f t="shared" si="32"/>
        <v>4.0537248503919008</v>
      </c>
      <c r="I333" s="12">
        <f t="shared" si="33"/>
        <v>4.1886293065202191E-3</v>
      </c>
      <c r="J333" s="12">
        <f t="shared" si="34"/>
        <v>5.4233926257759718E-3</v>
      </c>
    </row>
    <row r="334" spans="1:10">
      <c r="A334" s="15">
        <v>40605</v>
      </c>
      <c r="B334" s="11">
        <v>1.9504999999999999</v>
      </c>
      <c r="C334" s="11">
        <f t="shared" ref="C334:C397" si="35">B334-B333</f>
        <v>4.2999999999999705E-3</v>
      </c>
      <c r="D334" s="12">
        <f t="shared" ref="D334:D397" si="36">C334^2</f>
        <v>1.8489999999999747E-5</v>
      </c>
      <c r="E334" s="12">
        <f t="shared" si="30"/>
        <v>1.7639999999999845E-5</v>
      </c>
      <c r="F334" s="12">
        <f t="shared" si="31"/>
        <v>1.8124161638347846E-5</v>
      </c>
      <c r="G334" s="12">
        <f t="shared" si="32"/>
        <v>4.0301012062126818</v>
      </c>
      <c r="I334" s="12">
        <f t="shared" si="33"/>
        <v>4.2572481297603318E-3</v>
      </c>
      <c r="J334" s="12">
        <f t="shared" si="34"/>
        <v>5.4233926257759718E-3</v>
      </c>
    </row>
    <row r="335" spans="1:10">
      <c r="A335" s="15">
        <v>40606</v>
      </c>
      <c r="B335" s="11">
        <v>1.9514</v>
      </c>
      <c r="C335" s="11">
        <f t="shared" si="35"/>
        <v>9.0000000000012292E-4</v>
      </c>
      <c r="D335" s="12">
        <f t="shared" si="36"/>
        <v>8.1000000000022126E-7</v>
      </c>
      <c r="E335" s="12">
        <f t="shared" ref="E335:E398" si="37">D334</f>
        <v>1.8489999999999747E-5</v>
      </c>
      <c r="F335" s="12">
        <f t="shared" ref="F335:F398" si="38">$B$5+$B$6*E335+$B$7*F334</f>
        <v>1.8691401578114452E-5</v>
      </c>
      <c r="G335" s="12">
        <f t="shared" ref="G335:G398" si="39">LN((1/SQRT(2*3.1415927*F335))*EXP(-0.5*D335/F335))</f>
        <v>4.5031172166469178</v>
      </c>
      <c r="I335" s="12">
        <f t="shared" ref="I335:I398" si="40">SQRT(F335)</f>
        <v>4.3233553610725148E-3</v>
      </c>
      <c r="J335" s="12">
        <f t="shared" si="34"/>
        <v>5.4233926257759718E-3</v>
      </c>
    </row>
    <row r="336" spans="1:10">
      <c r="A336" s="15">
        <v>40607</v>
      </c>
      <c r="B336" s="11">
        <v>1.9484999999999999</v>
      </c>
      <c r="C336" s="11">
        <f t="shared" si="35"/>
        <v>-2.9000000000001247E-3</v>
      </c>
      <c r="D336" s="12">
        <f t="shared" si="36"/>
        <v>8.4100000000007225E-6</v>
      </c>
      <c r="E336" s="12">
        <f t="shared" si="37"/>
        <v>8.1000000000022126E-7</v>
      </c>
      <c r="F336" s="12">
        <f t="shared" si="38"/>
        <v>1.8149426618641786E-5</v>
      </c>
      <c r="G336" s="12">
        <f t="shared" si="39"/>
        <v>4.3078094938353315</v>
      </c>
      <c r="I336" s="12">
        <f t="shared" si="40"/>
        <v>4.2602143864648159E-3</v>
      </c>
      <c r="J336" s="12">
        <f t="shared" ref="J336:J399" si="41">J335</f>
        <v>5.4233926257759718E-3</v>
      </c>
    </row>
    <row r="337" spans="1:10">
      <c r="A337" s="15">
        <v>40608</v>
      </c>
      <c r="B337" s="11">
        <v>1.9519</v>
      </c>
      <c r="C337" s="11">
        <f t="shared" si="35"/>
        <v>3.4000000000000696E-3</v>
      </c>
      <c r="D337" s="12">
        <f t="shared" si="36"/>
        <v>1.1560000000000474E-5</v>
      </c>
      <c r="E337" s="12">
        <f t="shared" si="37"/>
        <v>8.4100000000007225E-6</v>
      </c>
      <c r="F337" s="12">
        <f t="shared" si="38"/>
        <v>1.8116510434884139E-5</v>
      </c>
      <c r="G337" s="12">
        <f t="shared" si="39"/>
        <v>4.2213588981735581</v>
      </c>
      <c r="I337" s="12">
        <f t="shared" si="40"/>
        <v>4.2563494258441867E-3</v>
      </c>
      <c r="J337" s="12">
        <f t="shared" si="41"/>
        <v>5.4233926257759718E-3</v>
      </c>
    </row>
    <row r="338" spans="1:10">
      <c r="A338" s="15">
        <v>40609</v>
      </c>
      <c r="B338" s="11">
        <v>1.9534</v>
      </c>
      <c r="C338" s="11">
        <f t="shared" si="35"/>
        <v>1.5000000000000568E-3</v>
      </c>
      <c r="D338" s="12">
        <f t="shared" si="36"/>
        <v>2.2500000000001707E-6</v>
      </c>
      <c r="E338" s="12">
        <f t="shared" si="37"/>
        <v>1.1560000000000474E-5</v>
      </c>
      <c r="F338" s="12">
        <f t="shared" si="38"/>
        <v>1.8273849318816508E-5</v>
      </c>
      <c r="G338" s="12">
        <f t="shared" si="39"/>
        <v>4.4745178351013442</v>
      </c>
      <c r="I338" s="12">
        <f t="shared" si="40"/>
        <v>4.2747923129453332E-3</v>
      </c>
      <c r="J338" s="12">
        <f t="shared" si="41"/>
        <v>5.4233926257759718E-3</v>
      </c>
    </row>
    <row r="339" spans="1:10">
      <c r="A339" s="15">
        <v>40610</v>
      </c>
      <c r="B339" s="11">
        <v>1.9492</v>
      </c>
      <c r="C339" s="11">
        <f t="shared" si="35"/>
        <v>-4.1999999999999815E-3</v>
      </c>
      <c r="D339" s="12">
        <f t="shared" si="36"/>
        <v>1.7639999999999845E-5</v>
      </c>
      <c r="E339" s="12">
        <f t="shared" si="37"/>
        <v>2.2500000000001707E-6</v>
      </c>
      <c r="F339" s="12">
        <f t="shared" si="38"/>
        <v>1.7862383367959454E-5</v>
      </c>
      <c r="G339" s="12">
        <f t="shared" si="39"/>
        <v>4.0536931389793835</v>
      </c>
      <c r="I339" s="12">
        <f t="shared" si="40"/>
        <v>4.2263912937587139E-3</v>
      </c>
      <c r="J339" s="12">
        <f t="shared" si="41"/>
        <v>5.4233926257759718E-3</v>
      </c>
    </row>
    <row r="340" spans="1:10">
      <c r="A340" s="15">
        <v>40611</v>
      </c>
      <c r="B340" s="11">
        <v>1.9492</v>
      </c>
      <c r="C340" s="11">
        <f t="shared" si="35"/>
        <v>0</v>
      </c>
      <c r="D340" s="12">
        <f t="shared" si="36"/>
        <v>0</v>
      </c>
      <c r="E340" s="12">
        <f t="shared" si="37"/>
        <v>1.7639999999999845E-5</v>
      </c>
      <c r="F340" s="12">
        <f t="shared" si="38"/>
        <v>1.8407559496204851E-5</v>
      </c>
      <c r="G340" s="12">
        <f t="shared" si="39"/>
        <v>4.5324360271773285</v>
      </c>
      <c r="I340" s="12">
        <f t="shared" si="40"/>
        <v>4.2904031857396397E-3</v>
      </c>
      <c r="J340" s="12">
        <f t="shared" si="41"/>
        <v>5.4233926257759718E-3</v>
      </c>
    </row>
    <row r="341" spans="1:10">
      <c r="A341" s="15">
        <v>40612</v>
      </c>
      <c r="B341" s="11">
        <v>1.9427000000000001</v>
      </c>
      <c r="C341" s="11">
        <f t="shared" si="35"/>
        <v>-6.4999999999999503E-3</v>
      </c>
      <c r="D341" s="12">
        <f t="shared" si="36"/>
        <v>4.2249999999999353E-5</v>
      </c>
      <c r="E341" s="12">
        <f t="shared" si="37"/>
        <v>0</v>
      </c>
      <c r="F341" s="12">
        <f t="shared" si="38"/>
        <v>1.7848277893516808E-5</v>
      </c>
      <c r="G341" s="12">
        <f t="shared" si="39"/>
        <v>3.3642756470759378</v>
      </c>
      <c r="I341" s="12">
        <f t="shared" si="40"/>
        <v>4.2247222267880295E-3</v>
      </c>
      <c r="J341" s="12">
        <f t="shared" si="41"/>
        <v>5.4233926257759718E-3</v>
      </c>
    </row>
    <row r="342" spans="1:10">
      <c r="A342" s="15">
        <v>40613</v>
      </c>
      <c r="B342" s="11">
        <v>1.9478</v>
      </c>
      <c r="C342" s="11">
        <f t="shared" si="35"/>
        <v>5.0999999999998824E-3</v>
      </c>
      <c r="D342" s="12">
        <f t="shared" si="36"/>
        <v>2.6009999999998801E-5</v>
      </c>
      <c r="E342" s="12">
        <f t="shared" si="37"/>
        <v>4.2249999999999353E-5</v>
      </c>
      <c r="F342" s="12">
        <f t="shared" si="38"/>
        <v>1.9853570049684161E-5</v>
      </c>
      <c r="G342" s="12">
        <f t="shared" si="39"/>
        <v>3.8395789001709573</v>
      </c>
      <c r="I342" s="12">
        <f t="shared" si="40"/>
        <v>4.4557345129264785E-3</v>
      </c>
      <c r="J342" s="12">
        <f t="shared" si="41"/>
        <v>5.4233926257759718E-3</v>
      </c>
    </row>
    <row r="343" spans="1:10">
      <c r="A343" s="15">
        <v>40614</v>
      </c>
      <c r="B343" s="11">
        <v>1.9458</v>
      </c>
      <c r="C343" s="11">
        <f t="shared" si="35"/>
        <v>-2.0000000000000018E-3</v>
      </c>
      <c r="D343" s="12">
        <f t="shared" si="36"/>
        <v>4.0000000000000074E-6</v>
      </c>
      <c r="E343" s="12">
        <f t="shared" si="37"/>
        <v>2.6009999999998801E-5</v>
      </c>
      <c r="F343" s="12">
        <f t="shared" si="38"/>
        <v>2.0679452578663934E-5</v>
      </c>
      <c r="G343" s="12">
        <f t="shared" si="39"/>
        <v>4.3775320903014583</v>
      </c>
      <c r="I343" s="12">
        <f t="shared" si="40"/>
        <v>4.5474666110554276E-3</v>
      </c>
      <c r="J343" s="12">
        <f t="shared" si="41"/>
        <v>5.4233926257759718E-3</v>
      </c>
    </row>
    <row r="344" spans="1:10">
      <c r="A344" s="15">
        <v>40615</v>
      </c>
      <c r="B344" s="11">
        <v>1.9453</v>
      </c>
      <c r="C344" s="11">
        <f t="shared" si="35"/>
        <v>-4.9999999999994493E-4</v>
      </c>
      <c r="D344" s="12">
        <f t="shared" si="36"/>
        <v>2.4999999999994493E-7</v>
      </c>
      <c r="E344" s="12">
        <f t="shared" si="37"/>
        <v>4.0000000000000074E-6</v>
      </c>
      <c r="F344" s="12">
        <f t="shared" si="38"/>
        <v>2.0111513908993574E-5</v>
      </c>
      <c r="G344" s="12">
        <f t="shared" si="39"/>
        <v>4.4819551520860896</v>
      </c>
      <c r="I344" s="12">
        <f t="shared" si="40"/>
        <v>4.4845862583959267E-3</v>
      </c>
      <c r="J344" s="12">
        <f t="shared" si="41"/>
        <v>5.4233926257759718E-3</v>
      </c>
    </row>
    <row r="345" spans="1:10">
      <c r="A345" s="15">
        <v>40616</v>
      </c>
      <c r="B345" s="11">
        <v>1.9552</v>
      </c>
      <c r="C345" s="11">
        <f t="shared" si="35"/>
        <v>9.9000000000000199E-3</v>
      </c>
      <c r="D345" s="12">
        <f t="shared" si="36"/>
        <v>9.8010000000000398E-5</v>
      </c>
      <c r="E345" s="12">
        <f t="shared" si="37"/>
        <v>2.4999999999994493E-7</v>
      </c>
      <c r="F345" s="12">
        <f t="shared" si="38"/>
        <v>1.9382748217403719E-5</v>
      </c>
      <c r="G345" s="12">
        <f t="shared" si="39"/>
        <v>1.9783457932472643</v>
      </c>
      <c r="I345" s="12">
        <f t="shared" si="40"/>
        <v>4.4025842657925036E-3</v>
      </c>
      <c r="J345" s="12">
        <f t="shared" si="41"/>
        <v>5.4233926257759718E-3</v>
      </c>
    </row>
    <row r="346" spans="1:10">
      <c r="A346" s="15">
        <v>40617</v>
      </c>
      <c r="B346" s="11">
        <v>1.9532</v>
      </c>
      <c r="C346" s="11">
        <f t="shared" si="35"/>
        <v>-2.0000000000000018E-3</v>
      </c>
      <c r="D346" s="12">
        <f t="shared" si="36"/>
        <v>4.0000000000000074E-6</v>
      </c>
      <c r="E346" s="12">
        <f t="shared" si="37"/>
        <v>9.8010000000000398E-5</v>
      </c>
      <c r="F346" s="12">
        <f t="shared" si="38"/>
        <v>2.4526865531140292E-5</v>
      </c>
      <c r="G346" s="12">
        <f t="shared" si="39"/>
        <v>4.3073889672189107</v>
      </c>
      <c r="I346" s="12">
        <f t="shared" si="40"/>
        <v>4.952460553213957E-3</v>
      </c>
      <c r="J346" s="12">
        <f t="shared" si="41"/>
        <v>5.4233926257759718E-3</v>
      </c>
    </row>
    <row r="347" spans="1:10">
      <c r="A347" s="15">
        <v>40618</v>
      </c>
      <c r="B347" s="11">
        <v>1.9507000000000001</v>
      </c>
      <c r="C347" s="11">
        <f t="shared" si="35"/>
        <v>-2.4999999999999467E-3</v>
      </c>
      <c r="D347" s="12">
        <f t="shared" si="36"/>
        <v>6.2499999999997335E-6</v>
      </c>
      <c r="E347" s="12">
        <f t="shared" si="37"/>
        <v>4.0000000000000074E-6</v>
      </c>
      <c r="F347" s="12">
        <f t="shared" si="38"/>
        <v>2.3542787449338224E-5</v>
      </c>
      <c r="G347" s="12">
        <f t="shared" si="39"/>
        <v>4.2766699409000548</v>
      </c>
      <c r="I347" s="12">
        <f t="shared" si="40"/>
        <v>4.8520910388551268E-3</v>
      </c>
      <c r="J347" s="12">
        <f t="shared" si="41"/>
        <v>5.4233926257759718E-3</v>
      </c>
    </row>
    <row r="348" spans="1:10">
      <c r="A348" s="15">
        <v>40619</v>
      </c>
      <c r="B348" s="11">
        <v>1.9534</v>
      </c>
      <c r="C348" s="11">
        <f t="shared" si="35"/>
        <v>2.6999999999999247E-3</v>
      </c>
      <c r="D348" s="12">
        <f t="shared" si="36"/>
        <v>7.2899999999995931E-6</v>
      </c>
      <c r="E348" s="12">
        <f t="shared" si="37"/>
        <v>6.2499999999997335E-6</v>
      </c>
      <c r="F348" s="12">
        <f t="shared" si="38"/>
        <v>2.2798501525193104E-5</v>
      </c>
      <c r="G348" s="12">
        <f t="shared" si="39"/>
        <v>4.2655904040722046</v>
      </c>
      <c r="I348" s="12">
        <f t="shared" si="40"/>
        <v>4.7747776414397668E-3</v>
      </c>
      <c r="J348" s="12">
        <f t="shared" si="41"/>
        <v>5.4233926257759718E-3</v>
      </c>
    </row>
    <row r="349" spans="1:10">
      <c r="A349" s="15">
        <v>40620</v>
      </c>
      <c r="B349" s="11">
        <v>1.9564999999999999</v>
      </c>
      <c r="C349" s="11">
        <f t="shared" si="35"/>
        <v>3.0999999999998806E-3</v>
      </c>
      <c r="D349" s="12">
        <f t="shared" si="36"/>
        <v>9.6099999999992592E-6</v>
      </c>
      <c r="E349" s="12">
        <f t="shared" si="37"/>
        <v>7.2899999999995931E-6</v>
      </c>
      <c r="F349" s="12">
        <f t="shared" si="38"/>
        <v>2.2196357117469154E-5</v>
      </c>
      <c r="G349" s="12">
        <f t="shared" si="39"/>
        <v>4.222375683617491</v>
      </c>
      <c r="I349" s="12">
        <f t="shared" si="40"/>
        <v>4.7113010005166468E-3</v>
      </c>
      <c r="J349" s="12">
        <f t="shared" si="41"/>
        <v>5.4233926257759718E-3</v>
      </c>
    </row>
    <row r="350" spans="1:10">
      <c r="A350" s="15">
        <v>40621</v>
      </c>
      <c r="B350" s="11">
        <v>1.9519</v>
      </c>
      <c r="C350" s="11">
        <f t="shared" si="35"/>
        <v>-4.5999999999999375E-3</v>
      </c>
      <c r="D350" s="12">
        <f t="shared" si="36"/>
        <v>2.1159999999999425E-5</v>
      </c>
      <c r="E350" s="12">
        <f t="shared" si="37"/>
        <v>9.6099999999992592E-6</v>
      </c>
      <c r="F350" s="12">
        <f t="shared" si="38"/>
        <v>2.1796843374752911E-5</v>
      </c>
      <c r="G350" s="12">
        <f t="shared" si="39"/>
        <v>3.9625427731358558</v>
      </c>
      <c r="I350" s="12">
        <f t="shared" si="40"/>
        <v>4.6687089623099138E-3</v>
      </c>
      <c r="J350" s="12">
        <f t="shared" si="41"/>
        <v>5.4233926257759718E-3</v>
      </c>
    </row>
    <row r="351" spans="1:10">
      <c r="A351" s="15">
        <v>40622</v>
      </c>
      <c r="B351" s="11">
        <v>1.9519</v>
      </c>
      <c r="C351" s="11">
        <f t="shared" si="35"/>
        <v>0</v>
      </c>
      <c r="D351" s="12">
        <f t="shared" si="36"/>
        <v>0</v>
      </c>
      <c r="E351" s="12">
        <f t="shared" si="37"/>
        <v>2.1159999999999425E-5</v>
      </c>
      <c r="F351" s="12">
        <f t="shared" si="38"/>
        <v>2.2125089067590291E-5</v>
      </c>
      <c r="G351" s="12">
        <f t="shared" si="39"/>
        <v>4.4404606301212066</v>
      </c>
      <c r="I351" s="12">
        <f t="shared" si="40"/>
        <v>4.7037313983251949E-3</v>
      </c>
      <c r="J351" s="12">
        <f t="shared" si="41"/>
        <v>5.4233926257759718E-3</v>
      </c>
    </row>
    <row r="352" spans="1:10">
      <c r="A352" s="15">
        <v>40623</v>
      </c>
      <c r="B352" s="11">
        <v>1.9581</v>
      </c>
      <c r="C352" s="11">
        <f t="shared" si="35"/>
        <v>6.1999999999999833E-3</v>
      </c>
      <c r="D352" s="12">
        <f t="shared" si="36"/>
        <v>3.8439999999999795E-5</v>
      </c>
      <c r="E352" s="12">
        <f t="shared" si="37"/>
        <v>0</v>
      </c>
      <c r="F352" s="12">
        <f t="shared" si="38"/>
        <v>2.1163716348214905E-5</v>
      </c>
      <c r="G352" s="12">
        <f t="shared" si="39"/>
        <v>3.5545145474058568</v>
      </c>
      <c r="I352" s="12">
        <f t="shared" si="40"/>
        <v>4.6004039331579245E-3</v>
      </c>
      <c r="J352" s="12">
        <f t="shared" si="41"/>
        <v>5.4233926257759718E-3</v>
      </c>
    </row>
    <row r="353" spans="1:10">
      <c r="A353" s="15">
        <v>40624</v>
      </c>
      <c r="B353" s="11">
        <v>1.9609000000000001</v>
      </c>
      <c r="C353" s="11">
        <f t="shared" si="35"/>
        <v>2.8000000000001357E-3</v>
      </c>
      <c r="D353" s="12">
        <f t="shared" si="36"/>
        <v>7.8400000000007601E-6</v>
      </c>
      <c r="E353" s="12">
        <f t="shared" si="37"/>
        <v>3.8439999999999795E-5</v>
      </c>
      <c r="F353" s="12">
        <f t="shared" si="38"/>
        <v>2.2584596063415618E-5</v>
      </c>
      <c r="G353" s="12">
        <f t="shared" si="39"/>
        <v>4.2566130657250438</v>
      </c>
      <c r="I353" s="12">
        <f t="shared" si="40"/>
        <v>4.7523253322363799E-3</v>
      </c>
      <c r="J353" s="12">
        <f t="shared" si="41"/>
        <v>5.4233926257759718E-3</v>
      </c>
    </row>
    <row r="354" spans="1:10">
      <c r="A354" s="15">
        <v>40625</v>
      </c>
      <c r="B354" s="11">
        <v>1.9570000000000001</v>
      </c>
      <c r="C354" s="11">
        <f t="shared" si="35"/>
        <v>-3.9000000000000146E-3</v>
      </c>
      <c r="D354" s="12">
        <f t="shared" si="36"/>
        <v>1.5210000000000114E-5</v>
      </c>
      <c r="E354" s="12">
        <f t="shared" si="37"/>
        <v>7.8400000000007601E-6</v>
      </c>
      <c r="F354" s="12">
        <f t="shared" si="38"/>
        <v>2.2038185359100066E-5</v>
      </c>
      <c r="G354" s="12">
        <f t="shared" si="39"/>
        <v>4.0973455564272196</v>
      </c>
      <c r="I354" s="12">
        <f t="shared" si="40"/>
        <v>4.6944845679904061E-3</v>
      </c>
      <c r="J354" s="12">
        <f t="shared" si="41"/>
        <v>5.4233926257759718E-3</v>
      </c>
    </row>
    <row r="355" spans="1:10">
      <c r="A355" s="15">
        <v>40626</v>
      </c>
      <c r="B355" s="11">
        <v>1.9603999999999999</v>
      </c>
      <c r="C355" s="11">
        <f t="shared" si="35"/>
        <v>3.3999999999998476E-3</v>
      </c>
      <c r="D355" s="12">
        <f t="shared" si="36"/>
        <v>1.1559999999998964E-5</v>
      </c>
      <c r="E355" s="12">
        <f t="shared" si="37"/>
        <v>1.5210000000000114E-5</v>
      </c>
      <c r="F355" s="12">
        <f t="shared" si="38"/>
        <v>2.1987681518700342E-5</v>
      </c>
      <c r="G355" s="12">
        <f t="shared" si="39"/>
        <v>4.1807010913253793</v>
      </c>
      <c r="I355" s="12">
        <f t="shared" si="40"/>
        <v>4.6891024214342283E-3</v>
      </c>
      <c r="J355" s="12">
        <f t="shared" si="41"/>
        <v>5.4233926257759718E-3</v>
      </c>
    </row>
    <row r="356" spans="1:10">
      <c r="A356" s="15">
        <v>40627</v>
      </c>
      <c r="B356" s="11">
        <v>1.9542999999999999</v>
      </c>
      <c r="C356" s="11">
        <f t="shared" si="35"/>
        <v>-6.0999999999999943E-3</v>
      </c>
      <c r="D356" s="12">
        <f t="shared" si="36"/>
        <v>3.720999999999993E-5</v>
      </c>
      <c r="E356" s="12">
        <f t="shared" si="37"/>
        <v>1.1559999999998964E-5</v>
      </c>
      <c r="F356" s="12">
        <f t="shared" si="38"/>
        <v>2.1726311291086991E-5</v>
      </c>
      <c r="G356" s="12">
        <f t="shared" si="39"/>
        <v>3.5932197602905176</v>
      </c>
      <c r="I356" s="12">
        <f t="shared" si="40"/>
        <v>4.6611491384729361E-3</v>
      </c>
      <c r="J356" s="12">
        <f t="shared" si="41"/>
        <v>5.4233926257759718E-3</v>
      </c>
    </row>
    <row r="357" spans="1:10">
      <c r="A357" s="15">
        <v>40628</v>
      </c>
      <c r="B357" s="11">
        <v>1.9575</v>
      </c>
      <c r="C357" s="11">
        <f t="shared" si="35"/>
        <v>3.2000000000000917E-3</v>
      </c>
      <c r="D357" s="12">
        <f t="shared" si="36"/>
        <v>1.0240000000000586E-5</v>
      </c>
      <c r="E357" s="12">
        <f t="shared" si="37"/>
        <v>3.720999999999993E-5</v>
      </c>
      <c r="F357" s="12">
        <f t="shared" si="38"/>
        <v>2.3013440381065254E-5</v>
      </c>
      <c r="G357" s="12">
        <f t="shared" si="39"/>
        <v>4.1982988465375657</v>
      </c>
      <c r="I357" s="12">
        <f t="shared" si="40"/>
        <v>4.7972325752526582E-3</v>
      </c>
      <c r="J357" s="12">
        <f t="shared" si="41"/>
        <v>5.4233926257759718E-3</v>
      </c>
    </row>
    <row r="358" spans="1:10">
      <c r="A358" s="15">
        <v>40629</v>
      </c>
      <c r="B358" s="11">
        <v>1.9575</v>
      </c>
      <c r="C358" s="11">
        <f t="shared" si="35"/>
        <v>0</v>
      </c>
      <c r="D358" s="12">
        <f t="shared" si="36"/>
        <v>0</v>
      </c>
      <c r="E358" s="12">
        <f t="shared" si="37"/>
        <v>1.0240000000000586E-5</v>
      </c>
      <c r="F358" s="12">
        <f t="shared" si="38"/>
        <v>2.2562889192321914E-5</v>
      </c>
      <c r="G358" s="12">
        <f t="shared" si="39"/>
        <v>4.4306634956582904</v>
      </c>
      <c r="I358" s="12">
        <f t="shared" si="40"/>
        <v>4.7500409674361664E-3</v>
      </c>
      <c r="J358" s="12">
        <f t="shared" si="41"/>
        <v>5.4233926257759718E-3</v>
      </c>
    </row>
    <row r="359" spans="1:10">
      <c r="A359" s="15">
        <v>40630</v>
      </c>
      <c r="B359" s="11">
        <v>1.956</v>
      </c>
      <c r="C359" s="11">
        <f t="shared" si="35"/>
        <v>-1.5000000000000568E-3</v>
      </c>
      <c r="D359" s="12">
        <f t="shared" si="36"/>
        <v>2.2500000000001707E-6</v>
      </c>
      <c r="E359" s="12">
        <f t="shared" si="37"/>
        <v>0</v>
      </c>
      <c r="F359" s="12">
        <f t="shared" si="38"/>
        <v>2.1554163644230874E-5</v>
      </c>
      <c r="G359" s="12">
        <f t="shared" si="39"/>
        <v>4.4013381431835263</v>
      </c>
      <c r="I359" s="12">
        <f t="shared" si="40"/>
        <v>4.6426461898610013E-3</v>
      </c>
      <c r="J359" s="12">
        <f t="shared" si="41"/>
        <v>5.4233926257759718E-3</v>
      </c>
    </row>
    <row r="360" spans="1:10">
      <c r="A360" s="15">
        <v>40631</v>
      </c>
      <c r="B360" s="11">
        <v>1.9588000000000001</v>
      </c>
      <c r="C360" s="11">
        <f t="shared" si="35"/>
        <v>2.8000000000001357E-3</v>
      </c>
      <c r="D360" s="12">
        <f t="shared" si="36"/>
        <v>7.8400000000007601E-6</v>
      </c>
      <c r="E360" s="12">
        <f t="shared" si="37"/>
        <v>2.2500000000001707E-6</v>
      </c>
      <c r="F360" s="12">
        <f t="shared" si="38"/>
        <v>2.0787896144424796E-5</v>
      </c>
      <c r="G360" s="12">
        <f t="shared" si="39"/>
        <v>4.2830600166670534</v>
      </c>
      <c r="I360" s="12">
        <f t="shared" si="40"/>
        <v>4.5593745343440253E-3</v>
      </c>
      <c r="J360" s="12">
        <f t="shared" si="41"/>
        <v>5.4233926257759718E-3</v>
      </c>
    </row>
    <row r="361" spans="1:10">
      <c r="A361" s="15">
        <v>40632</v>
      </c>
      <c r="B361" s="11">
        <v>1.9623999999999999</v>
      </c>
      <c r="C361" s="11">
        <f t="shared" si="35"/>
        <v>3.5999999999998256E-3</v>
      </c>
      <c r="D361" s="12">
        <f t="shared" si="36"/>
        <v>1.2959999999998744E-5</v>
      </c>
      <c r="E361" s="12">
        <f t="shared" si="37"/>
        <v>7.8400000000007601E-6</v>
      </c>
      <c r="F361" s="12">
        <f t="shared" si="38"/>
        <v>2.043581801041072E-5</v>
      </c>
      <c r="G361" s="12">
        <f t="shared" si="39"/>
        <v>4.163081848890088</v>
      </c>
      <c r="I361" s="12">
        <f t="shared" si="40"/>
        <v>4.5205992977049754E-3</v>
      </c>
      <c r="J361" s="12">
        <f t="shared" si="41"/>
        <v>5.4233926257759718E-3</v>
      </c>
    </row>
    <row r="362" spans="1:10">
      <c r="A362" s="15">
        <v>40633</v>
      </c>
      <c r="B362" s="11">
        <v>1.9646999999999999</v>
      </c>
      <c r="C362" s="11">
        <f t="shared" si="35"/>
        <v>2.2999999999999687E-3</v>
      </c>
      <c r="D362" s="12">
        <f t="shared" si="36"/>
        <v>5.2899999999998562E-6</v>
      </c>
      <c r="E362" s="12">
        <f t="shared" si="37"/>
        <v>1.2959999999998744E-5</v>
      </c>
      <c r="F362" s="12">
        <f t="shared" si="38"/>
        <v>2.0425274119614149E-5</v>
      </c>
      <c r="G362" s="12">
        <f t="shared" si="39"/>
        <v>4.3509337815980942</v>
      </c>
      <c r="I362" s="12">
        <f t="shared" si="40"/>
        <v>4.5194329422632382E-3</v>
      </c>
      <c r="J362" s="12">
        <f t="shared" si="41"/>
        <v>5.4233926257759718E-3</v>
      </c>
    </row>
    <row r="363" spans="1:10">
      <c r="A363" s="15">
        <v>40634</v>
      </c>
      <c r="B363" s="11">
        <v>1.9713000000000001</v>
      </c>
      <c r="C363" s="11">
        <f t="shared" si="35"/>
        <v>6.6000000000001613E-3</v>
      </c>
      <c r="D363" s="12">
        <f t="shared" si="36"/>
        <v>4.3560000000002131E-5</v>
      </c>
      <c r="E363" s="12">
        <f t="shared" si="37"/>
        <v>5.2899999999998562E-6</v>
      </c>
      <c r="F363" s="12">
        <f t="shared" si="38"/>
        <v>1.9961283581494767E-5</v>
      </c>
      <c r="G363" s="12">
        <f t="shared" si="39"/>
        <v>3.4008072523137476</v>
      </c>
      <c r="I363" s="12">
        <f t="shared" si="40"/>
        <v>4.4678052309265644E-3</v>
      </c>
      <c r="J363" s="12">
        <f t="shared" si="41"/>
        <v>5.4233926257759718E-3</v>
      </c>
    </row>
    <row r="364" spans="1:10">
      <c r="A364" s="15">
        <v>40635</v>
      </c>
      <c r="B364" s="11">
        <v>1.9733000000000001</v>
      </c>
      <c r="C364" s="11">
        <f t="shared" si="35"/>
        <v>2.0000000000000018E-3</v>
      </c>
      <c r="D364" s="12">
        <f t="shared" si="36"/>
        <v>4.0000000000000074E-6</v>
      </c>
      <c r="E364" s="12">
        <f t="shared" si="37"/>
        <v>4.3560000000002131E-5</v>
      </c>
      <c r="F364" s="12">
        <f t="shared" si="38"/>
        <v>2.181567261026019E-5</v>
      </c>
      <c r="G364" s="12">
        <f t="shared" si="39"/>
        <v>4.3558252090700966</v>
      </c>
      <c r="I364" s="12">
        <f t="shared" si="40"/>
        <v>4.6707250625850575E-3</v>
      </c>
      <c r="J364" s="12">
        <f t="shared" si="41"/>
        <v>5.4233926257759718E-3</v>
      </c>
    </row>
    <row r="365" spans="1:10">
      <c r="A365" s="15">
        <v>40636</v>
      </c>
      <c r="B365" s="11">
        <v>1.9624999999999999</v>
      </c>
      <c r="C365" s="11">
        <f t="shared" si="35"/>
        <v>-1.0800000000000143E-2</v>
      </c>
      <c r="D365" s="12">
        <f t="shared" si="36"/>
        <v>1.1664000000000308E-4</v>
      </c>
      <c r="E365" s="12">
        <f t="shared" si="37"/>
        <v>4.0000000000000074E-6</v>
      </c>
      <c r="F365" s="12">
        <f t="shared" si="38"/>
        <v>2.1124839428916368E-5</v>
      </c>
      <c r="G365" s="12">
        <f t="shared" si="39"/>
        <v>1.7028609087999707</v>
      </c>
      <c r="I365" s="12">
        <f t="shared" si="40"/>
        <v>4.596176609848273E-3</v>
      </c>
      <c r="J365" s="12">
        <f t="shared" si="41"/>
        <v>5.4233926257759718E-3</v>
      </c>
    </row>
    <row r="366" spans="1:10">
      <c r="A366" s="15">
        <v>40637</v>
      </c>
      <c r="B366" s="11">
        <v>1.9694</v>
      </c>
      <c r="C366" s="11">
        <f t="shared" si="35"/>
        <v>6.9000000000001283E-3</v>
      </c>
      <c r="D366" s="12">
        <f t="shared" si="36"/>
        <v>4.7610000000001768E-5</v>
      </c>
      <c r="E366" s="12">
        <f t="shared" si="37"/>
        <v>1.1664000000000308E-4</v>
      </c>
      <c r="F366" s="12">
        <f t="shared" si="38"/>
        <v>2.7184697236200493E-5</v>
      </c>
      <c r="G366" s="12">
        <f t="shared" si="39"/>
        <v>3.4618131511775774</v>
      </c>
      <c r="I366" s="12">
        <f t="shared" si="40"/>
        <v>5.2138946322495333E-3</v>
      </c>
      <c r="J366" s="12">
        <f t="shared" si="41"/>
        <v>5.4233926257759718E-3</v>
      </c>
    </row>
    <row r="367" spans="1:10">
      <c r="A367" s="15">
        <v>40638</v>
      </c>
      <c r="B367" s="11">
        <v>1.9690000000000001</v>
      </c>
      <c r="C367" s="11">
        <f t="shared" si="35"/>
        <v>-3.9999999999995595E-4</v>
      </c>
      <c r="D367" s="12">
        <f t="shared" si="36"/>
        <v>1.5999999999996475E-7</v>
      </c>
      <c r="E367" s="12">
        <f t="shared" si="37"/>
        <v>4.7610000000001768E-5</v>
      </c>
      <c r="F367" s="12">
        <f t="shared" si="38"/>
        <v>2.8497831989508116E-5</v>
      </c>
      <c r="G367" s="12">
        <f t="shared" si="39"/>
        <v>4.3110955003808371</v>
      </c>
      <c r="I367" s="12">
        <f t="shared" si="40"/>
        <v>5.3383360693673191E-3</v>
      </c>
      <c r="J367" s="12">
        <f t="shared" si="41"/>
        <v>5.4233926257759718E-3</v>
      </c>
    </row>
    <row r="368" spans="1:10">
      <c r="A368" s="15">
        <v>40639</v>
      </c>
      <c r="B368" s="11">
        <v>1.9753000000000001</v>
      </c>
      <c r="C368" s="11">
        <f t="shared" si="35"/>
        <v>6.2999999999999723E-3</v>
      </c>
      <c r="D368" s="12">
        <f t="shared" si="36"/>
        <v>3.9689999999999649E-5</v>
      </c>
      <c r="E368" s="12">
        <f t="shared" si="37"/>
        <v>1.5999999999996475E-7</v>
      </c>
      <c r="F368" s="12">
        <f t="shared" si="38"/>
        <v>2.6856660962050132E-5</v>
      </c>
      <c r="G368" s="12">
        <f t="shared" si="39"/>
        <v>3.6046369701470731</v>
      </c>
      <c r="I368" s="12">
        <f t="shared" si="40"/>
        <v>5.1823412626003443E-3</v>
      </c>
      <c r="J368" s="12">
        <f t="shared" si="41"/>
        <v>5.4233926257759718E-3</v>
      </c>
    </row>
    <row r="369" spans="1:10">
      <c r="A369" s="15">
        <v>40640</v>
      </c>
      <c r="B369" s="11">
        <v>1.9746999999999999</v>
      </c>
      <c r="C369" s="11">
        <f t="shared" si="35"/>
        <v>-6.0000000000015596E-4</v>
      </c>
      <c r="D369" s="12">
        <f t="shared" si="36"/>
        <v>3.6000000000018714E-7</v>
      </c>
      <c r="E369" s="12">
        <f t="shared" si="37"/>
        <v>3.9689999999999649E-5</v>
      </c>
      <c r="F369" s="12">
        <f t="shared" si="38"/>
        <v>2.7735872260875058E-5</v>
      </c>
      <c r="G369" s="12">
        <f t="shared" si="39"/>
        <v>4.3209636464836993</v>
      </c>
      <c r="I369" s="12">
        <f t="shared" si="40"/>
        <v>5.2664857600562311E-3</v>
      </c>
      <c r="J369" s="12">
        <f t="shared" si="41"/>
        <v>5.4233926257759718E-3</v>
      </c>
    </row>
    <row r="370" spans="1:10">
      <c r="A370" s="15">
        <v>40641</v>
      </c>
      <c r="B370" s="11">
        <v>1.9818</v>
      </c>
      <c r="C370" s="11">
        <f t="shared" si="35"/>
        <v>7.1000000000001062E-3</v>
      </c>
      <c r="D370" s="12">
        <f t="shared" si="36"/>
        <v>5.0410000000001511E-5</v>
      </c>
      <c r="E370" s="12">
        <f t="shared" si="37"/>
        <v>3.6000000000018714E-7</v>
      </c>
      <c r="F370" s="12">
        <f t="shared" si="38"/>
        <v>2.6188969076517756E-5</v>
      </c>
      <c r="G370" s="12">
        <f t="shared" si="39"/>
        <v>3.3937194815691032</v>
      </c>
      <c r="I370" s="12">
        <f t="shared" si="40"/>
        <v>5.1175159087703632E-3</v>
      </c>
      <c r="J370" s="12">
        <f t="shared" si="41"/>
        <v>5.4233926257759718E-3</v>
      </c>
    </row>
    <row r="371" spans="1:10">
      <c r="A371" s="15">
        <v>40642</v>
      </c>
      <c r="B371" s="11">
        <v>1.9812000000000001</v>
      </c>
      <c r="C371" s="11">
        <f t="shared" si="35"/>
        <v>-5.9999999999993392E-4</v>
      </c>
      <c r="D371" s="12">
        <f t="shared" si="36"/>
        <v>3.5999999999992069E-7</v>
      </c>
      <c r="E371" s="12">
        <f t="shared" si="37"/>
        <v>5.0410000000001511E-5</v>
      </c>
      <c r="F371" s="12">
        <f t="shared" si="38"/>
        <v>2.777575357891751E-5</v>
      </c>
      <c r="G371" s="12">
        <f t="shared" si="39"/>
        <v>4.3202545327956168</v>
      </c>
      <c r="I371" s="12">
        <f t="shared" si="40"/>
        <v>5.2702707310836993E-3</v>
      </c>
      <c r="J371" s="12">
        <f t="shared" si="41"/>
        <v>5.4233926257759718E-3</v>
      </c>
    </row>
    <row r="372" spans="1:10">
      <c r="A372" s="15">
        <v>40643</v>
      </c>
      <c r="B372" s="11">
        <v>1.9834000000000001</v>
      </c>
      <c r="C372" s="11">
        <f t="shared" si="35"/>
        <v>2.1999999999999797E-3</v>
      </c>
      <c r="D372" s="12">
        <f t="shared" si="36"/>
        <v>4.8399999999999113E-6</v>
      </c>
      <c r="E372" s="12">
        <f t="shared" si="37"/>
        <v>3.5999999999992069E-7</v>
      </c>
      <c r="F372" s="12">
        <f t="shared" si="38"/>
        <v>2.6224536797748458E-5</v>
      </c>
      <c r="G372" s="12">
        <f t="shared" si="39"/>
        <v>4.2631890023889332</v>
      </c>
      <c r="I372" s="12">
        <f t="shared" si="40"/>
        <v>5.1209898259758782E-3</v>
      </c>
      <c r="J372" s="12">
        <f t="shared" si="41"/>
        <v>5.4233926257759718E-3</v>
      </c>
    </row>
    <row r="373" spans="1:10">
      <c r="A373" s="15">
        <v>40644</v>
      </c>
      <c r="B373" s="11">
        <v>1.9751000000000001</v>
      </c>
      <c r="C373" s="11">
        <f t="shared" si="35"/>
        <v>-8.2999999999999741E-3</v>
      </c>
      <c r="D373" s="12">
        <f t="shared" si="36"/>
        <v>6.8889999999999566E-5</v>
      </c>
      <c r="E373" s="12">
        <f t="shared" si="37"/>
        <v>4.8399999999999113E-6</v>
      </c>
      <c r="F373" s="12">
        <f t="shared" si="38"/>
        <v>2.5106622454590014E-5</v>
      </c>
      <c r="G373" s="12">
        <f t="shared" si="39"/>
        <v>3.005302133168128</v>
      </c>
      <c r="I373" s="12">
        <f t="shared" si="40"/>
        <v>5.0106509012891745E-3</v>
      </c>
      <c r="J373" s="12">
        <f t="shared" si="41"/>
        <v>5.4233926257759718E-3</v>
      </c>
    </row>
    <row r="374" spans="1:10">
      <c r="A374" s="15">
        <v>40645</v>
      </c>
      <c r="B374" s="11">
        <v>1.9826999999999999</v>
      </c>
      <c r="C374" s="11">
        <f t="shared" si="35"/>
        <v>7.5999999999998291E-3</v>
      </c>
      <c r="D374" s="12">
        <f t="shared" si="36"/>
        <v>5.7759999999997401E-5</v>
      </c>
      <c r="E374" s="12">
        <f t="shared" si="37"/>
        <v>6.8889999999999566E-5</v>
      </c>
      <c r="F374" s="12">
        <f t="shared" si="38"/>
        <v>2.7905750785934492E-5</v>
      </c>
      <c r="G374" s="12">
        <f t="shared" si="39"/>
        <v>3.2894882133844514</v>
      </c>
      <c r="I374" s="12">
        <f t="shared" si="40"/>
        <v>5.2825894016035818E-3</v>
      </c>
      <c r="J374" s="12">
        <f t="shared" si="41"/>
        <v>5.4233926257759718E-3</v>
      </c>
    </row>
    <row r="375" spans="1:10">
      <c r="A375" s="15">
        <v>40646</v>
      </c>
      <c r="B375" s="11">
        <v>1.9824999999999999</v>
      </c>
      <c r="C375" s="11">
        <f t="shared" si="35"/>
        <v>-1.9999999999997797E-4</v>
      </c>
      <c r="D375" s="12">
        <f t="shared" si="36"/>
        <v>3.9999999999991186E-8</v>
      </c>
      <c r="E375" s="12">
        <f t="shared" si="37"/>
        <v>5.7759999999997401E-5</v>
      </c>
      <c r="F375" s="12">
        <f t="shared" si="38"/>
        <v>2.9742467998453102E-5</v>
      </c>
      <c r="G375" s="12">
        <f t="shared" si="39"/>
        <v>4.2918563375304473</v>
      </c>
      <c r="I375" s="12">
        <f t="shared" si="40"/>
        <v>5.4536655561606548E-3</v>
      </c>
      <c r="J375" s="12">
        <f t="shared" si="41"/>
        <v>5.4233926257759718E-3</v>
      </c>
    </row>
    <row r="376" spans="1:10">
      <c r="A376" s="15">
        <v>40647</v>
      </c>
      <c r="B376" s="11">
        <v>1.9830000000000001</v>
      </c>
      <c r="C376" s="11">
        <f t="shared" si="35"/>
        <v>5.0000000000016698E-4</v>
      </c>
      <c r="D376" s="12">
        <f t="shared" si="36"/>
        <v>2.5000000000016696E-7</v>
      </c>
      <c r="E376" s="12">
        <f t="shared" si="37"/>
        <v>3.9999999999991186E-8</v>
      </c>
      <c r="F376" s="12">
        <f t="shared" si="38"/>
        <v>2.7959563912438722E-5</v>
      </c>
      <c r="G376" s="12">
        <f t="shared" si="39"/>
        <v>4.3189663360689732</v>
      </c>
      <c r="I376" s="12">
        <f t="shared" si="40"/>
        <v>5.287680390534088E-3</v>
      </c>
      <c r="J376" s="12">
        <f t="shared" si="41"/>
        <v>5.4233926257759718E-3</v>
      </c>
    </row>
    <row r="377" spans="1:10">
      <c r="A377" s="15">
        <v>40648</v>
      </c>
      <c r="B377" s="11">
        <v>1.9751000000000001</v>
      </c>
      <c r="C377" s="11">
        <f t="shared" si="35"/>
        <v>-7.9000000000000181E-3</v>
      </c>
      <c r="D377" s="12">
        <f t="shared" si="36"/>
        <v>6.2410000000000292E-5</v>
      </c>
      <c r="E377" s="12">
        <f t="shared" si="37"/>
        <v>2.5000000000016696E-7</v>
      </c>
      <c r="F377" s="12">
        <f t="shared" si="38"/>
        <v>2.6381946549568876E-5</v>
      </c>
      <c r="G377" s="12">
        <f t="shared" si="39"/>
        <v>3.169660335404016</v>
      </c>
      <c r="I377" s="12">
        <f t="shared" si="40"/>
        <v>5.1363359070030531E-3</v>
      </c>
      <c r="J377" s="12">
        <f t="shared" si="41"/>
        <v>5.4233926257759718E-3</v>
      </c>
    </row>
    <row r="378" spans="1:10">
      <c r="A378" s="15">
        <v>40649</v>
      </c>
      <c r="B378" s="11">
        <v>1.9764999999999999</v>
      </c>
      <c r="C378" s="11">
        <f t="shared" si="35"/>
        <v>1.3999999999998458E-3</v>
      </c>
      <c r="D378" s="12">
        <f t="shared" si="36"/>
        <v>1.9599999999995683E-6</v>
      </c>
      <c r="E378" s="12">
        <f t="shared" si="37"/>
        <v>6.2410000000000292E-5</v>
      </c>
      <c r="F378" s="12">
        <f t="shared" si="38"/>
        <v>2.8659076830023773E-5</v>
      </c>
      <c r="G378" s="12">
        <f t="shared" si="39"/>
        <v>4.2768865329318908</v>
      </c>
      <c r="I378" s="12">
        <f t="shared" si="40"/>
        <v>5.3534173039306186E-3</v>
      </c>
      <c r="J378" s="12">
        <f t="shared" si="41"/>
        <v>5.4233926257759718E-3</v>
      </c>
    </row>
    <row r="379" spans="1:10">
      <c r="A379" s="15">
        <v>40650</v>
      </c>
      <c r="B379" s="11">
        <v>1.9804999999999999</v>
      </c>
      <c r="C379" s="11">
        <f t="shared" si="35"/>
        <v>4.0000000000000036E-3</v>
      </c>
      <c r="D379" s="12">
        <f t="shared" si="36"/>
        <v>1.600000000000003E-5</v>
      </c>
      <c r="E379" s="12">
        <f t="shared" si="37"/>
        <v>1.9599999999995683E-6</v>
      </c>
      <c r="F379" s="12">
        <f t="shared" si="38"/>
        <v>2.7107148182875533E-5</v>
      </c>
      <c r="G379" s="12">
        <f t="shared" si="39"/>
        <v>4.0437928998387527</v>
      </c>
      <c r="I379" s="12">
        <f t="shared" si="40"/>
        <v>5.2064525526384596E-3</v>
      </c>
      <c r="J379" s="12">
        <f t="shared" si="41"/>
        <v>5.4233926257759718E-3</v>
      </c>
    </row>
    <row r="380" spans="1:10">
      <c r="A380" s="15">
        <v>40651</v>
      </c>
      <c r="B380" s="11">
        <v>1.9691000000000001</v>
      </c>
      <c r="C380" s="11">
        <f t="shared" si="35"/>
        <v>-1.1399999999999855E-2</v>
      </c>
      <c r="D380" s="12">
        <f t="shared" si="36"/>
        <v>1.2995999999999668E-4</v>
      </c>
      <c r="E380" s="12">
        <f t="shared" si="37"/>
        <v>1.600000000000003E-5</v>
      </c>
      <c r="F380" s="12">
        <f t="shared" si="38"/>
        <v>2.6555202948541865E-5</v>
      </c>
      <c r="G380" s="12">
        <f t="shared" si="39"/>
        <v>1.9022257922957235</v>
      </c>
      <c r="I380" s="12">
        <f t="shared" si="40"/>
        <v>5.1531740654223845E-3</v>
      </c>
      <c r="J380" s="12">
        <f t="shared" si="41"/>
        <v>5.4233926257759718E-3</v>
      </c>
    </row>
    <row r="381" spans="1:10">
      <c r="A381" s="15">
        <v>40652</v>
      </c>
      <c r="B381" s="11">
        <v>1.9745999999999999</v>
      </c>
      <c r="C381" s="11">
        <f t="shared" si="35"/>
        <v>5.4999999999998384E-3</v>
      </c>
      <c r="D381" s="12">
        <f t="shared" si="36"/>
        <v>3.0249999999998221E-5</v>
      </c>
      <c r="E381" s="12">
        <f t="shared" si="37"/>
        <v>1.2995999999999668E-4</v>
      </c>
      <c r="F381" s="12">
        <f t="shared" si="38"/>
        <v>3.2817160488163585E-5</v>
      </c>
      <c r="G381" s="12">
        <f t="shared" si="39"/>
        <v>3.7824540369213473</v>
      </c>
      <c r="I381" s="12">
        <f t="shared" si="40"/>
        <v>5.7286264050087597E-3</v>
      </c>
      <c r="J381" s="12">
        <f t="shared" si="41"/>
        <v>5.4233926257759718E-3</v>
      </c>
    </row>
    <row r="382" spans="1:10">
      <c r="A382" s="15">
        <v>40653</v>
      </c>
      <c r="B382" s="11">
        <v>1.9850000000000001</v>
      </c>
      <c r="C382" s="11">
        <f t="shared" si="35"/>
        <v>1.0400000000000187E-2</v>
      </c>
      <c r="D382" s="12">
        <f t="shared" si="36"/>
        <v>1.0816000000000388E-4</v>
      </c>
      <c r="E382" s="12">
        <f t="shared" si="37"/>
        <v>3.0249999999998221E-5</v>
      </c>
      <c r="F382" s="12">
        <f t="shared" si="38"/>
        <v>3.249218736365664E-5</v>
      </c>
      <c r="G382" s="12">
        <f t="shared" si="39"/>
        <v>2.5839167994163352</v>
      </c>
      <c r="I382" s="12">
        <f t="shared" si="40"/>
        <v>5.7001918707756359E-3</v>
      </c>
      <c r="J382" s="12">
        <f t="shared" si="41"/>
        <v>5.4233926257759718E-3</v>
      </c>
    </row>
    <row r="383" spans="1:10">
      <c r="A383" s="15">
        <v>40654</v>
      </c>
      <c r="B383" s="11">
        <v>1.9846999999999999</v>
      </c>
      <c r="C383" s="11">
        <f t="shared" si="35"/>
        <v>-3.00000000000189E-4</v>
      </c>
      <c r="D383" s="12">
        <f t="shared" si="36"/>
        <v>9.0000000000113408E-8</v>
      </c>
      <c r="E383" s="12">
        <f t="shared" si="37"/>
        <v>1.0816000000000388E-4</v>
      </c>
      <c r="F383" s="12">
        <f t="shared" si="38"/>
        <v>3.6819948959165684E-5</v>
      </c>
      <c r="G383" s="12">
        <f t="shared" si="39"/>
        <v>4.1845746800392236</v>
      </c>
      <c r="I383" s="12">
        <f t="shared" si="40"/>
        <v>6.0679443767362997E-3</v>
      </c>
      <c r="J383" s="12">
        <f t="shared" si="41"/>
        <v>5.4233926257759718E-3</v>
      </c>
    </row>
    <row r="384" spans="1:10">
      <c r="A384" s="15">
        <v>40655</v>
      </c>
      <c r="B384" s="11">
        <v>1.9851000000000001</v>
      </c>
      <c r="C384" s="11">
        <f t="shared" si="35"/>
        <v>4.0000000000017799E-4</v>
      </c>
      <c r="D384" s="12">
        <f t="shared" si="36"/>
        <v>1.6000000000014238E-7</v>
      </c>
      <c r="E384" s="12">
        <f t="shared" si="37"/>
        <v>9.0000000000113408E-8</v>
      </c>
      <c r="F384" s="12">
        <f t="shared" si="38"/>
        <v>3.4274502005813808E-5</v>
      </c>
      <c r="G384" s="12">
        <f t="shared" si="39"/>
        <v>4.2192817937641731</v>
      </c>
      <c r="I384" s="12">
        <f t="shared" si="40"/>
        <v>5.8544429287348777E-3</v>
      </c>
      <c r="J384" s="12">
        <f t="shared" si="41"/>
        <v>5.4233926257759718E-3</v>
      </c>
    </row>
    <row r="385" spans="1:10">
      <c r="A385" s="15">
        <v>40656</v>
      </c>
      <c r="B385" s="11">
        <v>1.9847999999999999</v>
      </c>
      <c r="C385" s="11">
        <f t="shared" si="35"/>
        <v>-3.00000000000189E-4</v>
      </c>
      <c r="D385" s="12">
        <f t="shared" si="36"/>
        <v>9.0000000000113408E-8</v>
      </c>
      <c r="E385" s="12">
        <f t="shared" si="37"/>
        <v>1.6000000000014238E-7</v>
      </c>
      <c r="F385" s="12">
        <f t="shared" si="38"/>
        <v>3.2008521503948609E-5</v>
      </c>
      <c r="G385" s="12">
        <f t="shared" si="39"/>
        <v>4.2544097805978218</v>
      </c>
      <c r="I385" s="12">
        <f t="shared" si="40"/>
        <v>5.6576074010087169E-3</v>
      </c>
      <c r="J385" s="12">
        <f t="shared" si="41"/>
        <v>5.4233926257759718E-3</v>
      </c>
    </row>
    <row r="386" spans="1:10">
      <c r="A386" s="15">
        <v>40657</v>
      </c>
      <c r="B386" s="11">
        <v>1.9847999999999999</v>
      </c>
      <c r="C386" s="11">
        <f t="shared" si="35"/>
        <v>0</v>
      </c>
      <c r="D386" s="12">
        <f t="shared" si="36"/>
        <v>0</v>
      </c>
      <c r="E386" s="12">
        <f t="shared" si="37"/>
        <v>9.0000000000113408E-8</v>
      </c>
      <c r="F386" s="12">
        <f t="shared" si="38"/>
        <v>2.9983482579955703E-5</v>
      </c>
      <c r="G386" s="12">
        <f t="shared" si="39"/>
        <v>4.2884934137066413</v>
      </c>
      <c r="I386" s="12">
        <f t="shared" si="40"/>
        <v>5.4757175401910297E-3</v>
      </c>
      <c r="J386" s="12">
        <f t="shared" si="41"/>
        <v>5.4233926257759718E-3</v>
      </c>
    </row>
    <row r="387" spans="1:10">
      <c r="A387" s="15">
        <v>40658</v>
      </c>
      <c r="B387" s="11">
        <v>1.9846999999999999</v>
      </c>
      <c r="C387" s="11">
        <f t="shared" si="35"/>
        <v>-9.9999999999988987E-5</v>
      </c>
      <c r="D387" s="12">
        <f t="shared" si="36"/>
        <v>9.9999999999977966E-9</v>
      </c>
      <c r="E387" s="12">
        <f t="shared" si="37"/>
        <v>0</v>
      </c>
      <c r="F387" s="12">
        <f t="shared" si="38"/>
        <v>2.8172139426699407E-5</v>
      </c>
      <c r="G387" s="12">
        <f t="shared" si="39"/>
        <v>4.3194724950853587</v>
      </c>
      <c r="I387" s="12">
        <f t="shared" si="40"/>
        <v>5.3077433459709986E-3</v>
      </c>
      <c r="J387" s="12">
        <f t="shared" si="41"/>
        <v>5.4233926257759718E-3</v>
      </c>
    </row>
    <row r="388" spans="1:10">
      <c r="A388" s="15">
        <v>40659</v>
      </c>
      <c r="B388" s="11">
        <v>1.9876</v>
      </c>
      <c r="C388" s="11">
        <f t="shared" si="35"/>
        <v>2.9000000000001247E-3</v>
      </c>
      <c r="D388" s="12">
        <f t="shared" si="36"/>
        <v>8.4100000000007225E-6</v>
      </c>
      <c r="E388" s="12">
        <f t="shared" si="37"/>
        <v>9.9999999999977966E-9</v>
      </c>
      <c r="F388" s="12">
        <f t="shared" si="38"/>
        <v>2.6557305350231591E-5</v>
      </c>
      <c r="G388" s="12">
        <f t="shared" si="39"/>
        <v>4.1908274590269308</v>
      </c>
      <c r="I388" s="12">
        <f t="shared" si="40"/>
        <v>5.1533780523295193E-3</v>
      </c>
      <c r="J388" s="12">
        <f t="shared" si="41"/>
        <v>5.4233926257759718E-3</v>
      </c>
    </row>
    <row r="389" spans="1:10">
      <c r="A389" s="15">
        <v>40660</v>
      </c>
      <c r="B389" s="11">
        <v>1.9947999999999999</v>
      </c>
      <c r="C389" s="11">
        <f t="shared" si="35"/>
        <v>7.1999999999998732E-3</v>
      </c>
      <c r="D389" s="12">
        <f t="shared" si="36"/>
        <v>5.1839999999998176E-5</v>
      </c>
      <c r="E389" s="12">
        <f t="shared" si="37"/>
        <v>8.4100000000007225E-6</v>
      </c>
      <c r="F389" s="12">
        <f t="shared" si="38"/>
        <v>2.5614985950376107E-5</v>
      </c>
      <c r="G389" s="12">
        <f t="shared" si="39"/>
        <v>3.3553203132263296</v>
      </c>
      <c r="I389" s="12">
        <f t="shared" si="40"/>
        <v>5.0611249688558482E-3</v>
      </c>
      <c r="J389" s="12">
        <f t="shared" si="41"/>
        <v>5.4233926257759718E-3</v>
      </c>
    </row>
    <row r="390" spans="1:10">
      <c r="A390" s="15">
        <v>40661</v>
      </c>
      <c r="B390" s="11">
        <v>1.9964999999999999</v>
      </c>
      <c r="C390" s="11">
        <f t="shared" si="35"/>
        <v>1.7000000000000348E-3</v>
      </c>
      <c r="D390" s="12">
        <f t="shared" si="36"/>
        <v>2.8900000000001184E-6</v>
      </c>
      <c r="E390" s="12">
        <f t="shared" si="37"/>
        <v>5.1839999999998176E-5</v>
      </c>
      <c r="F390" s="12">
        <f t="shared" si="38"/>
        <v>2.7348606473176393E-5</v>
      </c>
      <c r="G390" s="12">
        <f t="shared" si="39"/>
        <v>4.2816476202941551</v>
      </c>
      <c r="I390" s="12">
        <f t="shared" si="40"/>
        <v>5.2295895128754025E-3</v>
      </c>
      <c r="J390" s="12">
        <f t="shared" si="41"/>
        <v>5.4233926257759718E-3</v>
      </c>
    </row>
    <row r="391" spans="1:10">
      <c r="A391" s="15">
        <v>40662</v>
      </c>
      <c r="B391" s="11">
        <v>1.996</v>
      </c>
      <c r="C391" s="11">
        <f t="shared" si="35"/>
        <v>-4.9999999999994493E-4</v>
      </c>
      <c r="D391" s="12">
        <f t="shared" si="36"/>
        <v>2.4999999999994493E-7</v>
      </c>
      <c r="E391" s="12">
        <f t="shared" si="37"/>
        <v>2.8900000000001184E-6</v>
      </c>
      <c r="F391" s="12">
        <f t="shared" si="38"/>
        <v>2.5993538823755362E-5</v>
      </c>
      <c r="G391" s="12">
        <f t="shared" si="39"/>
        <v>4.3550838508622975</v>
      </c>
      <c r="I391" s="12">
        <f t="shared" si="40"/>
        <v>5.0983859037694824E-3</v>
      </c>
      <c r="J391" s="12">
        <f t="shared" si="41"/>
        <v>5.4233926257759718E-3</v>
      </c>
    </row>
    <row r="392" spans="1:10">
      <c r="A392" s="15">
        <v>40663</v>
      </c>
      <c r="B392" s="11">
        <v>1.9966999999999999</v>
      </c>
      <c r="C392" s="11">
        <f t="shared" si="35"/>
        <v>6.9999999999992291E-4</v>
      </c>
      <c r="D392" s="12">
        <f t="shared" si="36"/>
        <v>4.8999999999989208E-7</v>
      </c>
      <c r="E392" s="12">
        <f t="shared" si="37"/>
        <v>2.4999999999994493E-7</v>
      </c>
      <c r="F392" s="12">
        <f t="shared" si="38"/>
        <v>2.4628568383570077E-5</v>
      </c>
      <c r="G392" s="12">
        <f t="shared" si="39"/>
        <v>4.3769153985688085</v>
      </c>
      <c r="I392" s="12">
        <f t="shared" si="40"/>
        <v>4.9627178424296982E-3</v>
      </c>
      <c r="J392" s="12">
        <f t="shared" si="41"/>
        <v>5.4233926257759718E-3</v>
      </c>
    </row>
    <row r="393" spans="1:10">
      <c r="A393" s="15">
        <v>40664</v>
      </c>
      <c r="B393" s="11">
        <v>1.9982</v>
      </c>
      <c r="C393" s="11">
        <f t="shared" si="35"/>
        <v>1.5000000000000568E-3</v>
      </c>
      <c r="D393" s="12">
        <f t="shared" si="36"/>
        <v>2.2500000000001707E-6</v>
      </c>
      <c r="E393" s="12">
        <f t="shared" si="37"/>
        <v>4.8999999999989208E-7</v>
      </c>
      <c r="F393" s="12">
        <f t="shared" si="38"/>
        <v>2.3425458658794186E-5</v>
      </c>
      <c r="G393" s="12">
        <f t="shared" si="39"/>
        <v>4.3638803611393389</v>
      </c>
      <c r="I393" s="12">
        <f t="shared" si="40"/>
        <v>4.8399853986137381E-3</v>
      </c>
      <c r="J393" s="12">
        <f t="shared" si="41"/>
        <v>5.4233926257759718E-3</v>
      </c>
    </row>
    <row r="394" spans="1:10">
      <c r="A394" s="15">
        <v>40665</v>
      </c>
      <c r="B394" s="11">
        <v>1.9970000000000001</v>
      </c>
      <c r="C394" s="11">
        <f t="shared" si="35"/>
        <v>-1.1999999999998678E-3</v>
      </c>
      <c r="D394" s="12">
        <f t="shared" si="36"/>
        <v>1.4399999999996828E-6</v>
      </c>
      <c r="E394" s="12">
        <f t="shared" si="37"/>
        <v>2.2500000000001707E-6</v>
      </c>
      <c r="F394" s="12">
        <f t="shared" si="38"/>
        <v>2.2456790320579498E-5</v>
      </c>
      <c r="G394" s="12">
        <f t="shared" si="39"/>
        <v>4.4009586500682465</v>
      </c>
      <c r="I394" s="12">
        <f t="shared" si="40"/>
        <v>4.7388596012732324E-3</v>
      </c>
      <c r="J394" s="12">
        <f t="shared" si="41"/>
        <v>5.4233926257759718E-3</v>
      </c>
    </row>
    <row r="395" spans="1:10">
      <c r="A395" s="15">
        <v>40666</v>
      </c>
      <c r="B395" s="11">
        <v>1.9968999999999999</v>
      </c>
      <c r="C395" s="11">
        <f t="shared" si="35"/>
        <v>-1.0000000000021103E-4</v>
      </c>
      <c r="D395" s="12">
        <f t="shared" si="36"/>
        <v>1.0000000000042206E-8</v>
      </c>
      <c r="E395" s="12">
        <f t="shared" si="37"/>
        <v>1.4399999999996828E-6</v>
      </c>
      <c r="F395" s="12">
        <f t="shared" si="38"/>
        <v>2.1544886721460414E-5</v>
      </c>
      <c r="G395" s="12">
        <f t="shared" si="39"/>
        <v>4.4535154081196104</v>
      </c>
      <c r="I395" s="12">
        <f t="shared" si="40"/>
        <v>4.6416469837182164E-3</v>
      </c>
      <c r="J395" s="12">
        <f t="shared" si="41"/>
        <v>5.4233926257759718E-3</v>
      </c>
    </row>
    <row r="396" spans="1:10">
      <c r="A396" s="15">
        <v>40667</v>
      </c>
      <c r="B396" s="11">
        <v>1.9971000000000001</v>
      </c>
      <c r="C396" s="11">
        <f t="shared" si="35"/>
        <v>2.0000000000020002E-4</v>
      </c>
      <c r="D396" s="12">
        <f t="shared" si="36"/>
        <v>4.0000000000080006E-8</v>
      </c>
      <c r="E396" s="12">
        <f t="shared" si="37"/>
        <v>1.0000000000042206E-8</v>
      </c>
      <c r="F396" s="12">
        <f t="shared" si="38"/>
        <v>2.0646861856499605E-5</v>
      </c>
      <c r="G396" s="12">
        <f t="shared" si="39"/>
        <v>4.4740663983563254</v>
      </c>
      <c r="I396" s="12">
        <f t="shared" si="40"/>
        <v>4.5438818048558005E-3</v>
      </c>
      <c r="J396" s="12">
        <f t="shared" si="41"/>
        <v>5.4233926257759718E-3</v>
      </c>
    </row>
    <row r="397" spans="1:10">
      <c r="A397" s="15">
        <v>40668</v>
      </c>
      <c r="B397" s="11">
        <v>1.9829000000000001</v>
      </c>
      <c r="C397" s="11">
        <f t="shared" si="35"/>
        <v>-1.419999999999999E-2</v>
      </c>
      <c r="D397" s="12">
        <f t="shared" si="36"/>
        <v>2.0163999999999973E-4</v>
      </c>
      <c r="E397" s="12">
        <f t="shared" si="37"/>
        <v>4.0000000000080006E-8</v>
      </c>
      <c r="F397" s="12">
        <f t="shared" si="38"/>
        <v>1.9847746160150507E-5</v>
      </c>
      <c r="G397" s="12">
        <f t="shared" si="39"/>
        <v>-0.58489845301824794</v>
      </c>
      <c r="I397" s="12">
        <f t="shared" si="40"/>
        <v>4.4550809375532678E-3</v>
      </c>
      <c r="J397" s="12">
        <f t="shared" si="41"/>
        <v>5.4233926257759718E-3</v>
      </c>
    </row>
    <row r="398" spans="1:10">
      <c r="A398" s="15">
        <v>40669</v>
      </c>
      <c r="B398" s="11">
        <v>1.9719</v>
      </c>
      <c r="C398" s="11">
        <f t="shared" ref="C398:C461" si="42">B398-B397</f>
        <v>-1.1000000000000121E-2</v>
      </c>
      <c r="D398" s="12">
        <f t="shared" ref="D398:D461" si="43">C398^2</f>
        <v>1.2100000000000266E-4</v>
      </c>
      <c r="E398" s="12">
        <f t="shared" si="37"/>
        <v>2.0163999999999973E-4</v>
      </c>
      <c r="F398" s="12">
        <f t="shared" si="38"/>
        <v>3.108353232908452E-5</v>
      </c>
      <c r="G398" s="12">
        <f t="shared" si="39"/>
        <v>2.3241094160835458</v>
      </c>
      <c r="I398" s="12">
        <f t="shared" si="40"/>
        <v>5.5752607409057129E-3</v>
      </c>
      <c r="J398" s="12">
        <f t="shared" si="41"/>
        <v>5.4233926257759718E-3</v>
      </c>
    </row>
    <row r="399" spans="1:10">
      <c r="A399" s="15">
        <v>40670</v>
      </c>
      <c r="B399" s="11">
        <v>1.9812000000000001</v>
      </c>
      <c r="C399" s="11">
        <f t="shared" si="42"/>
        <v>9.300000000000086E-3</v>
      </c>
      <c r="D399" s="12">
        <f t="shared" si="43"/>
        <v>8.6490000000001593E-5</v>
      </c>
      <c r="E399" s="12">
        <f t="shared" ref="E399:E462" si="44">D398</f>
        <v>1.2100000000000266E-4</v>
      </c>
      <c r="F399" s="12">
        <f t="shared" ref="F399:F462" si="45">$B$5+$B$6*E399+$B$7*F398</f>
        <v>3.632465890495367E-5</v>
      </c>
      <c r="G399" s="12">
        <f t="shared" ref="G399:G462" si="46">LN((1/SQRT(2*3.1415927*F399))*EXP(-0.5*D399/F399))</f>
        <v>3.002054740890288</v>
      </c>
      <c r="I399" s="12">
        <f t="shared" ref="I399:I462" si="47">SQRT(F399)</f>
        <v>6.0269941849112208E-3</v>
      </c>
      <c r="J399" s="12">
        <f t="shared" si="41"/>
        <v>5.4233926257759718E-3</v>
      </c>
    </row>
    <row r="400" spans="1:10">
      <c r="A400" s="15">
        <v>40672</v>
      </c>
      <c r="B400" s="11">
        <v>1.9764999999999999</v>
      </c>
      <c r="C400" s="11">
        <f t="shared" si="42"/>
        <v>-4.7000000000001485E-3</v>
      </c>
      <c r="D400" s="12">
        <f t="shared" si="43"/>
        <v>2.2090000000001396E-5</v>
      </c>
      <c r="E400" s="12">
        <f t="shared" si="44"/>
        <v>8.6490000000001593E-5</v>
      </c>
      <c r="F400" s="12">
        <f t="shared" si="45"/>
        <v>3.8953555299857357E-5</v>
      </c>
      <c r="G400" s="12">
        <f t="shared" si="46"/>
        <v>3.8740889186218888</v>
      </c>
      <c r="I400" s="12">
        <f t="shared" si="47"/>
        <v>6.2412783385983805E-3</v>
      </c>
      <c r="J400" s="12">
        <f t="shared" ref="J400:J463" si="48">J399</f>
        <v>5.4233926257759718E-3</v>
      </c>
    </row>
    <row r="401" spans="1:10">
      <c r="A401" s="15">
        <v>40673</v>
      </c>
      <c r="B401" s="11">
        <v>1.9786999999999999</v>
      </c>
      <c r="C401" s="11">
        <f t="shared" si="42"/>
        <v>2.1999999999999797E-3</v>
      </c>
      <c r="D401" s="12">
        <f t="shared" si="43"/>
        <v>4.8399999999999113E-6</v>
      </c>
      <c r="E401" s="12">
        <f t="shared" si="44"/>
        <v>2.2090000000001396E-5</v>
      </c>
      <c r="F401" s="12">
        <f t="shared" si="45"/>
        <v>3.7481236064620599E-5</v>
      </c>
      <c r="G401" s="12">
        <f t="shared" si="46"/>
        <v>4.1123308801751008</v>
      </c>
      <c r="I401" s="12">
        <f t="shared" si="47"/>
        <v>6.1221920963508321E-3</v>
      </c>
      <c r="J401" s="12">
        <f t="shared" si="48"/>
        <v>5.4233926257759718E-3</v>
      </c>
    </row>
    <row r="402" spans="1:10">
      <c r="A402" s="15">
        <v>40674</v>
      </c>
      <c r="B402" s="11">
        <v>1.9655</v>
      </c>
      <c r="C402" s="11">
        <f t="shared" si="42"/>
        <v>-1.3199999999999878E-2</v>
      </c>
      <c r="D402" s="12">
        <f t="shared" si="43"/>
        <v>1.7423999999999679E-4</v>
      </c>
      <c r="E402" s="12">
        <f t="shared" si="44"/>
        <v>4.8399999999999113E-6</v>
      </c>
      <c r="F402" s="12">
        <f t="shared" si="45"/>
        <v>3.5145787686690941E-5</v>
      </c>
      <c r="G402" s="12">
        <f t="shared" si="46"/>
        <v>1.7302466689824434</v>
      </c>
      <c r="I402" s="12">
        <f t="shared" si="47"/>
        <v>5.9283882874429658E-3</v>
      </c>
      <c r="J402" s="12">
        <f t="shared" si="48"/>
        <v>5.4233926257759718E-3</v>
      </c>
    </row>
    <row r="403" spans="1:10">
      <c r="A403" s="15">
        <v>40675</v>
      </c>
      <c r="B403" s="11">
        <v>1.9697</v>
      </c>
      <c r="C403" s="11">
        <f t="shared" si="42"/>
        <v>4.1999999999999815E-3</v>
      </c>
      <c r="D403" s="12">
        <f t="shared" si="43"/>
        <v>1.7639999999999845E-5</v>
      </c>
      <c r="E403" s="12">
        <f t="shared" si="44"/>
        <v>1.7423999999999679E-4</v>
      </c>
      <c r="F403" s="12">
        <f t="shared" si="45"/>
        <v>4.3102976210071725E-5</v>
      </c>
      <c r="G403" s="12">
        <f t="shared" si="46"/>
        <v>3.9023944731777518</v>
      </c>
      <c r="I403" s="12">
        <f t="shared" si="47"/>
        <v>6.5652856914281896E-3</v>
      </c>
      <c r="J403" s="12">
        <f t="shared" si="48"/>
        <v>5.4233926257759718E-3</v>
      </c>
    </row>
    <row r="404" spans="1:10">
      <c r="A404" s="15">
        <v>40676</v>
      </c>
      <c r="B404" s="11">
        <v>1.9642999999999999</v>
      </c>
      <c r="C404" s="11">
        <f t="shared" si="42"/>
        <v>-5.4000000000000714E-3</v>
      </c>
      <c r="D404" s="12">
        <f t="shared" si="43"/>
        <v>2.9160000000000771E-5</v>
      </c>
      <c r="E404" s="12">
        <f t="shared" si="44"/>
        <v>1.7639999999999845E-5</v>
      </c>
      <c r="F404" s="12">
        <f t="shared" si="45"/>
        <v>4.0918108644823867E-5</v>
      </c>
      <c r="G404" s="12">
        <f t="shared" si="46"/>
        <v>3.7767089239836347</v>
      </c>
      <c r="I404" s="12">
        <f t="shared" si="47"/>
        <v>6.3967264006539988E-3</v>
      </c>
      <c r="J404" s="12">
        <f t="shared" si="48"/>
        <v>5.4233926257759718E-3</v>
      </c>
    </row>
    <row r="405" spans="1:10">
      <c r="A405" s="15">
        <v>40677</v>
      </c>
      <c r="B405" s="11">
        <v>1.9554</v>
      </c>
      <c r="C405" s="11">
        <f t="shared" si="42"/>
        <v>-8.899999999999908E-3</v>
      </c>
      <c r="D405" s="12">
        <f t="shared" si="43"/>
        <v>7.9209999999998356E-5</v>
      </c>
      <c r="E405" s="12">
        <f t="shared" si="44"/>
        <v>2.9160000000000771E-5</v>
      </c>
      <c r="F405" s="12">
        <f t="shared" si="45"/>
        <v>3.9652327836162554E-5</v>
      </c>
      <c r="G405" s="12">
        <f t="shared" si="46"/>
        <v>3.1499354805879869</v>
      </c>
      <c r="I405" s="12">
        <f t="shared" si="47"/>
        <v>6.2970094359277046E-3</v>
      </c>
      <c r="J405" s="12">
        <f t="shared" si="48"/>
        <v>5.4233926257759718E-3</v>
      </c>
    </row>
    <row r="406" spans="1:10">
      <c r="A406" s="15">
        <v>40678</v>
      </c>
      <c r="B406" s="11">
        <v>1.9593</v>
      </c>
      <c r="C406" s="11">
        <f t="shared" si="42"/>
        <v>3.9000000000000146E-3</v>
      </c>
      <c r="D406" s="12">
        <f t="shared" si="43"/>
        <v>1.5210000000000114E-5</v>
      </c>
      <c r="E406" s="12">
        <f t="shared" si="44"/>
        <v>7.9209999999998356E-5</v>
      </c>
      <c r="F406" s="12">
        <f t="shared" si="45"/>
        <v>4.1489828282298667E-5</v>
      </c>
      <c r="G406" s="12">
        <f t="shared" si="46"/>
        <v>3.9427946519375729</v>
      </c>
      <c r="I406" s="12">
        <f t="shared" si="47"/>
        <v>6.4412598365768993E-3</v>
      </c>
      <c r="J406" s="12">
        <f t="shared" si="48"/>
        <v>5.4233926257759718E-3</v>
      </c>
    </row>
    <row r="407" spans="1:10">
      <c r="A407" s="15">
        <v>40679</v>
      </c>
      <c r="B407" s="11">
        <v>1.9698</v>
      </c>
      <c r="C407" s="11">
        <f t="shared" si="42"/>
        <v>1.0499999999999954E-2</v>
      </c>
      <c r="D407" s="12">
        <f t="shared" si="43"/>
        <v>1.1024999999999903E-4</v>
      </c>
      <c r="E407" s="12">
        <f t="shared" si="44"/>
        <v>1.5210000000000114E-5</v>
      </c>
      <c r="F407" s="12">
        <f t="shared" si="45"/>
        <v>3.9335418427379315E-5</v>
      </c>
      <c r="G407" s="12">
        <f t="shared" si="46"/>
        <v>2.7513453048059966</v>
      </c>
      <c r="I407" s="12">
        <f t="shared" si="47"/>
        <v>6.2717954707866008E-3</v>
      </c>
      <c r="J407" s="12">
        <f t="shared" si="48"/>
        <v>5.4233926257759718E-3</v>
      </c>
    </row>
    <row r="408" spans="1:10">
      <c r="A408" s="15">
        <v>40680</v>
      </c>
      <c r="B408" s="11">
        <v>1.974</v>
      </c>
      <c r="C408" s="11">
        <f t="shared" si="42"/>
        <v>4.1999999999999815E-3</v>
      </c>
      <c r="D408" s="12">
        <f t="shared" si="43"/>
        <v>1.7639999999999845E-5</v>
      </c>
      <c r="E408" s="12">
        <f t="shared" si="44"/>
        <v>1.1024999999999903E-4</v>
      </c>
      <c r="F408" s="12">
        <f t="shared" si="45"/>
        <v>4.3046880946076254E-5</v>
      </c>
      <c r="G408" s="12">
        <f t="shared" si="46"/>
        <v>3.9027789565540902</v>
      </c>
      <c r="I408" s="12">
        <f t="shared" si="47"/>
        <v>6.5610121891424844E-3</v>
      </c>
      <c r="J408" s="12">
        <f t="shared" si="48"/>
        <v>5.4233926257759718E-3</v>
      </c>
    </row>
    <row r="409" spans="1:10">
      <c r="A409" s="15">
        <v>40681</v>
      </c>
      <c r="B409" s="11">
        <v>1.9724999999999999</v>
      </c>
      <c r="C409" s="11">
        <f t="shared" si="42"/>
        <v>-1.5000000000000568E-3</v>
      </c>
      <c r="D409" s="12">
        <f t="shared" si="43"/>
        <v>2.2500000000001707E-6</v>
      </c>
      <c r="E409" s="12">
        <f t="shared" si="44"/>
        <v>1.7639999999999845E-5</v>
      </c>
      <c r="F409" s="12">
        <f t="shared" si="45"/>
        <v>4.086808069163459E-5</v>
      </c>
      <c r="G409" s="12">
        <f t="shared" si="46"/>
        <v>4.1061144751613634</v>
      </c>
      <c r="I409" s="12">
        <f t="shared" si="47"/>
        <v>6.3928147706338711E-3</v>
      </c>
      <c r="J409" s="12">
        <f t="shared" si="48"/>
        <v>5.4233926257759718E-3</v>
      </c>
    </row>
    <row r="410" spans="1:10">
      <c r="A410" s="15">
        <v>40682</v>
      </c>
      <c r="B410" s="11">
        <v>1.9764999999999999</v>
      </c>
      <c r="C410" s="11">
        <f t="shared" si="42"/>
        <v>4.0000000000000036E-3</v>
      </c>
      <c r="D410" s="12">
        <f t="shared" si="43"/>
        <v>1.600000000000003E-5</v>
      </c>
      <c r="E410" s="12">
        <f t="shared" si="44"/>
        <v>2.2500000000001707E-6</v>
      </c>
      <c r="F410" s="12">
        <f t="shared" si="45"/>
        <v>3.8012803723558676E-5</v>
      </c>
      <c r="G410" s="12">
        <f t="shared" si="46"/>
        <v>3.9593998119311866</v>
      </c>
      <c r="I410" s="12">
        <f t="shared" si="47"/>
        <v>6.1654524346197561E-3</v>
      </c>
      <c r="J410" s="12">
        <f t="shared" si="48"/>
        <v>5.4233926257759718E-3</v>
      </c>
    </row>
    <row r="411" spans="1:10">
      <c r="A411" s="15">
        <v>40683</v>
      </c>
      <c r="B411" s="11">
        <v>1.9656</v>
      </c>
      <c r="C411" s="11">
        <f t="shared" si="42"/>
        <v>-1.089999999999991E-2</v>
      </c>
      <c r="D411" s="12">
        <f t="shared" si="43"/>
        <v>1.1880999999999803E-4</v>
      </c>
      <c r="E411" s="12">
        <f t="shared" si="44"/>
        <v>1.600000000000003E-5</v>
      </c>
      <c r="F411" s="12">
        <f t="shared" si="45"/>
        <v>3.6281293638332217E-5</v>
      </c>
      <c r="G411" s="12">
        <f t="shared" si="46"/>
        <v>2.555820452361004</v>
      </c>
      <c r="I411" s="12">
        <f t="shared" si="47"/>
        <v>6.0233955239824832E-3</v>
      </c>
      <c r="J411" s="12">
        <f t="shared" si="48"/>
        <v>5.4233926257759718E-3</v>
      </c>
    </row>
    <row r="412" spans="1:10">
      <c r="A412" s="15">
        <v>40684</v>
      </c>
      <c r="B412" s="11">
        <v>1.9661999999999999</v>
      </c>
      <c r="C412" s="11">
        <f t="shared" si="42"/>
        <v>5.9999999999993392E-4</v>
      </c>
      <c r="D412" s="12">
        <f t="shared" si="43"/>
        <v>3.5999999999992069E-7</v>
      </c>
      <c r="E412" s="12">
        <f t="shared" si="44"/>
        <v>1.1880999999999803E-4</v>
      </c>
      <c r="F412" s="12">
        <f t="shared" si="45"/>
        <v>4.0830428636163015E-5</v>
      </c>
      <c r="G412" s="12">
        <f t="shared" si="46"/>
        <v>4.1296944598540399</v>
      </c>
      <c r="I412" s="12">
        <f t="shared" si="47"/>
        <v>6.3898692190187288E-3</v>
      </c>
      <c r="J412" s="12">
        <f t="shared" si="48"/>
        <v>5.4233926257759718E-3</v>
      </c>
    </row>
    <row r="413" spans="1:10">
      <c r="A413" s="15">
        <v>40685</v>
      </c>
      <c r="B413" s="11">
        <v>1.9661999999999999</v>
      </c>
      <c r="C413" s="11">
        <f t="shared" si="42"/>
        <v>0</v>
      </c>
      <c r="D413" s="12">
        <f t="shared" si="43"/>
        <v>0</v>
      </c>
      <c r="E413" s="12">
        <f t="shared" si="44"/>
        <v>3.5999999999992069E-7</v>
      </c>
      <c r="F413" s="12">
        <f t="shared" si="45"/>
        <v>3.7867207250602342E-5</v>
      </c>
      <c r="G413" s="12">
        <f t="shared" si="46"/>
        <v>4.1717739916404222</v>
      </c>
      <c r="I413" s="12">
        <f t="shared" si="47"/>
        <v>6.1536336623658665E-3</v>
      </c>
      <c r="J413" s="12">
        <f t="shared" si="48"/>
        <v>5.4233926257759718E-3</v>
      </c>
    </row>
    <row r="414" spans="1:10">
      <c r="A414" s="15">
        <v>40686</v>
      </c>
      <c r="B414" s="11">
        <v>1.9612000000000001</v>
      </c>
      <c r="C414" s="11">
        <f t="shared" si="42"/>
        <v>-4.9999999999998934E-3</v>
      </c>
      <c r="D414" s="12">
        <f t="shared" si="43"/>
        <v>2.4999999999998934E-5</v>
      </c>
      <c r="E414" s="12">
        <f t="shared" si="44"/>
        <v>0</v>
      </c>
      <c r="F414" s="12">
        <f t="shared" si="45"/>
        <v>3.5203153824137782E-5</v>
      </c>
      <c r="G414" s="12">
        <f t="shared" si="46"/>
        <v>3.8531670784581173</v>
      </c>
      <c r="I414" s="12">
        <f t="shared" si="47"/>
        <v>5.9332245721983069E-3</v>
      </c>
      <c r="J414" s="12">
        <f t="shared" si="48"/>
        <v>5.4233926257759718E-3</v>
      </c>
    </row>
    <row r="415" spans="1:10">
      <c r="A415" s="15">
        <v>40687</v>
      </c>
      <c r="B415" s="11">
        <v>1.9636</v>
      </c>
      <c r="C415" s="11">
        <f t="shared" si="42"/>
        <v>2.3999999999999577E-3</v>
      </c>
      <c r="D415" s="12">
        <f t="shared" si="43"/>
        <v>5.7599999999997975E-6</v>
      </c>
      <c r="E415" s="12">
        <f t="shared" si="44"/>
        <v>2.4999999999998934E-5</v>
      </c>
      <c r="F415" s="12">
        <f t="shared" si="45"/>
        <v>3.4308951616310489E-5</v>
      </c>
      <c r="G415" s="12">
        <f t="shared" si="46"/>
        <v>4.1371704811965984</v>
      </c>
      <c r="I415" s="12">
        <f t="shared" si="47"/>
        <v>5.85738436644809E-3</v>
      </c>
      <c r="J415" s="12">
        <f t="shared" si="48"/>
        <v>5.4233926257759718E-3</v>
      </c>
    </row>
    <row r="416" spans="1:10">
      <c r="A416" s="15">
        <v>40688</v>
      </c>
      <c r="B416" s="11">
        <v>1.9632000000000001</v>
      </c>
      <c r="C416" s="11">
        <f t="shared" si="42"/>
        <v>-3.9999999999995595E-4</v>
      </c>
      <c r="D416" s="12">
        <f t="shared" si="43"/>
        <v>1.5999999999996475E-7</v>
      </c>
      <c r="E416" s="12">
        <f t="shared" si="44"/>
        <v>5.7599999999997975E-6</v>
      </c>
      <c r="F416" s="12">
        <f t="shared" si="45"/>
        <v>3.2371146927935326E-5</v>
      </c>
      <c r="G416" s="12">
        <f t="shared" si="46"/>
        <v>4.2477116522328027</v>
      </c>
      <c r="I416" s="12">
        <f t="shared" si="47"/>
        <v>5.6895647397613228E-3</v>
      </c>
      <c r="J416" s="12">
        <f t="shared" si="48"/>
        <v>5.4233926257759718E-3</v>
      </c>
    </row>
    <row r="417" spans="1:10">
      <c r="A417" s="15">
        <v>40689</v>
      </c>
      <c r="B417" s="11">
        <v>1.9661999999999999</v>
      </c>
      <c r="C417" s="11">
        <f t="shared" si="42"/>
        <v>2.9999999999998916E-3</v>
      </c>
      <c r="D417" s="12">
        <f t="shared" si="43"/>
        <v>8.9999999999993497E-6</v>
      </c>
      <c r="E417" s="12">
        <f t="shared" si="44"/>
        <v>1.5999999999996475E-7</v>
      </c>
      <c r="F417" s="12">
        <f t="shared" si="45"/>
        <v>3.0311034907818726E-5</v>
      </c>
      <c r="G417" s="12">
        <f t="shared" si="46"/>
        <v>4.1346000373019445</v>
      </c>
      <c r="I417" s="12">
        <f t="shared" si="47"/>
        <v>5.5055458319605991E-3</v>
      </c>
      <c r="J417" s="12">
        <f t="shared" si="48"/>
        <v>5.4233926257759718E-3</v>
      </c>
    </row>
    <row r="418" spans="1:10">
      <c r="A418" s="15">
        <v>40690</v>
      </c>
      <c r="B418" s="11">
        <v>1.9777</v>
      </c>
      <c r="C418" s="11">
        <f t="shared" si="42"/>
        <v>1.1500000000000066E-2</v>
      </c>
      <c r="D418" s="12">
        <f t="shared" si="43"/>
        <v>1.3225000000000151E-4</v>
      </c>
      <c r="E418" s="12">
        <f t="shared" si="44"/>
        <v>8.9999999999993497E-6</v>
      </c>
      <c r="F418" s="12">
        <f t="shared" si="45"/>
        <v>2.8997677207588143E-5</v>
      </c>
      <c r="G418" s="12">
        <f t="shared" si="46"/>
        <v>2.0248538113731787</v>
      </c>
      <c r="I418" s="12">
        <f t="shared" si="47"/>
        <v>5.3849491369546048E-3</v>
      </c>
      <c r="J418" s="12">
        <f t="shared" si="48"/>
        <v>5.4233926257759718E-3</v>
      </c>
    </row>
    <row r="419" spans="1:10">
      <c r="A419" s="15">
        <v>40691</v>
      </c>
      <c r="B419" s="11">
        <v>1.9634</v>
      </c>
      <c r="C419" s="11">
        <f t="shared" si="42"/>
        <v>-1.4299999999999979E-2</v>
      </c>
      <c r="D419" s="12">
        <f t="shared" si="43"/>
        <v>2.0448999999999942E-4</v>
      </c>
      <c r="E419" s="12">
        <f t="shared" si="44"/>
        <v>1.3225000000000151E-4</v>
      </c>
      <c r="F419" s="12">
        <f t="shared" si="45"/>
        <v>3.5131178857449684E-5</v>
      </c>
      <c r="G419" s="12">
        <f t="shared" si="46"/>
        <v>1.298894513410852</v>
      </c>
      <c r="I419" s="12">
        <f t="shared" si="47"/>
        <v>5.9271560513833007E-3</v>
      </c>
      <c r="J419" s="12">
        <f t="shared" si="48"/>
        <v>5.4233926257759718E-3</v>
      </c>
    </row>
    <row r="420" spans="1:10">
      <c r="A420" s="15">
        <v>40693</v>
      </c>
      <c r="B420" s="11">
        <v>1.9736</v>
      </c>
      <c r="C420" s="11">
        <f t="shared" si="42"/>
        <v>1.0199999999999987E-2</v>
      </c>
      <c r="D420" s="12">
        <f t="shared" si="43"/>
        <v>1.0403999999999973E-4</v>
      </c>
      <c r="E420" s="12">
        <f t="shared" si="44"/>
        <v>2.0448999999999942E-4</v>
      </c>
      <c r="F420" s="12">
        <f t="shared" si="45"/>
        <v>4.488281049223208E-5</v>
      </c>
      <c r="G420" s="12">
        <f t="shared" si="46"/>
        <v>2.9277709689667977</v>
      </c>
      <c r="I420" s="12">
        <f t="shared" si="47"/>
        <v>6.6994634480853823E-3</v>
      </c>
      <c r="J420" s="12">
        <f t="shared" si="48"/>
        <v>5.4233926257759718E-3</v>
      </c>
    </row>
    <row r="421" spans="1:10">
      <c r="A421" s="15">
        <v>40694</v>
      </c>
      <c r="B421" s="11">
        <v>1.9796</v>
      </c>
      <c r="C421" s="11">
        <f t="shared" si="42"/>
        <v>6.0000000000000053E-3</v>
      </c>
      <c r="D421" s="12">
        <f t="shared" si="43"/>
        <v>3.6000000000000062E-5</v>
      </c>
      <c r="E421" s="12">
        <f t="shared" si="44"/>
        <v>1.0403999999999973E-4</v>
      </c>
      <c r="F421" s="12">
        <f t="shared" si="45"/>
        <v>4.762620691865408E-5</v>
      </c>
      <c r="G421" s="12">
        <f t="shared" si="46"/>
        <v>3.6791819727435446</v>
      </c>
      <c r="I421" s="12">
        <f t="shared" si="47"/>
        <v>6.9011743144666389E-3</v>
      </c>
      <c r="J421" s="12">
        <f t="shared" si="48"/>
        <v>5.4233926257759718E-3</v>
      </c>
    </row>
    <row r="422" spans="1:10">
      <c r="A422" s="15">
        <v>40695</v>
      </c>
      <c r="B422" s="11">
        <v>1.9745999999999999</v>
      </c>
      <c r="C422" s="11">
        <f t="shared" si="42"/>
        <v>-5.0000000000001155E-3</v>
      </c>
      <c r="D422" s="12">
        <f t="shared" si="43"/>
        <v>2.5000000000001153E-5</v>
      </c>
      <c r="E422" s="12">
        <f t="shared" si="44"/>
        <v>3.6000000000000062E-5</v>
      </c>
      <c r="F422" s="12">
        <f t="shared" si="45"/>
        <v>4.6040267052517151E-5</v>
      </c>
      <c r="G422" s="12">
        <f t="shared" si="46"/>
        <v>3.8025570802452262</v>
      </c>
      <c r="I422" s="12">
        <f t="shared" si="47"/>
        <v>6.7852978602650268E-3</v>
      </c>
      <c r="J422" s="12">
        <f t="shared" si="48"/>
        <v>5.4233926257759718E-3</v>
      </c>
    </row>
    <row r="423" spans="1:10">
      <c r="A423" s="15">
        <v>40696</v>
      </c>
      <c r="B423" s="11">
        <v>1.9709000000000001</v>
      </c>
      <c r="C423" s="11">
        <f t="shared" si="42"/>
        <v>-3.6999999999998145E-3</v>
      </c>
      <c r="D423" s="12">
        <f t="shared" si="43"/>
        <v>1.3689999999998627E-5</v>
      </c>
      <c r="E423" s="12">
        <f t="shared" si="44"/>
        <v>2.5000000000001153E-5</v>
      </c>
      <c r="F423" s="12">
        <f t="shared" si="45"/>
        <v>4.3973913587788951E-5</v>
      </c>
      <c r="G423" s="12">
        <f t="shared" si="46"/>
        <v>3.9413579771356888</v>
      </c>
      <c r="I423" s="12">
        <f t="shared" si="47"/>
        <v>6.6312829518720548E-3</v>
      </c>
      <c r="J423" s="12">
        <f t="shared" si="48"/>
        <v>5.4233926257759718E-3</v>
      </c>
    </row>
    <row r="424" spans="1:10">
      <c r="A424" s="15">
        <v>40697</v>
      </c>
      <c r="B424" s="11">
        <v>1.9876</v>
      </c>
      <c r="C424" s="11">
        <f t="shared" si="42"/>
        <v>1.6699999999999937E-2</v>
      </c>
      <c r="D424" s="12">
        <f t="shared" si="43"/>
        <v>2.7888999999999789E-4</v>
      </c>
      <c r="E424" s="12">
        <f t="shared" si="44"/>
        <v>1.3689999999998627E-5</v>
      </c>
      <c r="F424" s="12">
        <f t="shared" si="45"/>
        <v>4.1460735320690153E-5</v>
      </c>
      <c r="G424" s="12">
        <f t="shared" si="46"/>
        <v>0.763140690650012</v>
      </c>
      <c r="I424" s="12">
        <f t="shared" si="47"/>
        <v>6.4390011120274045E-3</v>
      </c>
      <c r="J424" s="12">
        <f t="shared" si="48"/>
        <v>5.4233926257759718E-3</v>
      </c>
    </row>
    <row r="425" spans="1:10">
      <c r="A425" s="15">
        <v>40698</v>
      </c>
      <c r="B425" s="11">
        <v>1.9856</v>
      </c>
      <c r="C425" s="11">
        <f t="shared" si="42"/>
        <v>-2.0000000000000018E-3</v>
      </c>
      <c r="D425" s="12">
        <f t="shared" si="43"/>
        <v>4.0000000000000074E-6</v>
      </c>
      <c r="E425" s="12">
        <f t="shared" si="44"/>
        <v>2.7888999999999789E-4</v>
      </c>
      <c r="F425" s="12">
        <f t="shared" si="45"/>
        <v>5.4937310796342139E-5</v>
      </c>
      <c r="G425" s="12">
        <f t="shared" si="46"/>
        <v>3.9493152415945483</v>
      </c>
      <c r="I425" s="12">
        <f t="shared" si="47"/>
        <v>7.4119707768138254E-3</v>
      </c>
      <c r="J425" s="12">
        <f t="shared" si="48"/>
        <v>5.4233926257759718E-3</v>
      </c>
    </row>
    <row r="426" spans="1:10">
      <c r="A426" s="15">
        <v>40700</v>
      </c>
      <c r="B426" s="11">
        <v>1.9819</v>
      </c>
      <c r="C426" s="11">
        <f t="shared" si="42"/>
        <v>-3.7000000000000366E-3</v>
      </c>
      <c r="D426" s="12">
        <f t="shared" si="43"/>
        <v>1.369000000000027E-5</v>
      </c>
      <c r="E426" s="12">
        <f t="shared" si="44"/>
        <v>4.0000000000000074E-6</v>
      </c>
      <c r="F426" s="12">
        <f t="shared" si="45"/>
        <v>5.0664013446517582E-5</v>
      </c>
      <c r="G426" s="12">
        <f t="shared" si="46"/>
        <v>3.8911030468971224</v>
      </c>
      <c r="I426" s="12">
        <f t="shared" si="47"/>
        <v>7.1178657929549067E-3</v>
      </c>
      <c r="J426" s="12">
        <f t="shared" si="48"/>
        <v>5.4233926257759718E-3</v>
      </c>
    </row>
    <row r="427" spans="1:10">
      <c r="A427" s="15">
        <v>40701</v>
      </c>
      <c r="B427" s="11">
        <v>1.9873000000000001</v>
      </c>
      <c r="C427" s="11">
        <f t="shared" si="42"/>
        <v>5.4000000000000714E-3</v>
      </c>
      <c r="D427" s="12">
        <f t="shared" si="43"/>
        <v>2.9160000000000771E-5</v>
      </c>
      <c r="E427" s="12">
        <f t="shared" si="44"/>
        <v>1.369000000000027E-5</v>
      </c>
      <c r="F427" s="12">
        <f t="shared" si="45"/>
        <v>4.7427228367074537E-5</v>
      </c>
      <c r="G427" s="12">
        <f t="shared" si="46"/>
        <v>3.7518001435496382</v>
      </c>
      <c r="I427" s="12">
        <f t="shared" si="47"/>
        <v>6.8867429432987069E-3</v>
      </c>
      <c r="J427" s="12">
        <f t="shared" si="48"/>
        <v>5.4233926257759718E-3</v>
      </c>
    </row>
    <row r="428" spans="1:10">
      <c r="A428" s="15">
        <v>40702</v>
      </c>
      <c r="B428" s="11">
        <v>1.9817</v>
      </c>
      <c r="C428" s="11">
        <f t="shared" si="42"/>
        <v>-5.6000000000000494E-3</v>
      </c>
      <c r="D428" s="12">
        <f t="shared" si="43"/>
        <v>3.1360000000000554E-5</v>
      </c>
      <c r="E428" s="12">
        <f t="shared" si="44"/>
        <v>2.9160000000000771E-5</v>
      </c>
      <c r="F428" s="12">
        <f t="shared" si="45"/>
        <v>4.5457415709435627E-5</v>
      </c>
      <c r="G428" s="12">
        <f t="shared" si="46"/>
        <v>3.7354905351055385</v>
      </c>
      <c r="I428" s="12">
        <f t="shared" si="47"/>
        <v>6.7422114850719146E-3</v>
      </c>
      <c r="J428" s="12">
        <f t="shared" si="48"/>
        <v>5.4233926257759718E-3</v>
      </c>
    </row>
    <row r="429" spans="1:10">
      <c r="A429" s="15">
        <v>40703</v>
      </c>
      <c r="B429" s="11">
        <v>1.9787999999999999</v>
      </c>
      <c r="C429" s="11">
        <f t="shared" si="42"/>
        <v>-2.9000000000001247E-3</v>
      </c>
      <c r="D429" s="12">
        <f t="shared" si="43"/>
        <v>8.4100000000007225E-6</v>
      </c>
      <c r="E429" s="12">
        <f t="shared" si="44"/>
        <v>3.1360000000000554E-5</v>
      </c>
      <c r="F429" s="12">
        <f t="shared" si="45"/>
        <v>4.3831049678074826E-5</v>
      </c>
      <c r="G429" s="12">
        <f t="shared" si="46"/>
        <v>4.0027089497987198</v>
      </c>
      <c r="I429" s="12">
        <f t="shared" si="47"/>
        <v>6.6205022224960263E-3</v>
      </c>
      <c r="J429" s="12">
        <f t="shared" si="48"/>
        <v>5.4233926257759718E-3</v>
      </c>
    </row>
    <row r="430" spans="1:10">
      <c r="A430" s="15">
        <v>40704</v>
      </c>
      <c r="B430" s="11">
        <v>1.9741</v>
      </c>
      <c r="C430" s="11">
        <f t="shared" si="42"/>
        <v>-4.6999999999999265E-3</v>
      </c>
      <c r="D430" s="12">
        <f t="shared" si="43"/>
        <v>2.2089999999999309E-5</v>
      </c>
      <c r="E430" s="12">
        <f t="shared" si="44"/>
        <v>8.4100000000007225E-6</v>
      </c>
      <c r="F430" s="12">
        <f t="shared" si="45"/>
        <v>4.1020387602584432E-5</v>
      </c>
      <c r="G430" s="12">
        <f t="shared" si="46"/>
        <v>3.8625257836701614</v>
      </c>
      <c r="I430" s="12">
        <f t="shared" si="47"/>
        <v>6.404716043868333E-3</v>
      </c>
      <c r="J430" s="12">
        <f t="shared" si="48"/>
        <v>5.4233926257759718E-3</v>
      </c>
    </row>
    <row r="431" spans="1:10">
      <c r="A431" s="15">
        <v>40705</v>
      </c>
      <c r="B431" s="11">
        <v>1.9750000000000001</v>
      </c>
      <c r="C431" s="11">
        <f t="shared" si="42"/>
        <v>9.0000000000012292E-4</v>
      </c>
      <c r="D431" s="12">
        <f t="shared" si="43"/>
        <v>8.1000000000022126E-7</v>
      </c>
      <c r="E431" s="12">
        <f t="shared" si="44"/>
        <v>2.2089999999999309E-5</v>
      </c>
      <c r="F431" s="12">
        <f t="shared" si="45"/>
        <v>3.9324518051835389E-5</v>
      </c>
      <c r="G431" s="12">
        <f t="shared" si="46"/>
        <v>4.1425937233788686</v>
      </c>
      <c r="I431" s="12">
        <f t="shared" si="47"/>
        <v>6.2709264109727355E-3</v>
      </c>
      <c r="J431" s="12">
        <f t="shared" si="48"/>
        <v>5.4233926257759718E-3</v>
      </c>
    </row>
    <row r="432" spans="1:10">
      <c r="A432" s="15">
        <v>40706</v>
      </c>
      <c r="B432" s="11">
        <v>1.9722999999999999</v>
      </c>
      <c r="C432" s="11">
        <f t="shared" si="42"/>
        <v>-2.7000000000001467E-3</v>
      </c>
      <c r="D432" s="12">
        <f t="shared" si="43"/>
        <v>7.2900000000007925E-6</v>
      </c>
      <c r="E432" s="12">
        <f t="shared" si="44"/>
        <v>8.1000000000022126E-7</v>
      </c>
      <c r="F432" s="12">
        <f t="shared" si="45"/>
        <v>3.6550847907604156E-5</v>
      </c>
      <c r="G432" s="12">
        <f t="shared" si="46"/>
        <v>4.0897404574115743</v>
      </c>
      <c r="I432" s="12">
        <f t="shared" si="47"/>
        <v>6.0457297249880563E-3</v>
      </c>
      <c r="J432" s="12">
        <f t="shared" si="48"/>
        <v>5.4233926257759718E-3</v>
      </c>
    </row>
    <row r="433" spans="1:10">
      <c r="A433" s="15">
        <v>40707</v>
      </c>
      <c r="B433" s="11">
        <v>1.9757</v>
      </c>
      <c r="C433" s="11">
        <f t="shared" si="42"/>
        <v>3.4000000000000696E-3</v>
      </c>
      <c r="D433" s="12">
        <f t="shared" si="43"/>
        <v>1.1560000000000474E-5</v>
      </c>
      <c r="E433" s="12">
        <f t="shared" si="44"/>
        <v>7.2900000000007925E-6</v>
      </c>
      <c r="F433" s="12">
        <f t="shared" si="45"/>
        <v>3.4461238179755325E-5</v>
      </c>
      <c r="G433" s="12">
        <f t="shared" si="46"/>
        <v>4.0511744819398841</v>
      </c>
      <c r="I433" s="12">
        <f t="shared" si="47"/>
        <v>5.8703695096437771E-3</v>
      </c>
      <c r="J433" s="12">
        <f t="shared" si="48"/>
        <v>5.4233926257759718E-3</v>
      </c>
    </row>
    <row r="434" spans="1:10">
      <c r="A434" s="15">
        <v>40708</v>
      </c>
      <c r="B434" s="11">
        <v>1.9787999999999999</v>
      </c>
      <c r="C434" s="11">
        <f t="shared" si="42"/>
        <v>3.0999999999998806E-3</v>
      </c>
      <c r="D434" s="12">
        <f t="shared" si="43"/>
        <v>9.6099999999992592E-6</v>
      </c>
      <c r="E434" s="12">
        <f t="shared" si="44"/>
        <v>1.1560000000000474E-5</v>
      </c>
      <c r="F434" s="12">
        <f t="shared" si="45"/>
        <v>3.2850717600921778E-5</v>
      </c>
      <c r="G434" s="12">
        <f t="shared" si="46"/>
        <v>4.0965622103798838</v>
      </c>
      <c r="I434" s="12">
        <f t="shared" si="47"/>
        <v>5.7315545536025195E-3</v>
      </c>
      <c r="J434" s="12">
        <f t="shared" si="48"/>
        <v>5.4233926257759718E-3</v>
      </c>
    </row>
    <row r="435" spans="1:10">
      <c r="A435" s="15">
        <v>40709</v>
      </c>
      <c r="B435" s="11">
        <v>1.9628000000000001</v>
      </c>
      <c r="C435" s="11">
        <f t="shared" si="42"/>
        <v>-1.5999999999999792E-2</v>
      </c>
      <c r="D435" s="12">
        <f t="shared" si="43"/>
        <v>2.5599999999999337E-4</v>
      </c>
      <c r="E435" s="12">
        <f t="shared" si="44"/>
        <v>9.6099999999992592E-6</v>
      </c>
      <c r="F435" s="12">
        <f t="shared" si="45"/>
        <v>3.1298819291487908E-5</v>
      </c>
      <c r="G435" s="12">
        <f t="shared" si="46"/>
        <v>0.17741541251614043</v>
      </c>
      <c r="I435" s="12">
        <f t="shared" si="47"/>
        <v>5.5945347698881905E-3</v>
      </c>
      <c r="J435" s="12">
        <f t="shared" si="48"/>
        <v>5.4233926257759718E-3</v>
      </c>
    </row>
    <row r="436" spans="1:10">
      <c r="A436" s="15">
        <v>40710</v>
      </c>
      <c r="B436" s="11">
        <v>1.9666999999999999</v>
      </c>
      <c r="C436" s="11">
        <f t="shared" si="42"/>
        <v>3.8999999999997925E-3</v>
      </c>
      <c r="D436" s="12">
        <f t="shared" si="43"/>
        <v>1.5209999999998382E-5</v>
      </c>
      <c r="E436" s="12">
        <f t="shared" si="44"/>
        <v>2.5599999999999337E-4</v>
      </c>
      <c r="F436" s="12">
        <f t="shared" si="45"/>
        <v>4.4517867062272737E-5</v>
      </c>
      <c r="G436" s="12">
        <f t="shared" si="46"/>
        <v>3.9200411437419285</v>
      </c>
      <c r="I436" s="12">
        <f t="shared" si="47"/>
        <v>6.6721710906025734E-3</v>
      </c>
      <c r="J436" s="12">
        <f t="shared" si="48"/>
        <v>5.4233926257759718E-3</v>
      </c>
    </row>
    <row r="437" spans="1:10">
      <c r="A437" s="15">
        <v>40711</v>
      </c>
      <c r="B437" s="11">
        <v>1.9696</v>
      </c>
      <c r="C437" s="11">
        <f t="shared" si="42"/>
        <v>2.9000000000001247E-3</v>
      </c>
      <c r="D437" s="12">
        <f t="shared" si="43"/>
        <v>8.4100000000007225E-6</v>
      </c>
      <c r="E437" s="12">
        <f t="shared" si="44"/>
        <v>1.5209999999998382E-5</v>
      </c>
      <c r="F437" s="12">
        <f t="shared" si="45"/>
        <v>4.2035941993006615E-5</v>
      </c>
      <c r="G437" s="12">
        <f t="shared" si="46"/>
        <v>4.0195207885317554</v>
      </c>
      <c r="I437" s="12">
        <f t="shared" si="47"/>
        <v>6.4835130903705762E-3</v>
      </c>
      <c r="J437" s="12">
        <f t="shared" si="48"/>
        <v>5.4233926257759718E-3</v>
      </c>
    </row>
    <row r="438" spans="1:10">
      <c r="A438" s="15">
        <v>40712</v>
      </c>
      <c r="B438" s="11">
        <v>1.9732000000000001</v>
      </c>
      <c r="C438" s="11">
        <f t="shared" si="42"/>
        <v>3.6000000000000476E-3</v>
      </c>
      <c r="D438" s="12">
        <f t="shared" si="43"/>
        <v>1.2960000000000343E-5</v>
      </c>
      <c r="E438" s="12">
        <f t="shared" si="44"/>
        <v>8.4100000000007225E-6</v>
      </c>
      <c r="F438" s="12">
        <f t="shared" si="45"/>
        <v>3.9419440270461069E-5</v>
      </c>
      <c r="G438" s="12">
        <f t="shared" si="46"/>
        <v>3.987301291362213</v>
      </c>
      <c r="I438" s="12">
        <f t="shared" si="47"/>
        <v>6.2784902859255162E-3</v>
      </c>
      <c r="J438" s="12">
        <f t="shared" si="48"/>
        <v>5.4233926257759718E-3</v>
      </c>
    </row>
    <row r="439" spans="1:10">
      <c r="A439" s="15">
        <v>40713</v>
      </c>
      <c r="B439" s="11">
        <v>1.9711000000000001</v>
      </c>
      <c r="C439" s="11">
        <f t="shared" si="42"/>
        <v>-2.0999999999999908E-3</v>
      </c>
      <c r="D439" s="12">
        <f t="shared" si="43"/>
        <v>4.4099999999999612E-6</v>
      </c>
      <c r="E439" s="12">
        <f t="shared" si="44"/>
        <v>1.2960000000000343E-5</v>
      </c>
      <c r="F439" s="12">
        <f t="shared" si="45"/>
        <v>3.735561187264461E-5</v>
      </c>
      <c r="G439" s="12">
        <f t="shared" si="46"/>
        <v>4.1195478870998308</v>
      </c>
      <c r="I439" s="12">
        <f t="shared" si="47"/>
        <v>6.1119237456503505E-3</v>
      </c>
      <c r="J439" s="12">
        <f t="shared" si="48"/>
        <v>5.4233926257759718E-3</v>
      </c>
    </row>
    <row r="440" spans="1:10">
      <c r="A440" s="15">
        <v>40714</v>
      </c>
      <c r="B440" s="11">
        <v>1.97</v>
      </c>
      <c r="C440" s="11">
        <f t="shared" si="42"/>
        <v>-1.1000000000001009E-3</v>
      </c>
      <c r="D440" s="12">
        <f t="shared" si="43"/>
        <v>1.210000000000222E-6</v>
      </c>
      <c r="E440" s="12">
        <f t="shared" si="44"/>
        <v>4.4099999999999612E-6</v>
      </c>
      <c r="F440" s="12">
        <f t="shared" si="45"/>
        <v>3.5008265787286569E-5</v>
      </c>
      <c r="G440" s="12">
        <f t="shared" si="46"/>
        <v>4.1937430059493419</v>
      </c>
      <c r="I440" s="12">
        <f t="shared" si="47"/>
        <v>5.9167783283883947E-3</v>
      </c>
      <c r="J440" s="12">
        <f t="shared" si="48"/>
        <v>5.4233926257759718E-3</v>
      </c>
    </row>
    <row r="441" spans="1:10">
      <c r="A441" s="15">
        <v>40715</v>
      </c>
      <c r="B441" s="11">
        <v>1.9754</v>
      </c>
      <c r="C441" s="11">
        <f t="shared" si="42"/>
        <v>5.4000000000000714E-3</v>
      </c>
      <c r="D441" s="12">
        <f t="shared" si="43"/>
        <v>2.9160000000000771E-5</v>
      </c>
      <c r="E441" s="12">
        <f t="shared" si="44"/>
        <v>1.210000000000222E-6</v>
      </c>
      <c r="F441" s="12">
        <f t="shared" si="45"/>
        <v>3.2725152387887962E-5</v>
      </c>
      <c r="G441" s="12">
        <f t="shared" si="46"/>
        <v>3.7992158891985173</v>
      </c>
      <c r="I441" s="12">
        <f t="shared" si="47"/>
        <v>5.7205902132461788E-3</v>
      </c>
      <c r="J441" s="12">
        <f t="shared" si="48"/>
        <v>5.4233926257759718E-3</v>
      </c>
    </row>
    <row r="442" spans="1:10">
      <c r="A442" s="15">
        <v>40716</v>
      </c>
      <c r="B442" s="11">
        <v>1.9726999999999999</v>
      </c>
      <c r="C442" s="11">
        <f t="shared" si="42"/>
        <v>-2.7000000000001467E-3</v>
      </c>
      <c r="D442" s="12">
        <f t="shared" si="43"/>
        <v>7.2900000000007925E-6</v>
      </c>
      <c r="E442" s="12">
        <f t="shared" si="44"/>
        <v>2.9160000000000771E-5</v>
      </c>
      <c r="F442" s="12">
        <f t="shared" si="45"/>
        <v>3.2345528600189956E-5</v>
      </c>
      <c r="G442" s="12">
        <f t="shared" si="46"/>
        <v>4.137889387108272</v>
      </c>
      <c r="I442" s="12">
        <f t="shared" si="47"/>
        <v>5.6873129507870376E-3</v>
      </c>
      <c r="J442" s="12">
        <f t="shared" si="48"/>
        <v>5.4233926257759718E-3</v>
      </c>
    </row>
    <row r="443" spans="1:10">
      <c r="A443" s="15">
        <v>40717</v>
      </c>
      <c r="B443" s="11">
        <v>1.9675</v>
      </c>
      <c r="C443" s="11">
        <f t="shared" si="42"/>
        <v>-5.1999999999998714E-3</v>
      </c>
      <c r="D443" s="12">
        <f t="shared" si="43"/>
        <v>2.7039999999998664E-5</v>
      </c>
      <c r="E443" s="12">
        <f t="shared" si="44"/>
        <v>7.2900000000007925E-6</v>
      </c>
      <c r="F443" s="12">
        <f t="shared" si="45"/>
        <v>3.0710769736033074E-5</v>
      </c>
      <c r="G443" s="12">
        <f t="shared" si="46"/>
        <v>3.8362735969758162</v>
      </c>
      <c r="I443" s="12">
        <f t="shared" si="47"/>
        <v>5.5417298505099537E-3</v>
      </c>
      <c r="J443" s="12">
        <f t="shared" si="48"/>
        <v>5.4233926257759718E-3</v>
      </c>
    </row>
    <row r="444" spans="1:10">
      <c r="A444" s="15">
        <v>40718</v>
      </c>
      <c r="B444" s="11">
        <v>1.9618</v>
      </c>
      <c r="C444" s="11">
        <f t="shared" si="42"/>
        <v>-5.7000000000000384E-3</v>
      </c>
      <c r="D444" s="12">
        <f t="shared" si="43"/>
        <v>3.2490000000000436E-5</v>
      </c>
      <c r="E444" s="12">
        <f t="shared" si="44"/>
        <v>2.7039999999998664E-5</v>
      </c>
      <c r="F444" s="12">
        <f t="shared" si="45"/>
        <v>3.0423374684545319E-5</v>
      </c>
      <c r="G444" s="12">
        <f t="shared" si="46"/>
        <v>3.747246697303956</v>
      </c>
      <c r="I444" s="12">
        <f t="shared" si="47"/>
        <v>5.5157388158383024E-3</v>
      </c>
      <c r="J444" s="12">
        <f t="shared" si="48"/>
        <v>5.4233926257759718E-3</v>
      </c>
    </row>
    <row r="445" spans="1:10">
      <c r="A445" s="15">
        <v>40719</v>
      </c>
      <c r="B445" s="11">
        <v>1.9644999999999999</v>
      </c>
      <c r="C445" s="11">
        <f t="shared" si="42"/>
        <v>2.6999999999999247E-3</v>
      </c>
      <c r="D445" s="12">
        <f t="shared" si="43"/>
        <v>7.2899999999995931E-6</v>
      </c>
      <c r="E445" s="12">
        <f t="shared" si="44"/>
        <v>3.2490000000000436E-5</v>
      </c>
      <c r="F445" s="12">
        <f t="shared" si="45"/>
        <v>3.049007620535713E-5</v>
      </c>
      <c r="G445" s="12">
        <f t="shared" si="46"/>
        <v>4.160569014417641</v>
      </c>
      <c r="I445" s="12">
        <f t="shared" si="47"/>
        <v>5.5217819773472699E-3</v>
      </c>
      <c r="J445" s="12">
        <f t="shared" si="48"/>
        <v>5.4233926257759718E-3</v>
      </c>
    </row>
    <row r="446" spans="1:10">
      <c r="A446" s="15">
        <v>40720</v>
      </c>
      <c r="B446" s="11">
        <v>1.9615</v>
      </c>
      <c r="C446" s="11">
        <f t="shared" si="42"/>
        <v>-2.9999999999998916E-3</v>
      </c>
      <c r="D446" s="12">
        <f t="shared" si="43"/>
        <v>8.9999999999993497E-6</v>
      </c>
      <c r="E446" s="12">
        <f t="shared" si="44"/>
        <v>7.2899999999995931E-6</v>
      </c>
      <c r="F446" s="12">
        <f t="shared" si="45"/>
        <v>2.9056004628570026E-5</v>
      </c>
      <c r="G446" s="12">
        <f t="shared" si="46"/>
        <v>4.1493308341859292</v>
      </c>
      <c r="I446" s="12">
        <f t="shared" si="47"/>
        <v>5.3903621982729537E-3</v>
      </c>
      <c r="J446" s="12">
        <f t="shared" si="48"/>
        <v>5.4233926257759718E-3</v>
      </c>
    </row>
    <row r="447" spans="1:10">
      <c r="A447" s="15">
        <v>40721</v>
      </c>
      <c r="B447" s="11">
        <v>1.9692000000000001</v>
      </c>
      <c r="C447" s="11">
        <f t="shared" si="42"/>
        <v>7.7000000000000401E-3</v>
      </c>
      <c r="D447" s="12">
        <f t="shared" si="43"/>
        <v>5.929000000000062E-5</v>
      </c>
      <c r="E447" s="12">
        <f t="shared" si="44"/>
        <v>8.9999999999993497E-6</v>
      </c>
      <c r="F447" s="12">
        <f t="shared" si="45"/>
        <v>2.787839205605647E-5</v>
      </c>
      <c r="G447" s="12">
        <f t="shared" si="46"/>
        <v>3.2615224245856527</v>
      </c>
      <c r="I447" s="12">
        <f t="shared" si="47"/>
        <v>5.2799992477325667E-3</v>
      </c>
      <c r="J447" s="12">
        <f t="shared" si="48"/>
        <v>5.4233926257759718E-3</v>
      </c>
    </row>
    <row r="448" spans="1:10">
      <c r="A448" s="15">
        <v>40722</v>
      </c>
      <c r="B448" s="11">
        <v>1.9757</v>
      </c>
      <c r="C448" s="11">
        <f t="shared" si="42"/>
        <v>6.4999999999999503E-3</v>
      </c>
      <c r="D448" s="12">
        <f t="shared" si="43"/>
        <v>4.2249999999999353E-5</v>
      </c>
      <c r="E448" s="12">
        <f t="shared" si="44"/>
        <v>5.929000000000062E-5</v>
      </c>
      <c r="F448" s="12">
        <f t="shared" si="45"/>
        <v>2.9808748755631901E-5</v>
      </c>
      <c r="G448" s="12">
        <f t="shared" si="46"/>
        <v>3.5827312118439485</v>
      </c>
      <c r="I448" s="12">
        <f t="shared" si="47"/>
        <v>5.4597388907924801E-3</v>
      </c>
      <c r="J448" s="12">
        <f t="shared" si="48"/>
        <v>5.4233926257759718E-3</v>
      </c>
    </row>
    <row r="449" spans="1:10">
      <c r="A449" s="15">
        <v>40723</v>
      </c>
      <c r="B449" s="11">
        <v>1.9790000000000001</v>
      </c>
      <c r="C449" s="11">
        <f t="shared" si="42"/>
        <v>3.3000000000000806E-3</v>
      </c>
      <c r="D449" s="12">
        <f t="shared" si="43"/>
        <v>1.0890000000000533E-5</v>
      </c>
      <c r="E449" s="12">
        <f t="shared" si="44"/>
        <v>4.2249999999999353E-5</v>
      </c>
      <c r="F449" s="12">
        <f t="shared" si="45"/>
        <v>3.052038635096626E-5</v>
      </c>
      <c r="G449" s="12">
        <f t="shared" si="46"/>
        <v>4.1012139626015331</v>
      </c>
      <c r="I449" s="12">
        <f t="shared" si="47"/>
        <v>5.5245258937728099E-3</v>
      </c>
      <c r="J449" s="12">
        <f t="shared" si="48"/>
        <v>5.4233926257759718E-3</v>
      </c>
    </row>
    <row r="450" spans="1:10">
      <c r="A450" s="15">
        <v>40724</v>
      </c>
      <c r="B450" s="11">
        <v>1.9810000000000001</v>
      </c>
      <c r="C450" s="11">
        <f t="shared" si="42"/>
        <v>2.0000000000000018E-3</v>
      </c>
      <c r="D450" s="12">
        <f t="shared" si="43"/>
        <v>4.0000000000000074E-6</v>
      </c>
      <c r="E450" s="12">
        <f t="shared" si="44"/>
        <v>1.0890000000000533E-5</v>
      </c>
      <c r="F450" s="12">
        <f t="shared" si="45"/>
        <v>2.9296401918428828E-5</v>
      </c>
      <c r="G450" s="12">
        <f t="shared" si="46"/>
        <v>4.231816615814874</v>
      </c>
      <c r="I450" s="12">
        <f t="shared" si="47"/>
        <v>5.4126150720727245E-3</v>
      </c>
      <c r="J450" s="12">
        <f t="shared" si="48"/>
        <v>5.4233926257759718E-3</v>
      </c>
    </row>
    <row r="451" spans="1:10">
      <c r="A451" s="15">
        <v>40725</v>
      </c>
      <c r="B451" s="11">
        <v>1.9823999999999999</v>
      </c>
      <c r="C451" s="11">
        <f t="shared" si="42"/>
        <v>1.3999999999998458E-3</v>
      </c>
      <c r="D451" s="12">
        <f t="shared" si="43"/>
        <v>1.9599999999995683E-6</v>
      </c>
      <c r="E451" s="12">
        <f t="shared" si="44"/>
        <v>4.0000000000000074E-6</v>
      </c>
      <c r="F451" s="12">
        <f t="shared" si="45"/>
        <v>2.7796446780312975E-5</v>
      </c>
      <c r="G451" s="12">
        <f t="shared" si="46"/>
        <v>4.2911063341576687</v>
      </c>
      <c r="I451" s="12">
        <f t="shared" si="47"/>
        <v>5.2722335665553524E-3</v>
      </c>
      <c r="J451" s="12">
        <f t="shared" si="48"/>
        <v>5.4233926257759718E-3</v>
      </c>
    </row>
    <row r="452" spans="1:10">
      <c r="A452" s="15">
        <v>40726</v>
      </c>
      <c r="B452" s="11">
        <v>1.984</v>
      </c>
      <c r="C452" s="11">
        <f t="shared" si="42"/>
        <v>1.6000000000000458E-3</v>
      </c>
      <c r="D452" s="12">
        <f t="shared" si="43"/>
        <v>2.5600000000001466E-6</v>
      </c>
      <c r="E452" s="12">
        <f t="shared" si="44"/>
        <v>1.9599999999995683E-6</v>
      </c>
      <c r="F452" s="12">
        <f t="shared" si="45"/>
        <v>2.6337820922911479E-5</v>
      </c>
      <c r="G452" s="12">
        <f t="shared" si="46"/>
        <v>4.304714443459206</v>
      </c>
      <c r="I452" s="12">
        <f t="shared" si="47"/>
        <v>5.1320386712213574E-3</v>
      </c>
      <c r="J452" s="12">
        <f t="shared" si="48"/>
        <v>5.4233926257759718E-3</v>
      </c>
    </row>
    <row r="453" spans="1:10">
      <c r="A453" s="15">
        <v>40727</v>
      </c>
      <c r="B453" s="11">
        <v>1.9754</v>
      </c>
      <c r="C453" s="11">
        <f t="shared" si="42"/>
        <v>-8.599999999999941E-3</v>
      </c>
      <c r="D453" s="12">
        <f t="shared" si="43"/>
        <v>7.3959999999998987E-5</v>
      </c>
      <c r="E453" s="12">
        <f t="shared" si="44"/>
        <v>2.5600000000001466E-6</v>
      </c>
      <c r="F453" s="12">
        <f t="shared" si="45"/>
        <v>2.5072522180905513E-5</v>
      </c>
      <c r="G453" s="12">
        <f t="shared" si="46"/>
        <v>2.9030090627854346</v>
      </c>
      <c r="I453" s="12">
        <f t="shared" si="47"/>
        <v>5.0072469662385847E-3</v>
      </c>
      <c r="J453" s="12">
        <f t="shared" si="48"/>
        <v>5.4233926257759718E-3</v>
      </c>
    </row>
    <row r="454" spans="1:10">
      <c r="A454" s="15">
        <v>40728</v>
      </c>
      <c r="B454" s="11">
        <v>1.9837</v>
      </c>
      <c r="C454" s="11">
        <f t="shared" si="42"/>
        <v>8.2999999999999741E-3</v>
      </c>
      <c r="D454" s="12">
        <f t="shared" si="43"/>
        <v>6.8889999999999566E-5</v>
      </c>
      <c r="E454" s="12">
        <f t="shared" si="44"/>
        <v>7.3959999999998987E-5</v>
      </c>
      <c r="F454" s="12">
        <f t="shared" si="45"/>
        <v>2.8175828593445139E-5</v>
      </c>
      <c r="G454" s="12">
        <f t="shared" si="46"/>
        <v>3.097082745830551</v>
      </c>
      <c r="I454" s="12">
        <f t="shared" si="47"/>
        <v>5.308090861453404E-3</v>
      </c>
      <c r="J454" s="12">
        <f t="shared" si="48"/>
        <v>5.4233926257759718E-3</v>
      </c>
    </row>
    <row r="455" spans="1:10">
      <c r="A455" s="15">
        <v>40729</v>
      </c>
      <c r="B455" s="11">
        <v>1.978</v>
      </c>
      <c r="C455" s="11">
        <f t="shared" si="42"/>
        <v>-5.7000000000000384E-3</v>
      </c>
      <c r="D455" s="12">
        <f t="shared" si="43"/>
        <v>3.2490000000000436E-5</v>
      </c>
      <c r="E455" s="12">
        <f t="shared" si="44"/>
        <v>6.8889999999999566E-5</v>
      </c>
      <c r="F455" s="12">
        <f t="shared" si="45"/>
        <v>3.0642989014375397E-5</v>
      </c>
      <c r="G455" s="12">
        <f t="shared" si="46"/>
        <v>3.7474772132964871</v>
      </c>
      <c r="I455" s="12">
        <f t="shared" si="47"/>
        <v>5.5356109883530832E-3</v>
      </c>
      <c r="J455" s="12">
        <f t="shared" si="48"/>
        <v>5.4233926257759718E-3</v>
      </c>
    </row>
    <row r="456" spans="1:10">
      <c r="A456" s="15">
        <v>40730</v>
      </c>
      <c r="B456" s="11">
        <v>1.9739</v>
      </c>
      <c r="C456" s="11">
        <f t="shared" si="42"/>
        <v>-4.0999999999999925E-3</v>
      </c>
      <c r="D456" s="12">
        <f t="shared" si="43"/>
        <v>1.6809999999999939E-5</v>
      </c>
      <c r="E456" s="12">
        <f t="shared" si="44"/>
        <v>3.2490000000000436E-5</v>
      </c>
      <c r="F456" s="12">
        <f t="shared" si="45"/>
        <v>3.0685936865061321E-5</v>
      </c>
      <c r="G456" s="12">
        <f t="shared" si="46"/>
        <v>4.0030105325914924</v>
      </c>
      <c r="I456" s="12">
        <f t="shared" si="47"/>
        <v>5.539488863158885E-3</v>
      </c>
      <c r="J456" s="12">
        <f t="shared" si="48"/>
        <v>5.4233926257759718E-3</v>
      </c>
    </row>
    <row r="457" spans="1:10">
      <c r="A457" s="15">
        <v>40731</v>
      </c>
      <c r="B457" s="11">
        <v>1.9759</v>
      </c>
      <c r="C457" s="11">
        <f t="shared" si="42"/>
        <v>2.0000000000000018E-3</v>
      </c>
      <c r="D457" s="12">
        <f t="shared" si="43"/>
        <v>4.0000000000000074E-6</v>
      </c>
      <c r="E457" s="12">
        <f t="shared" si="44"/>
        <v>1.6809999999999939E-5</v>
      </c>
      <c r="F457" s="12">
        <f t="shared" si="45"/>
        <v>2.9794914085871451E-5</v>
      </c>
      <c r="G457" s="12">
        <f t="shared" si="46"/>
        <v>4.2245223328872514</v>
      </c>
      <c r="I457" s="12">
        <f t="shared" si="47"/>
        <v>5.4584717720137978E-3</v>
      </c>
      <c r="J457" s="12">
        <f t="shared" si="48"/>
        <v>5.4233926257759718E-3</v>
      </c>
    </row>
    <row r="458" spans="1:10">
      <c r="A458" s="15">
        <v>40732</v>
      </c>
      <c r="B458" s="11">
        <v>1.9710000000000001</v>
      </c>
      <c r="C458" s="11">
        <f t="shared" si="42"/>
        <v>-4.8999999999999044E-3</v>
      </c>
      <c r="D458" s="12">
        <f t="shared" si="43"/>
        <v>2.4009999999999064E-5</v>
      </c>
      <c r="E458" s="12">
        <f t="shared" si="44"/>
        <v>4.0000000000000074E-6</v>
      </c>
      <c r="F458" s="12">
        <f t="shared" si="45"/>
        <v>2.8241039453575348E-5</v>
      </c>
      <c r="G458" s="12">
        <f t="shared" si="46"/>
        <v>3.8933380428684257</v>
      </c>
      <c r="I458" s="12">
        <f t="shared" si="47"/>
        <v>5.3142299022130527E-3</v>
      </c>
      <c r="J458" s="12">
        <f t="shared" si="48"/>
        <v>5.4233926257759718E-3</v>
      </c>
    </row>
    <row r="459" spans="1:10">
      <c r="A459" s="15">
        <v>40733</v>
      </c>
      <c r="B459" s="11">
        <v>1.9702999999999999</v>
      </c>
      <c r="C459" s="11">
        <f t="shared" si="42"/>
        <v>-7.0000000000014495E-4</v>
      </c>
      <c r="D459" s="12">
        <f t="shared" si="43"/>
        <v>4.9000000000020294E-7</v>
      </c>
      <c r="E459" s="12">
        <f t="shared" si="44"/>
        <v>2.4009999999999064E-5</v>
      </c>
      <c r="F459" s="12">
        <f t="shared" si="45"/>
        <v>2.8041189859225599E-5</v>
      </c>
      <c r="G459" s="12">
        <f t="shared" si="46"/>
        <v>4.3132423435055918</v>
      </c>
      <c r="I459" s="12">
        <f t="shared" si="47"/>
        <v>5.2953932676644139E-3</v>
      </c>
      <c r="J459" s="12">
        <f t="shared" si="48"/>
        <v>5.4233926257759718E-3</v>
      </c>
    </row>
    <row r="460" spans="1:10">
      <c r="A460" s="15">
        <v>40734</v>
      </c>
      <c r="B460" s="11">
        <v>1.9686999999999999</v>
      </c>
      <c r="C460" s="11">
        <f t="shared" si="42"/>
        <v>-1.6000000000000458E-3</v>
      </c>
      <c r="D460" s="12">
        <f t="shared" si="43"/>
        <v>2.5600000000001466E-6</v>
      </c>
      <c r="E460" s="12">
        <f t="shared" si="44"/>
        <v>4.9000000000020294E-7</v>
      </c>
      <c r="F460" s="12">
        <f t="shared" si="45"/>
        <v>2.6468968133152007E-5</v>
      </c>
      <c r="G460" s="12">
        <f t="shared" si="46"/>
        <v>4.3024717066195484</v>
      </c>
      <c r="I460" s="12">
        <f t="shared" si="47"/>
        <v>5.1448001062385316E-3</v>
      </c>
      <c r="J460" s="12">
        <f t="shared" si="48"/>
        <v>5.4233926257759718E-3</v>
      </c>
    </row>
    <row r="461" spans="1:10">
      <c r="A461" s="15">
        <v>40735</v>
      </c>
      <c r="B461" s="11">
        <v>1.9587000000000001</v>
      </c>
      <c r="C461" s="11">
        <f t="shared" si="42"/>
        <v>-9.9999999999997868E-3</v>
      </c>
      <c r="D461" s="12">
        <f t="shared" si="43"/>
        <v>9.9999999999995736E-5</v>
      </c>
      <c r="E461" s="12">
        <f t="shared" si="44"/>
        <v>2.5600000000001466E-6</v>
      </c>
      <c r="F461" s="12">
        <f t="shared" si="45"/>
        <v>2.518948439888076E-5</v>
      </c>
      <c r="G461" s="12">
        <f t="shared" si="46"/>
        <v>2.3906481498597385</v>
      </c>
      <c r="I461" s="12">
        <f t="shared" si="47"/>
        <v>5.0189126709757328E-3</v>
      </c>
      <c r="J461" s="12">
        <f t="shared" si="48"/>
        <v>5.4233926257759718E-3</v>
      </c>
    </row>
    <row r="462" spans="1:10">
      <c r="A462" s="15">
        <v>40736</v>
      </c>
      <c r="B462" s="11">
        <v>1.9558</v>
      </c>
      <c r="C462" s="11">
        <f t="shared" ref="C462:C525" si="49">B462-B461</f>
        <v>-2.9000000000001247E-3</v>
      </c>
      <c r="D462" s="12">
        <f t="shared" ref="D462:D525" si="50">C462^2</f>
        <v>8.4100000000007225E-6</v>
      </c>
      <c r="E462" s="12">
        <f t="shared" si="44"/>
        <v>9.9999999999995736E-5</v>
      </c>
      <c r="F462" s="12">
        <f t="shared" si="45"/>
        <v>2.9823483971814199E-5</v>
      </c>
      <c r="G462" s="12">
        <f t="shared" si="46"/>
        <v>4.1501724003852773</v>
      </c>
      <c r="I462" s="12">
        <f t="shared" si="47"/>
        <v>5.461088167372341E-3</v>
      </c>
      <c r="J462" s="12">
        <f t="shared" si="48"/>
        <v>5.4233926257759718E-3</v>
      </c>
    </row>
    <row r="463" spans="1:10">
      <c r="A463" s="15">
        <v>40737</v>
      </c>
      <c r="B463" s="11">
        <v>1.9656</v>
      </c>
      <c r="C463" s="11">
        <f t="shared" si="49"/>
        <v>9.8000000000000309E-3</v>
      </c>
      <c r="D463" s="12">
        <f t="shared" si="50"/>
        <v>9.6040000000000605E-5</v>
      </c>
      <c r="E463" s="12">
        <f t="shared" ref="E463:E526" si="51">D462</f>
        <v>8.4100000000007225E-6</v>
      </c>
      <c r="F463" s="12">
        <f t="shared" ref="F463:F526" si="52">$B$5+$B$6*E463+$B$7*F462</f>
        <v>2.8527891952593097E-5</v>
      </c>
      <c r="G463" s="12">
        <f t="shared" ref="G463:G526" si="53">LN((1/SQRT(2*3.1415927*F463))*EXP(-0.5*D463/F463))</f>
        <v>2.6301106733170165</v>
      </c>
      <c r="I463" s="12">
        <f t="shared" ref="I463:I526" si="54">SQRT(F463)</f>
        <v>5.3411508078871073E-3</v>
      </c>
      <c r="J463" s="12">
        <f t="shared" si="48"/>
        <v>5.4233926257759718E-3</v>
      </c>
    </row>
    <row r="464" spans="1:10">
      <c r="A464" s="15">
        <v>40738</v>
      </c>
      <c r="B464" s="11">
        <v>1.9633</v>
      </c>
      <c r="C464" s="11">
        <f t="shared" si="49"/>
        <v>-2.2999999999999687E-3</v>
      </c>
      <c r="D464" s="12">
        <f t="shared" si="50"/>
        <v>5.2899999999998562E-6</v>
      </c>
      <c r="E464" s="12">
        <f t="shared" si="51"/>
        <v>9.6040000000000605E-5</v>
      </c>
      <c r="F464" s="12">
        <f t="shared" si="52"/>
        <v>3.2566104497751794E-5</v>
      </c>
      <c r="G464" s="12">
        <f t="shared" si="53"/>
        <v>4.1659613179761443</v>
      </c>
      <c r="I464" s="12">
        <f t="shared" si="54"/>
        <v>5.706671928344207E-3</v>
      </c>
      <c r="J464" s="12">
        <f t="shared" ref="J464:J527" si="55">J463</f>
        <v>5.4233926257759718E-3</v>
      </c>
    </row>
    <row r="465" spans="1:10">
      <c r="A465" s="15">
        <v>40739</v>
      </c>
      <c r="B465" s="11">
        <v>1.9633</v>
      </c>
      <c r="C465" s="11">
        <f t="shared" si="49"/>
        <v>0</v>
      </c>
      <c r="D465" s="12">
        <f t="shared" si="50"/>
        <v>0</v>
      </c>
      <c r="E465" s="12">
        <f t="shared" si="51"/>
        <v>5.2899999999998562E-6</v>
      </c>
      <c r="F465" s="12">
        <f t="shared" si="52"/>
        <v>3.0788951562261702E-5</v>
      </c>
      <c r="G465" s="12">
        <f t="shared" si="53"/>
        <v>4.2752387833336778</v>
      </c>
      <c r="I465" s="12">
        <f t="shared" si="54"/>
        <v>5.54877928577644E-3</v>
      </c>
      <c r="J465" s="12">
        <f t="shared" si="55"/>
        <v>5.4233926257759718E-3</v>
      </c>
    </row>
    <row r="466" spans="1:10">
      <c r="A466" s="15">
        <v>40740</v>
      </c>
      <c r="B466" s="11">
        <v>1.9549000000000001</v>
      </c>
      <c r="C466" s="11">
        <f t="shared" si="49"/>
        <v>-8.3999999999999631E-3</v>
      </c>
      <c r="D466" s="12">
        <f t="shared" si="50"/>
        <v>7.0559999999999379E-5</v>
      </c>
      <c r="E466" s="12">
        <f t="shared" si="51"/>
        <v>0</v>
      </c>
      <c r="F466" s="12">
        <f t="shared" si="52"/>
        <v>2.8890488208255604E-5</v>
      </c>
      <c r="G466" s="12">
        <f t="shared" si="53"/>
        <v>3.085897367440428</v>
      </c>
      <c r="I466" s="12">
        <f t="shared" si="54"/>
        <v>5.3749872751715057E-3</v>
      </c>
      <c r="J466" s="12">
        <f t="shared" si="55"/>
        <v>5.4233926257759718E-3</v>
      </c>
    </row>
    <row r="467" spans="1:10">
      <c r="A467" s="15">
        <v>40741</v>
      </c>
      <c r="B467" s="11">
        <v>1.9632000000000001</v>
      </c>
      <c r="C467" s="11">
        <f t="shared" si="49"/>
        <v>8.2999999999999741E-3</v>
      </c>
      <c r="D467" s="12">
        <f t="shared" si="50"/>
        <v>6.8889999999999566E-5</v>
      </c>
      <c r="E467" s="12">
        <f t="shared" si="51"/>
        <v>7.0559999999999379E-5</v>
      </c>
      <c r="F467" s="12">
        <f t="shared" si="52"/>
        <v>3.1379328337485922E-5</v>
      </c>
      <c r="G467" s="12">
        <f t="shared" si="53"/>
        <v>3.1680448941461479</v>
      </c>
      <c r="I467" s="12">
        <f t="shared" si="54"/>
        <v>5.601725478590139E-3</v>
      </c>
      <c r="J467" s="12">
        <f t="shared" si="55"/>
        <v>5.4233926257759718E-3</v>
      </c>
    </row>
    <row r="468" spans="1:10">
      <c r="A468" s="15">
        <v>40742</v>
      </c>
      <c r="B468" s="11">
        <v>1.9615</v>
      </c>
      <c r="C468" s="11">
        <f t="shared" si="49"/>
        <v>-1.7000000000000348E-3</v>
      </c>
      <c r="D468" s="12">
        <f t="shared" si="50"/>
        <v>2.8900000000001184E-6</v>
      </c>
      <c r="E468" s="12">
        <f t="shared" si="51"/>
        <v>6.8889999999999566E-5</v>
      </c>
      <c r="F468" s="12">
        <f t="shared" si="52"/>
        <v>3.3499995539020232E-5</v>
      </c>
      <c r="G468" s="12">
        <f t="shared" si="53"/>
        <v>4.1899097514551995</v>
      </c>
      <c r="I468" s="12">
        <f t="shared" si="54"/>
        <v>5.7879180660251432E-3</v>
      </c>
      <c r="J468" s="12">
        <f t="shared" si="55"/>
        <v>5.4233926257759718E-3</v>
      </c>
    </row>
    <row r="469" spans="1:10">
      <c r="A469" s="15">
        <v>40743</v>
      </c>
      <c r="B469" s="11">
        <v>1.9634</v>
      </c>
      <c r="C469" s="11">
        <f t="shared" si="49"/>
        <v>1.9000000000000128E-3</v>
      </c>
      <c r="D469" s="12">
        <f t="shared" si="50"/>
        <v>3.6100000000000484E-6</v>
      </c>
      <c r="E469" s="12">
        <f t="shared" si="51"/>
        <v>2.8900000000001184E-6</v>
      </c>
      <c r="F469" s="12">
        <f t="shared" si="52"/>
        <v>3.1479588488481356E-5</v>
      </c>
      <c r="G469" s="12">
        <f t="shared" si="53"/>
        <v>4.2068083208207501</v>
      </c>
      <c r="I469" s="12">
        <f t="shared" si="54"/>
        <v>5.6106673835187694E-3</v>
      </c>
      <c r="J469" s="12">
        <f t="shared" si="55"/>
        <v>5.4233926257759718E-3</v>
      </c>
    </row>
    <row r="470" spans="1:10">
      <c r="A470" s="15">
        <v>40744</v>
      </c>
      <c r="B470" s="11">
        <v>1.9666999999999999</v>
      </c>
      <c r="C470" s="11">
        <f t="shared" si="49"/>
        <v>3.2999999999998586E-3</v>
      </c>
      <c r="D470" s="12">
        <f t="shared" si="50"/>
        <v>1.0889999999999067E-5</v>
      </c>
      <c r="E470" s="12">
        <f t="shared" si="51"/>
        <v>3.6100000000000484E-6</v>
      </c>
      <c r="F470" s="12">
        <f t="shared" si="52"/>
        <v>2.9720383462241222E-5</v>
      </c>
      <c r="G470" s="12">
        <f t="shared" si="53"/>
        <v>4.1096925814713865</v>
      </c>
      <c r="I470" s="12">
        <f t="shared" si="54"/>
        <v>5.451640437725256E-3</v>
      </c>
      <c r="J470" s="12">
        <f t="shared" si="55"/>
        <v>5.4233926257759718E-3</v>
      </c>
    </row>
    <row r="471" spans="1:10">
      <c r="A471" s="15">
        <v>40745</v>
      </c>
      <c r="B471" s="11">
        <v>1.9762999999999999</v>
      </c>
      <c r="C471" s="11">
        <f t="shared" si="49"/>
        <v>9.6000000000000529E-3</v>
      </c>
      <c r="D471" s="12">
        <f t="shared" si="50"/>
        <v>9.2160000000001015E-5</v>
      </c>
      <c r="E471" s="12">
        <f t="shared" si="51"/>
        <v>1.0889999999999067E-5</v>
      </c>
      <c r="F471" s="12">
        <f t="shared" si="52"/>
        <v>2.8582928013186857E-5</v>
      </c>
      <c r="G471" s="12">
        <f t="shared" si="53"/>
        <v>2.7002607892358355</v>
      </c>
      <c r="I471" s="12">
        <f t="shared" si="54"/>
        <v>5.3463004043157597E-3</v>
      </c>
      <c r="J471" s="12">
        <f t="shared" si="55"/>
        <v>5.4233926257759718E-3</v>
      </c>
    </row>
    <row r="472" spans="1:10">
      <c r="A472" s="15">
        <v>40746</v>
      </c>
      <c r="B472" s="11">
        <v>1.9726999999999999</v>
      </c>
      <c r="C472" s="11">
        <f t="shared" si="49"/>
        <v>-3.6000000000000476E-3</v>
      </c>
      <c r="D472" s="12">
        <f t="shared" si="50"/>
        <v>1.2960000000000343E-5</v>
      </c>
      <c r="E472" s="12">
        <f t="shared" si="51"/>
        <v>9.2160000000001015E-5</v>
      </c>
      <c r="F472" s="12">
        <f t="shared" si="52"/>
        <v>3.2385227201232182E-5</v>
      </c>
      <c r="G472" s="12">
        <f t="shared" si="53"/>
        <v>4.0498743225570628</v>
      </c>
      <c r="I472" s="12">
        <f t="shared" si="54"/>
        <v>5.6908019822545387E-3</v>
      </c>
      <c r="J472" s="12">
        <f t="shared" si="55"/>
        <v>5.4233926257759718E-3</v>
      </c>
    </row>
    <row r="473" spans="1:10">
      <c r="A473" s="15">
        <v>40747</v>
      </c>
      <c r="B473" s="11">
        <v>1.9683999999999999</v>
      </c>
      <c r="C473" s="11">
        <f t="shared" si="49"/>
        <v>-4.2999999999999705E-3</v>
      </c>
      <c r="D473" s="12">
        <f t="shared" si="50"/>
        <v>1.8489999999999747E-5</v>
      </c>
      <c r="E473" s="12">
        <f t="shared" si="51"/>
        <v>1.2960000000000343E-5</v>
      </c>
      <c r="F473" s="12">
        <f t="shared" si="52"/>
        <v>3.108222518924831E-5</v>
      </c>
      <c r="G473" s="12">
        <f t="shared" si="53"/>
        <v>3.9730618018493038</v>
      </c>
      <c r="I473" s="12">
        <f t="shared" si="54"/>
        <v>5.5751435128836195E-3</v>
      </c>
      <c r="J473" s="12">
        <f t="shared" si="55"/>
        <v>5.4233926257759718E-3</v>
      </c>
    </row>
    <row r="474" spans="1:10">
      <c r="A474" s="15">
        <v>40748</v>
      </c>
      <c r="B474" s="11">
        <v>1.9688000000000001</v>
      </c>
      <c r="C474" s="11">
        <f t="shared" si="49"/>
        <v>4.0000000000017799E-4</v>
      </c>
      <c r="D474" s="12">
        <f t="shared" si="50"/>
        <v>1.6000000000014238E-7</v>
      </c>
      <c r="E474" s="12">
        <f t="shared" si="51"/>
        <v>1.8489999999999747E-5</v>
      </c>
      <c r="F474" s="12">
        <f t="shared" si="52"/>
        <v>3.0247910106186848E-5</v>
      </c>
      <c r="G474" s="12">
        <f t="shared" si="53"/>
        <v>4.2814583802230626</v>
      </c>
      <c r="I474" s="12">
        <f t="shared" si="54"/>
        <v>5.499810006371752E-3</v>
      </c>
      <c r="J474" s="12">
        <f t="shared" si="55"/>
        <v>5.4233926257759718E-3</v>
      </c>
    </row>
    <row r="475" spans="1:10">
      <c r="A475" s="15">
        <v>40749</v>
      </c>
      <c r="B475" s="11">
        <v>1.9737</v>
      </c>
      <c r="C475" s="11">
        <f t="shared" si="49"/>
        <v>4.8999999999999044E-3</v>
      </c>
      <c r="D475" s="12">
        <f t="shared" si="50"/>
        <v>2.4009999999999064E-5</v>
      </c>
      <c r="E475" s="12">
        <f t="shared" si="51"/>
        <v>1.6000000000014238E-7</v>
      </c>
      <c r="F475" s="12">
        <f t="shared" si="52"/>
        <v>2.8417449161671624E-5</v>
      </c>
      <c r="G475" s="12">
        <f t="shared" si="53"/>
        <v>3.8928633463173501</v>
      </c>
      <c r="I475" s="12">
        <f t="shared" si="54"/>
        <v>5.3308019248206572E-3</v>
      </c>
      <c r="J475" s="12">
        <f t="shared" si="55"/>
        <v>5.4233926257759718E-3</v>
      </c>
    </row>
    <row r="476" spans="1:10">
      <c r="A476" s="15">
        <v>40750</v>
      </c>
      <c r="B476" s="11">
        <v>1.9805999999999999</v>
      </c>
      <c r="C476" s="11">
        <f t="shared" si="49"/>
        <v>6.8999999999999062E-3</v>
      </c>
      <c r="D476" s="12">
        <f t="shared" si="50"/>
        <v>4.7609999999998706E-5</v>
      </c>
      <c r="E476" s="12">
        <f t="shared" si="51"/>
        <v>2.4009999999999064E-5</v>
      </c>
      <c r="F476" s="12">
        <f t="shared" si="52"/>
        <v>2.8198518945322549E-5</v>
      </c>
      <c r="G476" s="12">
        <f t="shared" si="53"/>
        <v>3.4749887370215218</v>
      </c>
      <c r="I476" s="12">
        <f t="shared" si="54"/>
        <v>5.3102277677442942E-3</v>
      </c>
      <c r="J476" s="12">
        <f t="shared" si="55"/>
        <v>5.4233926257759718E-3</v>
      </c>
    </row>
    <row r="477" spans="1:10">
      <c r="A477" s="15">
        <v>40751</v>
      </c>
      <c r="B477" s="11">
        <v>1.9731000000000001</v>
      </c>
      <c r="C477" s="11">
        <f t="shared" si="49"/>
        <v>-7.4999999999998401E-3</v>
      </c>
      <c r="D477" s="12">
        <f t="shared" si="50"/>
        <v>5.62499999999976E-5</v>
      </c>
      <c r="E477" s="12">
        <f t="shared" si="51"/>
        <v>4.7609999999998706E-5</v>
      </c>
      <c r="F477" s="12">
        <f t="shared" si="52"/>
        <v>2.9401997892182472E-5</v>
      </c>
      <c r="G477" s="12">
        <f t="shared" si="53"/>
        <v>3.3417177756023499</v>
      </c>
      <c r="I477" s="12">
        <f t="shared" si="54"/>
        <v>5.4223609149689099E-3</v>
      </c>
      <c r="J477" s="12">
        <f t="shared" si="55"/>
        <v>5.4233926257759718E-3</v>
      </c>
    </row>
    <row r="478" spans="1:10">
      <c r="A478" s="15">
        <v>40752</v>
      </c>
      <c r="B478" s="11">
        <v>1.9712000000000001</v>
      </c>
      <c r="C478" s="11">
        <f t="shared" si="49"/>
        <v>-1.9000000000000128E-3</v>
      </c>
      <c r="D478" s="12">
        <f t="shared" si="50"/>
        <v>3.6100000000000484E-6</v>
      </c>
      <c r="E478" s="12">
        <f t="shared" si="51"/>
        <v>5.62499999999976E-5</v>
      </c>
      <c r="F478" s="12">
        <f t="shared" si="52"/>
        <v>3.0987384782731983E-5</v>
      </c>
      <c r="G478" s="12">
        <f t="shared" si="53"/>
        <v>4.2137771381538522</v>
      </c>
      <c r="I478" s="12">
        <f t="shared" si="54"/>
        <v>5.5666313675985391E-3</v>
      </c>
      <c r="J478" s="12">
        <f t="shared" si="55"/>
        <v>5.4233926257759718E-3</v>
      </c>
    </row>
    <row r="479" spans="1:10">
      <c r="A479" s="15">
        <v>40753</v>
      </c>
      <c r="B479" s="11">
        <v>1.9744999999999999</v>
      </c>
      <c r="C479" s="11">
        <f t="shared" si="49"/>
        <v>3.2999999999998586E-3</v>
      </c>
      <c r="D479" s="12">
        <f t="shared" si="50"/>
        <v>1.0889999999999067E-5</v>
      </c>
      <c r="E479" s="12">
        <f t="shared" si="51"/>
        <v>3.6100000000000484E-6</v>
      </c>
      <c r="F479" s="12">
        <f t="shared" si="52"/>
        <v>2.9281416922163849E-5</v>
      </c>
      <c r="G479" s="12">
        <f t="shared" si="53"/>
        <v>4.114386082320193</v>
      </c>
      <c r="I479" s="12">
        <f t="shared" si="54"/>
        <v>5.4112306291788977E-3</v>
      </c>
      <c r="J479" s="12">
        <f t="shared" si="55"/>
        <v>5.4233926257759718E-3</v>
      </c>
    </row>
    <row r="480" spans="1:10">
      <c r="A480" s="15">
        <v>40754</v>
      </c>
      <c r="B480" s="11">
        <v>1.9721</v>
      </c>
      <c r="C480" s="11">
        <f t="shared" si="49"/>
        <v>-2.3999999999999577E-3</v>
      </c>
      <c r="D480" s="12">
        <f t="shared" si="50"/>
        <v>5.7599999999997975E-6</v>
      </c>
      <c r="E480" s="12">
        <f t="shared" si="51"/>
        <v>1.0889999999999067E-5</v>
      </c>
      <c r="F480" s="12">
        <f t="shared" si="52"/>
        <v>2.8191440462287318E-5</v>
      </c>
      <c r="G480" s="12">
        <f t="shared" si="53"/>
        <v>4.2171488695444417</v>
      </c>
      <c r="I480" s="12">
        <f t="shared" si="54"/>
        <v>5.3095612306750277E-3</v>
      </c>
      <c r="J480" s="12">
        <f t="shared" si="55"/>
        <v>5.4233926257759718E-3</v>
      </c>
    </row>
    <row r="481" spans="1:10">
      <c r="A481" s="15">
        <v>40755</v>
      </c>
      <c r="B481" s="11">
        <v>1.9710000000000001</v>
      </c>
      <c r="C481" s="11">
        <f t="shared" si="49"/>
        <v>-1.0999999999998789E-3</v>
      </c>
      <c r="D481" s="12">
        <f t="shared" si="50"/>
        <v>1.2099999999997335E-6</v>
      </c>
      <c r="E481" s="12">
        <f t="shared" si="51"/>
        <v>5.7599999999997975E-6</v>
      </c>
      <c r="F481" s="12">
        <f t="shared" si="52"/>
        <v>2.6915310911670842E-5</v>
      </c>
      <c r="G481" s="12">
        <f t="shared" si="53"/>
        <v>4.319991174244441</v>
      </c>
      <c r="I481" s="12">
        <f t="shared" si="54"/>
        <v>5.1879968110698409E-3</v>
      </c>
      <c r="J481" s="12">
        <f t="shared" si="55"/>
        <v>5.4233926257759718E-3</v>
      </c>
    </row>
    <row r="482" spans="1:10">
      <c r="A482" s="15">
        <v>40756</v>
      </c>
      <c r="B482" s="11">
        <v>1.9669000000000001</v>
      </c>
      <c r="C482" s="11">
        <f t="shared" si="49"/>
        <v>-4.0999999999999925E-3</v>
      </c>
      <c r="D482" s="12">
        <f t="shared" si="50"/>
        <v>1.6809999999999939E-5</v>
      </c>
      <c r="E482" s="12">
        <f t="shared" si="51"/>
        <v>1.2099999999997335E-6</v>
      </c>
      <c r="F482" s="12">
        <f t="shared" si="52"/>
        <v>2.5507538299951243E-5</v>
      </c>
      <c r="G482" s="12">
        <f t="shared" si="53"/>
        <v>4.0398192909565438</v>
      </c>
      <c r="I482" s="12">
        <f t="shared" si="54"/>
        <v>5.0504988169438516E-3</v>
      </c>
      <c r="J482" s="12">
        <f t="shared" si="55"/>
        <v>5.4233926257759718E-3</v>
      </c>
    </row>
    <row r="483" spans="1:10">
      <c r="A483" s="15">
        <v>40757</v>
      </c>
      <c r="B483" s="11">
        <v>1.9642999999999999</v>
      </c>
      <c r="C483" s="11">
        <f t="shared" si="49"/>
        <v>-2.6000000000001577E-3</v>
      </c>
      <c r="D483" s="12">
        <f t="shared" si="50"/>
        <v>6.7600000000008204E-6</v>
      </c>
      <c r="E483" s="12">
        <f t="shared" si="51"/>
        <v>1.6809999999999939E-5</v>
      </c>
      <c r="F483" s="12">
        <f t="shared" si="52"/>
        <v>2.5176615453180008E-5</v>
      </c>
      <c r="G483" s="12">
        <f t="shared" si="53"/>
        <v>4.2416073716782066</v>
      </c>
      <c r="I483" s="12">
        <f t="shared" si="54"/>
        <v>5.0176304619989707E-3</v>
      </c>
      <c r="J483" s="12">
        <f t="shared" si="55"/>
        <v>5.4233926257759718E-3</v>
      </c>
    </row>
    <row r="484" spans="1:10">
      <c r="A484" s="15">
        <v>40758</v>
      </c>
      <c r="B484" s="11">
        <v>1.9704999999999999</v>
      </c>
      <c r="C484" s="11">
        <f t="shared" si="49"/>
        <v>6.1999999999999833E-3</v>
      </c>
      <c r="D484" s="12">
        <f t="shared" si="50"/>
        <v>3.8439999999999795E-5</v>
      </c>
      <c r="E484" s="12">
        <f t="shared" si="51"/>
        <v>6.7600000000008204E-6</v>
      </c>
      <c r="F484" s="12">
        <f t="shared" si="52"/>
        <v>2.4285840102987073E-5</v>
      </c>
      <c r="G484" s="12">
        <f t="shared" si="53"/>
        <v>3.6024623393933699</v>
      </c>
      <c r="I484" s="12">
        <f t="shared" si="54"/>
        <v>4.9280665684411241E-3</v>
      </c>
      <c r="J484" s="12">
        <f t="shared" si="55"/>
        <v>5.4233926257759718E-3</v>
      </c>
    </row>
    <row r="485" spans="1:10">
      <c r="A485" s="15">
        <v>40759</v>
      </c>
      <c r="B485" s="11">
        <v>1.9621999999999999</v>
      </c>
      <c r="C485" s="11">
        <f t="shared" si="49"/>
        <v>-8.2999999999999741E-3</v>
      </c>
      <c r="D485" s="12">
        <f t="shared" si="50"/>
        <v>6.8889999999999566E-5</v>
      </c>
      <c r="E485" s="12">
        <f t="shared" si="51"/>
        <v>3.8439999999999795E-5</v>
      </c>
      <c r="F485" s="12">
        <f t="shared" si="52"/>
        <v>2.5369028294048928E-5</v>
      </c>
      <c r="G485" s="12">
        <f t="shared" si="53"/>
        <v>3.0142942467291105</v>
      </c>
      <c r="I485" s="12">
        <f t="shared" si="54"/>
        <v>5.0367676434444472E-3</v>
      </c>
      <c r="J485" s="12">
        <f t="shared" si="55"/>
        <v>5.4233926257759718E-3</v>
      </c>
    </row>
    <row r="486" spans="1:10">
      <c r="A486" s="15">
        <v>40760</v>
      </c>
      <c r="B486" s="11">
        <v>1.9725999999999999</v>
      </c>
      <c r="C486" s="11">
        <f t="shared" si="49"/>
        <v>1.0399999999999965E-2</v>
      </c>
      <c r="D486" s="12">
        <f t="shared" si="50"/>
        <v>1.0815999999999926E-4</v>
      </c>
      <c r="E486" s="12">
        <f t="shared" si="51"/>
        <v>6.8889999999999566E-5</v>
      </c>
      <c r="F486" s="12">
        <f t="shared" si="52"/>
        <v>2.8139774589692751E-5</v>
      </c>
      <c r="G486" s="12">
        <f t="shared" si="53"/>
        <v>2.398389849158348</v>
      </c>
      <c r="I486" s="12">
        <f t="shared" si="54"/>
        <v>5.3046936376847202E-3</v>
      </c>
      <c r="J486" s="12">
        <f t="shared" si="55"/>
        <v>5.4233926257759718E-3</v>
      </c>
    </row>
    <row r="487" spans="1:10">
      <c r="A487" s="15">
        <v>40761</v>
      </c>
      <c r="B487" s="11">
        <v>1.9645999999999999</v>
      </c>
      <c r="C487" s="11">
        <f t="shared" si="49"/>
        <v>-8.0000000000000071E-3</v>
      </c>
      <c r="D487" s="12">
        <f t="shared" si="50"/>
        <v>6.4000000000000119E-5</v>
      </c>
      <c r="E487" s="12">
        <f t="shared" si="51"/>
        <v>1.0815999999999926E-4</v>
      </c>
      <c r="F487" s="12">
        <f t="shared" si="52"/>
        <v>3.2938296801616794E-5</v>
      </c>
      <c r="G487" s="12">
        <f t="shared" si="53"/>
        <v>3.2699852300231877</v>
      </c>
      <c r="I487" s="12">
        <f t="shared" si="54"/>
        <v>5.7391895596518496E-3</v>
      </c>
      <c r="J487" s="12">
        <f t="shared" si="55"/>
        <v>5.4233926257759718E-3</v>
      </c>
    </row>
    <row r="488" spans="1:10">
      <c r="A488" s="15">
        <v>40762</v>
      </c>
      <c r="B488" s="11">
        <v>1.9645999999999999</v>
      </c>
      <c r="C488" s="11">
        <f t="shared" si="49"/>
        <v>0</v>
      </c>
      <c r="D488" s="12">
        <f t="shared" si="50"/>
        <v>0</v>
      </c>
      <c r="E488" s="12">
        <f t="shared" si="51"/>
        <v>6.4000000000000119E-5</v>
      </c>
      <c r="F488" s="12">
        <f t="shared" si="52"/>
        <v>3.4600523175176163E-5</v>
      </c>
      <c r="G488" s="12">
        <f t="shared" si="53"/>
        <v>4.2168823370814534</v>
      </c>
      <c r="I488" s="12">
        <f t="shared" si="54"/>
        <v>5.8822209389971201E-3</v>
      </c>
      <c r="J488" s="12">
        <f t="shared" si="55"/>
        <v>5.4233926257759718E-3</v>
      </c>
    </row>
    <row r="489" spans="1:10">
      <c r="A489" s="15">
        <v>40763</v>
      </c>
      <c r="B489" s="11">
        <v>1.9676</v>
      </c>
      <c r="C489" s="11">
        <f t="shared" si="49"/>
        <v>3.0000000000001137E-3</v>
      </c>
      <c r="D489" s="12">
        <f t="shared" si="50"/>
        <v>9.0000000000006829E-6</v>
      </c>
      <c r="E489" s="12">
        <f t="shared" si="51"/>
        <v>0</v>
      </c>
      <c r="F489" s="12">
        <f t="shared" si="52"/>
        <v>3.2289797038388918E-5</v>
      </c>
      <c r="G489" s="12">
        <f t="shared" si="53"/>
        <v>4.1120781812429943</v>
      </c>
      <c r="I489" s="12">
        <f t="shared" si="54"/>
        <v>5.682411199340375E-3</v>
      </c>
      <c r="J489" s="12">
        <f t="shared" si="55"/>
        <v>5.4233926257759718E-3</v>
      </c>
    </row>
    <row r="490" spans="1:10">
      <c r="A490" s="15">
        <v>40764</v>
      </c>
      <c r="B490" s="11">
        <v>1.9753000000000001</v>
      </c>
      <c r="C490" s="11">
        <f t="shared" si="49"/>
        <v>7.7000000000000401E-3</v>
      </c>
      <c r="D490" s="12">
        <f t="shared" si="50"/>
        <v>5.929000000000062E-5</v>
      </c>
      <c r="E490" s="12">
        <f t="shared" si="51"/>
        <v>9.0000000000006829E-6</v>
      </c>
      <c r="F490" s="12">
        <f t="shared" si="52"/>
        <v>3.0762414766339581E-5</v>
      </c>
      <c r="G490" s="12">
        <f t="shared" si="53"/>
        <v>3.3119939422921791</v>
      </c>
      <c r="I490" s="12">
        <f t="shared" si="54"/>
        <v>5.5463875420258529E-3</v>
      </c>
      <c r="J490" s="12">
        <f t="shared" si="55"/>
        <v>5.4233926257759718E-3</v>
      </c>
    </row>
    <row r="491" spans="1:10">
      <c r="A491" s="15">
        <v>40765</v>
      </c>
      <c r="B491" s="11">
        <v>1.9642999999999999</v>
      </c>
      <c r="C491" s="11">
        <f t="shared" si="49"/>
        <v>-1.1000000000000121E-2</v>
      </c>
      <c r="D491" s="12">
        <f t="shared" si="50"/>
        <v>1.2100000000000266E-4</v>
      </c>
      <c r="E491" s="12">
        <f t="shared" si="51"/>
        <v>5.929000000000062E-5</v>
      </c>
      <c r="F491" s="12">
        <f t="shared" si="52"/>
        <v>3.2380833150466123E-5</v>
      </c>
      <c r="G491" s="12">
        <f t="shared" si="53"/>
        <v>2.3816441666592909</v>
      </c>
      <c r="I491" s="12">
        <f t="shared" si="54"/>
        <v>5.6904159031186926E-3</v>
      </c>
      <c r="J491" s="12">
        <f t="shared" si="55"/>
        <v>5.4233926257759718E-3</v>
      </c>
    </row>
    <row r="492" spans="1:10">
      <c r="A492" s="15">
        <v>40766</v>
      </c>
      <c r="B492" s="11">
        <v>1.9662999999999999</v>
      </c>
      <c r="C492" s="11">
        <f t="shared" si="49"/>
        <v>2.0000000000000018E-3</v>
      </c>
      <c r="D492" s="12">
        <f t="shared" si="50"/>
        <v>4.0000000000000074E-6</v>
      </c>
      <c r="E492" s="12">
        <f t="shared" si="51"/>
        <v>1.2100000000000266E-4</v>
      </c>
      <c r="F492" s="12">
        <f t="shared" si="52"/>
        <v>3.7481642581324822E-5</v>
      </c>
      <c r="G492" s="12">
        <f t="shared" si="53"/>
        <v>4.1235316429657365</v>
      </c>
      <c r="I492" s="12">
        <f t="shared" si="54"/>
        <v>6.1222252965179927E-3</v>
      </c>
      <c r="J492" s="12">
        <f t="shared" si="55"/>
        <v>5.4233926257759718E-3</v>
      </c>
    </row>
    <row r="493" spans="1:10">
      <c r="A493" s="15">
        <v>40767</v>
      </c>
      <c r="B493" s="11">
        <v>1.9663999999999999</v>
      </c>
      <c r="C493" s="11">
        <f t="shared" si="49"/>
        <v>9.9999999999988987E-5</v>
      </c>
      <c r="D493" s="12">
        <f t="shared" si="50"/>
        <v>9.9999999999977966E-9</v>
      </c>
      <c r="E493" s="12">
        <f t="shared" si="51"/>
        <v>4.0000000000000074E-6</v>
      </c>
      <c r="F493" s="12">
        <f t="shared" si="52"/>
        <v>3.5096364947368824E-5</v>
      </c>
      <c r="G493" s="12">
        <f t="shared" si="53"/>
        <v>4.2096254923166416</v>
      </c>
      <c r="I493" s="12">
        <f t="shared" si="54"/>
        <v>5.9242185094212068E-3</v>
      </c>
      <c r="J493" s="12">
        <f t="shared" si="55"/>
        <v>5.4233926257759718E-3</v>
      </c>
    </row>
    <row r="494" spans="1:10">
      <c r="A494" s="15">
        <v>40768</v>
      </c>
      <c r="B494" s="11">
        <v>1.9649000000000001</v>
      </c>
      <c r="C494" s="11">
        <f t="shared" si="49"/>
        <v>-1.4999999999998348E-3</v>
      </c>
      <c r="D494" s="12">
        <f t="shared" si="50"/>
        <v>2.2499999999995045E-6</v>
      </c>
      <c r="E494" s="12">
        <f t="shared" si="51"/>
        <v>9.9999999999977966E-9</v>
      </c>
      <c r="F494" s="12">
        <f t="shared" si="52"/>
        <v>3.2732600830577651E-5</v>
      </c>
      <c r="G494" s="12">
        <f t="shared" si="53"/>
        <v>4.2102615595599433</v>
      </c>
      <c r="I494" s="12">
        <f t="shared" si="54"/>
        <v>5.7212411966790604E-3</v>
      </c>
      <c r="J494" s="12">
        <f t="shared" si="55"/>
        <v>5.4233926257759718E-3</v>
      </c>
    </row>
    <row r="495" spans="1:10">
      <c r="A495" s="15">
        <v>40769</v>
      </c>
      <c r="B495" s="11">
        <v>1.9661999999999999</v>
      </c>
      <c r="C495" s="11">
        <f t="shared" si="49"/>
        <v>1.2999999999998568E-3</v>
      </c>
      <c r="D495" s="12">
        <f t="shared" si="50"/>
        <v>1.6899999999996276E-6</v>
      </c>
      <c r="E495" s="12">
        <f t="shared" si="51"/>
        <v>2.2499999999995045E-6</v>
      </c>
      <c r="F495" s="12">
        <f t="shared" si="52"/>
        <v>3.0757264188275806E-5</v>
      </c>
      <c r="G495" s="12">
        <f t="shared" si="53"/>
        <v>4.2482804536287739</v>
      </c>
      <c r="I495" s="12">
        <f t="shared" si="54"/>
        <v>5.5459232043254805E-3</v>
      </c>
      <c r="J495" s="12">
        <f t="shared" si="55"/>
        <v>5.4233926257759718E-3</v>
      </c>
    </row>
    <row r="496" spans="1:10">
      <c r="A496" s="15">
        <v>40770</v>
      </c>
      <c r="B496" s="11">
        <v>1.9783999999999999</v>
      </c>
      <c r="C496" s="11">
        <f t="shared" si="49"/>
        <v>1.2199999999999989E-2</v>
      </c>
      <c r="D496" s="12">
        <f t="shared" si="50"/>
        <v>1.4883999999999972E-4</v>
      </c>
      <c r="E496" s="12">
        <f t="shared" si="51"/>
        <v>1.6899999999996276E-6</v>
      </c>
      <c r="F496" s="12">
        <f t="shared" si="52"/>
        <v>2.8962391422882654E-5</v>
      </c>
      <c r="G496" s="12">
        <f t="shared" si="53"/>
        <v>1.7362784709568324</v>
      </c>
      <c r="I496" s="12">
        <f t="shared" si="54"/>
        <v>5.3816718055714483E-3</v>
      </c>
      <c r="J496" s="12">
        <f t="shared" si="55"/>
        <v>5.4233926257759718E-3</v>
      </c>
    </row>
    <row r="497" spans="1:10">
      <c r="A497" s="15">
        <v>40771</v>
      </c>
      <c r="B497" s="11">
        <v>1.9762999999999999</v>
      </c>
      <c r="C497" s="11">
        <f t="shared" si="49"/>
        <v>-2.0999999999999908E-3</v>
      </c>
      <c r="D497" s="12">
        <f t="shared" si="50"/>
        <v>4.4099999999999612E-6</v>
      </c>
      <c r="E497" s="12">
        <f t="shared" si="51"/>
        <v>1.4883999999999972E-4</v>
      </c>
      <c r="F497" s="12">
        <f t="shared" si="52"/>
        <v>3.608296902787835E-5</v>
      </c>
      <c r="G497" s="12">
        <f t="shared" si="53"/>
        <v>4.1347970854153342</v>
      </c>
      <c r="I497" s="12">
        <f t="shared" si="54"/>
        <v>6.0069101065255131E-3</v>
      </c>
      <c r="J497" s="12">
        <f t="shared" si="55"/>
        <v>5.4233926257759718E-3</v>
      </c>
    </row>
    <row r="498" spans="1:10">
      <c r="A498" s="15">
        <v>40772</v>
      </c>
      <c r="B498" s="11">
        <v>1.9750000000000001</v>
      </c>
      <c r="C498" s="11">
        <f t="shared" si="49"/>
        <v>-1.2999999999998568E-3</v>
      </c>
      <c r="D498" s="12">
        <f t="shared" si="50"/>
        <v>1.6899999999996276E-6</v>
      </c>
      <c r="E498" s="12">
        <f t="shared" si="51"/>
        <v>4.4099999999999612E-6</v>
      </c>
      <c r="F498" s="12">
        <f t="shared" si="52"/>
        <v>3.3873273060097048E-5</v>
      </c>
      <c r="G498" s="12">
        <f t="shared" si="53"/>
        <v>4.2025576681447845</v>
      </c>
      <c r="I498" s="12">
        <f t="shared" si="54"/>
        <v>5.8200750046796691E-3</v>
      </c>
      <c r="J498" s="12">
        <f t="shared" si="55"/>
        <v>5.4233926257759718E-3</v>
      </c>
    </row>
    <row r="499" spans="1:10">
      <c r="A499" s="15">
        <v>40773</v>
      </c>
      <c r="B499" s="11">
        <v>1.9699</v>
      </c>
      <c r="C499" s="11">
        <f t="shared" si="49"/>
        <v>-5.1000000000001044E-3</v>
      </c>
      <c r="D499" s="12">
        <f t="shared" si="50"/>
        <v>2.6010000000001064E-5</v>
      </c>
      <c r="E499" s="12">
        <f t="shared" si="51"/>
        <v>1.6899999999996276E-6</v>
      </c>
      <c r="F499" s="12">
        <f t="shared" si="52"/>
        <v>3.1741370161434145E-5</v>
      </c>
      <c r="G499" s="12">
        <f t="shared" si="53"/>
        <v>3.8502886342574656</v>
      </c>
      <c r="I499" s="12">
        <f t="shared" si="54"/>
        <v>5.6339480084070838E-3</v>
      </c>
      <c r="J499" s="12">
        <f t="shared" si="55"/>
        <v>5.4233926257759718E-3</v>
      </c>
    </row>
    <row r="500" spans="1:10">
      <c r="A500" s="15">
        <v>40774</v>
      </c>
      <c r="B500" s="11">
        <v>1.9726999999999999</v>
      </c>
      <c r="C500" s="11">
        <f t="shared" si="49"/>
        <v>2.7999999999999137E-3</v>
      </c>
      <c r="D500" s="12">
        <f t="shared" si="50"/>
        <v>7.8399999999995167E-6</v>
      </c>
      <c r="E500" s="12">
        <f t="shared" si="51"/>
        <v>2.6010000000001064E-5</v>
      </c>
      <c r="F500" s="12">
        <f t="shared" si="52"/>
        <v>3.1281458258896427E-5</v>
      </c>
      <c r="G500" s="12">
        <f t="shared" si="53"/>
        <v>4.141990120309063</v>
      </c>
      <c r="I500" s="12">
        <f t="shared" si="54"/>
        <v>5.592982948203617E-3</v>
      </c>
      <c r="J500" s="12">
        <f t="shared" si="55"/>
        <v>5.4233926257759718E-3</v>
      </c>
    </row>
    <row r="501" spans="1:10">
      <c r="A501" s="15">
        <v>40775</v>
      </c>
      <c r="B501" s="11">
        <v>1.9730000000000001</v>
      </c>
      <c r="C501" s="11">
        <f t="shared" si="49"/>
        <v>3.00000000000189E-4</v>
      </c>
      <c r="D501" s="12">
        <f t="shared" si="50"/>
        <v>9.0000000000113408E-8</v>
      </c>
      <c r="E501" s="12">
        <f t="shared" si="51"/>
        <v>7.8399999999995167E-6</v>
      </c>
      <c r="F501" s="12">
        <f t="shared" si="52"/>
        <v>2.9794387644630547E-5</v>
      </c>
      <c r="G501" s="12">
        <f t="shared" si="53"/>
        <v>4.2901463659755583</v>
      </c>
      <c r="I501" s="12">
        <f t="shared" si="54"/>
        <v>5.4584235493987223E-3</v>
      </c>
      <c r="J501" s="12">
        <f t="shared" si="55"/>
        <v>5.4233926257759718E-3</v>
      </c>
    </row>
    <row r="502" spans="1:10">
      <c r="A502" s="15">
        <v>40776</v>
      </c>
      <c r="B502" s="11">
        <v>1.9726999999999999</v>
      </c>
      <c r="C502" s="11">
        <f t="shared" si="49"/>
        <v>-3.00000000000189E-4</v>
      </c>
      <c r="D502" s="12">
        <f t="shared" si="50"/>
        <v>9.0000000000113408E-8</v>
      </c>
      <c r="E502" s="12">
        <f t="shared" si="51"/>
        <v>9.0000000000113408E-8</v>
      </c>
      <c r="F502" s="12">
        <f t="shared" si="52"/>
        <v>2.8008831296066536E-5</v>
      </c>
      <c r="G502" s="12">
        <f t="shared" si="53"/>
        <v>4.320950170333977</v>
      </c>
      <c r="I502" s="12">
        <f t="shared" si="54"/>
        <v>5.2923370353811115E-3</v>
      </c>
      <c r="J502" s="12">
        <f t="shared" si="55"/>
        <v>5.4233926257759718E-3</v>
      </c>
    </row>
    <row r="503" spans="1:10">
      <c r="A503" s="15">
        <v>40777</v>
      </c>
      <c r="B503" s="11">
        <v>1.9709000000000001</v>
      </c>
      <c r="C503" s="11">
        <f t="shared" si="49"/>
        <v>-1.7999999999998018E-3</v>
      </c>
      <c r="D503" s="12">
        <f t="shared" si="50"/>
        <v>3.2399999999992863E-6</v>
      </c>
      <c r="E503" s="12">
        <f t="shared" si="51"/>
        <v>9.0000000000113408E-8</v>
      </c>
      <c r="F503" s="12">
        <f t="shared" si="52"/>
        <v>2.6416402219879462E-5</v>
      </c>
      <c r="G503" s="12">
        <f t="shared" si="53"/>
        <v>4.2904986466321544</v>
      </c>
      <c r="I503" s="12">
        <f t="shared" si="54"/>
        <v>5.1396889224815407E-3</v>
      </c>
      <c r="J503" s="12">
        <f t="shared" si="55"/>
        <v>5.4233926257759718E-3</v>
      </c>
    </row>
    <row r="504" spans="1:10">
      <c r="A504" s="15">
        <v>40778</v>
      </c>
      <c r="B504" s="11">
        <v>1.9764999999999999</v>
      </c>
      <c r="C504" s="11">
        <f t="shared" si="49"/>
        <v>5.5999999999998273E-3</v>
      </c>
      <c r="D504" s="12">
        <f t="shared" si="50"/>
        <v>3.1359999999998067E-5</v>
      </c>
      <c r="E504" s="12">
        <f t="shared" si="51"/>
        <v>3.2399999999992863E-6</v>
      </c>
      <c r="F504" s="12">
        <f t="shared" si="52"/>
        <v>2.5182906433939613E-5</v>
      </c>
      <c r="G504" s="12">
        <f t="shared" si="53"/>
        <v>3.7530894422009404</v>
      </c>
      <c r="I504" s="12">
        <f t="shared" si="54"/>
        <v>5.0182573104554547E-3</v>
      </c>
      <c r="J504" s="12">
        <f t="shared" si="55"/>
        <v>5.4233926257759718E-3</v>
      </c>
    </row>
    <row r="505" spans="1:10">
      <c r="A505" s="15">
        <v>40779</v>
      </c>
      <c r="B505" s="11">
        <v>1.9750000000000001</v>
      </c>
      <c r="C505" s="11">
        <f t="shared" si="49"/>
        <v>-1.4999999999998348E-3</v>
      </c>
      <c r="D505" s="12">
        <f t="shared" si="50"/>
        <v>2.2499999999995045E-6</v>
      </c>
      <c r="E505" s="12">
        <f t="shared" si="51"/>
        <v>3.1359999999998067E-5</v>
      </c>
      <c r="F505" s="12">
        <f t="shared" si="52"/>
        <v>2.5749448331979201E-5</v>
      </c>
      <c r="G505" s="12">
        <f t="shared" si="53"/>
        <v>4.3209198805429017</v>
      </c>
      <c r="I505" s="12">
        <f t="shared" si="54"/>
        <v>5.0743914247896958E-3</v>
      </c>
      <c r="J505" s="12">
        <f t="shared" si="55"/>
        <v>5.4233926257759718E-3</v>
      </c>
    </row>
    <row r="506" spans="1:10">
      <c r="A506" s="15">
        <v>40780</v>
      </c>
      <c r="B506" s="11">
        <v>1.9729000000000001</v>
      </c>
      <c r="C506" s="11">
        <f t="shared" si="49"/>
        <v>-2.0999999999999908E-3</v>
      </c>
      <c r="D506" s="12">
        <f t="shared" si="50"/>
        <v>4.4099999999999612E-6</v>
      </c>
      <c r="E506" s="12">
        <f t="shared" si="51"/>
        <v>2.2499999999995045E-6</v>
      </c>
      <c r="F506" s="12">
        <f t="shared" si="52"/>
        <v>2.452941532136119E-5</v>
      </c>
      <c r="G506" s="12">
        <f t="shared" si="53"/>
        <v>4.2989881537250083</v>
      </c>
      <c r="I506" s="12">
        <f t="shared" si="54"/>
        <v>4.9527179731296217E-3</v>
      </c>
      <c r="J506" s="12">
        <f t="shared" si="55"/>
        <v>5.4233926257759718E-3</v>
      </c>
    </row>
    <row r="507" spans="1:10">
      <c r="A507" s="15">
        <v>40781</v>
      </c>
      <c r="B507" s="11">
        <v>1.9781</v>
      </c>
      <c r="C507" s="11">
        <f t="shared" si="49"/>
        <v>5.1999999999998714E-3</v>
      </c>
      <c r="D507" s="12">
        <f t="shared" si="50"/>
        <v>2.7039999999998664E-5</v>
      </c>
      <c r="E507" s="12">
        <f t="shared" si="51"/>
        <v>4.4099999999999612E-6</v>
      </c>
      <c r="F507" s="12">
        <f t="shared" si="52"/>
        <v>2.3569361413543218E-5</v>
      </c>
      <c r="G507" s="12">
        <f t="shared" si="53"/>
        <v>3.8352168634859423</v>
      </c>
      <c r="I507" s="12">
        <f t="shared" si="54"/>
        <v>4.8548286698444076E-3</v>
      </c>
      <c r="J507" s="12">
        <f t="shared" si="55"/>
        <v>5.4233926257759718E-3</v>
      </c>
    </row>
    <row r="508" spans="1:10">
      <c r="A508" s="15">
        <v>40782</v>
      </c>
      <c r="B508" s="11">
        <v>1.9785999999999999</v>
      </c>
      <c r="C508" s="11">
        <f t="shared" si="49"/>
        <v>4.9999999999994493E-4</v>
      </c>
      <c r="D508" s="12">
        <f t="shared" si="50"/>
        <v>2.4999999999994493E-7</v>
      </c>
      <c r="E508" s="12">
        <f t="shared" si="51"/>
        <v>2.7039999999998664E-5</v>
      </c>
      <c r="F508" s="12">
        <f t="shared" si="52"/>
        <v>2.4054387076395632E-5</v>
      </c>
      <c r="G508" s="12">
        <f t="shared" si="53"/>
        <v>4.3934614837550221</v>
      </c>
      <c r="I508" s="12">
        <f t="shared" si="54"/>
        <v>4.9045272021261774E-3</v>
      </c>
      <c r="J508" s="12">
        <f t="shared" si="55"/>
        <v>5.4233926257759718E-3</v>
      </c>
    </row>
    <row r="509" spans="1:10">
      <c r="A509" s="15">
        <v>40783</v>
      </c>
      <c r="B509" s="11">
        <v>1.9762</v>
      </c>
      <c r="C509" s="11">
        <f t="shared" si="49"/>
        <v>-2.3999999999999577E-3</v>
      </c>
      <c r="D509" s="12">
        <f t="shared" si="50"/>
        <v>5.7599999999997975E-6</v>
      </c>
      <c r="E509" s="12">
        <f t="shared" si="51"/>
        <v>2.4999999999994493E-7</v>
      </c>
      <c r="F509" s="12">
        <f t="shared" si="52"/>
        <v>2.2899156915756127E-5</v>
      </c>
      <c r="G509" s="12">
        <f t="shared" si="53"/>
        <v>4.2974978689698791</v>
      </c>
      <c r="I509" s="12">
        <f t="shared" si="54"/>
        <v>4.7853063554756997E-3</v>
      </c>
      <c r="J509" s="12">
        <f t="shared" si="55"/>
        <v>5.4233926257759718E-3</v>
      </c>
    </row>
    <row r="510" spans="1:10">
      <c r="A510" s="15">
        <v>40784</v>
      </c>
      <c r="B510" s="11">
        <v>1.9802</v>
      </c>
      <c r="C510" s="11">
        <f t="shared" si="49"/>
        <v>4.0000000000000036E-3</v>
      </c>
      <c r="D510" s="12">
        <f t="shared" si="50"/>
        <v>1.600000000000003E-5</v>
      </c>
      <c r="E510" s="12">
        <f t="shared" si="51"/>
        <v>5.7599999999997975E-6</v>
      </c>
      <c r="F510" s="12">
        <f t="shared" si="52"/>
        <v>2.2195445192674978E-5</v>
      </c>
      <c r="G510" s="12">
        <f t="shared" si="53"/>
        <v>4.0784388790187238</v>
      </c>
      <c r="I510" s="12">
        <f t="shared" si="54"/>
        <v>4.7112042189524092E-3</v>
      </c>
      <c r="J510" s="12">
        <f t="shared" si="55"/>
        <v>5.4233926257759718E-3</v>
      </c>
    </row>
    <row r="511" spans="1:10">
      <c r="A511" s="15">
        <v>40785</v>
      </c>
      <c r="B511" s="11">
        <v>1.9763999999999999</v>
      </c>
      <c r="C511" s="11">
        <f t="shared" si="49"/>
        <v>-3.8000000000000256E-3</v>
      </c>
      <c r="D511" s="12">
        <f t="shared" si="50"/>
        <v>1.4440000000000194E-5</v>
      </c>
      <c r="E511" s="12">
        <f t="shared" si="51"/>
        <v>1.600000000000003E-5</v>
      </c>
      <c r="F511" s="12">
        <f t="shared" si="52"/>
        <v>2.2174753873674737E-5</v>
      </c>
      <c r="G511" s="12">
        <f t="shared" si="53"/>
        <v>4.1137440273359527</v>
      </c>
      <c r="I511" s="12">
        <f t="shared" si="54"/>
        <v>4.7090077376953565E-3</v>
      </c>
      <c r="J511" s="12">
        <f t="shared" si="55"/>
        <v>5.4233926257759718E-3</v>
      </c>
    </row>
    <row r="512" spans="1:10">
      <c r="A512" s="15">
        <v>40786</v>
      </c>
      <c r="B512" s="11">
        <v>1.9731000000000001</v>
      </c>
      <c r="C512" s="11">
        <f t="shared" si="49"/>
        <v>-3.2999999999998586E-3</v>
      </c>
      <c r="D512" s="12">
        <f t="shared" si="50"/>
        <v>1.0889999999999067E-5</v>
      </c>
      <c r="E512" s="12">
        <f t="shared" si="51"/>
        <v>1.4440000000000194E-5</v>
      </c>
      <c r="F512" s="12">
        <f t="shared" si="52"/>
        <v>2.2063842155250184E-5</v>
      </c>
      <c r="G512" s="12">
        <f t="shared" si="53"/>
        <v>4.1950628009041013</v>
      </c>
      <c r="I512" s="12">
        <f t="shared" si="54"/>
        <v>4.6972164262731372E-3</v>
      </c>
      <c r="J512" s="12">
        <f t="shared" si="55"/>
        <v>5.4233926257759718E-3</v>
      </c>
    </row>
    <row r="513" spans="1:10">
      <c r="A513" s="15">
        <v>40787</v>
      </c>
      <c r="B513" s="11">
        <v>1.9674</v>
      </c>
      <c r="C513" s="11">
        <f t="shared" si="49"/>
        <v>-5.7000000000000384E-3</v>
      </c>
      <c r="D513" s="12">
        <f t="shared" si="50"/>
        <v>3.2490000000000436E-5</v>
      </c>
      <c r="E513" s="12">
        <f t="shared" si="51"/>
        <v>1.0889999999999067E-5</v>
      </c>
      <c r="F513" s="12">
        <f t="shared" si="52"/>
        <v>2.1754524636230755E-5</v>
      </c>
      <c r="G513" s="12">
        <f t="shared" si="53"/>
        <v>3.7021646481059727</v>
      </c>
      <c r="I513" s="12">
        <f t="shared" si="54"/>
        <v>4.6641745932405609E-3</v>
      </c>
      <c r="J513" s="12">
        <f t="shared" si="55"/>
        <v>5.4233926257759718E-3</v>
      </c>
    </row>
    <row r="514" spans="1:10">
      <c r="A514" s="15">
        <v>40788</v>
      </c>
      <c r="B514" s="11">
        <v>1.9666999999999999</v>
      </c>
      <c r="C514" s="11">
        <f t="shared" si="49"/>
        <v>-7.0000000000014495E-4</v>
      </c>
      <c r="D514" s="12">
        <f t="shared" si="50"/>
        <v>4.9000000000020294E-7</v>
      </c>
      <c r="E514" s="12">
        <f t="shared" si="51"/>
        <v>3.2490000000000436E-5</v>
      </c>
      <c r="F514" s="12">
        <f t="shared" si="52"/>
        <v>2.2758856249658861E-5</v>
      </c>
      <c r="G514" s="12">
        <f t="shared" si="53"/>
        <v>4.4155745206258601</v>
      </c>
      <c r="I514" s="12">
        <f t="shared" si="54"/>
        <v>4.7706243039731039E-3</v>
      </c>
      <c r="J514" s="12">
        <f t="shared" si="55"/>
        <v>5.4233926257759718E-3</v>
      </c>
    </row>
    <row r="515" spans="1:10">
      <c r="A515" s="15">
        <v>40789</v>
      </c>
      <c r="B515" s="11">
        <v>1.9589000000000001</v>
      </c>
      <c r="C515" s="11">
        <f t="shared" si="49"/>
        <v>-7.7999999999998071E-3</v>
      </c>
      <c r="D515" s="12">
        <f t="shared" si="50"/>
        <v>6.0839999999996992E-5</v>
      </c>
      <c r="E515" s="12">
        <f t="shared" si="51"/>
        <v>4.9000000000020294E-7</v>
      </c>
      <c r="F515" s="12">
        <f t="shared" si="52"/>
        <v>2.1757976157592559E-5</v>
      </c>
      <c r="G515" s="12">
        <f t="shared" si="53"/>
        <v>3.0507185576386755</v>
      </c>
      <c r="I515" s="12">
        <f t="shared" si="54"/>
        <v>4.664544582013614E-3</v>
      </c>
      <c r="J515" s="12">
        <f t="shared" si="55"/>
        <v>5.4233926257759718E-3</v>
      </c>
    </row>
    <row r="516" spans="1:10">
      <c r="A516" s="15">
        <v>40791</v>
      </c>
      <c r="B516" s="11">
        <v>1.9610000000000001</v>
      </c>
      <c r="C516" s="11">
        <f t="shared" si="49"/>
        <v>2.0999999999999908E-3</v>
      </c>
      <c r="D516" s="12">
        <f t="shared" si="50"/>
        <v>4.4099999999999612E-6</v>
      </c>
      <c r="E516" s="12">
        <f t="shared" si="51"/>
        <v>6.0839999999996992E-5</v>
      </c>
      <c r="F516" s="12">
        <f t="shared" si="52"/>
        <v>2.4442187882378659E-5</v>
      </c>
      <c r="G516" s="12">
        <f t="shared" si="53"/>
        <v>4.300448539607963</v>
      </c>
      <c r="I516" s="12">
        <f t="shared" si="54"/>
        <v>4.9439041133883914E-3</v>
      </c>
      <c r="J516" s="12">
        <f t="shared" si="55"/>
        <v>5.4233926257759718E-3</v>
      </c>
    </row>
    <row r="517" spans="1:10">
      <c r="A517" s="15">
        <v>40792</v>
      </c>
      <c r="B517" s="11">
        <v>1.9555</v>
      </c>
      <c r="C517" s="11">
        <f t="shared" si="49"/>
        <v>-5.5000000000000604E-3</v>
      </c>
      <c r="D517" s="12">
        <f t="shared" si="50"/>
        <v>3.0250000000000664E-5</v>
      </c>
      <c r="E517" s="12">
        <f t="shared" si="51"/>
        <v>4.4099999999999612E-6</v>
      </c>
      <c r="F517" s="12">
        <f t="shared" si="52"/>
        <v>2.3491568567527002E-5</v>
      </c>
      <c r="G517" s="12">
        <f t="shared" si="53"/>
        <v>3.7666479283073739</v>
      </c>
      <c r="I517" s="12">
        <f t="shared" si="54"/>
        <v>4.846810143540492E-3</v>
      </c>
      <c r="J517" s="12">
        <f t="shared" si="55"/>
        <v>5.4233926257759718E-3</v>
      </c>
    </row>
    <row r="518" spans="1:10">
      <c r="A518" s="15">
        <v>40793</v>
      </c>
      <c r="B518" s="11">
        <v>1.9630000000000001</v>
      </c>
      <c r="C518" s="11">
        <f t="shared" si="49"/>
        <v>7.5000000000000622E-3</v>
      </c>
      <c r="D518" s="12">
        <f t="shared" si="50"/>
        <v>5.6250000000000934E-5</v>
      </c>
      <c r="E518" s="12">
        <f t="shared" si="51"/>
        <v>3.0250000000000664E-5</v>
      </c>
      <c r="F518" s="12">
        <f t="shared" si="52"/>
        <v>2.4175259287418835E-5</v>
      </c>
      <c r="G518" s="12">
        <f t="shared" si="53"/>
        <v>3.2327723989681818</v>
      </c>
      <c r="I518" s="12">
        <f t="shared" si="54"/>
        <v>4.9168342749597365E-3</v>
      </c>
      <c r="J518" s="12">
        <f t="shared" si="55"/>
        <v>5.4233926257759718E-3</v>
      </c>
    </row>
    <row r="519" spans="1:10">
      <c r="A519" s="15">
        <v>40794</v>
      </c>
      <c r="B519" s="11">
        <v>1.9536</v>
      </c>
      <c r="C519" s="11">
        <f t="shared" si="49"/>
        <v>-9.400000000000075E-3</v>
      </c>
      <c r="D519" s="12">
        <f t="shared" si="50"/>
        <v>8.8360000000001411E-5</v>
      </c>
      <c r="E519" s="12">
        <f t="shared" si="51"/>
        <v>5.6250000000000934E-5</v>
      </c>
      <c r="F519" s="12">
        <f t="shared" si="52"/>
        <v>2.6325974609623501E-5</v>
      </c>
      <c r="G519" s="12">
        <f t="shared" si="53"/>
        <v>2.6753482173506788</v>
      </c>
      <c r="I519" s="12">
        <f t="shared" si="54"/>
        <v>5.1308843886432969E-3</v>
      </c>
      <c r="J519" s="12">
        <f t="shared" si="55"/>
        <v>5.4233926257759718E-3</v>
      </c>
    </row>
    <row r="520" spans="1:10">
      <c r="A520" s="15">
        <v>40795</v>
      </c>
      <c r="B520" s="11">
        <v>1.9450000000000001</v>
      </c>
      <c r="C520" s="11">
        <f t="shared" si="49"/>
        <v>-8.599999999999941E-3</v>
      </c>
      <c r="D520" s="12">
        <f t="shared" si="50"/>
        <v>7.3959999999998987E-5</v>
      </c>
      <c r="E520" s="12">
        <f t="shared" si="51"/>
        <v>8.8360000000001411E-5</v>
      </c>
      <c r="F520" s="12">
        <f t="shared" si="52"/>
        <v>3.0147168616173962E-5</v>
      </c>
      <c r="G520" s="12">
        <f t="shared" si="53"/>
        <v>3.0591220427650256</v>
      </c>
      <c r="I520" s="12">
        <f t="shared" si="54"/>
        <v>5.4906437342240625E-3</v>
      </c>
      <c r="J520" s="12">
        <f t="shared" si="55"/>
        <v>5.4233926257759718E-3</v>
      </c>
    </row>
    <row r="521" spans="1:10">
      <c r="A521" s="15">
        <v>40796</v>
      </c>
      <c r="B521" s="11">
        <v>1.9450000000000001</v>
      </c>
      <c r="C521" s="11">
        <f t="shared" si="49"/>
        <v>0</v>
      </c>
      <c r="D521" s="12">
        <f t="shared" si="50"/>
        <v>0</v>
      </c>
      <c r="E521" s="12">
        <f t="shared" si="51"/>
        <v>7.3959999999998987E-5</v>
      </c>
      <c r="F521" s="12">
        <f t="shared" si="52"/>
        <v>3.270159701368542E-5</v>
      </c>
      <c r="G521" s="12">
        <f t="shared" si="53"/>
        <v>4.245104780866221</v>
      </c>
      <c r="I521" s="12">
        <f t="shared" si="54"/>
        <v>5.7185310188618737E-3</v>
      </c>
      <c r="J521" s="12">
        <f t="shared" si="55"/>
        <v>5.4233926257759718E-3</v>
      </c>
    </row>
    <row r="522" spans="1:10">
      <c r="A522" s="15">
        <v>40797</v>
      </c>
      <c r="B522" s="11">
        <v>1.9447000000000001</v>
      </c>
      <c r="C522" s="11">
        <f t="shared" si="49"/>
        <v>-2.9999999999996696E-4</v>
      </c>
      <c r="D522" s="12">
        <f t="shared" si="50"/>
        <v>8.9999999999980173E-8</v>
      </c>
      <c r="E522" s="12">
        <f t="shared" si="51"/>
        <v>0</v>
      </c>
      <c r="F522" s="12">
        <f t="shared" si="52"/>
        <v>3.0596260323335333E-5</v>
      </c>
      <c r="G522" s="12">
        <f t="shared" si="53"/>
        <v>4.2769070754936793</v>
      </c>
      <c r="I522" s="12">
        <f t="shared" si="54"/>
        <v>5.5313886433096832E-3</v>
      </c>
      <c r="J522" s="12">
        <f t="shared" si="55"/>
        <v>5.4233926257759718E-3</v>
      </c>
    </row>
    <row r="523" spans="1:10">
      <c r="A523" s="15">
        <v>40798</v>
      </c>
      <c r="B523" s="11">
        <v>1.9468000000000001</v>
      </c>
      <c r="C523" s="11">
        <f t="shared" si="49"/>
        <v>2.0999999999999908E-3</v>
      </c>
      <c r="D523" s="12">
        <f t="shared" si="50"/>
        <v>4.4099999999999612E-6</v>
      </c>
      <c r="E523" s="12">
        <f t="shared" si="51"/>
        <v>8.9999999999980173E-8</v>
      </c>
      <c r="F523" s="12">
        <f t="shared" si="52"/>
        <v>2.872397275323558E-5</v>
      </c>
      <c r="G523" s="12">
        <f t="shared" si="53"/>
        <v>4.2331855602335517</v>
      </c>
      <c r="I523" s="12">
        <f t="shared" si="54"/>
        <v>5.3594750445575901E-3</v>
      </c>
      <c r="J523" s="12">
        <f t="shared" si="55"/>
        <v>5.4233926257759718E-3</v>
      </c>
    </row>
    <row r="524" spans="1:10">
      <c r="A524" s="15">
        <v>40799</v>
      </c>
      <c r="B524" s="11">
        <v>1.9464999999999999</v>
      </c>
      <c r="C524" s="11">
        <f t="shared" si="49"/>
        <v>-3.00000000000189E-4</v>
      </c>
      <c r="D524" s="12">
        <f t="shared" si="50"/>
        <v>9.0000000000113408E-8</v>
      </c>
      <c r="E524" s="12">
        <f t="shared" si="51"/>
        <v>4.4099999999999612E-6</v>
      </c>
      <c r="F524" s="12">
        <f t="shared" si="52"/>
        <v>2.7310231995211054E-5</v>
      </c>
      <c r="G524" s="12">
        <f t="shared" si="53"/>
        <v>4.3335382891452605</v>
      </c>
      <c r="I524" s="12">
        <f t="shared" si="54"/>
        <v>5.2259192488222639E-3</v>
      </c>
      <c r="J524" s="12">
        <f t="shared" si="55"/>
        <v>5.4233926257759718E-3</v>
      </c>
    </row>
    <row r="525" spans="1:10">
      <c r="A525" s="15">
        <v>40800</v>
      </c>
      <c r="B525" s="11">
        <v>1.9503999999999999</v>
      </c>
      <c r="C525" s="11">
        <f t="shared" si="49"/>
        <v>3.9000000000000146E-3</v>
      </c>
      <c r="D525" s="12">
        <f t="shared" si="50"/>
        <v>1.5210000000000114E-5</v>
      </c>
      <c r="E525" s="12">
        <f t="shared" si="51"/>
        <v>9.0000000000113408E-8</v>
      </c>
      <c r="F525" s="12">
        <f t="shared" si="52"/>
        <v>2.5793364005386314E-5</v>
      </c>
      <c r="G525" s="12">
        <f t="shared" si="53"/>
        <v>4.0689148352832056</v>
      </c>
      <c r="I525" s="12">
        <f t="shared" si="54"/>
        <v>5.0787167675886702E-3</v>
      </c>
      <c r="J525" s="12">
        <f t="shared" si="55"/>
        <v>5.4233926257759718E-3</v>
      </c>
    </row>
    <row r="526" spans="1:10">
      <c r="A526" s="15">
        <v>40801</v>
      </c>
      <c r="B526" s="11">
        <v>1.9571000000000001</v>
      </c>
      <c r="C526" s="11">
        <f t="shared" ref="C526:C589" si="56">B526-B525</f>
        <v>6.7000000000001503E-3</v>
      </c>
      <c r="D526" s="12">
        <f t="shared" ref="D526:D589" si="57">C526^2</f>
        <v>4.4890000000002011E-5</v>
      </c>
      <c r="E526" s="12">
        <f t="shared" si="51"/>
        <v>1.5210000000000114E-5</v>
      </c>
      <c r="F526" s="12">
        <f t="shared" si="52"/>
        <v>2.533669689277811E-5</v>
      </c>
      <c r="G526" s="12">
        <f t="shared" si="53"/>
        <v>3.4868206075440442</v>
      </c>
      <c r="I526" s="12">
        <f t="shared" si="54"/>
        <v>5.0335570815058916E-3</v>
      </c>
      <c r="J526" s="12">
        <f t="shared" si="55"/>
        <v>5.4233926257759718E-3</v>
      </c>
    </row>
    <row r="527" spans="1:10">
      <c r="A527" s="15">
        <v>40802</v>
      </c>
      <c r="B527" s="11">
        <v>1.9499</v>
      </c>
      <c r="C527" s="11">
        <f t="shared" si="56"/>
        <v>-7.2000000000000952E-3</v>
      </c>
      <c r="D527" s="12">
        <f t="shared" si="57"/>
        <v>5.1840000000001374E-5</v>
      </c>
      <c r="E527" s="12">
        <f t="shared" ref="E527:E590" si="58">D526</f>
        <v>4.4890000000002011E-5</v>
      </c>
      <c r="F527" s="12">
        <f t="shared" ref="F527:F590" si="59">$B$5+$B$6*E527+$B$7*F526</f>
        <v>2.6688503413084919E-5</v>
      </c>
      <c r="G527" s="12">
        <f t="shared" ref="G527:G590" si="60">LN((1/SQRT(2*3.1415927*F527))*EXP(-0.5*D527/F527))</f>
        <v>3.3754955920964163</v>
      </c>
      <c r="I527" s="12">
        <f t="shared" ref="I527:I590" si="61">SQRT(F527)</f>
        <v>5.1660916961553168E-3</v>
      </c>
      <c r="J527" s="12">
        <f t="shared" si="55"/>
        <v>5.4233926257759718E-3</v>
      </c>
    </row>
    <row r="528" spans="1:10">
      <c r="A528" s="15">
        <v>40803</v>
      </c>
      <c r="B528" s="11">
        <v>1.9386000000000001</v>
      </c>
      <c r="C528" s="11">
        <f t="shared" si="56"/>
        <v>-1.1299999999999866E-2</v>
      </c>
      <c r="D528" s="12">
        <f t="shared" si="57"/>
        <v>1.2768999999999696E-4</v>
      </c>
      <c r="E528" s="12">
        <f t="shared" si="58"/>
        <v>5.1840000000001374E-5</v>
      </c>
      <c r="F528" s="12">
        <f t="shared" si="59"/>
        <v>2.8306011386657418E-5</v>
      </c>
      <c r="G528" s="12">
        <f t="shared" si="60"/>
        <v>2.0617516832931684</v>
      </c>
      <c r="I528" s="12">
        <f t="shared" si="61"/>
        <v>5.3203394052125487E-3</v>
      </c>
      <c r="J528" s="12">
        <f t="shared" ref="J528:J591" si="62">J527</f>
        <v>5.4233926257759718E-3</v>
      </c>
    </row>
    <row r="529" spans="1:10">
      <c r="A529" s="15">
        <v>40804</v>
      </c>
      <c r="B529" s="11">
        <v>1.9516</v>
      </c>
      <c r="C529" s="11">
        <f t="shared" si="56"/>
        <v>1.2999999999999901E-2</v>
      </c>
      <c r="D529" s="12">
        <f t="shared" si="57"/>
        <v>1.6899999999999741E-4</v>
      </c>
      <c r="E529" s="12">
        <f t="shared" si="58"/>
        <v>1.2768999999999696E-4</v>
      </c>
      <c r="F529" s="12">
        <f t="shared" si="59"/>
        <v>3.4244061206181161E-5</v>
      </c>
      <c r="G529" s="12">
        <f t="shared" si="60"/>
        <v>1.7544790092832834</v>
      </c>
      <c r="I529" s="12">
        <f t="shared" si="61"/>
        <v>5.8518425479656541E-3</v>
      </c>
      <c r="J529" s="12">
        <f t="shared" si="62"/>
        <v>5.4233926257759718E-3</v>
      </c>
    </row>
    <row r="530" spans="1:10">
      <c r="A530" s="15">
        <v>40805</v>
      </c>
      <c r="B530" s="11">
        <v>1.9438</v>
      </c>
      <c r="C530" s="11">
        <f t="shared" si="56"/>
        <v>-7.8000000000000291E-3</v>
      </c>
      <c r="D530" s="12">
        <f t="shared" si="57"/>
        <v>6.0840000000000454E-5</v>
      </c>
      <c r="E530" s="12">
        <f t="shared" si="58"/>
        <v>1.6899999999999741E-4</v>
      </c>
      <c r="F530" s="12">
        <f t="shared" si="59"/>
        <v>4.1988215861302579E-5</v>
      </c>
      <c r="G530" s="12">
        <f t="shared" si="60"/>
        <v>3.3956332487105931</v>
      </c>
      <c r="I530" s="12">
        <f t="shared" si="61"/>
        <v>6.4798314685879429E-3</v>
      </c>
      <c r="J530" s="12">
        <f t="shared" si="62"/>
        <v>5.4233926257759718E-3</v>
      </c>
    </row>
    <row r="531" spans="1:10">
      <c r="A531" s="15">
        <v>40806</v>
      </c>
      <c r="B531" s="11">
        <v>1.9443999999999999</v>
      </c>
      <c r="C531" s="11">
        <f t="shared" si="56"/>
        <v>5.9999999999993392E-4</v>
      </c>
      <c r="D531" s="12">
        <f t="shared" si="57"/>
        <v>3.5999999999992069E-7</v>
      </c>
      <c r="E531" s="12">
        <f t="shared" si="58"/>
        <v>6.0840000000000454E-5</v>
      </c>
      <c r="F531" s="12">
        <f t="shared" si="59"/>
        <v>4.2484307890705832E-5</v>
      </c>
      <c r="G531" s="12">
        <f t="shared" si="60"/>
        <v>4.1100124890903729</v>
      </c>
      <c r="I531" s="12">
        <f t="shared" si="61"/>
        <v>6.5179987642454973E-3</v>
      </c>
      <c r="J531" s="12">
        <f t="shared" si="62"/>
        <v>5.4233926257759718E-3</v>
      </c>
    </row>
    <row r="532" spans="1:10">
      <c r="A532" s="15">
        <v>40807</v>
      </c>
      <c r="B532" s="11">
        <v>1.9349000000000001</v>
      </c>
      <c r="C532" s="11">
        <f t="shared" si="56"/>
        <v>-9.4999999999998419E-3</v>
      </c>
      <c r="D532" s="12">
        <f t="shared" si="57"/>
        <v>9.024999999999699E-5</v>
      </c>
      <c r="E532" s="12">
        <f t="shared" si="58"/>
        <v>3.5999999999992069E-7</v>
      </c>
      <c r="F532" s="12">
        <f t="shared" si="59"/>
        <v>3.9342201537707676E-5</v>
      </c>
      <c r="G532" s="12">
        <f t="shared" si="60"/>
        <v>3.0056806920384394</v>
      </c>
      <c r="I532" s="12">
        <f t="shared" si="61"/>
        <v>6.272336210512609E-3</v>
      </c>
      <c r="J532" s="12">
        <f t="shared" si="62"/>
        <v>5.4233926257759718E-3</v>
      </c>
    </row>
    <row r="533" spans="1:10">
      <c r="A533" s="15">
        <v>40808</v>
      </c>
      <c r="B533" s="11">
        <v>1.9307000000000001</v>
      </c>
      <c r="C533" s="11">
        <f t="shared" si="56"/>
        <v>-4.1999999999999815E-3</v>
      </c>
      <c r="D533" s="12">
        <f t="shared" si="57"/>
        <v>1.7639999999999845E-5</v>
      </c>
      <c r="E533" s="12">
        <f t="shared" si="58"/>
        <v>9.024999999999699E-5</v>
      </c>
      <c r="F533" s="12">
        <f t="shared" si="59"/>
        <v>4.1867566417153371E-5</v>
      </c>
      <c r="G533" s="12">
        <f t="shared" si="60"/>
        <v>3.9108967479420556</v>
      </c>
      <c r="I533" s="12">
        <f t="shared" si="61"/>
        <v>6.470515158559894E-3</v>
      </c>
      <c r="J533" s="12">
        <f t="shared" si="62"/>
        <v>5.4233926257759718E-3</v>
      </c>
    </row>
    <row r="534" spans="1:10">
      <c r="A534" s="15">
        <v>40809</v>
      </c>
      <c r="B534" s="11">
        <v>1.9321999999999999</v>
      </c>
      <c r="C534" s="11">
        <f t="shared" si="56"/>
        <v>1.4999999999998348E-3</v>
      </c>
      <c r="D534" s="12">
        <f t="shared" si="57"/>
        <v>2.2499999999995045E-6</v>
      </c>
      <c r="E534" s="12">
        <f t="shared" si="58"/>
        <v>1.7639999999999845E-5</v>
      </c>
      <c r="F534" s="12">
        <f t="shared" si="59"/>
        <v>3.9816321811363473E-5</v>
      </c>
      <c r="G534" s="12">
        <f t="shared" si="60"/>
        <v>4.1184235318902651</v>
      </c>
      <c r="I534" s="12">
        <f t="shared" si="61"/>
        <v>6.3100175761532928E-3</v>
      </c>
      <c r="J534" s="12">
        <f t="shared" si="62"/>
        <v>5.4233926257759718E-3</v>
      </c>
    </row>
    <row r="535" spans="1:10">
      <c r="A535" s="15">
        <v>40810</v>
      </c>
      <c r="B535" s="11">
        <v>1.925</v>
      </c>
      <c r="C535" s="11">
        <f t="shared" si="56"/>
        <v>-7.1999999999998732E-3</v>
      </c>
      <c r="D535" s="12">
        <f t="shared" si="57"/>
        <v>5.1839999999998176E-5</v>
      </c>
      <c r="E535" s="12">
        <f t="shared" si="58"/>
        <v>2.2499999999995045E-6</v>
      </c>
      <c r="F535" s="12">
        <f t="shared" si="59"/>
        <v>3.707480396598804E-5</v>
      </c>
      <c r="G535" s="12">
        <f t="shared" si="60"/>
        <v>3.4832208429853022</v>
      </c>
      <c r="I535" s="12">
        <f t="shared" si="61"/>
        <v>6.088908273737423E-3</v>
      </c>
      <c r="J535" s="12">
        <f t="shared" si="62"/>
        <v>5.4233926257759718E-3</v>
      </c>
    </row>
    <row r="536" spans="1:10">
      <c r="A536" s="15">
        <v>40812</v>
      </c>
      <c r="B536" s="11">
        <v>1.9350000000000001</v>
      </c>
      <c r="C536" s="11">
        <f t="shared" si="56"/>
        <v>1.0000000000000009E-2</v>
      </c>
      <c r="D536" s="12">
        <f t="shared" si="57"/>
        <v>1.0000000000000018E-4</v>
      </c>
      <c r="E536" s="12">
        <f t="shared" si="58"/>
        <v>5.1839999999998176E-5</v>
      </c>
      <c r="F536" s="12">
        <f t="shared" si="59"/>
        <v>3.7568920959778366E-5</v>
      </c>
      <c r="G536" s="12">
        <f t="shared" si="60"/>
        <v>2.8448408633472497</v>
      </c>
      <c r="I536" s="12">
        <f t="shared" si="61"/>
        <v>6.1293491465063696E-3</v>
      </c>
      <c r="J536" s="12">
        <f t="shared" si="62"/>
        <v>5.4233926257759718E-3</v>
      </c>
    </row>
    <row r="537" spans="1:10">
      <c r="A537" s="15">
        <v>40813</v>
      </c>
      <c r="B537" s="11">
        <v>1.9382999999999999</v>
      </c>
      <c r="C537" s="11">
        <f t="shared" si="56"/>
        <v>3.2999999999998586E-3</v>
      </c>
      <c r="D537" s="12">
        <f t="shared" si="57"/>
        <v>1.0889999999999067E-5</v>
      </c>
      <c r="E537" s="12">
        <f t="shared" si="58"/>
        <v>1.0000000000000018E-4</v>
      </c>
      <c r="F537" s="12">
        <f t="shared" si="59"/>
        <v>4.0863950290472308E-5</v>
      </c>
      <c r="G537" s="12">
        <f t="shared" si="60"/>
        <v>4.0004455769490646</v>
      </c>
      <c r="I537" s="12">
        <f t="shared" si="61"/>
        <v>6.3924917121942603E-3</v>
      </c>
      <c r="J537" s="12">
        <f t="shared" si="62"/>
        <v>5.4233926257759718E-3</v>
      </c>
    </row>
    <row r="538" spans="1:10">
      <c r="A538" s="15">
        <v>40814</v>
      </c>
      <c r="B538" s="11">
        <v>1.9357</v>
      </c>
      <c r="C538" s="11">
        <f t="shared" si="56"/>
        <v>-2.5999999999999357E-3</v>
      </c>
      <c r="D538" s="12">
        <f t="shared" si="57"/>
        <v>6.7599999999996659E-6</v>
      </c>
      <c r="E538" s="12">
        <f t="shared" si="58"/>
        <v>1.0889999999999067E-5</v>
      </c>
      <c r="F538" s="12">
        <f t="shared" si="59"/>
        <v>3.8521197306105095E-5</v>
      </c>
      <c r="G538" s="12">
        <f t="shared" si="60"/>
        <v>4.0754685059997078</v>
      </c>
      <c r="I538" s="12">
        <f t="shared" si="61"/>
        <v>6.2065447155486677E-3</v>
      </c>
      <c r="J538" s="12">
        <f t="shared" si="62"/>
        <v>5.4233926257759718E-3</v>
      </c>
    </row>
    <row r="539" spans="1:10">
      <c r="A539" s="15">
        <v>40815</v>
      </c>
      <c r="B539" s="11">
        <v>1.9387000000000001</v>
      </c>
      <c r="C539" s="11">
        <f t="shared" si="56"/>
        <v>3.0000000000001137E-3</v>
      </c>
      <c r="D539" s="12">
        <f t="shared" si="57"/>
        <v>9.0000000000006829E-6</v>
      </c>
      <c r="E539" s="12">
        <f t="shared" si="58"/>
        <v>6.7599999999996659E-6</v>
      </c>
      <c r="F539" s="12">
        <f t="shared" si="59"/>
        <v>3.6187060789327312E-5</v>
      </c>
      <c r="G539" s="12">
        <f t="shared" si="60"/>
        <v>4.0701120884034649</v>
      </c>
      <c r="I539" s="12">
        <f t="shared" si="61"/>
        <v>6.0155682017019232E-3</v>
      </c>
      <c r="J539" s="12">
        <f t="shared" si="62"/>
        <v>5.4233926257759718E-3</v>
      </c>
    </row>
    <row r="540" spans="1:10">
      <c r="A540" s="15">
        <v>40816</v>
      </c>
      <c r="B540" s="11">
        <v>1.9277</v>
      </c>
      <c r="C540" s="11">
        <f t="shared" si="56"/>
        <v>-1.1000000000000121E-2</v>
      </c>
      <c r="D540" s="12">
        <f t="shared" si="57"/>
        <v>1.2100000000000266E-4</v>
      </c>
      <c r="E540" s="12">
        <f t="shared" si="58"/>
        <v>9.0000000000006829E-6</v>
      </c>
      <c r="F540" s="12">
        <f t="shared" si="59"/>
        <v>3.4238147200970007E-5</v>
      </c>
      <c r="G540" s="12">
        <f t="shared" si="60"/>
        <v>2.4551116492053771</v>
      </c>
      <c r="I540" s="12">
        <f t="shared" si="61"/>
        <v>5.8513372147715095E-3</v>
      </c>
      <c r="J540" s="12">
        <f t="shared" si="62"/>
        <v>5.4233926257759718E-3</v>
      </c>
    </row>
    <row r="541" spans="1:10">
      <c r="A541" s="15">
        <v>40817</v>
      </c>
      <c r="B541" s="11">
        <v>1.9282999999999999</v>
      </c>
      <c r="C541" s="11">
        <f t="shared" si="56"/>
        <v>5.9999999999993392E-4</v>
      </c>
      <c r="D541" s="12">
        <f t="shared" si="57"/>
        <v>3.5999999999992069E-7</v>
      </c>
      <c r="E541" s="12">
        <f t="shared" si="58"/>
        <v>1.2100000000000266E-4</v>
      </c>
      <c r="F541" s="12">
        <f t="shared" si="59"/>
        <v>3.9138067986219929E-5</v>
      </c>
      <c r="G541" s="12">
        <f t="shared" si="60"/>
        <v>4.1506698359763909</v>
      </c>
      <c r="I541" s="12">
        <f t="shared" si="61"/>
        <v>6.256042517935754E-3</v>
      </c>
      <c r="J541" s="12">
        <f t="shared" si="62"/>
        <v>5.4233926257759718E-3</v>
      </c>
    </row>
    <row r="542" spans="1:10">
      <c r="A542" s="15">
        <v>40818</v>
      </c>
      <c r="B542" s="11">
        <v>1.9275</v>
      </c>
      <c r="C542" s="11">
        <f t="shared" si="56"/>
        <v>-7.9999999999991189E-4</v>
      </c>
      <c r="D542" s="12">
        <f t="shared" si="57"/>
        <v>6.3999999999985898E-7</v>
      </c>
      <c r="E542" s="12">
        <f t="shared" si="58"/>
        <v>3.5999999999992069E-7</v>
      </c>
      <c r="F542" s="12">
        <f t="shared" si="59"/>
        <v>3.6357893748101241E-5</v>
      </c>
      <c r="G542" s="12">
        <f t="shared" si="60"/>
        <v>4.1833096785028845</v>
      </c>
      <c r="I542" s="12">
        <f t="shared" si="61"/>
        <v>6.0297507202289255E-3</v>
      </c>
      <c r="J542" s="12">
        <f t="shared" si="62"/>
        <v>5.4233926257759718E-3</v>
      </c>
    </row>
    <row r="543" spans="1:10">
      <c r="A543" s="15">
        <v>40819</v>
      </c>
      <c r="B543" s="11">
        <v>1.9161999999999999</v>
      </c>
      <c r="C543" s="11">
        <f t="shared" si="56"/>
        <v>-1.1300000000000088E-2</v>
      </c>
      <c r="D543" s="12">
        <f t="shared" si="57"/>
        <v>1.2769000000000197E-4</v>
      </c>
      <c r="E543" s="12">
        <f t="shared" si="58"/>
        <v>6.3999999999985898E-7</v>
      </c>
      <c r="F543" s="12">
        <f t="shared" si="59"/>
        <v>3.3895020583187396E-5</v>
      </c>
      <c r="G543" s="12">
        <f t="shared" si="60"/>
        <v>2.343572671077812</v>
      </c>
      <c r="I543" s="12">
        <f t="shared" si="61"/>
        <v>5.8219430247287195E-3</v>
      </c>
      <c r="J543" s="12">
        <f t="shared" si="62"/>
        <v>5.4233926257759718E-3</v>
      </c>
    </row>
    <row r="544" spans="1:10">
      <c r="A544" s="15">
        <v>40820</v>
      </c>
      <c r="B544" s="11">
        <v>1.9269000000000001</v>
      </c>
      <c r="C544" s="11">
        <f t="shared" si="56"/>
        <v>1.0700000000000154E-2</v>
      </c>
      <c r="D544" s="12">
        <f t="shared" si="57"/>
        <v>1.1449000000000329E-4</v>
      </c>
      <c r="E544" s="12">
        <f t="shared" si="58"/>
        <v>1.2769000000000197E-4</v>
      </c>
      <c r="F544" s="12">
        <f t="shared" si="59"/>
        <v>3.9228558479980169E-5</v>
      </c>
      <c r="G544" s="12">
        <f t="shared" si="60"/>
        <v>2.6948457233958552</v>
      </c>
      <c r="I544" s="12">
        <f t="shared" si="61"/>
        <v>6.2632705897143039E-3</v>
      </c>
      <c r="J544" s="12">
        <f t="shared" si="62"/>
        <v>5.4233926257759718E-3</v>
      </c>
    </row>
    <row r="545" spans="1:10">
      <c r="A545" s="15">
        <v>40821</v>
      </c>
      <c r="B545" s="11">
        <v>1.9269000000000001</v>
      </c>
      <c r="C545" s="11">
        <f t="shared" si="56"/>
        <v>0</v>
      </c>
      <c r="D545" s="12">
        <f t="shared" si="57"/>
        <v>0</v>
      </c>
      <c r="E545" s="12">
        <f t="shared" si="58"/>
        <v>1.1449000000000329E-4</v>
      </c>
      <c r="F545" s="12">
        <f t="shared" si="59"/>
        <v>4.3202876222359525E-5</v>
      </c>
      <c r="G545" s="12">
        <f t="shared" si="60"/>
        <v>4.1058632022635244</v>
      </c>
      <c r="I545" s="12">
        <f t="shared" si="61"/>
        <v>6.5728894880683585E-3</v>
      </c>
      <c r="J545" s="12">
        <f t="shared" si="62"/>
        <v>5.4233926257759718E-3</v>
      </c>
    </row>
    <row r="546" spans="1:10">
      <c r="A546" s="15">
        <v>40822</v>
      </c>
      <c r="B546" s="11">
        <v>1.9320999999999999</v>
      </c>
      <c r="C546" s="11">
        <f t="shared" si="56"/>
        <v>5.1999999999998714E-3</v>
      </c>
      <c r="D546" s="12">
        <f t="shared" si="57"/>
        <v>2.7039999999998664E-5</v>
      </c>
      <c r="E546" s="12">
        <f t="shared" si="58"/>
        <v>0</v>
      </c>
      <c r="F546" s="12">
        <f t="shared" si="59"/>
        <v>3.9961712364375705E-5</v>
      </c>
      <c r="G546" s="12">
        <f t="shared" si="60"/>
        <v>3.8065319954810732</v>
      </c>
      <c r="I546" s="12">
        <f t="shared" si="61"/>
        <v>6.3215276922889219E-3</v>
      </c>
      <c r="J546" s="12">
        <f t="shared" si="62"/>
        <v>5.4233926257759718E-3</v>
      </c>
    </row>
    <row r="547" spans="1:10">
      <c r="A547" s="15">
        <v>40823</v>
      </c>
      <c r="B547" s="11">
        <v>1.9357</v>
      </c>
      <c r="C547" s="11">
        <f t="shared" si="56"/>
        <v>3.6000000000000476E-3</v>
      </c>
      <c r="D547" s="12">
        <f t="shared" si="57"/>
        <v>1.2960000000000343E-5</v>
      </c>
      <c r="E547" s="12">
        <f t="shared" si="58"/>
        <v>2.7039999999998664E-5</v>
      </c>
      <c r="F547" s="12">
        <f t="shared" si="59"/>
        <v>3.8673727598559304E-5</v>
      </c>
      <c r="G547" s="12">
        <f t="shared" si="60"/>
        <v>3.9936808808385877</v>
      </c>
      <c r="I547" s="12">
        <f t="shared" si="61"/>
        <v>6.2188204346611672E-3</v>
      </c>
      <c r="J547" s="12">
        <f t="shared" si="62"/>
        <v>5.4233926257759718E-3</v>
      </c>
    </row>
    <row r="548" spans="1:10">
      <c r="A548" s="15">
        <v>40824</v>
      </c>
      <c r="B548" s="11">
        <v>1.9240999999999999</v>
      </c>
      <c r="C548" s="11">
        <f t="shared" si="56"/>
        <v>-1.1600000000000055E-2</v>
      </c>
      <c r="D548" s="12">
        <f t="shared" si="57"/>
        <v>1.3456000000000126E-4</v>
      </c>
      <c r="E548" s="12">
        <f t="shared" si="58"/>
        <v>1.2960000000000343E-5</v>
      </c>
      <c r="F548" s="12">
        <f t="shared" si="59"/>
        <v>3.6690556108836013E-5</v>
      </c>
      <c r="G548" s="12">
        <f t="shared" si="60"/>
        <v>2.353842670241872</v>
      </c>
      <c r="I548" s="12">
        <f t="shared" si="61"/>
        <v>6.0572729927613478E-3</v>
      </c>
      <c r="J548" s="12">
        <f t="shared" si="62"/>
        <v>5.4233926257759718E-3</v>
      </c>
    </row>
    <row r="549" spans="1:10">
      <c r="A549" s="15">
        <v>40825</v>
      </c>
      <c r="B549" s="11">
        <v>1.9205000000000001</v>
      </c>
      <c r="C549" s="11">
        <f t="shared" si="56"/>
        <v>-3.5999999999998256E-3</v>
      </c>
      <c r="D549" s="12">
        <f t="shared" si="57"/>
        <v>1.2959999999998744E-5</v>
      </c>
      <c r="E549" s="12">
        <f t="shared" si="58"/>
        <v>1.3456000000000126E-4</v>
      </c>
      <c r="F549" s="12">
        <f t="shared" si="59"/>
        <v>4.2128899062794218E-5</v>
      </c>
      <c r="G549" s="12">
        <f t="shared" si="60"/>
        <v>3.9646361102370093</v>
      </c>
      <c r="I549" s="12">
        <f t="shared" si="61"/>
        <v>6.4906778584978486E-3</v>
      </c>
      <c r="J549" s="12">
        <f t="shared" si="62"/>
        <v>5.4233926257759718E-3</v>
      </c>
    </row>
    <row r="550" spans="1:10">
      <c r="A550" s="15">
        <v>40826</v>
      </c>
      <c r="B550" s="11">
        <v>1.9456</v>
      </c>
      <c r="C550" s="11">
        <f t="shared" si="56"/>
        <v>2.50999999999999E-2</v>
      </c>
      <c r="D550" s="12">
        <f t="shared" si="57"/>
        <v>6.3000999999999498E-4</v>
      </c>
      <c r="E550" s="12">
        <f t="shared" si="58"/>
        <v>1.2959999999998744E-5</v>
      </c>
      <c r="F550" s="12">
        <f t="shared" si="59"/>
        <v>3.9772013329317635E-5</v>
      </c>
      <c r="G550" s="12">
        <f t="shared" si="60"/>
        <v>-3.7730328904049335</v>
      </c>
      <c r="I550" s="12">
        <f t="shared" si="61"/>
        <v>6.3065056353988642E-3</v>
      </c>
      <c r="J550" s="12">
        <f t="shared" si="62"/>
        <v>5.4233926257759718E-3</v>
      </c>
    </row>
    <row r="551" spans="1:10">
      <c r="A551" s="15">
        <v>40827</v>
      </c>
      <c r="B551" s="11">
        <v>1.946</v>
      </c>
      <c r="C551" s="11">
        <f t="shared" si="56"/>
        <v>3.9999999999995595E-4</v>
      </c>
      <c r="D551" s="12">
        <f t="shared" si="57"/>
        <v>1.5999999999996475E-7</v>
      </c>
      <c r="E551" s="12">
        <f t="shared" si="58"/>
        <v>6.3000999999999498E-4</v>
      </c>
      <c r="F551" s="12">
        <f t="shared" si="59"/>
        <v>7.4241492290596264E-5</v>
      </c>
      <c r="G551" s="12">
        <f t="shared" si="60"/>
        <v>3.834077579257686</v>
      </c>
      <c r="I551" s="12">
        <f t="shared" si="61"/>
        <v>8.6163502882947059E-3</v>
      </c>
      <c r="J551" s="12">
        <f t="shared" si="62"/>
        <v>5.4233926257759718E-3</v>
      </c>
    </row>
    <row r="552" spans="1:10">
      <c r="A552" s="15">
        <v>40828</v>
      </c>
      <c r="B552" s="11">
        <v>1.9551000000000001</v>
      </c>
      <c r="C552" s="11">
        <f t="shared" si="56"/>
        <v>9.100000000000108E-3</v>
      </c>
      <c r="D552" s="12">
        <f t="shared" si="57"/>
        <v>8.2810000000001967E-5</v>
      </c>
      <c r="E552" s="12">
        <f t="shared" si="58"/>
        <v>1.5999999999996475E-7</v>
      </c>
      <c r="F552" s="12">
        <f t="shared" si="59"/>
        <v>6.7652648595405786E-5</v>
      </c>
      <c r="G552" s="12">
        <f t="shared" si="60"/>
        <v>3.2696001450505445</v>
      </c>
      <c r="I552" s="12">
        <f t="shared" si="61"/>
        <v>8.2251230139983797E-3</v>
      </c>
      <c r="J552" s="12">
        <f t="shared" si="62"/>
        <v>5.4233926257759718E-3</v>
      </c>
    </row>
    <row r="553" spans="1:10">
      <c r="A553" s="15">
        <v>40829</v>
      </c>
      <c r="B553" s="11">
        <v>1.9584999999999999</v>
      </c>
      <c r="C553" s="11">
        <f t="shared" si="56"/>
        <v>3.3999999999998476E-3</v>
      </c>
      <c r="D553" s="12">
        <f t="shared" si="57"/>
        <v>1.1559999999998964E-5</v>
      </c>
      <c r="E553" s="12">
        <f t="shared" si="58"/>
        <v>8.2810000000001967E-5</v>
      </c>
      <c r="F553" s="12">
        <f t="shared" si="59"/>
        <v>6.6674976376707897E-5</v>
      </c>
      <c r="G553" s="12">
        <f t="shared" si="60"/>
        <v>3.8022126859406562</v>
      </c>
      <c r="I553" s="12">
        <f t="shared" si="61"/>
        <v>8.1654746571591229E-3</v>
      </c>
      <c r="J553" s="12">
        <f t="shared" si="62"/>
        <v>5.4233926257759718E-3</v>
      </c>
    </row>
    <row r="554" spans="1:10">
      <c r="A554" s="15">
        <v>40830</v>
      </c>
      <c r="B554" s="11">
        <v>1.9701</v>
      </c>
      <c r="C554" s="11">
        <f t="shared" si="56"/>
        <v>1.1600000000000055E-2</v>
      </c>
      <c r="D554" s="12">
        <f t="shared" si="57"/>
        <v>1.3456000000000126E-4</v>
      </c>
      <c r="E554" s="12">
        <f t="shared" si="58"/>
        <v>1.1559999999998964E-5</v>
      </c>
      <c r="F554" s="12">
        <f t="shared" si="59"/>
        <v>6.1580190853759991E-5</v>
      </c>
      <c r="G554" s="12">
        <f t="shared" si="60"/>
        <v>2.8360874833540786</v>
      </c>
      <c r="I554" s="12">
        <f t="shared" si="61"/>
        <v>7.8473046872005667E-3</v>
      </c>
      <c r="J554" s="12">
        <f t="shared" si="62"/>
        <v>5.4233926257759718E-3</v>
      </c>
    </row>
    <row r="555" spans="1:10">
      <c r="A555" s="15">
        <v>40831</v>
      </c>
      <c r="B555" s="11">
        <v>1.9684999999999999</v>
      </c>
      <c r="C555" s="11">
        <f t="shared" si="56"/>
        <v>-1.6000000000000458E-3</v>
      </c>
      <c r="D555" s="12">
        <f t="shared" si="57"/>
        <v>2.5600000000001466E-6</v>
      </c>
      <c r="E555" s="12">
        <f t="shared" si="58"/>
        <v>1.3456000000000126E-4</v>
      </c>
      <c r="F555" s="12">
        <f t="shared" si="59"/>
        <v>6.432645003639882E-5</v>
      </c>
      <c r="G555" s="12">
        <f t="shared" si="60"/>
        <v>3.886932786178884</v>
      </c>
      <c r="I555" s="12">
        <f t="shared" si="61"/>
        <v>8.0203771754449819E-3</v>
      </c>
      <c r="J555" s="12">
        <f t="shared" si="62"/>
        <v>5.4233926257759718E-3</v>
      </c>
    </row>
    <row r="556" spans="1:10">
      <c r="A556" s="15">
        <v>40832</v>
      </c>
      <c r="B556" s="11">
        <v>1.9648000000000001</v>
      </c>
      <c r="C556" s="11">
        <f t="shared" si="56"/>
        <v>-3.6999999999998145E-3</v>
      </c>
      <c r="D556" s="12">
        <f t="shared" si="57"/>
        <v>1.3689999999998627E-5</v>
      </c>
      <c r="E556" s="12">
        <f t="shared" si="58"/>
        <v>2.5600000000001466E-6</v>
      </c>
      <c r="F556" s="12">
        <f t="shared" si="59"/>
        <v>5.8952269304794889E-5</v>
      </c>
      <c r="G556" s="12">
        <f t="shared" si="60"/>
        <v>3.8343417953051957</v>
      </c>
      <c r="I556" s="12">
        <f t="shared" si="61"/>
        <v>7.6780381156122748E-3</v>
      </c>
      <c r="J556" s="12">
        <f t="shared" si="62"/>
        <v>5.4233926257759718E-3</v>
      </c>
    </row>
    <row r="557" spans="1:10">
      <c r="A557" s="15">
        <v>40833</v>
      </c>
      <c r="B557" s="11">
        <v>1.9594</v>
      </c>
      <c r="C557" s="11">
        <f t="shared" si="56"/>
        <v>-5.4000000000000714E-3</v>
      </c>
      <c r="D557" s="12">
        <f t="shared" si="57"/>
        <v>2.9160000000000771E-5</v>
      </c>
      <c r="E557" s="12">
        <f t="shared" si="58"/>
        <v>1.3689999999998627E-5</v>
      </c>
      <c r="F557" s="12">
        <f t="shared" si="59"/>
        <v>5.4819019519570501E-5</v>
      </c>
      <c r="G557" s="12">
        <f t="shared" si="60"/>
        <v>3.7208320508533541</v>
      </c>
      <c r="I557" s="12">
        <f t="shared" si="61"/>
        <v>7.4039867314555944E-3</v>
      </c>
      <c r="J557" s="12">
        <f t="shared" si="62"/>
        <v>5.4233926257759718E-3</v>
      </c>
    </row>
    <row r="558" spans="1:10">
      <c r="A558" s="15">
        <v>40834</v>
      </c>
      <c r="B558" s="11">
        <v>1.9603999999999999</v>
      </c>
      <c r="C558" s="11">
        <f t="shared" si="56"/>
        <v>9.9999999999988987E-4</v>
      </c>
      <c r="D558" s="12">
        <f t="shared" si="57"/>
        <v>9.9999999999977973E-7</v>
      </c>
      <c r="E558" s="12">
        <f t="shared" si="58"/>
        <v>2.9160000000000771E-5</v>
      </c>
      <c r="F558" s="12">
        <f t="shared" si="59"/>
        <v>5.2049704530678022E-5</v>
      </c>
      <c r="G558" s="12">
        <f t="shared" si="60"/>
        <v>4.0031109767249671</v>
      </c>
      <c r="I558" s="12">
        <f t="shared" si="61"/>
        <v>7.2145481168731573E-3</v>
      </c>
      <c r="J558" s="12">
        <f t="shared" si="62"/>
        <v>5.4233926257759718E-3</v>
      </c>
    </row>
    <row r="559" spans="1:10">
      <c r="A559" s="15">
        <v>40835</v>
      </c>
      <c r="B559" s="11">
        <v>1.9564999999999999</v>
      </c>
      <c r="C559" s="11">
        <f t="shared" si="56"/>
        <v>-3.9000000000000146E-3</v>
      </c>
      <c r="D559" s="12">
        <f t="shared" si="57"/>
        <v>1.5210000000000114E-5</v>
      </c>
      <c r="E559" s="12">
        <f t="shared" si="58"/>
        <v>9.9999999999977973E-7</v>
      </c>
      <c r="F559" s="12">
        <f t="shared" si="59"/>
        <v>4.7910928500805966E-5</v>
      </c>
      <c r="G559" s="12">
        <f t="shared" si="60"/>
        <v>3.8954128708632565</v>
      </c>
      <c r="I559" s="12">
        <f t="shared" si="61"/>
        <v>6.9217720636269124E-3</v>
      </c>
      <c r="J559" s="12">
        <f t="shared" si="62"/>
        <v>5.4233926257759718E-3</v>
      </c>
    </row>
    <row r="560" spans="1:10">
      <c r="A560" s="15">
        <v>40836</v>
      </c>
      <c r="B560" s="11">
        <v>1.9590000000000001</v>
      </c>
      <c r="C560" s="11">
        <f t="shared" si="56"/>
        <v>2.5000000000001688E-3</v>
      </c>
      <c r="D560" s="12">
        <f t="shared" si="57"/>
        <v>6.2500000000008439E-6</v>
      </c>
      <c r="E560" s="12">
        <f t="shared" si="58"/>
        <v>1.5210000000000114E-5</v>
      </c>
      <c r="F560" s="12">
        <f t="shared" si="59"/>
        <v>4.5062007060264242E-5</v>
      </c>
      <c r="G560" s="12">
        <f t="shared" si="60"/>
        <v>4.0154481142003702</v>
      </c>
      <c r="I560" s="12">
        <f t="shared" si="61"/>
        <v>6.7128240748781914E-3</v>
      </c>
      <c r="J560" s="12">
        <f t="shared" si="62"/>
        <v>5.4233926257759718E-3</v>
      </c>
    </row>
    <row r="561" spans="1:10">
      <c r="A561" s="15">
        <v>40837</v>
      </c>
      <c r="B561" s="11">
        <v>1.9584999999999999</v>
      </c>
      <c r="C561" s="11">
        <f t="shared" si="56"/>
        <v>-5.0000000000016698E-4</v>
      </c>
      <c r="D561" s="12">
        <f t="shared" si="57"/>
        <v>2.5000000000016696E-7</v>
      </c>
      <c r="E561" s="12">
        <f t="shared" si="58"/>
        <v>6.2500000000008439E-6</v>
      </c>
      <c r="F561" s="12">
        <f t="shared" si="59"/>
        <v>4.1990184292781376E-5</v>
      </c>
      <c r="G561" s="12">
        <f t="shared" si="60"/>
        <v>4.1171219103673646</v>
      </c>
      <c r="I561" s="12">
        <f t="shared" si="61"/>
        <v>6.4799833559031133E-3</v>
      </c>
      <c r="J561" s="12">
        <f t="shared" si="62"/>
        <v>5.4233926257759718E-3</v>
      </c>
    </row>
    <row r="562" spans="1:10">
      <c r="A562" s="15">
        <v>40838</v>
      </c>
      <c r="B562" s="11">
        <v>1.9591000000000001</v>
      </c>
      <c r="C562" s="11">
        <f t="shared" si="56"/>
        <v>6.0000000000015596E-4</v>
      </c>
      <c r="D562" s="12">
        <f t="shared" si="57"/>
        <v>3.6000000000018714E-7</v>
      </c>
      <c r="E562" s="12">
        <f t="shared" si="58"/>
        <v>2.5000000000016696E-7</v>
      </c>
      <c r="F562" s="12">
        <f t="shared" si="59"/>
        <v>3.8895003260755374E-5</v>
      </c>
      <c r="G562" s="12">
        <f t="shared" si="60"/>
        <v>4.1537559988363331</v>
      </c>
      <c r="I562" s="12">
        <f t="shared" si="61"/>
        <v>6.2365858657405958E-3</v>
      </c>
      <c r="J562" s="12">
        <f t="shared" si="62"/>
        <v>5.4233926257759718E-3</v>
      </c>
    </row>
    <row r="563" spans="1:10">
      <c r="A563" s="15">
        <v>40839</v>
      </c>
      <c r="B563" s="11">
        <v>1.9591000000000001</v>
      </c>
      <c r="C563" s="11">
        <f t="shared" si="56"/>
        <v>0</v>
      </c>
      <c r="D563" s="12">
        <f t="shared" si="57"/>
        <v>0</v>
      </c>
      <c r="E563" s="12">
        <f t="shared" si="58"/>
        <v>3.6000000000018714E-7</v>
      </c>
      <c r="F563" s="12">
        <f t="shared" si="59"/>
        <v>3.6141119107224495E-5</v>
      </c>
      <c r="G563" s="12">
        <f t="shared" si="60"/>
        <v>4.1951011131042808</v>
      </c>
      <c r="I563" s="12">
        <f t="shared" si="61"/>
        <v>6.011748423480851E-3</v>
      </c>
      <c r="J563" s="12">
        <f t="shared" si="62"/>
        <v>5.4233926257759718E-3</v>
      </c>
    </row>
    <row r="564" spans="1:10">
      <c r="A564" s="15">
        <v>40840</v>
      </c>
      <c r="B564" s="11">
        <v>1.9630000000000001</v>
      </c>
      <c r="C564" s="11">
        <f t="shared" si="56"/>
        <v>3.9000000000000146E-3</v>
      </c>
      <c r="D564" s="12">
        <f t="shared" si="57"/>
        <v>1.5210000000000114E-5</v>
      </c>
      <c r="E564" s="12">
        <f t="shared" si="58"/>
        <v>0</v>
      </c>
      <c r="F564" s="12">
        <f t="shared" si="59"/>
        <v>3.3663760822182286E-5</v>
      </c>
      <c r="G564" s="12">
        <f t="shared" si="60"/>
        <v>4.0046951943216706</v>
      </c>
      <c r="I564" s="12">
        <f t="shared" si="61"/>
        <v>5.8020479851671591E-3</v>
      </c>
      <c r="J564" s="12">
        <f t="shared" si="62"/>
        <v>5.4233926257759718E-3</v>
      </c>
    </row>
    <row r="565" spans="1:10">
      <c r="A565" s="15">
        <v>40841</v>
      </c>
      <c r="B565" s="11">
        <v>1.9614</v>
      </c>
      <c r="C565" s="11">
        <f t="shared" si="56"/>
        <v>-1.6000000000000458E-3</v>
      </c>
      <c r="D565" s="12">
        <f t="shared" si="57"/>
        <v>2.5600000000001466E-6</v>
      </c>
      <c r="E565" s="12">
        <f t="shared" si="58"/>
        <v>1.5210000000000114E-5</v>
      </c>
      <c r="F565" s="12">
        <f t="shared" si="59"/>
        <v>3.2355824988217644E-5</v>
      </c>
      <c r="G565" s="12">
        <f t="shared" si="60"/>
        <v>4.210859595158678</v>
      </c>
      <c r="I565" s="12">
        <f t="shared" si="61"/>
        <v>5.6882180855007351E-3</v>
      </c>
      <c r="J565" s="12">
        <f t="shared" si="62"/>
        <v>5.4233926257759718E-3</v>
      </c>
    </row>
    <row r="566" spans="1:10">
      <c r="A566" s="15">
        <v>40842</v>
      </c>
      <c r="B566" s="11">
        <v>1.9614</v>
      </c>
      <c r="C566" s="11">
        <f t="shared" si="56"/>
        <v>0</v>
      </c>
      <c r="D566" s="12">
        <f t="shared" si="57"/>
        <v>0</v>
      </c>
      <c r="E566" s="12">
        <f t="shared" si="58"/>
        <v>2.5600000000001466E-6</v>
      </c>
      <c r="F566" s="12">
        <f t="shared" si="59"/>
        <v>3.0439613878634698E-5</v>
      </c>
      <c r="G566" s="12">
        <f t="shared" si="60"/>
        <v>4.2809443142697061</v>
      </c>
      <c r="I566" s="12">
        <f t="shared" si="61"/>
        <v>5.5172106973211286E-3</v>
      </c>
      <c r="J566" s="12">
        <f t="shared" si="62"/>
        <v>5.4233926257759718E-3</v>
      </c>
    </row>
    <row r="567" spans="1:10">
      <c r="A567" s="15">
        <v>40843</v>
      </c>
      <c r="B567" s="11">
        <v>1.9781</v>
      </c>
      <c r="C567" s="11">
        <f t="shared" si="56"/>
        <v>1.6699999999999937E-2</v>
      </c>
      <c r="D567" s="12">
        <f t="shared" si="57"/>
        <v>2.7888999999999789E-4</v>
      </c>
      <c r="E567" s="12">
        <f t="shared" si="58"/>
        <v>0</v>
      </c>
      <c r="F567" s="12">
        <f t="shared" si="59"/>
        <v>2.8578935181512494E-5</v>
      </c>
      <c r="G567" s="12">
        <f t="shared" si="60"/>
        <v>-0.56681127551165078</v>
      </c>
      <c r="I567" s="12">
        <f t="shared" si="61"/>
        <v>5.3459269712101843E-3</v>
      </c>
      <c r="J567" s="12">
        <f t="shared" si="62"/>
        <v>5.4233926257759718E-3</v>
      </c>
    </row>
    <row r="568" spans="1:10">
      <c r="A568" s="15">
        <v>40844</v>
      </c>
      <c r="B568" s="11">
        <v>1.9797</v>
      </c>
      <c r="C568" s="11">
        <f t="shared" si="56"/>
        <v>1.6000000000000458E-3</v>
      </c>
      <c r="D568" s="12">
        <f t="shared" si="57"/>
        <v>2.5600000000001466E-6</v>
      </c>
      <c r="E568" s="12">
        <f t="shared" si="58"/>
        <v>2.7888999999999789E-4</v>
      </c>
      <c r="F568" s="12">
        <f t="shared" si="59"/>
        <v>4.3448816965411223E-5</v>
      </c>
      <c r="G568" s="12">
        <f t="shared" si="60"/>
        <v>4.0735649759002923</v>
      </c>
      <c r="I568" s="12">
        <f t="shared" si="61"/>
        <v>6.5915716612513003E-3</v>
      </c>
      <c r="J568" s="12">
        <f t="shared" si="62"/>
        <v>5.4233926257759718E-3</v>
      </c>
    </row>
    <row r="569" spans="1:10">
      <c r="A569" s="15">
        <v>40845</v>
      </c>
      <c r="B569" s="11">
        <v>1.9783999999999999</v>
      </c>
      <c r="C569" s="11">
        <f t="shared" si="56"/>
        <v>-1.3000000000000789E-3</v>
      </c>
      <c r="D569" s="12">
        <f t="shared" si="57"/>
        <v>1.6900000000002051E-6</v>
      </c>
      <c r="E569" s="12">
        <f t="shared" si="58"/>
        <v>2.5600000000001466E-6</v>
      </c>
      <c r="F569" s="12">
        <f t="shared" si="59"/>
        <v>4.0332778538825597E-5</v>
      </c>
      <c r="G569" s="12">
        <f t="shared" si="60"/>
        <v>4.119283786186922</v>
      </c>
      <c r="I569" s="12">
        <f t="shared" si="61"/>
        <v>6.3508092821958993E-3</v>
      </c>
      <c r="J569" s="12">
        <f t="shared" si="62"/>
        <v>5.4233926257759718E-3</v>
      </c>
    </row>
    <row r="570" spans="1:10">
      <c r="A570" s="15">
        <v>40846</v>
      </c>
      <c r="B570" s="11">
        <v>1.9783999999999999</v>
      </c>
      <c r="C570" s="11">
        <f t="shared" si="56"/>
        <v>0</v>
      </c>
      <c r="D570" s="12">
        <f t="shared" si="57"/>
        <v>0</v>
      </c>
      <c r="E570" s="12">
        <f t="shared" si="58"/>
        <v>1.6900000000002051E-6</v>
      </c>
      <c r="F570" s="12">
        <f t="shared" si="59"/>
        <v>3.750221010938068E-5</v>
      </c>
      <c r="G570" s="12">
        <f t="shared" si="60"/>
        <v>4.1766168046461285</v>
      </c>
      <c r="I570" s="12">
        <f t="shared" si="61"/>
        <v>6.1239048089744737E-3</v>
      </c>
      <c r="J570" s="12">
        <f t="shared" si="62"/>
        <v>5.4233926257759718E-3</v>
      </c>
    </row>
    <row r="571" spans="1:10">
      <c r="A571" s="15">
        <v>40847</v>
      </c>
      <c r="B571" s="11">
        <v>1.9682999999999999</v>
      </c>
      <c r="C571" s="11">
        <f t="shared" si="56"/>
        <v>-1.0099999999999998E-2</v>
      </c>
      <c r="D571" s="12">
        <f t="shared" si="57"/>
        <v>1.0200999999999995E-4</v>
      </c>
      <c r="E571" s="12">
        <f t="shared" si="58"/>
        <v>0</v>
      </c>
      <c r="F571" s="12">
        <f t="shared" si="59"/>
        <v>3.4877635079868541E-5</v>
      </c>
      <c r="G571" s="12">
        <f t="shared" si="60"/>
        <v>2.7504953759286903</v>
      </c>
      <c r="I571" s="12">
        <f t="shared" si="61"/>
        <v>5.905729004946683E-3</v>
      </c>
      <c r="J571" s="12">
        <f t="shared" si="62"/>
        <v>5.4233926257759718E-3</v>
      </c>
    </row>
    <row r="572" spans="1:10">
      <c r="A572" s="15">
        <v>40848</v>
      </c>
      <c r="B572" s="11">
        <v>1.9656</v>
      </c>
      <c r="C572" s="11">
        <f t="shared" si="56"/>
        <v>-2.6999999999999247E-3</v>
      </c>
      <c r="D572" s="12">
        <f t="shared" si="57"/>
        <v>7.2899999999995931E-6</v>
      </c>
      <c r="E572" s="12">
        <f t="shared" si="58"/>
        <v>1.0200999999999995E-4</v>
      </c>
      <c r="F572" s="12">
        <f t="shared" si="59"/>
        <v>3.8582885227992442E-5</v>
      </c>
      <c r="G572" s="12">
        <f t="shared" si="60"/>
        <v>4.0679404037302547</v>
      </c>
      <c r="I572" s="12">
        <f t="shared" si="61"/>
        <v>6.2115123140820093E-3</v>
      </c>
      <c r="J572" s="12">
        <f t="shared" si="62"/>
        <v>5.4233926257759718E-3</v>
      </c>
    </row>
    <row r="573" spans="1:10">
      <c r="A573" s="15">
        <v>40849</v>
      </c>
      <c r="B573" s="11">
        <v>1.9682999999999999</v>
      </c>
      <c r="C573" s="11">
        <f t="shared" si="56"/>
        <v>2.6999999999999247E-3</v>
      </c>
      <c r="D573" s="12">
        <f t="shared" si="57"/>
        <v>7.2899999999995931E-6</v>
      </c>
      <c r="E573" s="12">
        <f t="shared" si="58"/>
        <v>7.2899999999995931E-6</v>
      </c>
      <c r="F573" s="12">
        <f t="shared" si="59"/>
        <v>3.6273488639107011E-5</v>
      </c>
      <c r="G573" s="12">
        <f t="shared" si="60"/>
        <v>4.0927865588447379</v>
      </c>
      <c r="I573" s="12">
        <f t="shared" si="61"/>
        <v>6.0227475988212402E-3</v>
      </c>
      <c r="J573" s="12">
        <f t="shared" si="62"/>
        <v>5.4233926257759718E-3</v>
      </c>
    </row>
    <row r="574" spans="1:10">
      <c r="A574" s="15">
        <v>40850</v>
      </c>
      <c r="B574" s="11">
        <v>1.9737</v>
      </c>
      <c r="C574" s="11">
        <f t="shared" si="56"/>
        <v>5.4000000000000714E-3</v>
      </c>
      <c r="D574" s="12">
        <f t="shared" si="57"/>
        <v>2.9160000000000771E-5</v>
      </c>
      <c r="E574" s="12">
        <f t="shared" si="58"/>
        <v>7.2899999999995931E-6</v>
      </c>
      <c r="F574" s="12">
        <f t="shared" si="59"/>
        <v>3.4213878322386406E-5</v>
      </c>
      <c r="G574" s="12">
        <f t="shared" si="60"/>
        <v>3.7963581968944196</v>
      </c>
      <c r="I574" s="12">
        <f t="shared" si="61"/>
        <v>5.849263058060084E-3</v>
      </c>
      <c r="J574" s="12">
        <f t="shared" si="62"/>
        <v>5.4233926257759718E-3</v>
      </c>
    </row>
    <row r="575" spans="1:10">
      <c r="A575" s="15">
        <v>40851</v>
      </c>
      <c r="B575" s="11">
        <v>1.9710000000000001</v>
      </c>
      <c r="C575" s="11">
        <f t="shared" si="56"/>
        <v>-2.6999999999999247E-3</v>
      </c>
      <c r="D575" s="12">
        <f t="shared" si="57"/>
        <v>7.2899999999995931E-6</v>
      </c>
      <c r="E575" s="12">
        <f t="shared" si="58"/>
        <v>2.9160000000000771E-5</v>
      </c>
      <c r="F575" s="12">
        <f t="shared" si="59"/>
        <v>3.3673232688876747E-5</v>
      </c>
      <c r="G575" s="12">
        <f t="shared" si="60"/>
        <v>4.1222189031970995</v>
      </c>
      <c r="I575" s="12">
        <f t="shared" si="61"/>
        <v>5.8028641797716364E-3</v>
      </c>
      <c r="J575" s="12">
        <f t="shared" si="62"/>
        <v>5.4233926257759718E-3</v>
      </c>
    </row>
    <row r="576" spans="1:10">
      <c r="A576" s="15">
        <v>40852</v>
      </c>
      <c r="B576" s="11">
        <v>1.9751000000000001</v>
      </c>
      <c r="C576" s="11">
        <f t="shared" si="56"/>
        <v>4.0999999999999925E-3</v>
      </c>
      <c r="D576" s="12">
        <f t="shared" si="57"/>
        <v>1.6809999999999939E-5</v>
      </c>
      <c r="E576" s="12">
        <f t="shared" si="58"/>
        <v>7.2899999999995931E-6</v>
      </c>
      <c r="F576" s="12">
        <f t="shared" si="59"/>
        <v>3.1894868236815495E-5</v>
      </c>
      <c r="G576" s="12">
        <f t="shared" si="60"/>
        <v>3.9940721584303827</v>
      </c>
      <c r="I576" s="12">
        <f t="shared" si="61"/>
        <v>5.6475541818397368E-3</v>
      </c>
      <c r="J576" s="12">
        <f t="shared" si="62"/>
        <v>5.4233926257759718E-3</v>
      </c>
    </row>
    <row r="577" spans="1:10">
      <c r="A577" s="15">
        <v>40853</v>
      </c>
      <c r="B577" s="11">
        <v>1.9706999999999999</v>
      </c>
      <c r="C577" s="11">
        <f t="shared" si="56"/>
        <v>-4.4000000000001815E-3</v>
      </c>
      <c r="D577" s="12">
        <f t="shared" si="57"/>
        <v>1.9360000000001597E-5</v>
      </c>
      <c r="E577" s="12">
        <f t="shared" si="58"/>
        <v>1.6809999999999939E-5</v>
      </c>
      <c r="F577" s="12">
        <f t="shared" si="59"/>
        <v>3.0873086426410754E-5</v>
      </c>
      <c r="G577" s="12">
        <f t="shared" si="60"/>
        <v>3.9603326310005058</v>
      </c>
      <c r="I577" s="12">
        <f t="shared" si="61"/>
        <v>5.556355498562952E-3</v>
      </c>
      <c r="J577" s="12">
        <f t="shared" si="62"/>
        <v>5.4233926257759718E-3</v>
      </c>
    </row>
    <row r="578" spans="1:10">
      <c r="A578" s="15">
        <v>40854</v>
      </c>
      <c r="B578" s="11">
        <v>1.9702999999999999</v>
      </c>
      <c r="C578" s="11">
        <f t="shared" si="56"/>
        <v>-3.9999999999995595E-4</v>
      </c>
      <c r="D578" s="12">
        <f t="shared" si="57"/>
        <v>1.5999999999996475E-7</v>
      </c>
      <c r="E578" s="12">
        <f t="shared" si="58"/>
        <v>1.9360000000001597E-5</v>
      </c>
      <c r="F578" s="12">
        <f t="shared" si="59"/>
        <v>3.0112955300159679E-5</v>
      </c>
      <c r="G578" s="12">
        <f t="shared" si="60"/>
        <v>4.2836823306337788</v>
      </c>
      <c r="I578" s="12">
        <f t="shared" si="61"/>
        <v>5.4875272482384704E-3</v>
      </c>
      <c r="J578" s="12">
        <f t="shared" si="62"/>
        <v>5.4233926257759718E-3</v>
      </c>
    </row>
    <row r="579" spans="1:10">
      <c r="A579" s="15">
        <v>40855</v>
      </c>
      <c r="B579" s="11">
        <v>1.9725999999999999</v>
      </c>
      <c r="C579" s="11">
        <f t="shared" si="56"/>
        <v>2.2999999999999687E-3</v>
      </c>
      <c r="D579" s="12">
        <f t="shared" si="57"/>
        <v>5.2899999999998562E-6</v>
      </c>
      <c r="E579" s="12">
        <f t="shared" si="58"/>
        <v>1.5999999999996475E-7</v>
      </c>
      <c r="F579" s="12">
        <f t="shared" si="59"/>
        <v>2.8297091180663795E-5</v>
      </c>
      <c r="G579" s="12">
        <f t="shared" si="60"/>
        <v>4.2239647261650015</v>
      </c>
      <c r="I579" s="12">
        <f t="shared" si="61"/>
        <v>5.3195010274144881E-3</v>
      </c>
      <c r="J579" s="12">
        <f t="shared" si="62"/>
        <v>5.4233926257759718E-3</v>
      </c>
    </row>
    <row r="580" spans="1:10">
      <c r="A580" s="15">
        <v>40856</v>
      </c>
      <c r="B580" s="11">
        <v>1.9572000000000001</v>
      </c>
      <c r="C580" s="11">
        <f t="shared" si="56"/>
        <v>-1.5399999999999858E-2</v>
      </c>
      <c r="D580" s="12">
        <f t="shared" si="57"/>
        <v>2.3715999999999562E-4</v>
      </c>
      <c r="E580" s="12">
        <f t="shared" si="58"/>
        <v>5.2899999999998562E-6</v>
      </c>
      <c r="F580" s="12">
        <f t="shared" si="59"/>
        <v>2.698167830637821E-5</v>
      </c>
      <c r="G580" s="12">
        <f t="shared" si="60"/>
        <v>-5.359639266889215E-2</v>
      </c>
      <c r="I580" s="12">
        <f t="shared" si="61"/>
        <v>5.1943891177286868E-3</v>
      </c>
      <c r="J580" s="12">
        <f t="shared" si="62"/>
        <v>5.4233926257759718E-3</v>
      </c>
    </row>
    <row r="581" spans="1:10">
      <c r="A581" s="15">
        <v>40857</v>
      </c>
      <c r="B581" s="11">
        <v>1.9610000000000001</v>
      </c>
      <c r="C581" s="11">
        <f t="shared" si="56"/>
        <v>3.8000000000000256E-3</v>
      </c>
      <c r="D581" s="12">
        <f t="shared" si="57"/>
        <v>1.4440000000000194E-5</v>
      </c>
      <c r="E581" s="12">
        <f t="shared" si="58"/>
        <v>2.3715999999999562E-4</v>
      </c>
      <c r="F581" s="12">
        <f t="shared" si="59"/>
        <v>3.9551058805358005E-5</v>
      </c>
      <c r="G581" s="12">
        <f t="shared" si="60"/>
        <v>3.9674716634232734</v>
      </c>
      <c r="I581" s="12">
        <f t="shared" si="61"/>
        <v>6.2889632536180405E-3</v>
      </c>
      <c r="J581" s="12">
        <f t="shared" si="62"/>
        <v>5.4233926257759718E-3</v>
      </c>
    </row>
    <row r="582" spans="1:10">
      <c r="A582" s="15">
        <v>40858</v>
      </c>
      <c r="B582" s="11">
        <v>1.9681</v>
      </c>
      <c r="C582" s="11">
        <f t="shared" si="56"/>
        <v>7.0999999999998842E-3</v>
      </c>
      <c r="D582" s="12">
        <f t="shared" si="57"/>
        <v>5.0409999999998354E-5</v>
      </c>
      <c r="E582" s="12">
        <f t="shared" si="58"/>
        <v>1.4440000000000194E-5</v>
      </c>
      <c r="F582" s="12">
        <f t="shared" si="59"/>
        <v>3.7560711370359848E-5</v>
      </c>
      <c r="G582" s="12">
        <f t="shared" si="60"/>
        <v>3.5047905129538246</v>
      </c>
      <c r="I582" s="12">
        <f t="shared" si="61"/>
        <v>6.1286794148788567E-3</v>
      </c>
      <c r="J582" s="12">
        <f t="shared" si="62"/>
        <v>5.4233926257759718E-3</v>
      </c>
    </row>
    <row r="583" spans="1:10">
      <c r="A583" s="15">
        <v>40859</v>
      </c>
      <c r="B583" s="11">
        <v>1.9694</v>
      </c>
      <c r="C583" s="11">
        <f t="shared" si="56"/>
        <v>1.3000000000000789E-3</v>
      </c>
      <c r="D583" s="12">
        <f t="shared" si="57"/>
        <v>1.6900000000002051E-6</v>
      </c>
      <c r="E583" s="12">
        <f t="shared" si="58"/>
        <v>5.0409999999998354E-5</v>
      </c>
      <c r="F583" s="12">
        <f t="shared" si="59"/>
        <v>3.7917518687693582E-5</v>
      </c>
      <c r="G583" s="12">
        <f t="shared" si="60"/>
        <v>4.1488249049764319</v>
      </c>
      <c r="I583" s="12">
        <f t="shared" si="61"/>
        <v>6.1577202508471904E-3</v>
      </c>
      <c r="J583" s="12">
        <f t="shared" si="62"/>
        <v>5.4233926257759718E-3</v>
      </c>
    </row>
    <row r="584" spans="1:10">
      <c r="A584" s="15">
        <v>40860</v>
      </c>
      <c r="B584" s="11">
        <v>1.9654</v>
      </c>
      <c r="C584" s="11">
        <f t="shared" si="56"/>
        <v>-4.0000000000000036E-3</v>
      </c>
      <c r="D584" s="12">
        <f t="shared" si="57"/>
        <v>1.600000000000003E-5</v>
      </c>
      <c r="E584" s="12">
        <f t="shared" si="58"/>
        <v>1.6900000000002051E-6</v>
      </c>
      <c r="F584" s="12">
        <f t="shared" si="59"/>
        <v>3.5348186789655691E-5</v>
      </c>
      <c r="G584" s="12">
        <f t="shared" si="60"/>
        <v>3.9798732356495456</v>
      </c>
      <c r="I584" s="12">
        <f t="shared" si="61"/>
        <v>5.9454341128008211E-3</v>
      </c>
      <c r="J584" s="12">
        <f t="shared" si="62"/>
        <v>5.4233926257759718E-3</v>
      </c>
    </row>
    <row r="585" spans="1:10">
      <c r="A585" s="15">
        <v>40861</v>
      </c>
      <c r="B585" s="11">
        <v>1.966</v>
      </c>
      <c r="C585" s="11">
        <f t="shared" si="56"/>
        <v>5.9999999999993392E-4</v>
      </c>
      <c r="D585" s="12">
        <f t="shared" si="57"/>
        <v>3.5999999999992069E-7</v>
      </c>
      <c r="E585" s="12">
        <f t="shared" si="58"/>
        <v>1.600000000000003E-5</v>
      </c>
      <c r="F585" s="12">
        <f t="shared" si="59"/>
        <v>3.3904883907068313E-5</v>
      </c>
      <c r="G585" s="12">
        <f t="shared" si="60"/>
        <v>4.2217282326983554</v>
      </c>
      <c r="I585" s="12">
        <f t="shared" si="61"/>
        <v>5.8227900449070212E-3</v>
      </c>
      <c r="J585" s="12">
        <f t="shared" si="62"/>
        <v>5.4233926257759718E-3</v>
      </c>
    </row>
    <row r="586" spans="1:10">
      <c r="A586" s="15">
        <v>40862</v>
      </c>
      <c r="B586" s="11">
        <v>1.9617</v>
      </c>
      <c r="C586" s="11">
        <f t="shared" si="56"/>
        <v>-4.2999999999999705E-3</v>
      </c>
      <c r="D586" s="12">
        <f t="shared" si="57"/>
        <v>1.8489999999999747E-5</v>
      </c>
      <c r="E586" s="12">
        <f t="shared" si="58"/>
        <v>3.5999999999992069E-7</v>
      </c>
      <c r="F586" s="12">
        <f t="shared" si="59"/>
        <v>3.1690735248520822E-5</v>
      </c>
      <c r="G586" s="12">
        <f t="shared" si="60"/>
        <v>3.969078911743142</v>
      </c>
      <c r="I586" s="12">
        <f t="shared" si="61"/>
        <v>5.629452482126554E-3</v>
      </c>
      <c r="J586" s="12">
        <f t="shared" si="62"/>
        <v>5.4233926257759718E-3</v>
      </c>
    </row>
    <row r="587" spans="1:10">
      <c r="A587" s="15">
        <v>40863</v>
      </c>
      <c r="B587" s="11">
        <v>1.9583999999999999</v>
      </c>
      <c r="C587" s="11">
        <f t="shared" si="56"/>
        <v>-3.3000000000000806E-3</v>
      </c>
      <c r="D587" s="12">
        <f t="shared" si="57"/>
        <v>1.0890000000000533E-5</v>
      </c>
      <c r="E587" s="12">
        <f t="shared" si="58"/>
        <v>1.8489999999999747E-5</v>
      </c>
      <c r="F587" s="12">
        <f t="shared" si="59"/>
        <v>3.0790603207033078E-5</v>
      </c>
      <c r="G587" s="12">
        <f t="shared" si="60"/>
        <v>4.0983722955965396</v>
      </c>
      <c r="I587" s="12">
        <f t="shared" si="61"/>
        <v>5.5489281133416276E-3</v>
      </c>
      <c r="J587" s="12">
        <f t="shared" si="62"/>
        <v>5.4233926257759718E-3</v>
      </c>
    </row>
    <row r="588" spans="1:10">
      <c r="A588" s="15">
        <v>40864</v>
      </c>
      <c r="B588" s="11">
        <v>1.9585999999999999</v>
      </c>
      <c r="C588" s="11">
        <f t="shared" si="56"/>
        <v>1.9999999999997797E-4</v>
      </c>
      <c r="D588" s="12">
        <f t="shared" si="57"/>
        <v>3.9999999999991186E-8</v>
      </c>
      <c r="E588" s="12">
        <f t="shared" si="58"/>
        <v>1.0890000000000533E-5</v>
      </c>
      <c r="F588" s="12">
        <f t="shared" si="59"/>
        <v>2.9537391892686832E-5</v>
      </c>
      <c r="G588" s="12">
        <f t="shared" si="60"/>
        <v>4.2953111392862162</v>
      </c>
      <c r="I588" s="12">
        <f t="shared" si="61"/>
        <v>5.4348313582563744E-3</v>
      </c>
      <c r="J588" s="12">
        <f t="shared" si="62"/>
        <v>5.4233926257759718E-3</v>
      </c>
    </row>
    <row r="589" spans="1:10">
      <c r="A589" s="15">
        <v>40865</v>
      </c>
      <c r="B589" s="11">
        <v>1.9615</v>
      </c>
      <c r="C589" s="11">
        <f t="shared" si="56"/>
        <v>2.9000000000001247E-3</v>
      </c>
      <c r="D589" s="12">
        <f t="shared" si="57"/>
        <v>8.4100000000007225E-6</v>
      </c>
      <c r="E589" s="12">
        <f t="shared" si="58"/>
        <v>3.9999999999991186E-8</v>
      </c>
      <c r="F589" s="12">
        <f t="shared" si="59"/>
        <v>2.7776669010289E-5</v>
      </c>
      <c r="G589" s="12">
        <f t="shared" si="60"/>
        <v>4.1753324836719417</v>
      </c>
      <c r="I589" s="12">
        <f t="shared" si="61"/>
        <v>5.2703575789778247E-3</v>
      </c>
      <c r="J589" s="12">
        <f t="shared" si="62"/>
        <v>5.4233926257759718E-3</v>
      </c>
    </row>
    <row r="590" spans="1:10">
      <c r="A590" s="15">
        <v>40866</v>
      </c>
      <c r="B590" s="11">
        <v>1.9619</v>
      </c>
      <c r="C590" s="11">
        <f t="shared" ref="C590:C653" si="63">B590-B589</f>
        <v>3.9999999999995595E-4</v>
      </c>
      <c r="D590" s="12">
        <f t="shared" ref="D590:D653" si="64">C590^2</f>
        <v>1.5999999999996475E-7</v>
      </c>
      <c r="E590" s="12">
        <f t="shared" si="58"/>
        <v>8.4100000000007225E-6</v>
      </c>
      <c r="F590" s="12">
        <f t="shared" si="59"/>
        <v>2.6702462214165213E-5</v>
      </c>
      <c r="G590" s="12">
        <f t="shared" si="60"/>
        <v>4.3434428705351147</v>
      </c>
      <c r="I590" s="12">
        <f t="shared" si="61"/>
        <v>5.1674425216121384E-3</v>
      </c>
      <c r="J590" s="12">
        <f t="shared" si="62"/>
        <v>5.4233926257759718E-3</v>
      </c>
    </row>
    <row r="591" spans="1:10">
      <c r="A591" s="15">
        <v>40867</v>
      </c>
      <c r="B591" s="11">
        <v>1.9619</v>
      </c>
      <c r="C591" s="11">
        <f t="shared" si="63"/>
        <v>0</v>
      </c>
      <c r="D591" s="12">
        <f t="shared" si="64"/>
        <v>0</v>
      </c>
      <c r="E591" s="12">
        <f t="shared" ref="E591:E654" si="65">D590</f>
        <v>1.5999999999996475E-7</v>
      </c>
      <c r="F591" s="12">
        <f t="shared" ref="F591:F654" si="66">$B$5+$B$6*E591+$B$7*F590</f>
        <v>2.5255479887556028E-5</v>
      </c>
      <c r="G591" s="12">
        <f t="shared" ref="G591:G654" si="67">LN((1/SQRT(2*3.1415927*F591))*EXP(-0.5*D591/F591))</f>
        <v>4.3742951596787805</v>
      </c>
      <c r="I591" s="12">
        <f t="shared" ref="I591:I654" si="68">SQRT(F591)</f>
        <v>5.0254830501710009E-3</v>
      </c>
      <c r="J591" s="12">
        <f t="shared" si="62"/>
        <v>5.4233926257759718E-3</v>
      </c>
    </row>
    <row r="592" spans="1:10">
      <c r="A592" s="15">
        <v>40868</v>
      </c>
      <c r="B592" s="11">
        <v>1.9604999999999999</v>
      </c>
      <c r="C592" s="11">
        <f t="shared" si="63"/>
        <v>-1.4000000000000679E-3</v>
      </c>
      <c r="D592" s="12">
        <f t="shared" si="64"/>
        <v>1.96000000000019E-6</v>
      </c>
      <c r="E592" s="12">
        <f t="shared" si="65"/>
        <v>0</v>
      </c>
      <c r="F592" s="12">
        <f t="shared" si="66"/>
        <v>2.3955521471336073E-5</v>
      </c>
      <c r="G592" s="12">
        <f t="shared" si="67"/>
        <v>4.3598081698325002</v>
      </c>
      <c r="I592" s="12">
        <f t="shared" si="68"/>
        <v>4.8944378095278802E-3</v>
      </c>
      <c r="J592" s="12">
        <f t="shared" ref="J592:J655" si="69">J591</f>
        <v>5.4233926257759718E-3</v>
      </c>
    </row>
    <row r="593" spans="1:10">
      <c r="A593" s="15">
        <v>40869</v>
      </c>
      <c r="B593" s="11">
        <v>1.9635</v>
      </c>
      <c r="C593" s="11">
        <f t="shared" si="63"/>
        <v>3.0000000000001137E-3</v>
      </c>
      <c r="D593" s="12">
        <f t="shared" si="64"/>
        <v>9.0000000000006829E-6</v>
      </c>
      <c r="E593" s="12">
        <f t="shared" si="65"/>
        <v>1.96000000000019E-6</v>
      </c>
      <c r="F593" s="12">
        <f t="shared" si="66"/>
        <v>2.2912333317103614E-5</v>
      </c>
      <c r="G593" s="12">
        <f t="shared" si="67"/>
        <v>4.2265782950967861</v>
      </c>
      <c r="I593" s="12">
        <f t="shared" si="68"/>
        <v>4.7866829137831572E-3</v>
      </c>
      <c r="J593" s="12">
        <f t="shared" si="69"/>
        <v>5.4233926257759718E-3</v>
      </c>
    </row>
    <row r="594" spans="1:10">
      <c r="A594" s="15">
        <v>40870</v>
      </c>
      <c r="B594" s="11">
        <v>1.9598</v>
      </c>
      <c r="C594" s="11">
        <f t="shared" si="63"/>
        <v>-3.7000000000000366E-3</v>
      </c>
      <c r="D594" s="12">
        <f t="shared" si="64"/>
        <v>1.369000000000027E-5</v>
      </c>
      <c r="E594" s="12">
        <f t="shared" si="65"/>
        <v>9.0000000000006829E-6</v>
      </c>
      <c r="F594" s="12">
        <f t="shared" si="66"/>
        <v>2.2399225386920902E-5</v>
      </c>
      <c r="G594" s="12">
        <f t="shared" si="67"/>
        <v>4.1287126249654245</v>
      </c>
      <c r="I594" s="12">
        <f t="shared" si="68"/>
        <v>4.7327819923297654E-3</v>
      </c>
      <c r="J594" s="12">
        <f t="shared" si="69"/>
        <v>5.4233926257759718E-3</v>
      </c>
    </row>
    <row r="595" spans="1:10">
      <c r="A595" s="15">
        <v>40871</v>
      </c>
      <c r="B595" s="11">
        <v>1.9601999999999999</v>
      </c>
      <c r="C595" s="11">
        <f t="shared" si="63"/>
        <v>3.9999999999995595E-4</v>
      </c>
      <c r="D595" s="12">
        <f t="shared" si="64"/>
        <v>1.5999999999996475E-7</v>
      </c>
      <c r="E595" s="12">
        <f t="shared" si="65"/>
        <v>1.369000000000027E-5</v>
      </c>
      <c r="F595" s="12">
        <f t="shared" si="66"/>
        <v>2.2219583492374933E-5</v>
      </c>
      <c r="G595" s="12">
        <f t="shared" si="67"/>
        <v>4.4347292912069509</v>
      </c>
      <c r="I595" s="12">
        <f t="shared" si="68"/>
        <v>4.7137653200360887E-3</v>
      </c>
      <c r="J595" s="12">
        <f t="shared" si="69"/>
        <v>5.4233926257759718E-3</v>
      </c>
    </row>
    <row r="596" spans="1:10">
      <c r="A596" s="15">
        <v>40872</v>
      </c>
      <c r="B596" s="11">
        <v>1.9538</v>
      </c>
      <c r="C596" s="11">
        <f t="shared" si="63"/>
        <v>-6.3999999999999613E-3</v>
      </c>
      <c r="D596" s="12">
        <f t="shared" si="64"/>
        <v>4.0959999999999506E-5</v>
      </c>
      <c r="E596" s="12">
        <f t="shared" si="65"/>
        <v>1.5999999999996475E-7</v>
      </c>
      <c r="F596" s="12">
        <f t="shared" si="66"/>
        <v>2.1257473088532145E-5</v>
      </c>
      <c r="G596" s="12">
        <f t="shared" si="67"/>
        <v>3.4970365909222729</v>
      </c>
      <c r="I596" s="12">
        <f t="shared" si="68"/>
        <v>4.6105827276529962E-3</v>
      </c>
      <c r="J596" s="12">
        <f t="shared" si="69"/>
        <v>5.4233926257759718E-3</v>
      </c>
    </row>
    <row r="597" spans="1:10">
      <c r="A597" s="15">
        <v>40873</v>
      </c>
      <c r="B597" s="11">
        <v>1.9535</v>
      </c>
      <c r="C597" s="11">
        <f t="shared" si="63"/>
        <v>-2.9999999999996696E-4</v>
      </c>
      <c r="D597" s="12">
        <f t="shared" si="64"/>
        <v>8.9999999999980173E-8</v>
      </c>
      <c r="E597" s="12">
        <f t="shared" si="65"/>
        <v>4.0959999999999506E-5</v>
      </c>
      <c r="F597" s="12">
        <f t="shared" si="66"/>
        <v>2.2817567856573309E-5</v>
      </c>
      <c r="G597" s="12">
        <f t="shared" si="67"/>
        <v>4.4230791941291638</v>
      </c>
      <c r="I597" s="12">
        <f t="shared" si="68"/>
        <v>4.7767737916478009E-3</v>
      </c>
      <c r="J597" s="12">
        <f t="shared" si="69"/>
        <v>5.4233926257759718E-3</v>
      </c>
    </row>
    <row r="598" spans="1:10">
      <c r="A598" s="15">
        <v>40874</v>
      </c>
      <c r="B598" s="11">
        <v>1.9535</v>
      </c>
      <c r="C598" s="11">
        <f t="shared" si="63"/>
        <v>0</v>
      </c>
      <c r="D598" s="12">
        <f t="shared" si="64"/>
        <v>0</v>
      </c>
      <c r="E598" s="12">
        <f t="shared" si="65"/>
        <v>8.9999999999980173E-8</v>
      </c>
      <c r="F598" s="12">
        <f t="shared" si="66"/>
        <v>2.1786630188409138E-5</v>
      </c>
      <c r="G598" s="12">
        <f t="shared" si="67"/>
        <v>4.448168494619245</v>
      </c>
      <c r="I598" s="12">
        <f t="shared" si="68"/>
        <v>4.6676150428681604E-3</v>
      </c>
      <c r="J598" s="12">
        <f t="shared" si="69"/>
        <v>5.4233926257759718E-3</v>
      </c>
    </row>
    <row r="599" spans="1:10">
      <c r="A599" s="15">
        <v>40875</v>
      </c>
      <c r="B599" s="11">
        <v>1.9619</v>
      </c>
      <c r="C599" s="11">
        <f t="shared" si="63"/>
        <v>8.3999999999999631E-3</v>
      </c>
      <c r="D599" s="12">
        <f t="shared" si="64"/>
        <v>7.0559999999999379E-5</v>
      </c>
      <c r="E599" s="12">
        <f t="shared" si="65"/>
        <v>0</v>
      </c>
      <c r="F599" s="12">
        <f t="shared" si="66"/>
        <v>2.0861865465303701E-5</v>
      </c>
      <c r="G599" s="12">
        <f t="shared" si="67"/>
        <v>2.7787313674913907</v>
      </c>
      <c r="I599" s="12">
        <f t="shared" si="68"/>
        <v>4.5674791149280256E-3</v>
      </c>
      <c r="J599" s="12">
        <f t="shared" si="69"/>
        <v>5.4233926257759718E-3</v>
      </c>
    </row>
    <row r="600" spans="1:10">
      <c r="A600" s="15">
        <v>40876</v>
      </c>
      <c r="B600" s="11">
        <v>1.9629000000000001</v>
      </c>
      <c r="C600" s="11">
        <f t="shared" si="63"/>
        <v>1.0000000000001119E-3</v>
      </c>
      <c r="D600" s="12">
        <f t="shared" si="64"/>
        <v>1.0000000000002238E-6</v>
      </c>
      <c r="E600" s="12">
        <f t="shared" si="65"/>
        <v>7.0559999999999379E-5</v>
      </c>
      <c r="F600" s="12">
        <f t="shared" si="66"/>
        <v>2.4219088164782637E-5</v>
      </c>
      <c r="G600" s="12">
        <f t="shared" si="67"/>
        <v>4.374601320669151</v>
      </c>
      <c r="I600" s="12">
        <f t="shared" si="68"/>
        <v>4.9212892787137228E-3</v>
      </c>
      <c r="J600" s="12">
        <f t="shared" si="69"/>
        <v>5.4233926257759718E-3</v>
      </c>
    </row>
    <row r="601" spans="1:10">
      <c r="A601" s="15">
        <v>40877</v>
      </c>
      <c r="B601" s="11">
        <v>1.9704999999999999</v>
      </c>
      <c r="C601" s="11">
        <f t="shared" si="63"/>
        <v>7.5999999999998291E-3</v>
      </c>
      <c r="D601" s="12">
        <f t="shared" si="64"/>
        <v>5.7759999999997401E-5</v>
      </c>
      <c r="E601" s="12">
        <f t="shared" si="65"/>
        <v>1.0000000000002238E-6</v>
      </c>
      <c r="F601" s="12">
        <f t="shared" si="66"/>
        <v>2.3090494945235778E-5</v>
      </c>
      <c r="G601" s="12">
        <f t="shared" si="67"/>
        <v>3.1683751152497219</v>
      </c>
      <c r="I601" s="12">
        <f t="shared" si="68"/>
        <v>4.8052570113611796E-3</v>
      </c>
      <c r="J601" s="12">
        <f t="shared" si="69"/>
        <v>5.4233926257759718E-3</v>
      </c>
    </row>
    <row r="602" spans="1:10">
      <c r="A602" s="15">
        <v>40878</v>
      </c>
      <c r="B602" s="11">
        <v>1.9722</v>
      </c>
      <c r="C602" s="11">
        <f t="shared" si="63"/>
        <v>1.7000000000000348E-3</v>
      </c>
      <c r="D602" s="12">
        <f t="shared" si="64"/>
        <v>2.8900000000001184E-6</v>
      </c>
      <c r="E602" s="12">
        <f t="shared" si="65"/>
        <v>5.7759999999997401E-5</v>
      </c>
      <c r="F602" s="12">
        <f t="shared" si="66"/>
        <v>2.5448034268498281E-5</v>
      </c>
      <c r="G602" s="12">
        <f t="shared" si="67"/>
        <v>4.313715105980946</v>
      </c>
      <c r="I602" s="12">
        <f t="shared" si="68"/>
        <v>5.0446044709668049E-3</v>
      </c>
      <c r="J602" s="12">
        <f t="shared" si="69"/>
        <v>5.4233926257759718E-3</v>
      </c>
    </row>
    <row r="603" spans="1:10">
      <c r="A603" s="15">
        <v>40879</v>
      </c>
      <c r="B603" s="11">
        <v>1.9699</v>
      </c>
      <c r="C603" s="11">
        <f t="shared" si="63"/>
        <v>-2.2999999999999687E-3</v>
      </c>
      <c r="D603" s="12">
        <f t="shared" si="64"/>
        <v>5.2899999999998562E-6</v>
      </c>
      <c r="E603" s="12">
        <f t="shared" si="65"/>
        <v>2.8900000000001184E-6</v>
      </c>
      <c r="F603" s="12">
        <f t="shared" si="66"/>
        <v>2.4298534102926247E-5</v>
      </c>
      <c r="G603" s="12">
        <f t="shared" si="67"/>
        <v>4.284754423359395</v>
      </c>
      <c r="I603" s="12">
        <f t="shared" si="68"/>
        <v>4.9293543292125231E-3</v>
      </c>
      <c r="J603" s="12">
        <f t="shared" si="69"/>
        <v>5.4233926257759718E-3</v>
      </c>
    </row>
    <row r="604" spans="1:10">
      <c r="A604" s="15">
        <v>40880</v>
      </c>
      <c r="B604" s="11">
        <v>1.9705999999999999</v>
      </c>
      <c r="C604" s="11">
        <f t="shared" si="63"/>
        <v>6.9999999999992291E-4</v>
      </c>
      <c r="D604" s="12">
        <f t="shared" si="64"/>
        <v>4.8999999999989208E-7</v>
      </c>
      <c r="E604" s="12">
        <f t="shared" si="65"/>
        <v>5.2899999999998562E-6</v>
      </c>
      <c r="F604" s="12">
        <f t="shared" si="66"/>
        <v>2.3415608516139599E-5</v>
      </c>
      <c r="G604" s="12">
        <f t="shared" si="67"/>
        <v>4.4016522168321188</v>
      </c>
      <c r="I604" s="12">
        <f t="shared" si="68"/>
        <v>4.8389677118306548E-3</v>
      </c>
      <c r="J604" s="12">
        <f t="shared" si="69"/>
        <v>5.4233926257759718E-3</v>
      </c>
    </row>
    <row r="605" spans="1:10">
      <c r="A605" s="15">
        <v>40881</v>
      </c>
      <c r="B605" s="11">
        <v>1.9705999999999999</v>
      </c>
      <c r="C605" s="11">
        <f t="shared" si="63"/>
        <v>0</v>
      </c>
      <c r="D605" s="12">
        <f t="shared" si="64"/>
        <v>0</v>
      </c>
      <c r="E605" s="12">
        <f t="shared" si="65"/>
        <v>4.8999999999989208E-7</v>
      </c>
      <c r="F605" s="12">
        <f t="shared" si="66"/>
        <v>2.234369354805001E-5</v>
      </c>
      <c r="G605" s="12">
        <f t="shared" si="67"/>
        <v>4.4355446817059256</v>
      </c>
      <c r="I605" s="12">
        <f t="shared" si="68"/>
        <v>4.7269116289655778E-3</v>
      </c>
      <c r="J605" s="12">
        <f t="shared" si="69"/>
        <v>5.4233926257759718E-3</v>
      </c>
    </row>
    <row r="606" spans="1:10">
      <c r="A606" s="15">
        <v>40882</v>
      </c>
      <c r="B606" s="11">
        <v>1.9666999999999999</v>
      </c>
      <c r="C606" s="11">
        <f t="shared" si="63"/>
        <v>-3.9000000000000146E-3</v>
      </c>
      <c r="D606" s="12">
        <f t="shared" si="64"/>
        <v>1.5210000000000114E-5</v>
      </c>
      <c r="E606" s="12">
        <f t="shared" si="65"/>
        <v>0</v>
      </c>
      <c r="F606" s="12">
        <f t="shared" si="66"/>
        <v>2.1358676384703693E-5</v>
      </c>
      <c r="G606" s="12">
        <f t="shared" si="67"/>
        <v>4.1020263259074117</v>
      </c>
      <c r="I606" s="12">
        <f t="shared" si="68"/>
        <v>4.6215448050087853E-3</v>
      </c>
      <c r="J606" s="12">
        <f t="shared" si="69"/>
        <v>5.4233926257759718E-3</v>
      </c>
    </row>
    <row r="607" spans="1:10">
      <c r="A607" s="15">
        <v>40883</v>
      </c>
      <c r="B607" s="11">
        <v>1.9697</v>
      </c>
      <c r="C607" s="11">
        <f t="shared" si="63"/>
        <v>3.0000000000001137E-3</v>
      </c>
      <c r="D607" s="12">
        <f t="shared" si="64"/>
        <v>9.0000000000006829E-6</v>
      </c>
      <c r="E607" s="12">
        <f t="shared" si="65"/>
        <v>1.5210000000000114E-5</v>
      </c>
      <c r="F607" s="12">
        <f t="shared" si="66"/>
        <v>2.1381668804943607E-5</v>
      </c>
      <c r="G607" s="12">
        <f t="shared" si="67"/>
        <v>4.247089105885884</v>
      </c>
      <c r="I607" s="12">
        <f t="shared" si="68"/>
        <v>4.6240316613258186E-3</v>
      </c>
      <c r="J607" s="12">
        <f t="shared" si="69"/>
        <v>5.4233926257759718E-3</v>
      </c>
    </row>
    <row r="608" spans="1:10">
      <c r="A608" s="15">
        <v>40884</v>
      </c>
      <c r="B608" s="11">
        <v>1.9689000000000001</v>
      </c>
      <c r="C608" s="11">
        <f t="shared" si="63"/>
        <v>-7.9999999999991189E-4</v>
      </c>
      <c r="D608" s="12">
        <f t="shared" si="64"/>
        <v>6.3999999999985898E-7</v>
      </c>
      <c r="E608" s="12">
        <f t="shared" si="65"/>
        <v>9.0000000000006829E-6</v>
      </c>
      <c r="F608" s="12">
        <f t="shared" si="66"/>
        <v>2.1034118832310307E-5</v>
      </c>
      <c r="G608" s="12">
        <f t="shared" si="67"/>
        <v>4.4505304476157654</v>
      </c>
      <c r="I608" s="12">
        <f t="shared" si="68"/>
        <v>4.5862968539236871E-3</v>
      </c>
      <c r="J608" s="12">
        <f t="shared" si="69"/>
        <v>5.4233926257759718E-3</v>
      </c>
    </row>
    <row r="609" spans="1:10">
      <c r="A609" s="15">
        <v>40885</v>
      </c>
      <c r="B609" s="11">
        <v>1.9631000000000001</v>
      </c>
      <c r="C609" s="11">
        <f t="shared" si="63"/>
        <v>-5.8000000000000274E-3</v>
      </c>
      <c r="D609" s="12">
        <f t="shared" si="64"/>
        <v>3.3640000000000315E-5</v>
      </c>
      <c r="E609" s="12">
        <f t="shared" si="65"/>
        <v>6.3999999999985898E-7</v>
      </c>
      <c r="F609" s="12">
        <f t="shared" si="66"/>
        <v>2.0228678015798636E-5</v>
      </c>
      <c r="G609" s="12">
        <f t="shared" si="67"/>
        <v>3.6537732938373857</v>
      </c>
      <c r="I609" s="12">
        <f t="shared" si="68"/>
        <v>4.4976302666847393E-3</v>
      </c>
      <c r="J609" s="12">
        <f t="shared" si="69"/>
        <v>5.4233926257759718E-3</v>
      </c>
    </row>
    <row r="610" spans="1:10">
      <c r="A610" s="15">
        <v>40886</v>
      </c>
      <c r="B610" s="11">
        <v>1.966</v>
      </c>
      <c r="C610" s="11">
        <f t="shared" si="63"/>
        <v>2.8999999999999027E-3</v>
      </c>
      <c r="D610" s="12">
        <f t="shared" si="64"/>
        <v>8.409999999999435E-6</v>
      </c>
      <c r="E610" s="12">
        <f t="shared" si="65"/>
        <v>3.3640000000000315E-5</v>
      </c>
      <c r="F610" s="12">
        <f t="shared" si="66"/>
        <v>2.1466204907975666E-5</v>
      </c>
      <c r="G610" s="12">
        <f t="shared" si="67"/>
        <v>4.2596875146904054</v>
      </c>
      <c r="I610" s="12">
        <f t="shared" si="68"/>
        <v>4.6331635960729541E-3</v>
      </c>
      <c r="J610" s="12">
        <f t="shared" si="69"/>
        <v>5.4233926257759718E-3</v>
      </c>
    </row>
    <row r="611" spans="1:10">
      <c r="A611" s="15">
        <v>40887</v>
      </c>
      <c r="B611" s="11">
        <v>1.9705999999999999</v>
      </c>
      <c r="C611" s="11">
        <f t="shared" si="63"/>
        <v>4.5999999999999375E-3</v>
      </c>
      <c r="D611" s="12">
        <f t="shared" si="64"/>
        <v>2.1159999999999425E-5</v>
      </c>
      <c r="E611" s="12">
        <f t="shared" si="65"/>
        <v>8.409999999999435E-6</v>
      </c>
      <c r="F611" s="12">
        <f t="shared" si="66"/>
        <v>2.107454320234558E-5</v>
      </c>
      <c r="G611" s="12">
        <f t="shared" si="67"/>
        <v>3.9627563352643382</v>
      </c>
      <c r="I611" s="12">
        <f t="shared" si="68"/>
        <v>4.5907018202389904E-3</v>
      </c>
      <c r="J611" s="12">
        <f t="shared" si="69"/>
        <v>5.4233926257759718E-3</v>
      </c>
    </row>
    <row r="612" spans="1:10">
      <c r="A612" s="15">
        <v>40888</v>
      </c>
      <c r="B612" s="11">
        <v>1.9744999999999999</v>
      </c>
      <c r="C612" s="11">
        <f t="shared" si="63"/>
        <v>3.9000000000000146E-3</v>
      </c>
      <c r="D612" s="12">
        <f t="shared" si="64"/>
        <v>1.5210000000000114E-5</v>
      </c>
      <c r="E612" s="12">
        <f t="shared" si="65"/>
        <v>2.1159999999999425E-5</v>
      </c>
      <c r="F612" s="12">
        <f t="shared" si="66"/>
        <v>2.148091348769252E-5</v>
      </c>
      <c r="G612" s="12">
        <f t="shared" si="67"/>
        <v>4.1011991171966278</v>
      </c>
      <c r="I612" s="12">
        <f t="shared" si="68"/>
        <v>4.6347506392137774E-3</v>
      </c>
      <c r="J612" s="12">
        <f t="shared" si="69"/>
        <v>5.4233926257759718E-3</v>
      </c>
    </row>
    <row r="613" spans="1:10">
      <c r="A613" s="15">
        <v>40889</v>
      </c>
      <c r="B613" s="11">
        <v>1.9591000000000001</v>
      </c>
      <c r="C613" s="11">
        <f t="shared" si="63"/>
        <v>-1.5399999999999858E-2</v>
      </c>
      <c r="D613" s="12">
        <f t="shared" si="64"/>
        <v>2.3715999999999562E-4</v>
      </c>
      <c r="E613" s="12">
        <f t="shared" si="65"/>
        <v>1.5210000000000114E-5</v>
      </c>
      <c r="F613" s="12">
        <f t="shared" si="66"/>
        <v>2.1490684640341259E-5</v>
      </c>
      <c r="G613" s="12">
        <f t="shared" si="67"/>
        <v>-1.0627325681993589</v>
      </c>
      <c r="I613" s="12">
        <f t="shared" si="68"/>
        <v>4.635804637853202E-3</v>
      </c>
      <c r="J613" s="12">
        <f t="shared" si="69"/>
        <v>5.4233926257759718E-3</v>
      </c>
    </row>
    <row r="614" spans="1:10">
      <c r="A614" s="15">
        <v>40890</v>
      </c>
      <c r="B614" s="11">
        <v>1.9459</v>
      </c>
      <c r="C614" s="11">
        <f t="shared" si="63"/>
        <v>-1.3200000000000101E-2</v>
      </c>
      <c r="D614" s="12">
        <f t="shared" si="64"/>
        <v>1.7424000000000264E-4</v>
      </c>
      <c r="E614" s="12">
        <f t="shared" si="65"/>
        <v>2.3715999999999562E-4</v>
      </c>
      <c r="F614" s="12">
        <f t="shared" si="66"/>
        <v>3.4653975620059236E-5</v>
      </c>
      <c r="G614" s="12">
        <f t="shared" si="67"/>
        <v>1.7021132435950608</v>
      </c>
      <c r="I614" s="12">
        <f t="shared" si="68"/>
        <v>5.8867627453515767E-3</v>
      </c>
      <c r="J614" s="12">
        <f t="shared" si="69"/>
        <v>5.4233926257759718E-3</v>
      </c>
    </row>
    <row r="615" spans="1:10">
      <c r="A615" s="15">
        <v>40891</v>
      </c>
      <c r="B615" s="11">
        <v>1.9399</v>
      </c>
      <c r="C615" s="11">
        <f t="shared" si="63"/>
        <v>-6.0000000000000053E-3</v>
      </c>
      <c r="D615" s="12">
        <f t="shared" si="64"/>
        <v>3.6000000000000062E-5</v>
      </c>
      <c r="E615" s="12">
        <f t="shared" si="65"/>
        <v>1.7424000000000264E-4</v>
      </c>
      <c r="F615" s="12">
        <f t="shared" si="66"/>
        <v>4.2664358949096897E-5</v>
      </c>
      <c r="G615" s="12">
        <f t="shared" si="67"/>
        <v>3.690236975819523</v>
      </c>
      <c r="I615" s="12">
        <f t="shared" si="68"/>
        <v>6.5317959972045125E-3</v>
      </c>
      <c r="J615" s="12">
        <f t="shared" si="69"/>
        <v>5.4233926257759718E-3</v>
      </c>
    </row>
    <row r="616" spans="1:10">
      <c r="A616" s="15">
        <v>40892</v>
      </c>
      <c r="B616" s="11">
        <v>1.9417</v>
      </c>
      <c r="C616" s="11">
        <f t="shared" si="63"/>
        <v>1.8000000000000238E-3</v>
      </c>
      <c r="D616" s="12">
        <f t="shared" si="64"/>
        <v>3.2400000000000859E-6</v>
      </c>
      <c r="E616" s="12">
        <f t="shared" si="65"/>
        <v>3.6000000000000062E-5</v>
      </c>
      <c r="F616" s="12">
        <f t="shared" si="66"/>
        <v>4.1615096721321985E-5</v>
      </c>
      <c r="G616" s="12">
        <f t="shared" si="67"/>
        <v>4.0856570561170305</v>
      </c>
      <c r="I616" s="12">
        <f t="shared" si="68"/>
        <v>6.4509764161188796E-3</v>
      </c>
      <c r="J616" s="12">
        <f t="shared" si="69"/>
        <v>5.4233926257759718E-3</v>
      </c>
    </row>
    <row r="617" spans="1:10">
      <c r="A617" s="15">
        <v>40893</v>
      </c>
      <c r="B617" s="11">
        <v>1.9421999999999999</v>
      </c>
      <c r="C617" s="11">
        <f t="shared" si="63"/>
        <v>4.9999999999994493E-4</v>
      </c>
      <c r="D617" s="12">
        <f t="shared" si="64"/>
        <v>2.4999999999994493E-7</v>
      </c>
      <c r="E617" s="12">
        <f t="shared" si="65"/>
        <v>3.2400000000000859E-6</v>
      </c>
      <c r="F617" s="12">
        <f t="shared" si="66"/>
        <v>3.8737697389512795E-5</v>
      </c>
      <c r="G617" s="12">
        <f t="shared" si="67"/>
        <v>4.1571832981297003</v>
      </c>
      <c r="I617" s="12">
        <f t="shared" si="68"/>
        <v>6.2239615510953144E-3</v>
      </c>
      <c r="J617" s="12">
        <f t="shared" si="69"/>
        <v>5.4233926257759718E-3</v>
      </c>
    </row>
    <row r="618" spans="1:10">
      <c r="A618" s="15">
        <v>40894</v>
      </c>
      <c r="B618" s="11">
        <v>1.9446000000000001</v>
      </c>
      <c r="C618" s="11">
        <f t="shared" si="63"/>
        <v>2.4000000000001798E-3</v>
      </c>
      <c r="D618" s="12">
        <f t="shared" si="64"/>
        <v>5.760000000000863E-6</v>
      </c>
      <c r="E618" s="12">
        <f t="shared" si="65"/>
        <v>2.4999999999994493E-7</v>
      </c>
      <c r="F618" s="12">
        <f t="shared" si="66"/>
        <v>3.5994308069115006E-5</v>
      </c>
      <c r="G618" s="12">
        <f t="shared" si="67"/>
        <v>4.1171236792733987</v>
      </c>
      <c r="I618" s="12">
        <f t="shared" si="68"/>
        <v>5.9995256536758811E-3</v>
      </c>
      <c r="J618" s="12">
        <f t="shared" si="69"/>
        <v>5.4233926257759718E-3</v>
      </c>
    </row>
    <row r="619" spans="1:10">
      <c r="A619" s="15">
        <v>40895</v>
      </c>
      <c r="B619" s="11">
        <v>1.9446000000000001</v>
      </c>
      <c r="C619" s="11">
        <f t="shared" si="63"/>
        <v>0</v>
      </c>
      <c r="D619" s="12">
        <f t="shared" si="64"/>
        <v>0</v>
      </c>
      <c r="E619" s="12">
        <f t="shared" si="65"/>
        <v>5.760000000000863E-6</v>
      </c>
      <c r="F619" s="12">
        <f t="shared" si="66"/>
        <v>3.3874213813135513E-5</v>
      </c>
      <c r="G619" s="12">
        <f t="shared" si="67"/>
        <v>4.2274897031599403</v>
      </c>
      <c r="I619" s="12">
        <f t="shared" si="68"/>
        <v>5.8201558237847475E-3</v>
      </c>
      <c r="J619" s="12">
        <f t="shared" si="69"/>
        <v>5.4233926257759718E-3</v>
      </c>
    </row>
    <row r="620" spans="1:10">
      <c r="A620" s="15">
        <v>40896</v>
      </c>
      <c r="B620" s="11">
        <v>1.9383999999999999</v>
      </c>
      <c r="C620" s="11">
        <f t="shared" si="63"/>
        <v>-6.2000000000002053E-3</v>
      </c>
      <c r="D620" s="12">
        <f t="shared" si="64"/>
        <v>3.8440000000002546E-5</v>
      </c>
      <c r="E620" s="12">
        <f t="shared" si="65"/>
        <v>0</v>
      </c>
      <c r="F620" s="12">
        <f t="shared" si="66"/>
        <v>3.1642045906171455E-5</v>
      </c>
      <c r="G620" s="12">
        <f t="shared" si="67"/>
        <v>3.6541537011880436</v>
      </c>
      <c r="I620" s="12">
        <f t="shared" si="68"/>
        <v>5.6251263013528379E-3</v>
      </c>
      <c r="J620" s="12">
        <f t="shared" si="69"/>
        <v>5.4233926257759718E-3</v>
      </c>
    </row>
    <row r="621" spans="1:10">
      <c r="A621" s="15">
        <v>40897</v>
      </c>
      <c r="B621" s="11">
        <v>1.9403999999999999</v>
      </c>
      <c r="C621" s="11">
        <f t="shared" si="63"/>
        <v>2.0000000000000018E-3</v>
      </c>
      <c r="D621" s="12">
        <f t="shared" si="64"/>
        <v>4.0000000000000074E-6</v>
      </c>
      <c r="E621" s="12">
        <f t="shared" si="65"/>
        <v>3.8440000000002546E-5</v>
      </c>
      <c r="F621" s="12">
        <f t="shared" si="66"/>
        <v>3.192958070721027E-5</v>
      </c>
      <c r="G621" s="12">
        <f t="shared" si="67"/>
        <v>4.1944124598688033</v>
      </c>
      <c r="I621" s="12">
        <f t="shared" si="68"/>
        <v>5.650626576514349E-3</v>
      </c>
      <c r="J621" s="12">
        <f t="shared" si="69"/>
        <v>5.4233926257759718E-3</v>
      </c>
    </row>
    <row r="622" spans="1:10">
      <c r="A622" s="15">
        <v>40898</v>
      </c>
      <c r="B622" s="11">
        <v>1.9399</v>
      </c>
      <c r="C622" s="11">
        <f t="shared" si="63"/>
        <v>-4.9999999999994493E-4</v>
      </c>
      <c r="D622" s="12">
        <f t="shared" si="64"/>
        <v>2.4999999999994493E-7</v>
      </c>
      <c r="E622" s="12">
        <f t="shared" si="65"/>
        <v>4.0000000000000074E-6</v>
      </c>
      <c r="F622" s="12">
        <f t="shared" si="66"/>
        <v>3.0144818742601851E-5</v>
      </c>
      <c r="G622" s="12">
        <f t="shared" si="67"/>
        <v>4.2816635592742607</v>
      </c>
      <c r="I622" s="12">
        <f t="shared" si="68"/>
        <v>5.4904297411588693E-3</v>
      </c>
      <c r="J622" s="12">
        <f t="shared" si="69"/>
        <v>5.4233926257759718E-3</v>
      </c>
    </row>
    <row r="623" spans="1:10">
      <c r="A623" s="15">
        <v>40899</v>
      </c>
      <c r="B623" s="11">
        <v>1.9407000000000001</v>
      </c>
      <c r="C623" s="11">
        <f t="shared" si="63"/>
        <v>8.0000000000013394E-4</v>
      </c>
      <c r="D623" s="12">
        <f t="shared" si="64"/>
        <v>6.4000000000021431E-7</v>
      </c>
      <c r="E623" s="12">
        <f t="shared" si="65"/>
        <v>2.4999999999994493E-7</v>
      </c>
      <c r="F623" s="12">
        <f t="shared" si="66"/>
        <v>2.8330842384320086E-5</v>
      </c>
      <c r="G623" s="12">
        <f t="shared" si="67"/>
        <v>4.3055461036698333</v>
      </c>
      <c r="I623" s="12">
        <f t="shared" si="68"/>
        <v>5.3226724851638289E-3</v>
      </c>
      <c r="J623" s="12">
        <f t="shared" si="69"/>
        <v>5.4233926257759718E-3</v>
      </c>
    </row>
    <row r="624" spans="1:10">
      <c r="A624" s="15">
        <v>40900</v>
      </c>
      <c r="B624" s="11">
        <v>1.9398</v>
      </c>
      <c r="C624" s="11">
        <f t="shared" si="63"/>
        <v>-9.0000000000012292E-4</v>
      </c>
      <c r="D624" s="12">
        <f t="shared" si="64"/>
        <v>8.1000000000022126E-7</v>
      </c>
      <c r="E624" s="12">
        <f t="shared" si="65"/>
        <v>6.4000000000021431E-7</v>
      </c>
      <c r="F624" s="12">
        <f t="shared" si="66"/>
        <v>2.6736181827965712E-5</v>
      </c>
      <c r="G624" s="12">
        <f t="shared" si="67"/>
        <v>4.3306598401612089</v>
      </c>
      <c r="I624" s="12">
        <f t="shared" si="68"/>
        <v>5.1707041907235142E-3</v>
      </c>
      <c r="J624" s="12">
        <f t="shared" si="69"/>
        <v>5.4233926257759718E-3</v>
      </c>
    </row>
    <row r="625" spans="1:10">
      <c r="A625" s="15">
        <v>40901</v>
      </c>
      <c r="B625" s="11">
        <v>1.9437</v>
      </c>
      <c r="C625" s="11">
        <f t="shared" si="63"/>
        <v>3.9000000000000146E-3</v>
      </c>
      <c r="D625" s="12">
        <f t="shared" si="64"/>
        <v>1.5210000000000114E-5</v>
      </c>
      <c r="E625" s="12">
        <f t="shared" si="65"/>
        <v>8.1000000000022126E-7</v>
      </c>
      <c r="F625" s="12">
        <f t="shared" si="66"/>
        <v>2.5324076688745351E-5</v>
      </c>
      <c r="G625" s="12">
        <f t="shared" si="67"/>
        <v>4.0726318441082352</v>
      </c>
      <c r="I625" s="12">
        <f t="shared" si="68"/>
        <v>5.0323033184363347E-3</v>
      </c>
      <c r="J625" s="12">
        <f t="shared" si="69"/>
        <v>5.4233926257759718E-3</v>
      </c>
    </row>
    <row r="626" spans="1:10">
      <c r="A626" s="15">
        <v>40902</v>
      </c>
      <c r="B626" s="11">
        <v>1.9406000000000001</v>
      </c>
      <c r="C626" s="11">
        <f t="shared" si="63"/>
        <v>-3.0999999999998806E-3</v>
      </c>
      <c r="D626" s="12">
        <f t="shared" si="64"/>
        <v>9.6099999999992592E-6</v>
      </c>
      <c r="E626" s="12">
        <f t="shared" si="65"/>
        <v>1.5210000000000114E-5</v>
      </c>
      <c r="F626" s="12">
        <f t="shared" si="66"/>
        <v>2.4918168085941024E-5</v>
      </c>
      <c r="G626" s="12">
        <f t="shared" si="67"/>
        <v>4.1881869588684513</v>
      </c>
      <c r="I626" s="12">
        <f t="shared" si="68"/>
        <v>4.9918101011497849E-3</v>
      </c>
      <c r="J626" s="12">
        <f t="shared" si="69"/>
        <v>5.4233926257759718E-3</v>
      </c>
    </row>
    <row r="627" spans="1:10">
      <c r="A627" s="15">
        <v>40903</v>
      </c>
      <c r="B627" s="11">
        <v>1.9408000000000001</v>
      </c>
      <c r="C627" s="11">
        <f t="shared" si="63"/>
        <v>1.9999999999997797E-4</v>
      </c>
      <c r="D627" s="12">
        <f t="shared" si="64"/>
        <v>3.9999999999991186E-8</v>
      </c>
      <c r="E627" s="12">
        <f t="shared" si="65"/>
        <v>9.6099999999992592E-6</v>
      </c>
      <c r="F627" s="12">
        <f t="shared" si="66"/>
        <v>2.4224260985832643E-5</v>
      </c>
      <c r="G627" s="12">
        <f t="shared" si="67"/>
        <v>4.3943137942838995</v>
      </c>
      <c r="I627" s="12">
        <f t="shared" si="68"/>
        <v>4.9218148061292025E-3</v>
      </c>
      <c r="J627" s="12">
        <f t="shared" si="69"/>
        <v>5.4233926257759718E-3</v>
      </c>
    </row>
    <row r="628" spans="1:10">
      <c r="A628" s="15">
        <v>40904</v>
      </c>
      <c r="B628" s="11">
        <v>1.9408000000000001</v>
      </c>
      <c r="C628" s="11">
        <f t="shared" si="63"/>
        <v>0</v>
      </c>
      <c r="D628" s="12">
        <f t="shared" si="64"/>
        <v>0</v>
      </c>
      <c r="E628" s="12">
        <f t="shared" si="65"/>
        <v>3.9999999999991186E-8</v>
      </c>
      <c r="F628" s="12">
        <f t="shared" si="66"/>
        <v>2.3038210798949343E-5</v>
      </c>
      <c r="G628" s="12">
        <f t="shared" si="67"/>
        <v>4.420239650132709</v>
      </c>
      <c r="I628" s="12">
        <f t="shared" si="68"/>
        <v>4.7998136212721162E-3</v>
      </c>
      <c r="J628" s="12">
        <f t="shared" si="69"/>
        <v>5.4233926257759718E-3</v>
      </c>
    </row>
    <row r="629" spans="1:10">
      <c r="A629" s="15">
        <v>40905</v>
      </c>
      <c r="B629" s="11">
        <v>1.9398</v>
      </c>
      <c r="C629" s="11">
        <f t="shared" si="63"/>
        <v>-1.0000000000001119E-3</v>
      </c>
      <c r="D629" s="12">
        <f t="shared" si="64"/>
        <v>1.0000000000002238E-6</v>
      </c>
      <c r="E629" s="12">
        <f t="shared" si="65"/>
        <v>0</v>
      </c>
      <c r="F629" s="12">
        <f t="shared" si="66"/>
        <v>2.1978074067187956E-5</v>
      </c>
      <c r="G629" s="12">
        <f t="shared" si="67"/>
        <v>4.4210441307699782</v>
      </c>
      <c r="I629" s="12">
        <f t="shared" si="68"/>
        <v>4.6880778648810814E-3</v>
      </c>
      <c r="J629" s="12">
        <f t="shared" si="69"/>
        <v>5.4233926257759718E-3</v>
      </c>
    </row>
    <row r="630" spans="1:10">
      <c r="A630" s="15">
        <v>40906</v>
      </c>
      <c r="B630" s="11">
        <v>1.9413</v>
      </c>
      <c r="C630" s="11">
        <f t="shared" si="63"/>
        <v>1.5000000000000568E-3</v>
      </c>
      <c r="D630" s="12">
        <f t="shared" si="64"/>
        <v>2.2500000000001707E-6</v>
      </c>
      <c r="E630" s="12">
        <f t="shared" si="65"/>
        <v>1.0000000000002238E-6</v>
      </c>
      <c r="F630" s="12">
        <f t="shared" si="66"/>
        <v>2.1091870812189005E-5</v>
      </c>
      <c r="G630" s="12">
        <f t="shared" si="67"/>
        <v>4.4110348049641441</v>
      </c>
      <c r="I630" s="12">
        <f t="shared" si="68"/>
        <v>4.5925886831055321E-3</v>
      </c>
      <c r="J630" s="12">
        <f t="shared" si="69"/>
        <v>5.4233926257759718E-3</v>
      </c>
    </row>
    <row r="631" spans="1:10">
      <c r="A631" s="15">
        <v>40907</v>
      </c>
      <c r="B631" s="11">
        <v>1.9432</v>
      </c>
      <c r="C631" s="11">
        <f t="shared" si="63"/>
        <v>1.9000000000000128E-3</v>
      </c>
      <c r="D631" s="12">
        <f t="shared" si="64"/>
        <v>3.6100000000000484E-6</v>
      </c>
      <c r="E631" s="12">
        <f t="shared" si="65"/>
        <v>2.2500000000001707E-6</v>
      </c>
      <c r="F631" s="12">
        <f t="shared" si="66"/>
        <v>2.0375605292865628E-5</v>
      </c>
      <c r="G631" s="12">
        <f t="shared" si="67"/>
        <v>4.3930612298697103</v>
      </c>
      <c r="I631" s="12">
        <f t="shared" si="68"/>
        <v>4.5139345689614984E-3</v>
      </c>
      <c r="J631" s="12">
        <f t="shared" si="69"/>
        <v>5.4233926257759718E-3</v>
      </c>
    </row>
    <row r="632" spans="1:10">
      <c r="A632" s="15">
        <v>40908</v>
      </c>
      <c r="B632" s="11">
        <v>1.9409000000000001</v>
      </c>
      <c r="C632" s="11">
        <f t="shared" si="63"/>
        <v>-2.2999999999999687E-3</v>
      </c>
      <c r="D632" s="12">
        <f t="shared" si="64"/>
        <v>5.2899999999998562E-6</v>
      </c>
      <c r="E632" s="12">
        <f t="shared" si="65"/>
        <v>3.6100000000000484E-6</v>
      </c>
      <c r="F632" s="12">
        <f t="shared" si="66"/>
        <v>1.9817416403032095E-5</v>
      </c>
      <c r="G632" s="12">
        <f t="shared" si="67"/>
        <v>4.3620676971482029</v>
      </c>
      <c r="I632" s="12">
        <f t="shared" si="68"/>
        <v>4.4516756848440898E-3</v>
      </c>
      <c r="J632" s="12">
        <f t="shared" si="69"/>
        <v>5.4233926257759718E-3</v>
      </c>
    </row>
    <row r="633" spans="1:10">
      <c r="A633" s="15">
        <v>40909</v>
      </c>
      <c r="B633" s="11">
        <v>1.9428000000000001</v>
      </c>
      <c r="C633" s="11">
        <f t="shared" si="63"/>
        <v>1.9000000000000128E-3</v>
      </c>
      <c r="D633" s="12">
        <f t="shared" si="64"/>
        <v>3.6100000000000484E-6</v>
      </c>
      <c r="E633" s="12">
        <f t="shared" si="65"/>
        <v>5.2899999999998562E-6</v>
      </c>
      <c r="F633" s="12">
        <f t="shared" si="66"/>
        <v>1.9419172265406419E-5</v>
      </c>
      <c r="G633" s="12">
        <f t="shared" si="67"/>
        <v>4.4127369399512624</v>
      </c>
      <c r="I633" s="12">
        <f t="shared" si="68"/>
        <v>4.4067189909734903E-3</v>
      </c>
      <c r="J633" s="12">
        <f t="shared" si="69"/>
        <v>5.4233926257759718E-3</v>
      </c>
    </row>
    <row r="634" spans="1:10">
      <c r="A634" s="15">
        <v>40910</v>
      </c>
      <c r="B634" s="11">
        <v>1.9430000000000001</v>
      </c>
      <c r="C634" s="11">
        <f t="shared" si="63"/>
        <v>1.9999999999997797E-4</v>
      </c>
      <c r="D634" s="12">
        <f t="shared" si="64"/>
        <v>3.9999999999991186E-8</v>
      </c>
      <c r="E634" s="12">
        <f t="shared" si="65"/>
        <v>3.6100000000000484E-6</v>
      </c>
      <c r="F634" s="12">
        <f t="shared" si="66"/>
        <v>1.8964431974074393E-5</v>
      </c>
      <c r="G634" s="12">
        <f t="shared" si="67"/>
        <v>4.5164795208798196</v>
      </c>
      <c r="I634" s="12">
        <f t="shared" si="68"/>
        <v>4.3548170999565981E-3</v>
      </c>
      <c r="J634" s="12">
        <f t="shared" si="69"/>
        <v>5.4233926257759718E-3</v>
      </c>
    </row>
    <row r="635" spans="1:10">
      <c r="A635" s="15">
        <v>40911</v>
      </c>
      <c r="B635" s="11">
        <v>1.9461999999999999</v>
      </c>
      <c r="C635" s="11">
        <f t="shared" si="63"/>
        <v>3.1999999999998696E-3</v>
      </c>
      <c r="D635" s="12">
        <f t="shared" si="64"/>
        <v>1.0239999999999165E-5</v>
      </c>
      <c r="E635" s="12">
        <f t="shared" si="65"/>
        <v>3.9999999999991186E-8</v>
      </c>
      <c r="F635" s="12">
        <f t="shared" si="66"/>
        <v>1.8347289305022666E-5</v>
      </c>
      <c r="G635" s="12">
        <f t="shared" si="67"/>
        <v>4.2550155206372766</v>
      </c>
      <c r="I635" s="12">
        <f t="shared" si="68"/>
        <v>4.2833735892427909E-3</v>
      </c>
      <c r="J635" s="12">
        <f t="shared" si="69"/>
        <v>5.4233926257759718E-3</v>
      </c>
    </row>
    <row r="636" spans="1:10">
      <c r="A636" s="15">
        <v>40912</v>
      </c>
      <c r="B636" s="11">
        <v>1.9477</v>
      </c>
      <c r="C636" s="11">
        <f t="shared" si="63"/>
        <v>1.5000000000000568E-3</v>
      </c>
      <c r="D636" s="12">
        <f t="shared" si="64"/>
        <v>2.2500000000001707E-6</v>
      </c>
      <c r="E636" s="12">
        <f t="shared" si="65"/>
        <v>1.0239999999999165E-5</v>
      </c>
      <c r="F636" s="12">
        <f t="shared" si="66"/>
        <v>1.8401432930609557E-5</v>
      </c>
      <c r="G636" s="12">
        <f t="shared" si="67"/>
        <v>4.4714659260300929</v>
      </c>
      <c r="I636" s="12">
        <f t="shared" si="68"/>
        <v>4.2896891414891079E-3</v>
      </c>
      <c r="J636" s="12">
        <f t="shared" si="69"/>
        <v>5.4233926257759718E-3</v>
      </c>
    </row>
    <row r="637" spans="1:10">
      <c r="A637" s="15">
        <v>40913</v>
      </c>
      <c r="B637" s="11">
        <v>1.94</v>
      </c>
      <c r="C637" s="11">
        <f t="shared" si="63"/>
        <v>-7.7000000000000401E-3</v>
      </c>
      <c r="D637" s="12">
        <f t="shared" si="64"/>
        <v>5.929000000000062E-5</v>
      </c>
      <c r="E637" s="12">
        <f t="shared" si="65"/>
        <v>2.2500000000001707E-6</v>
      </c>
      <c r="F637" s="12">
        <f t="shared" si="66"/>
        <v>1.7976167429284435E-5</v>
      </c>
      <c r="G637" s="12">
        <f t="shared" si="67"/>
        <v>2.8951653718206218</v>
      </c>
      <c r="I637" s="12">
        <f t="shared" si="68"/>
        <v>4.2398310614085123E-3</v>
      </c>
      <c r="J637" s="12">
        <f t="shared" si="69"/>
        <v>5.4233926257759718E-3</v>
      </c>
    </row>
    <row r="638" spans="1:10">
      <c r="A638" s="15">
        <v>40914</v>
      </c>
      <c r="B638" s="11">
        <v>1.9380999999999999</v>
      </c>
      <c r="C638" s="11">
        <f t="shared" si="63"/>
        <v>-1.9000000000000128E-3</v>
      </c>
      <c r="D638" s="12">
        <f t="shared" si="64"/>
        <v>3.6100000000000484E-6</v>
      </c>
      <c r="E638" s="12">
        <f t="shared" si="65"/>
        <v>5.929000000000062E-5</v>
      </c>
      <c r="F638" s="12">
        <f t="shared" si="66"/>
        <v>2.0977557050430908E-5</v>
      </c>
      <c r="G638" s="12">
        <f t="shared" si="67"/>
        <v>4.3810458236528316</v>
      </c>
      <c r="I638" s="12">
        <f t="shared" si="68"/>
        <v>4.5801263138073945E-3</v>
      </c>
      <c r="J638" s="12">
        <f t="shared" si="69"/>
        <v>5.4233926257759718E-3</v>
      </c>
    </row>
    <row r="639" spans="1:10">
      <c r="A639" s="15">
        <v>40915</v>
      </c>
      <c r="B639" s="11">
        <v>1.9377</v>
      </c>
      <c r="C639" s="11">
        <f t="shared" si="63"/>
        <v>-3.9999999999995595E-4</v>
      </c>
      <c r="D639" s="12">
        <f t="shared" si="64"/>
        <v>1.5999999999996475E-7</v>
      </c>
      <c r="E639" s="12">
        <f t="shared" si="65"/>
        <v>3.6100000000000484E-6</v>
      </c>
      <c r="F639" s="12">
        <f t="shared" si="66"/>
        <v>2.0354260553584817E-5</v>
      </c>
      <c r="G639" s="12">
        <f t="shared" si="67"/>
        <v>4.4782412304456187</v>
      </c>
      <c r="I639" s="12">
        <f t="shared" si="68"/>
        <v>4.5115696330196228E-3</v>
      </c>
      <c r="J639" s="12">
        <f t="shared" si="69"/>
        <v>5.4233926257759718E-3</v>
      </c>
    </row>
    <row r="640" spans="1:10">
      <c r="A640" s="15">
        <v>40916</v>
      </c>
      <c r="B640" s="11">
        <v>1.9285000000000001</v>
      </c>
      <c r="C640" s="11">
        <f t="shared" si="63"/>
        <v>-9.1999999999998749E-3</v>
      </c>
      <c r="D640" s="12">
        <f t="shared" si="64"/>
        <v>8.4639999999997699E-5</v>
      </c>
      <c r="E640" s="12">
        <f t="shared" si="65"/>
        <v>1.5999999999996475E-7</v>
      </c>
      <c r="F640" s="12">
        <f t="shared" si="66"/>
        <v>1.9593905043425661E-5</v>
      </c>
      <c r="G640" s="12">
        <f t="shared" si="67"/>
        <v>2.3413521454693447</v>
      </c>
      <c r="I640" s="12">
        <f t="shared" si="68"/>
        <v>4.4265003155343459E-3</v>
      </c>
      <c r="J640" s="12">
        <f t="shared" si="69"/>
        <v>5.4233926257759718E-3</v>
      </c>
    </row>
    <row r="641" spans="1:10">
      <c r="A641" s="15">
        <v>40917</v>
      </c>
      <c r="B641" s="11">
        <v>1.9352</v>
      </c>
      <c r="C641" s="11">
        <f t="shared" si="63"/>
        <v>6.6999999999999282E-3</v>
      </c>
      <c r="D641" s="12">
        <f t="shared" si="64"/>
        <v>4.4889999999999037E-5</v>
      </c>
      <c r="E641" s="12">
        <f t="shared" si="65"/>
        <v>8.4639999999997699E-5</v>
      </c>
      <c r="F641" s="12">
        <f t="shared" si="66"/>
        <v>2.3922767642227306E-5</v>
      </c>
      <c r="G641" s="12">
        <f t="shared" si="67"/>
        <v>3.4631738615238086</v>
      </c>
      <c r="I641" s="12">
        <f t="shared" si="68"/>
        <v>4.8910906393387667E-3</v>
      </c>
      <c r="J641" s="12">
        <f t="shared" si="69"/>
        <v>5.4233926257759718E-3</v>
      </c>
    </row>
    <row r="642" spans="1:10">
      <c r="A642" s="15">
        <v>40918</v>
      </c>
      <c r="B642" s="11">
        <v>1.9375</v>
      </c>
      <c r="C642" s="11">
        <f t="shared" si="63"/>
        <v>2.2999999999999687E-3</v>
      </c>
      <c r="D642" s="12">
        <f t="shared" si="64"/>
        <v>5.2899999999998562E-6</v>
      </c>
      <c r="E642" s="12">
        <f t="shared" si="65"/>
        <v>4.4889999999999037E-5</v>
      </c>
      <c r="F642" s="12">
        <f t="shared" si="66"/>
        <v>2.5427505936270708E-5</v>
      </c>
      <c r="G642" s="12">
        <f t="shared" si="67"/>
        <v>4.2668797763377055</v>
      </c>
      <c r="I642" s="12">
        <f t="shared" si="68"/>
        <v>5.0425693784290869E-3</v>
      </c>
      <c r="J642" s="12">
        <f t="shared" si="69"/>
        <v>5.4233926257759718E-3</v>
      </c>
    </row>
    <row r="643" spans="1:10">
      <c r="A643" s="15">
        <v>40919</v>
      </c>
      <c r="B643" s="11">
        <v>1.9397</v>
      </c>
      <c r="C643" s="11">
        <f t="shared" si="63"/>
        <v>2.1999999999999797E-3</v>
      </c>
      <c r="D643" s="12">
        <f t="shared" si="64"/>
        <v>4.8399999999999113E-6</v>
      </c>
      <c r="E643" s="12">
        <f t="shared" si="65"/>
        <v>5.2899999999998562E-6</v>
      </c>
      <c r="F643" s="12">
        <f t="shared" si="66"/>
        <v>2.4422469809013268E-5</v>
      </c>
      <c r="G643" s="12">
        <f t="shared" si="67"/>
        <v>4.2919758598660662</v>
      </c>
      <c r="I643" s="12">
        <f t="shared" si="68"/>
        <v>4.9419095306382603E-3</v>
      </c>
      <c r="J643" s="12">
        <f t="shared" si="69"/>
        <v>5.4233926257759718E-3</v>
      </c>
    </row>
    <row r="644" spans="1:10">
      <c r="A644" s="15">
        <v>40920</v>
      </c>
      <c r="B644" s="11">
        <v>1.9421999999999999</v>
      </c>
      <c r="C644" s="11">
        <f t="shared" si="63"/>
        <v>2.4999999999999467E-3</v>
      </c>
      <c r="D644" s="12">
        <f t="shared" si="64"/>
        <v>6.2499999999997335E-6</v>
      </c>
      <c r="E644" s="12">
        <f t="shared" si="65"/>
        <v>4.8399999999999113E-6</v>
      </c>
      <c r="F644" s="12">
        <f t="shared" si="66"/>
        <v>2.3499468542921726E-5</v>
      </c>
      <c r="G644" s="12">
        <f t="shared" si="67"/>
        <v>4.2773461047292685</v>
      </c>
      <c r="I644" s="12">
        <f t="shared" si="68"/>
        <v>4.8476250414942086E-3</v>
      </c>
      <c r="J644" s="12">
        <f t="shared" si="69"/>
        <v>5.4233926257759718E-3</v>
      </c>
    </row>
    <row r="645" spans="1:10">
      <c r="A645" s="15">
        <v>40921</v>
      </c>
      <c r="B645" s="11">
        <v>1.9404999999999999</v>
      </c>
      <c r="C645" s="11">
        <f t="shared" si="63"/>
        <v>-1.7000000000000348E-3</v>
      </c>
      <c r="D645" s="12">
        <f t="shared" si="64"/>
        <v>2.8900000000001184E-6</v>
      </c>
      <c r="E645" s="12">
        <f t="shared" si="65"/>
        <v>6.2499999999997335E-6</v>
      </c>
      <c r="F645" s="12">
        <f t="shared" si="66"/>
        <v>2.2759868028030307E-5</v>
      </c>
      <c r="G645" s="12">
        <f t="shared" si="67"/>
        <v>4.3628283883935772</v>
      </c>
      <c r="I645" s="12">
        <f t="shared" si="68"/>
        <v>4.770730345348635E-3</v>
      </c>
      <c r="J645" s="12">
        <f t="shared" si="69"/>
        <v>5.4233926257759718E-3</v>
      </c>
    </row>
    <row r="646" spans="1:10">
      <c r="A646" s="15">
        <v>40922</v>
      </c>
      <c r="B646" s="11">
        <v>1.9389000000000001</v>
      </c>
      <c r="C646" s="11">
        <f t="shared" si="63"/>
        <v>-1.5999999999998238E-3</v>
      </c>
      <c r="D646" s="12">
        <f t="shared" si="64"/>
        <v>2.5599999999994359E-6</v>
      </c>
      <c r="E646" s="12">
        <f t="shared" si="65"/>
        <v>2.8900000000001184E-6</v>
      </c>
      <c r="F646" s="12">
        <f t="shared" si="66"/>
        <v>2.1901122177848472E-5</v>
      </c>
      <c r="G646" s="12">
        <f t="shared" si="67"/>
        <v>4.3871033063070959</v>
      </c>
      <c r="I646" s="12">
        <f t="shared" si="68"/>
        <v>4.6798634785481163E-3</v>
      </c>
      <c r="J646" s="12">
        <f t="shared" si="69"/>
        <v>5.4233926257759718E-3</v>
      </c>
    </row>
    <row r="647" spans="1:10">
      <c r="A647" s="15">
        <v>40923</v>
      </c>
      <c r="B647" s="11">
        <v>1.9397</v>
      </c>
      <c r="C647" s="11">
        <f t="shared" si="63"/>
        <v>7.9999999999991189E-4</v>
      </c>
      <c r="D647" s="12">
        <f t="shared" si="64"/>
        <v>6.3999999999985898E-7</v>
      </c>
      <c r="E647" s="12">
        <f t="shared" si="65"/>
        <v>2.5599999999994359E-6</v>
      </c>
      <c r="F647" s="12">
        <f t="shared" si="66"/>
        <v>2.1115700493590491E-5</v>
      </c>
      <c r="G647" s="12">
        <f t="shared" si="67"/>
        <v>4.4486537066401892</v>
      </c>
      <c r="I647" s="12">
        <f t="shared" si="68"/>
        <v>4.5951823134224492E-3</v>
      </c>
      <c r="J647" s="12">
        <f t="shared" si="69"/>
        <v>5.4233926257759718E-3</v>
      </c>
    </row>
    <row r="648" spans="1:10">
      <c r="A648" s="15">
        <v>40924</v>
      </c>
      <c r="B648" s="11">
        <v>1.9412</v>
      </c>
      <c r="C648" s="11">
        <f t="shared" si="63"/>
        <v>1.5000000000000568E-3</v>
      </c>
      <c r="D648" s="12">
        <f t="shared" si="64"/>
        <v>2.2500000000001707E-6</v>
      </c>
      <c r="E648" s="12">
        <f t="shared" si="65"/>
        <v>6.3999999999985898E-7</v>
      </c>
      <c r="F648" s="12">
        <f t="shared" si="66"/>
        <v>2.0301435736164443E-5</v>
      </c>
      <c r="G648" s="12">
        <f t="shared" si="67"/>
        <v>4.428056133708794</v>
      </c>
      <c r="I648" s="12">
        <f t="shared" si="68"/>
        <v>4.5057114572689232E-3</v>
      </c>
      <c r="J648" s="12">
        <f t="shared" si="69"/>
        <v>5.4233926257759718E-3</v>
      </c>
    </row>
    <row r="649" spans="1:10">
      <c r="A649" s="15">
        <v>40925</v>
      </c>
      <c r="B649" s="11">
        <v>1.9496</v>
      </c>
      <c r="C649" s="11">
        <f t="shared" si="63"/>
        <v>8.3999999999999631E-3</v>
      </c>
      <c r="D649" s="12">
        <f t="shared" si="64"/>
        <v>7.0559999999999379E-5</v>
      </c>
      <c r="E649" s="12">
        <f t="shared" si="65"/>
        <v>2.2500000000001707E-6</v>
      </c>
      <c r="F649" s="12">
        <f t="shared" si="66"/>
        <v>1.96706643376771E-5</v>
      </c>
      <c r="G649" s="12">
        <f t="shared" si="67"/>
        <v>2.7057188044378275</v>
      </c>
      <c r="I649" s="12">
        <f t="shared" si="68"/>
        <v>4.4351622673445782E-3</v>
      </c>
      <c r="J649" s="12">
        <f t="shared" si="69"/>
        <v>5.4233926257759718E-3</v>
      </c>
    </row>
    <row r="650" spans="1:10">
      <c r="A650" s="15">
        <v>40926</v>
      </c>
      <c r="B650" s="11">
        <v>1.9544999999999999</v>
      </c>
      <c r="C650" s="11">
        <f t="shared" si="63"/>
        <v>4.8999999999999044E-3</v>
      </c>
      <c r="D650" s="12">
        <f t="shared" si="64"/>
        <v>2.4009999999999064E-5</v>
      </c>
      <c r="E650" s="12">
        <f t="shared" si="65"/>
        <v>7.0559999999999379E-5</v>
      </c>
      <c r="F650" s="12">
        <f t="shared" si="66"/>
        <v>2.3156728350294024E-5</v>
      </c>
      <c r="G650" s="12">
        <f t="shared" si="67"/>
        <v>3.8992502099318331</v>
      </c>
      <c r="I650" s="12">
        <f t="shared" si="68"/>
        <v>4.812143841396891E-3</v>
      </c>
      <c r="J650" s="12">
        <f t="shared" si="69"/>
        <v>5.4233926257759718E-3</v>
      </c>
    </row>
    <row r="651" spans="1:10">
      <c r="A651" s="15">
        <v>40927</v>
      </c>
      <c r="B651" s="11">
        <v>1.9593</v>
      </c>
      <c r="C651" s="11">
        <f t="shared" si="63"/>
        <v>4.8000000000001375E-3</v>
      </c>
      <c r="D651" s="12">
        <f t="shared" si="64"/>
        <v>2.3040000000001321E-5</v>
      </c>
      <c r="E651" s="12">
        <f t="shared" si="65"/>
        <v>2.4009999999999064E-5</v>
      </c>
      <c r="F651" s="12">
        <f t="shared" si="66"/>
        <v>2.3506802109571388E-5</v>
      </c>
      <c r="G651" s="12">
        <f t="shared" si="67"/>
        <v>3.920100908811528</v>
      </c>
      <c r="I651" s="12">
        <f t="shared" si="68"/>
        <v>4.8483813906881734E-3</v>
      </c>
      <c r="J651" s="12">
        <f t="shared" si="69"/>
        <v>5.4233926257759718E-3</v>
      </c>
    </row>
    <row r="652" spans="1:10">
      <c r="A652" s="15">
        <v>40928</v>
      </c>
      <c r="B652" s="11">
        <v>1.9573</v>
      </c>
      <c r="C652" s="11">
        <f t="shared" si="63"/>
        <v>-2.0000000000000018E-3</v>
      </c>
      <c r="D652" s="12">
        <f t="shared" si="64"/>
        <v>4.0000000000000074E-6</v>
      </c>
      <c r="E652" s="12">
        <f t="shared" si="65"/>
        <v>2.3040000000001321E-5</v>
      </c>
      <c r="F652" s="12">
        <f t="shared" si="66"/>
        <v>2.3761521444746328E-5</v>
      </c>
      <c r="G652" s="12">
        <f t="shared" si="67"/>
        <v>4.3206132807701429</v>
      </c>
      <c r="I652" s="12">
        <f t="shared" si="68"/>
        <v>4.8745791043685325E-3</v>
      </c>
      <c r="J652" s="12">
        <f t="shared" si="69"/>
        <v>5.4233926257759718E-3</v>
      </c>
    </row>
    <row r="653" spans="1:10">
      <c r="A653" s="15">
        <v>40929</v>
      </c>
      <c r="B653" s="11">
        <v>1.9572000000000001</v>
      </c>
      <c r="C653" s="11">
        <f t="shared" si="63"/>
        <v>-9.9999999999988987E-5</v>
      </c>
      <c r="D653" s="12">
        <f t="shared" si="64"/>
        <v>9.9999999999977966E-9</v>
      </c>
      <c r="E653" s="12">
        <f t="shared" si="65"/>
        <v>4.0000000000000074E-6</v>
      </c>
      <c r="F653" s="12">
        <f t="shared" si="66"/>
        <v>2.2860223621295646E-5</v>
      </c>
      <c r="G653" s="12">
        <f t="shared" si="67"/>
        <v>4.4238987976070892</v>
      </c>
      <c r="I653" s="12">
        <f t="shared" si="68"/>
        <v>4.7812366205089293E-3</v>
      </c>
      <c r="J653" s="12">
        <f t="shared" si="69"/>
        <v>5.4233926257759718E-3</v>
      </c>
    </row>
    <row r="654" spans="1:10">
      <c r="A654" s="15">
        <v>40930</v>
      </c>
      <c r="B654" s="11">
        <v>1.9641999999999999</v>
      </c>
      <c r="C654" s="11">
        <f t="shared" ref="C654:C717" si="70">B654-B653</f>
        <v>6.9999999999998952E-3</v>
      </c>
      <c r="D654" s="12">
        <f t="shared" ref="D654:D717" si="71">C654^2</f>
        <v>4.8999999999998535E-5</v>
      </c>
      <c r="E654" s="12">
        <f t="shared" si="65"/>
        <v>9.9999999999977966E-9</v>
      </c>
      <c r="F654" s="12">
        <f t="shared" si="66"/>
        <v>2.1819930813950259E-5</v>
      </c>
      <c r="G654" s="12">
        <f t="shared" si="67"/>
        <v>3.3245781752802204</v>
      </c>
      <c r="I654" s="12">
        <f t="shared" si="68"/>
        <v>4.671180880029188E-3</v>
      </c>
      <c r="J654" s="12">
        <f t="shared" si="69"/>
        <v>5.4233926257759718E-3</v>
      </c>
    </row>
    <row r="655" spans="1:10">
      <c r="A655" s="15">
        <v>40931</v>
      </c>
      <c r="B655" s="11">
        <v>1.9628000000000001</v>
      </c>
      <c r="C655" s="11">
        <f t="shared" si="70"/>
        <v>-1.3999999999998458E-3</v>
      </c>
      <c r="D655" s="12">
        <f t="shared" si="71"/>
        <v>1.9599999999995683E-6</v>
      </c>
      <c r="E655" s="12">
        <f t="shared" ref="E655:E718" si="72">D654</f>
        <v>4.8999999999998535E-5</v>
      </c>
      <c r="F655" s="12">
        <f t="shared" ref="F655:F718" si="73">$B$5+$B$6*E655+$B$7*F654</f>
        <v>2.3795705999507294E-5</v>
      </c>
      <c r="G655" s="12">
        <f t="shared" ref="G655:G718" si="74">LN((1/SQRT(2*3.1415927*F655))*EXP(-0.5*D655/F655))</f>
        <v>4.3628802652901424</v>
      </c>
      <c r="I655" s="12">
        <f t="shared" ref="I655:I718" si="75">SQRT(F655)</f>
        <v>4.8780842550644092E-3</v>
      </c>
      <c r="J655" s="12">
        <f t="shared" si="69"/>
        <v>5.4233926257759718E-3</v>
      </c>
    </row>
    <row r="656" spans="1:10">
      <c r="A656" s="15">
        <v>40932</v>
      </c>
      <c r="B656" s="11">
        <v>1.9636</v>
      </c>
      <c r="C656" s="11">
        <f t="shared" si="70"/>
        <v>7.9999999999991189E-4</v>
      </c>
      <c r="D656" s="12">
        <f t="shared" si="71"/>
        <v>6.3999999999985898E-7</v>
      </c>
      <c r="E656" s="12">
        <f t="shared" si="72"/>
        <v>1.9599999999995683E-6</v>
      </c>
      <c r="F656" s="12">
        <f t="shared" si="73"/>
        <v>2.2769803620760264E-5</v>
      </c>
      <c r="G656" s="12">
        <f t="shared" si="74"/>
        <v>4.4120454101313706</v>
      </c>
      <c r="I656" s="12">
        <f t="shared" si="75"/>
        <v>4.7717715390366566E-3</v>
      </c>
      <c r="J656" s="12">
        <f t="shared" ref="J656:J719" si="76">J655</f>
        <v>5.4233926257759718E-3</v>
      </c>
    </row>
    <row r="657" spans="1:10">
      <c r="A657" s="15">
        <v>40933</v>
      </c>
      <c r="B657" s="11">
        <v>1.9670000000000001</v>
      </c>
      <c r="C657" s="11">
        <f t="shared" si="70"/>
        <v>3.4000000000000696E-3</v>
      </c>
      <c r="D657" s="12">
        <f t="shared" si="71"/>
        <v>1.1560000000000474E-5</v>
      </c>
      <c r="E657" s="12">
        <f t="shared" si="72"/>
        <v>6.3999999999985898E-7</v>
      </c>
      <c r="F657" s="12">
        <f t="shared" si="73"/>
        <v>2.1776629681645621E-5</v>
      </c>
      <c r="G657" s="12">
        <f t="shared" si="74"/>
        <v>4.1829759015123971</v>
      </c>
      <c r="I657" s="12">
        <f t="shared" si="75"/>
        <v>4.6665436547455143E-3</v>
      </c>
      <c r="J657" s="12">
        <f t="shared" si="76"/>
        <v>5.4233926257759718E-3</v>
      </c>
    </row>
    <row r="658" spans="1:10">
      <c r="A658" s="15">
        <v>40934</v>
      </c>
      <c r="B658" s="11">
        <v>1.9708000000000001</v>
      </c>
      <c r="C658" s="11">
        <f t="shared" si="70"/>
        <v>3.8000000000000256E-3</v>
      </c>
      <c r="D658" s="12">
        <f t="shared" si="71"/>
        <v>1.4440000000000194E-5</v>
      </c>
      <c r="E658" s="12">
        <f t="shared" si="72"/>
        <v>1.1560000000000474E-5</v>
      </c>
      <c r="F658" s="12">
        <f t="shared" si="73"/>
        <v>2.1538086997757484E-5</v>
      </c>
      <c r="G658" s="12">
        <f t="shared" si="74"/>
        <v>4.1186851953201593</v>
      </c>
      <c r="I658" s="12">
        <f t="shared" si="75"/>
        <v>4.6409144570609667E-3</v>
      </c>
      <c r="J658" s="12">
        <f t="shared" si="76"/>
        <v>5.4233926257759718E-3</v>
      </c>
    </row>
    <row r="659" spans="1:10">
      <c r="A659" s="15">
        <v>40935</v>
      </c>
      <c r="B659" s="11">
        <v>1.9806999999999999</v>
      </c>
      <c r="C659" s="11">
        <f t="shared" si="70"/>
        <v>9.8999999999997979E-3</v>
      </c>
      <c r="D659" s="12">
        <f t="shared" si="71"/>
        <v>9.8009999999995994E-5</v>
      </c>
      <c r="E659" s="12">
        <f t="shared" si="72"/>
        <v>1.4440000000000194E-5</v>
      </c>
      <c r="F659" s="12">
        <f t="shared" si="73"/>
        <v>2.1496037702665316E-5</v>
      </c>
      <c r="G659" s="12">
        <f t="shared" si="74"/>
        <v>2.1751599635224572</v>
      </c>
      <c r="I659" s="12">
        <f t="shared" si="75"/>
        <v>4.6363819625506826E-3</v>
      </c>
      <c r="J659" s="12">
        <f t="shared" si="76"/>
        <v>5.4233926257759718E-3</v>
      </c>
    </row>
    <row r="660" spans="1:10">
      <c r="A660" s="15">
        <v>40936</v>
      </c>
      <c r="B660" s="11">
        <v>1.9762999999999999</v>
      </c>
      <c r="C660" s="11">
        <f t="shared" si="70"/>
        <v>-4.3999999999999595E-3</v>
      </c>
      <c r="D660" s="12">
        <f t="shared" si="71"/>
        <v>1.9359999999999645E-5</v>
      </c>
      <c r="E660" s="12">
        <f t="shared" si="72"/>
        <v>9.8009999999995994E-5</v>
      </c>
      <c r="F660" s="12">
        <f t="shared" si="73"/>
        <v>2.6411579853058464E-5</v>
      </c>
      <c r="G660" s="12">
        <f t="shared" si="74"/>
        <v>3.9854095601124548</v>
      </c>
      <c r="I660" s="12">
        <f t="shared" si="75"/>
        <v>5.1392197708463941E-3</v>
      </c>
      <c r="J660" s="12">
        <f t="shared" si="76"/>
        <v>5.4233926257759718E-3</v>
      </c>
    </row>
    <row r="661" spans="1:10">
      <c r="A661" s="15">
        <v>40937</v>
      </c>
      <c r="B661" s="11">
        <v>1.9804999999999999</v>
      </c>
      <c r="C661" s="11">
        <f t="shared" si="70"/>
        <v>4.1999999999999815E-3</v>
      </c>
      <c r="D661" s="12">
        <f t="shared" si="71"/>
        <v>1.7639999999999845E-5</v>
      </c>
      <c r="E661" s="12">
        <f t="shared" si="72"/>
        <v>1.9359999999999645E-5</v>
      </c>
      <c r="F661" s="12">
        <f t="shared" si="73"/>
        <v>2.6134009020071756E-5</v>
      </c>
      <c r="G661" s="12">
        <f t="shared" si="74"/>
        <v>4.019706717492455</v>
      </c>
      <c r="I661" s="12">
        <f t="shared" si="75"/>
        <v>5.1121432902523139E-3</v>
      </c>
      <c r="J661" s="12">
        <f t="shared" si="76"/>
        <v>5.4233926257759718E-3</v>
      </c>
    </row>
    <row r="662" spans="1:10">
      <c r="A662" s="15">
        <v>40938</v>
      </c>
      <c r="B662" s="11">
        <v>1.9737</v>
      </c>
      <c r="C662" s="11">
        <f t="shared" si="70"/>
        <v>-6.7999999999999172E-3</v>
      </c>
      <c r="D662" s="12">
        <f t="shared" si="71"/>
        <v>4.6239999999998873E-5</v>
      </c>
      <c r="E662" s="12">
        <f t="shared" si="72"/>
        <v>1.7639999999999845E-5</v>
      </c>
      <c r="F662" s="12">
        <f t="shared" si="73"/>
        <v>2.5784519179584048E-5</v>
      </c>
      <c r="G662" s="12">
        <f t="shared" si="74"/>
        <v>3.4672675416175598</v>
      </c>
      <c r="I662" s="12">
        <f t="shared" si="75"/>
        <v>5.0778459192441089E-3</v>
      </c>
      <c r="J662" s="12">
        <f t="shared" si="76"/>
        <v>5.4233926257759718E-3</v>
      </c>
    </row>
    <row r="663" spans="1:10">
      <c r="A663" s="15">
        <v>40939</v>
      </c>
      <c r="B663" s="11">
        <v>1.9781</v>
      </c>
      <c r="C663" s="11">
        <f t="shared" si="70"/>
        <v>4.3999999999999595E-3</v>
      </c>
      <c r="D663" s="12">
        <f t="shared" si="71"/>
        <v>1.9359999999999645E-5</v>
      </c>
      <c r="E663" s="12">
        <f t="shared" si="72"/>
        <v>4.6239999999998873E-5</v>
      </c>
      <c r="F663" s="12">
        <f t="shared" si="73"/>
        <v>2.716790093385203E-5</v>
      </c>
      <c r="G663" s="12">
        <f t="shared" si="74"/>
        <v>3.9814958260980617</v>
      </c>
      <c r="I663" s="12">
        <f t="shared" si="75"/>
        <v>5.2122836582300493E-3</v>
      </c>
      <c r="J663" s="12">
        <f t="shared" si="76"/>
        <v>5.4233926257759718E-3</v>
      </c>
    </row>
    <row r="664" spans="1:10">
      <c r="A664" s="15">
        <v>40940</v>
      </c>
      <c r="B664" s="11">
        <v>1.9812000000000001</v>
      </c>
      <c r="C664" s="11">
        <f t="shared" si="70"/>
        <v>3.1000000000001027E-3</v>
      </c>
      <c r="D664" s="12">
        <f t="shared" si="71"/>
        <v>9.6100000000006364E-6</v>
      </c>
      <c r="E664" s="12">
        <f t="shared" si="72"/>
        <v>1.9359999999999645E-5</v>
      </c>
      <c r="F664" s="12">
        <f t="shared" si="73"/>
        <v>2.6808525778368127E-5</v>
      </c>
      <c r="G664" s="12">
        <f t="shared" si="74"/>
        <v>4.1652227311371073</v>
      </c>
      <c r="I664" s="12">
        <f t="shared" si="75"/>
        <v>5.1776950256236728E-3</v>
      </c>
      <c r="J664" s="12">
        <f t="shared" si="76"/>
        <v>5.4233926257759718E-3</v>
      </c>
    </row>
    <row r="665" spans="1:10">
      <c r="A665" s="15">
        <v>40941</v>
      </c>
      <c r="B665" s="11">
        <v>1.9815</v>
      </c>
      <c r="C665" s="11">
        <f t="shared" si="70"/>
        <v>2.9999999999996696E-4</v>
      </c>
      <c r="D665" s="12">
        <f t="shared" si="71"/>
        <v>8.9999999999980173E-8</v>
      </c>
      <c r="E665" s="12">
        <f t="shared" si="72"/>
        <v>9.6100000000006364E-6</v>
      </c>
      <c r="F665" s="12">
        <f t="shared" si="73"/>
        <v>2.5910156004623784E-5</v>
      </c>
      <c r="G665" s="12">
        <f t="shared" si="74"/>
        <v>4.359762459894748</v>
      </c>
      <c r="I665" s="12">
        <f t="shared" si="75"/>
        <v>5.0902019610840378E-3</v>
      </c>
      <c r="J665" s="12">
        <f t="shared" si="76"/>
        <v>5.4233926257759718E-3</v>
      </c>
    </row>
    <row r="666" spans="1:10">
      <c r="A666" s="15">
        <v>40942</v>
      </c>
      <c r="B666" s="11">
        <v>1.9843</v>
      </c>
      <c r="C666" s="11">
        <f t="shared" si="70"/>
        <v>2.7999999999999137E-3</v>
      </c>
      <c r="D666" s="12">
        <f t="shared" si="71"/>
        <v>7.8399999999995167E-6</v>
      </c>
      <c r="E666" s="12">
        <f t="shared" si="72"/>
        <v>8.9999999999980173E-8</v>
      </c>
      <c r="F666" s="12">
        <f t="shared" si="73"/>
        <v>2.4544721408318104E-5</v>
      </c>
      <c r="G666" s="12">
        <f t="shared" si="74"/>
        <v>4.2288598558248527</v>
      </c>
      <c r="I666" s="12">
        <f t="shared" si="75"/>
        <v>4.9542629530857666E-3</v>
      </c>
      <c r="J666" s="12">
        <f t="shared" si="76"/>
        <v>5.4233926257759718E-3</v>
      </c>
    </row>
    <row r="667" spans="1:10">
      <c r="A667" s="15">
        <v>40943</v>
      </c>
      <c r="B667" s="11">
        <v>1.9833000000000001</v>
      </c>
      <c r="C667" s="11">
        <f t="shared" si="70"/>
        <v>-9.9999999999988987E-4</v>
      </c>
      <c r="D667" s="12">
        <f t="shared" si="71"/>
        <v>9.9999999999977973E-7</v>
      </c>
      <c r="E667" s="12">
        <f t="shared" si="72"/>
        <v>7.8399999999995167E-6</v>
      </c>
      <c r="F667" s="12">
        <f t="shared" si="73"/>
        <v>2.3786301902553916E-5</v>
      </c>
      <c r="G667" s="12">
        <f t="shared" si="74"/>
        <v>4.3832413043374165</v>
      </c>
      <c r="I667" s="12">
        <f t="shared" si="75"/>
        <v>4.8771202468827768E-3</v>
      </c>
      <c r="J667" s="12">
        <f t="shared" si="76"/>
        <v>5.4233926257759718E-3</v>
      </c>
    </row>
    <row r="668" spans="1:10">
      <c r="A668" s="15">
        <v>40944</v>
      </c>
      <c r="B668" s="11">
        <v>1.984</v>
      </c>
      <c r="C668" s="11">
        <f t="shared" si="70"/>
        <v>6.9999999999992291E-4</v>
      </c>
      <c r="D668" s="12">
        <f t="shared" si="71"/>
        <v>4.8999999999989208E-7</v>
      </c>
      <c r="E668" s="12">
        <f t="shared" si="72"/>
        <v>9.9999999999977973E-7</v>
      </c>
      <c r="F668" s="12">
        <f t="shared" si="73"/>
        <v>2.270451920814877E-5</v>
      </c>
      <c r="G668" s="12">
        <f t="shared" si="74"/>
        <v>4.4167439407600346</v>
      </c>
      <c r="I668" s="12">
        <f t="shared" si="75"/>
        <v>4.764925939419077E-3</v>
      </c>
      <c r="J668" s="12">
        <f t="shared" si="76"/>
        <v>5.4233926257759718E-3</v>
      </c>
    </row>
    <row r="669" spans="1:10">
      <c r="A669" s="15">
        <v>40945</v>
      </c>
      <c r="B669" s="11">
        <v>1.9769000000000001</v>
      </c>
      <c r="C669" s="11">
        <f t="shared" si="70"/>
        <v>-7.0999999999998842E-3</v>
      </c>
      <c r="D669" s="12">
        <f t="shared" si="71"/>
        <v>5.0409999999998354E-5</v>
      </c>
      <c r="E669" s="12">
        <f t="shared" si="72"/>
        <v>4.8999999999989208E-7</v>
      </c>
      <c r="F669" s="12">
        <f t="shared" si="73"/>
        <v>2.1709516256069834E-5</v>
      </c>
      <c r="G669" s="12">
        <f t="shared" si="74"/>
        <v>3.2889297969918205</v>
      </c>
      <c r="I669" s="12">
        <f t="shared" si="75"/>
        <v>4.6593471920506023E-3</v>
      </c>
      <c r="J669" s="12">
        <f t="shared" si="76"/>
        <v>5.4233926257759718E-3</v>
      </c>
    </row>
    <row r="670" spans="1:10">
      <c r="A670" s="15">
        <v>40946</v>
      </c>
      <c r="B670" s="11">
        <v>1.9876</v>
      </c>
      <c r="C670" s="11">
        <f t="shared" si="70"/>
        <v>1.0699999999999932E-2</v>
      </c>
      <c r="D670" s="12">
        <f t="shared" si="71"/>
        <v>1.1448999999999855E-4</v>
      </c>
      <c r="E670" s="12">
        <f t="shared" si="72"/>
        <v>5.0409999999998354E-5</v>
      </c>
      <c r="F670" s="12">
        <f t="shared" si="73"/>
        <v>2.3780802132872974E-5</v>
      </c>
      <c r="G670" s="12">
        <f t="shared" si="74"/>
        <v>1.9971836043503715</v>
      </c>
      <c r="I670" s="12">
        <f t="shared" si="75"/>
        <v>4.8765563805694872E-3</v>
      </c>
      <c r="J670" s="12">
        <f t="shared" si="76"/>
        <v>5.4233926257759718E-3</v>
      </c>
    </row>
    <row r="671" spans="1:10">
      <c r="A671" s="15">
        <v>40947</v>
      </c>
      <c r="B671" s="11">
        <v>1.9849000000000001</v>
      </c>
      <c r="C671" s="11">
        <f t="shared" si="70"/>
        <v>-2.6999999999999247E-3</v>
      </c>
      <c r="D671" s="12">
        <f t="shared" si="71"/>
        <v>7.2899999999995931E-6</v>
      </c>
      <c r="E671" s="12">
        <f t="shared" si="72"/>
        <v>1.1448999999999855E-4</v>
      </c>
      <c r="F671" s="12">
        <f t="shared" si="73"/>
        <v>2.9425962159260428E-5</v>
      </c>
      <c r="G671" s="12">
        <f t="shared" si="74"/>
        <v>4.1740078565451917</v>
      </c>
      <c r="I671" s="12">
        <f t="shared" si="75"/>
        <v>5.4245702280697247E-3</v>
      </c>
      <c r="J671" s="12">
        <f t="shared" si="76"/>
        <v>5.4233926257759718E-3</v>
      </c>
    </row>
    <row r="672" spans="1:10">
      <c r="A672" s="15">
        <v>40948</v>
      </c>
      <c r="B672" s="11">
        <v>1.988</v>
      </c>
      <c r="C672" s="11">
        <f t="shared" si="70"/>
        <v>3.0999999999998806E-3</v>
      </c>
      <c r="D672" s="12">
        <f t="shared" si="71"/>
        <v>9.6099999999992592E-6</v>
      </c>
      <c r="E672" s="12">
        <f t="shared" si="72"/>
        <v>7.2899999999995931E-6</v>
      </c>
      <c r="F672" s="12">
        <f t="shared" si="73"/>
        <v>2.8106986050272993E-5</v>
      </c>
      <c r="G672" s="12">
        <f t="shared" si="74"/>
        <v>4.1498537189691262</v>
      </c>
      <c r="I672" s="12">
        <f t="shared" si="75"/>
        <v>5.3016022153942284E-3</v>
      </c>
      <c r="J672" s="12">
        <f t="shared" si="76"/>
        <v>5.4233926257759718E-3</v>
      </c>
    </row>
    <row r="673" spans="1:10">
      <c r="A673" s="15">
        <v>40949</v>
      </c>
      <c r="B673" s="11">
        <v>1.9821</v>
      </c>
      <c r="C673" s="11">
        <f t="shared" si="70"/>
        <v>-5.9000000000000163E-3</v>
      </c>
      <c r="D673" s="12">
        <f t="shared" si="71"/>
        <v>3.481000000000019E-5</v>
      </c>
      <c r="E673" s="12">
        <f t="shared" si="72"/>
        <v>9.6099999999992592E-6</v>
      </c>
      <c r="F673" s="12">
        <f t="shared" si="73"/>
        <v>2.7068173724376978E-5</v>
      </c>
      <c r="G673" s="12">
        <f t="shared" si="74"/>
        <v>3.6966313504975865</v>
      </c>
      <c r="I673" s="12">
        <f t="shared" si="75"/>
        <v>5.2027083066780687E-3</v>
      </c>
      <c r="J673" s="12">
        <f t="shared" si="76"/>
        <v>5.4233926257759718E-3</v>
      </c>
    </row>
    <row r="674" spans="1:10">
      <c r="A674" s="15">
        <v>40950</v>
      </c>
      <c r="B674" s="11">
        <v>1.9818</v>
      </c>
      <c r="C674" s="11">
        <f t="shared" si="70"/>
        <v>-2.9999999999996696E-4</v>
      </c>
      <c r="D674" s="12">
        <f t="shared" si="71"/>
        <v>8.9999999999980173E-8</v>
      </c>
      <c r="E674" s="12">
        <f t="shared" si="72"/>
        <v>3.481000000000019E-5</v>
      </c>
      <c r="F674" s="12">
        <f t="shared" si="73"/>
        <v>2.7635278816159758E-5</v>
      </c>
      <c r="G674" s="12">
        <f t="shared" si="74"/>
        <v>4.3276417977616317</v>
      </c>
      <c r="I674" s="12">
        <f t="shared" si="75"/>
        <v>5.2569267463185897E-3</v>
      </c>
      <c r="J674" s="12">
        <f t="shared" si="76"/>
        <v>5.4233926257759718E-3</v>
      </c>
    </row>
    <row r="675" spans="1:10">
      <c r="A675" s="15">
        <v>40951</v>
      </c>
      <c r="B675" s="11">
        <v>1.9818</v>
      </c>
      <c r="C675" s="11">
        <f t="shared" si="70"/>
        <v>0</v>
      </c>
      <c r="D675" s="12">
        <f t="shared" si="71"/>
        <v>0</v>
      </c>
      <c r="E675" s="12">
        <f t="shared" si="72"/>
        <v>8.9999999999980173E-8</v>
      </c>
      <c r="F675" s="12">
        <f t="shared" si="73"/>
        <v>2.6083253489533455E-5</v>
      </c>
      <c r="G675" s="12">
        <f t="shared" si="74"/>
        <v>4.3581699985693909</v>
      </c>
      <c r="I675" s="12">
        <f t="shared" si="75"/>
        <v>5.107176665197069E-3</v>
      </c>
      <c r="J675" s="12">
        <f t="shared" si="76"/>
        <v>5.4233926257759718E-3</v>
      </c>
    </row>
    <row r="676" spans="1:10">
      <c r="A676" s="15">
        <v>40952</v>
      </c>
      <c r="B676" s="11">
        <v>1.9815</v>
      </c>
      <c r="C676" s="11">
        <f t="shared" si="70"/>
        <v>-2.9999999999996696E-4</v>
      </c>
      <c r="D676" s="12">
        <f t="shared" si="71"/>
        <v>8.9999999999980173E-8</v>
      </c>
      <c r="E676" s="12">
        <f t="shared" si="72"/>
        <v>0</v>
      </c>
      <c r="F676" s="12">
        <f t="shared" si="73"/>
        <v>2.4693762386191018E-5</v>
      </c>
      <c r="G676" s="12">
        <f t="shared" si="74"/>
        <v>4.3837190774579078</v>
      </c>
      <c r="I676" s="12">
        <f t="shared" si="75"/>
        <v>4.9692818783191421E-3</v>
      </c>
      <c r="J676" s="12">
        <f t="shared" si="76"/>
        <v>5.4233926257759718E-3</v>
      </c>
    </row>
    <row r="677" spans="1:10">
      <c r="A677" s="15">
        <v>40953</v>
      </c>
      <c r="B677" s="11">
        <v>1.9798</v>
      </c>
      <c r="C677" s="11">
        <f t="shared" si="70"/>
        <v>-1.7000000000000348E-3</v>
      </c>
      <c r="D677" s="12">
        <f t="shared" si="71"/>
        <v>2.8900000000001184E-6</v>
      </c>
      <c r="E677" s="12">
        <f t="shared" si="72"/>
        <v>8.9999999999980173E-8</v>
      </c>
      <c r="F677" s="12">
        <f t="shared" si="73"/>
        <v>2.3459893943960262E-5</v>
      </c>
      <c r="G677" s="12">
        <f t="shared" si="74"/>
        <v>4.3495760957925764</v>
      </c>
      <c r="I677" s="12">
        <f t="shared" si="75"/>
        <v>4.8435414671457351E-3</v>
      </c>
      <c r="J677" s="12">
        <f t="shared" si="76"/>
        <v>5.4233926257759718E-3</v>
      </c>
    </row>
    <row r="678" spans="1:10">
      <c r="A678" s="15">
        <v>40954</v>
      </c>
      <c r="B678" s="11">
        <v>1.978</v>
      </c>
      <c r="C678" s="11">
        <f t="shared" si="70"/>
        <v>-1.8000000000000238E-3</v>
      </c>
      <c r="D678" s="12">
        <f t="shared" si="71"/>
        <v>3.2400000000000859E-6</v>
      </c>
      <c r="E678" s="12">
        <f t="shared" si="72"/>
        <v>2.8900000000001184E-6</v>
      </c>
      <c r="F678" s="12">
        <f t="shared" si="73"/>
        <v>2.2525432703533003E-5</v>
      </c>
      <c r="G678" s="12">
        <f t="shared" si="74"/>
        <v>4.3595755245368659</v>
      </c>
      <c r="I678" s="12">
        <f t="shared" si="75"/>
        <v>4.7460965754536647E-3</v>
      </c>
      <c r="J678" s="12">
        <f t="shared" si="76"/>
        <v>5.4233926257759718E-3</v>
      </c>
    </row>
    <row r="679" spans="1:10">
      <c r="A679" s="15">
        <v>40955</v>
      </c>
      <c r="B679" s="11">
        <v>1.9856</v>
      </c>
      <c r="C679" s="11">
        <f t="shared" si="70"/>
        <v>7.6000000000000512E-3</v>
      </c>
      <c r="D679" s="12">
        <f t="shared" si="71"/>
        <v>5.7760000000000775E-5</v>
      </c>
      <c r="E679" s="12">
        <f t="shared" si="72"/>
        <v>3.2400000000000859E-6</v>
      </c>
      <c r="F679" s="12">
        <f t="shared" si="73"/>
        <v>2.1712787444208138E-5</v>
      </c>
      <c r="G679" s="12">
        <f t="shared" si="74"/>
        <v>3.1197742779510889</v>
      </c>
      <c r="I679" s="12">
        <f t="shared" si="75"/>
        <v>4.6596982138555005E-3</v>
      </c>
      <c r="J679" s="12">
        <f t="shared" si="76"/>
        <v>5.4233926257759718E-3</v>
      </c>
    </row>
    <row r="680" spans="1:10">
      <c r="A680" s="15">
        <v>40956</v>
      </c>
      <c r="B680" s="11">
        <v>1.9843</v>
      </c>
      <c r="C680" s="11">
        <f t="shared" si="70"/>
        <v>-1.3000000000000789E-3</v>
      </c>
      <c r="D680" s="12">
        <f t="shared" si="71"/>
        <v>1.6900000000002051E-6</v>
      </c>
      <c r="E680" s="12">
        <f t="shared" si="72"/>
        <v>5.7760000000000775E-5</v>
      </c>
      <c r="F680" s="12">
        <f t="shared" si="73"/>
        <v>2.4219340766396552E-5</v>
      </c>
      <c r="G680" s="12">
        <f t="shared" si="74"/>
        <v>4.3603515072714147</v>
      </c>
      <c r="I680" s="12">
        <f t="shared" si="75"/>
        <v>4.92131494281727E-3</v>
      </c>
      <c r="J680" s="12">
        <f t="shared" si="76"/>
        <v>5.4233926257759718E-3</v>
      </c>
    </row>
    <row r="681" spans="1:10">
      <c r="A681" s="15">
        <v>40957</v>
      </c>
      <c r="B681" s="11">
        <v>1.9812000000000001</v>
      </c>
      <c r="C681" s="11">
        <f t="shared" si="70"/>
        <v>-3.0999999999998806E-3</v>
      </c>
      <c r="D681" s="12">
        <f t="shared" si="71"/>
        <v>9.6099999999992592E-6</v>
      </c>
      <c r="E681" s="12">
        <f t="shared" si="72"/>
        <v>1.6900000000002051E-6</v>
      </c>
      <c r="F681" s="12">
        <f t="shared" si="73"/>
        <v>2.3131615282293267E-5</v>
      </c>
      <c r="G681" s="12">
        <f t="shared" si="74"/>
        <v>4.2104922231632447</v>
      </c>
      <c r="I681" s="12">
        <f t="shared" si="75"/>
        <v>4.8095337905345115E-3</v>
      </c>
      <c r="J681" s="12">
        <f t="shared" si="76"/>
        <v>5.4233926257759718E-3</v>
      </c>
    </row>
    <row r="682" spans="1:10">
      <c r="A682" s="15">
        <v>40958</v>
      </c>
      <c r="B682" s="11">
        <v>1.9838</v>
      </c>
      <c r="C682" s="11">
        <f t="shared" si="70"/>
        <v>2.5999999999999357E-3</v>
      </c>
      <c r="D682" s="12">
        <f t="shared" si="71"/>
        <v>6.7599999999996659E-6</v>
      </c>
      <c r="E682" s="12">
        <f t="shared" si="72"/>
        <v>9.6099999999992592E-6</v>
      </c>
      <c r="F682" s="12">
        <f t="shared" si="73"/>
        <v>2.2630943231979503E-5</v>
      </c>
      <c r="G682" s="12">
        <f t="shared" si="74"/>
        <v>4.2798046362039992</v>
      </c>
      <c r="I682" s="12">
        <f t="shared" si="75"/>
        <v>4.7571990952638829E-3</v>
      </c>
      <c r="J682" s="12">
        <f t="shared" si="76"/>
        <v>5.4233926257759718E-3</v>
      </c>
    </row>
    <row r="683" spans="1:10">
      <c r="A683" s="15">
        <v>40959</v>
      </c>
      <c r="B683" s="11">
        <v>1.99</v>
      </c>
      <c r="C683" s="11">
        <f t="shared" si="70"/>
        <v>6.1999999999999833E-3</v>
      </c>
      <c r="D683" s="12">
        <f t="shared" si="71"/>
        <v>3.8439999999999795E-5</v>
      </c>
      <c r="E683" s="12">
        <f t="shared" si="72"/>
        <v>6.7599999999996659E-6</v>
      </c>
      <c r="F683" s="12">
        <f t="shared" si="73"/>
        <v>2.2015509924529415E-5</v>
      </c>
      <c r="G683" s="12">
        <f t="shared" si="74"/>
        <v>3.5699222507178332</v>
      </c>
      <c r="I683" s="12">
        <f t="shared" si="75"/>
        <v>4.692068832032349E-3</v>
      </c>
      <c r="J683" s="12">
        <f t="shared" si="76"/>
        <v>5.4233926257759718E-3</v>
      </c>
    </row>
    <row r="684" spans="1:10">
      <c r="A684" s="15">
        <v>40960</v>
      </c>
      <c r="B684" s="11">
        <v>1.9927999999999999</v>
      </c>
      <c r="C684" s="11">
        <f t="shared" si="70"/>
        <v>2.7999999999999137E-3</v>
      </c>
      <c r="D684" s="12">
        <f t="shared" si="71"/>
        <v>7.8399999999995167E-6</v>
      </c>
      <c r="E684" s="12">
        <f t="shared" si="72"/>
        <v>3.8439999999999795E-5</v>
      </c>
      <c r="F684" s="12">
        <f t="shared" si="73"/>
        <v>2.334425893203551E-5</v>
      </c>
      <c r="G684" s="12">
        <f t="shared" si="74"/>
        <v>4.2457198240174261</v>
      </c>
      <c r="I684" s="12">
        <f t="shared" si="75"/>
        <v>4.8315896899504525E-3</v>
      </c>
      <c r="J684" s="12">
        <f t="shared" si="76"/>
        <v>5.4233926257759718E-3</v>
      </c>
    </row>
    <row r="685" spans="1:10">
      <c r="A685" s="15">
        <v>40961</v>
      </c>
      <c r="B685" s="11">
        <v>1.9925999999999999</v>
      </c>
      <c r="C685" s="11">
        <f t="shared" si="70"/>
        <v>-1.9999999999997797E-4</v>
      </c>
      <c r="D685" s="12">
        <f t="shared" si="71"/>
        <v>3.9999999999991186E-8</v>
      </c>
      <c r="E685" s="12">
        <f t="shared" si="72"/>
        <v>7.8399999999995167E-6</v>
      </c>
      <c r="F685" s="12">
        <f t="shared" si="73"/>
        <v>2.2715682454648317E-5</v>
      </c>
      <c r="G685" s="12">
        <f t="shared" si="74"/>
        <v>4.4264085178924866</v>
      </c>
      <c r="I685" s="12">
        <f t="shared" si="75"/>
        <v>4.7660971931600717E-3</v>
      </c>
      <c r="J685" s="12">
        <f t="shared" si="76"/>
        <v>5.4233926257759718E-3</v>
      </c>
    </row>
    <row r="686" spans="1:10">
      <c r="A686" s="15">
        <v>40962</v>
      </c>
      <c r="B686" s="11">
        <v>2.0021</v>
      </c>
      <c r="C686" s="11">
        <f t="shared" si="70"/>
        <v>9.5000000000000639E-3</v>
      </c>
      <c r="D686" s="12">
        <f t="shared" si="71"/>
        <v>9.0250000000001218E-5</v>
      </c>
      <c r="E686" s="12">
        <f t="shared" si="72"/>
        <v>3.9999999999991186E-8</v>
      </c>
      <c r="F686" s="12">
        <f t="shared" si="73"/>
        <v>2.169280138708648E-5</v>
      </c>
      <c r="G686" s="12">
        <f t="shared" si="74"/>
        <v>2.3701433486837926</v>
      </c>
      <c r="I686" s="12">
        <f t="shared" si="75"/>
        <v>4.6575531545100463E-3</v>
      </c>
      <c r="J686" s="12">
        <f t="shared" si="76"/>
        <v>5.4233926257759718E-3</v>
      </c>
    </row>
    <row r="687" spans="1:10">
      <c r="A687" s="15">
        <v>40963</v>
      </c>
      <c r="B687" s="11">
        <v>2.0028000000000001</v>
      </c>
      <c r="C687" s="11">
        <f t="shared" si="70"/>
        <v>7.0000000000014495E-4</v>
      </c>
      <c r="D687" s="12">
        <f t="shared" si="71"/>
        <v>4.9000000000020294E-7</v>
      </c>
      <c r="E687" s="12">
        <f t="shared" si="72"/>
        <v>9.0250000000001218E-5</v>
      </c>
      <c r="F687" s="12">
        <f t="shared" si="73"/>
        <v>2.612714019105733E-5</v>
      </c>
      <c r="G687" s="12">
        <f t="shared" si="74"/>
        <v>4.3479522020944108</v>
      </c>
      <c r="I687" s="12">
        <f t="shared" si="75"/>
        <v>5.1114714311103543E-3</v>
      </c>
      <c r="J687" s="12">
        <f t="shared" si="76"/>
        <v>5.4233926257759718E-3</v>
      </c>
    </row>
    <row r="688" spans="1:10">
      <c r="A688" s="15">
        <v>40964</v>
      </c>
      <c r="B688" s="11">
        <v>2.0028000000000001</v>
      </c>
      <c r="C688" s="11">
        <f t="shared" si="70"/>
        <v>0</v>
      </c>
      <c r="D688" s="12">
        <f t="shared" si="71"/>
        <v>0</v>
      </c>
      <c r="E688" s="12">
        <f t="shared" si="72"/>
        <v>4.9000000000020294E-7</v>
      </c>
      <c r="F688" s="12">
        <f t="shared" si="73"/>
        <v>2.4761943682588662E-5</v>
      </c>
      <c r="G688" s="12">
        <f t="shared" si="74"/>
        <v>4.3841627655672184</v>
      </c>
      <c r="I688" s="12">
        <f t="shared" si="75"/>
        <v>4.9761374260151479E-3</v>
      </c>
      <c r="J688" s="12">
        <f t="shared" si="76"/>
        <v>5.4233926257759718E-3</v>
      </c>
    </row>
    <row r="689" spans="1:10">
      <c r="A689" s="15">
        <v>40965</v>
      </c>
      <c r="B689" s="11">
        <v>2.0028000000000001</v>
      </c>
      <c r="C689" s="11">
        <f t="shared" si="70"/>
        <v>0</v>
      </c>
      <c r="D689" s="12">
        <f t="shared" si="71"/>
        <v>0</v>
      </c>
      <c r="E689" s="12">
        <f t="shared" si="72"/>
        <v>0</v>
      </c>
      <c r="F689" s="12">
        <f t="shared" si="73"/>
        <v>2.351536655627382E-5</v>
      </c>
      <c r="G689" s="12">
        <f t="shared" si="74"/>
        <v>4.4099896866585908</v>
      </c>
      <c r="I689" s="12">
        <f t="shared" si="75"/>
        <v>4.8492645376669048E-3</v>
      </c>
      <c r="J689" s="12">
        <f t="shared" si="76"/>
        <v>5.4233926257759718E-3</v>
      </c>
    </row>
    <row r="690" spans="1:10">
      <c r="A690" s="15">
        <v>40966</v>
      </c>
      <c r="B690" s="11">
        <v>2.0024000000000002</v>
      </c>
      <c r="C690" s="11">
        <f t="shared" si="70"/>
        <v>-3.9999999999995595E-4</v>
      </c>
      <c r="D690" s="12">
        <f t="shared" si="71"/>
        <v>1.5999999999996475E-7</v>
      </c>
      <c r="E690" s="12">
        <f t="shared" si="72"/>
        <v>0</v>
      </c>
      <c r="F690" s="12">
        <f t="shared" si="73"/>
        <v>2.2403620257564211E-5</v>
      </c>
      <c r="G690" s="12">
        <f t="shared" si="74"/>
        <v>4.4306346047140996</v>
      </c>
      <c r="I690" s="12">
        <f t="shared" si="75"/>
        <v>4.7332462705382454E-3</v>
      </c>
      <c r="J690" s="12">
        <f t="shared" si="76"/>
        <v>5.4233926257759718E-3</v>
      </c>
    </row>
    <row r="691" spans="1:10">
      <c r="A691" s="15">
        <v>40967</v>
      </c>
      <c r="B691" s="11">
        <v>2.0049000000000001</v>
      </c>
      <c r="C691" s="11">
        <f t="shared" si="70"/>
        <v>2.4999999999999467E-3</v>
      </c>
      <c r="D691" s="12">
        <f t="shared" si="71"/>
        <v>6.2499999999997335E-6</v>
      </c>
      <c r="E691" s="12">
        <f t="shared" si="72"/>
        <v>1.5999999999996475E-7</v>
      </c>
      <c r="F691" s="12">
        <f t="shared" si="73"/>
        <v>2.1421604282829379E-5</v>
      </c>
      <c r="G691" s="12">
        <f t="shared" si="74"/>
        <v>4.3107359949861808</v>
      </c>
      <c r="I691" s="12">
        <f t="shared" si="75"/>
        <v>4.6283478999346386E-3</v>
      </c>
      <c r="J691" s="12">
        <f t="shared" si="76"/>
        <v>5.4233926257759718E-3</v>
      </c>
    </row>
    <row r="692" spans="1:10">
      <c r="A692" s="15">
        <v>40968</v>
      </c>
      <c r="B692" s="11">
        <v>1.9942</v>
      </c>
      <c r="C692" s="11">
        <f t="shared" si="70"/>
        <v>-1.0700000000000154E-2</v>
      </c>
      <c r="D692" s="12">
        <f t="shared" si="71"/>
        <v>1.1449000000000329E-4</v>
      </c>
      <c r="E692" s="12">
        <f t="shared" si="72"/>
        <v>6.2499999999997335E-6</v>
      </c>
      <c r="F692" s="12">
        <f t="shared" si="73"/>
        <v>2.0906747309212304E-5</v>
      </c>
      <c r="G692" s="12">
        <f t="shared" si="74"/>
        <v>1.7306695164705173</v>
      </c>
      <c r="I692" s="12">
        <f t="shared" si="75"/>
        <v>4.5723896716282075E-3</v>
      </c>
      <c r="J692" s="12">
        <f t="shared" si="76"/>
        <v>5.4233926257759718E-3</v>
      </c>
    </row>
    <row r="693" spans="1:10">
      <c r="A693" s="15">
        <v>40969</v>
      </c>
      <c r="B693" s="11">
        <v>1.9948999999999999</v>
      </c>
      <c r="C693" s="11">
        <f t="shared" si="70"/>
        <v>6.9999999999992291E-4</v>
      </c>
      <c r="D693" s="12">
        <f t="shared" si="71"/>
        <v>4.8999999999989208E-7</v>
      </c>
      <c r="E693" s="12">
        <f t="shared" si="72"/>
        <v>1.1449000000000329E-4</v>
      </c>
      <c r="F693" s="12">
        <f t="shared" si="73"/>
        <v>2.6862767516070825E-5</v>
      </c>
      <c r="G693" s="12">
        <f t="shared" si="74"/>
        <v>4.3343256977275315</v>
      </c>
      <c r="I693" s="12">
        <f t="shared" si="75"/>
        <v>5.1829303985362202E-3</v>
      </c>
      <c r="J693" s="12">
        <f t="shared" si="76"/>
        <v>5.4233926257759718E-3</v>
      </c>
    </row>
    <row r="694" spans="1:10">
      <c r="A694" s="15">
        <v>40970</v>
      </c>
      <c r="B694" s="11">
        <v>1.9865999999999999</v>
      </c>
      <c r="C694" s="11">
        <f t="shared" si="70"/>
        <v>-8.2999999999999741E-3</v>
      </c>
      <c r="D694" s="12">
        <f t="shared" si="71"/>
        <v>6.8889999999999566E-5</v>
      </c>
      <c r="E694" s="12">
        <f t="shared" si="72"/>
        <v>4.8999999999989208E-7</v>
      </c>
      <c r="F694" s="12">
        <f t="shared" si="73"/>
        <v>2.5418004939087943E-5</v>
      </c>
      <c r="G694" s="12">
        <f t="shared" si="74"/>
        <v>3.015946086991264</v>
      </c>
      <c r="I694" s="12">
        <f t="shared" si="75"/>
        <v>5.0416272114356042E-3</v>
      </c>
      <c r="J694" s="12">
        <f t="shared" si="76"/>
        <v>5.4233926257759718E-3</v>
      </c>
    </row>
    <row r="695" spans="1:10">
      <c r="A695" s="15">
        <v>40971</v>
      </c>
      <c r="B695" s="11">
        <v>1.9866999999999999</v>
      </c>
      <c r="C695" s="11">
        <f t="shared" si="70"/>
        <v>9.9999999999988987E-5</v>
      </c>
      <c r="D695" s="12">
        <f t="shared" si="71"/>
        <v>9.9999999999977966E-9</v>
      </c>
      <c r="E695" s="12">
        <f t="shared" si="72"/>
        <v>6.8889999999999566E-5</v>
      </c>
      <c r="F695" s="12">
        <f t="shared" si="73"/>
        <v>2.8183453879722968E-5</v>
      </c>
      <c r="G695" s="12">
        <f t="shared" si="74"/>
        <v>4.3192717973882369</v>
      </c>
      <c r="I695" s="12">
        <f t="shared" si="75"/>
        <v>5.3088090829980852E-3</v>
      </c>
      <c r="J695" s="12">
        <f t="shared" si="76"/>
        <v>5.4233926257759718E-3</v>
      </c>
    </row>
    <row r="696" spans="1:10">
      <c r="A696" s="15">
        <v>40972</v>
      </c>
      <c r="B696" s="11">
        <v>1.9865999999999999</v>
      </c>
      <c r="C696" s="11">
        <f t="shared" si="70"/>
        <v>-9.9999999999988987E-5</v>
      </c>
      <c r="D696" s="12">
        <f t="shared" si="71"/>
        <v>9.9999999999977966E-9</v>
      </c>
      <c r="E696" s="12">
        <f t="shared" si="72"/>
        <v>9.9999999999977966E-9</v>
      </c>
      <c r="F696" s="12">
        <f t="shared" si="73"/>
        <v>2.6567396022525613E-5</v>
      </c>
      <c r="G696" s="12">
        <f t="shared" si="74"/>
        <v>4.3487861625123987</v>
      </c>
      <c r="I696" s="12">
        <f t="shared" si="75"/>
        <v>5.1543569940901077E-3</v>
      </c>
      <c r="J696" s="12">
        <f t="shared" si="76"/>
        <v>5.4233926257759718E-3</v>
      </c>
    </row>
    <row r="697" spans="1:10">
      <c r="A697" s="15">
        <v>40973</v>
      </c>
      <c r="B697" s="11">
        <v>1.9908999999999999</v>
      </c>
      <c r="C697" s="11">
        <f t="shared" si="70"/>
        <v>4.2999999999999705E-3</v>
      </c>
      <c r="D697" s="12">
        <f t="shared" si="71"/>
        <v>1.8489999999999747E-5</v>
      </c>
      <c r="E697" s="12">
        <f t="shared" si="72"/>
        <v>9.9999999999977966E-9</v>
      </c>
      <c r="F697" s="12">
        <f t="shared" si="73"/>
        <v>2.5126132338704444E-5</v>
      </c>
      <c r="G697" s="12">
        <f t="shared" si="74"/>
        <v>4.0089189051597831</v>
      </c>
      <c r="I697" s="12">
        <f t="shared" si="75"/>
        <v>5.0125973645111814E-3</v>
      </c>
      <c r="J697" s="12">
        <f t="shared" si="76"/>
        <v>5.4233926257759718E-3</v>
      </c>
    </row>
    <row r="698" spans="1:10">
      <c r="A698" s="15">
        <v>40974</v>
      </c>
      <c r="B698" s="11">
        <v>1.9839</v>
      </c>
      <c r="C698" s="11">
        <f t="shared" si="70"/>
        <v>-6.9999999999998952E-3</v>
      </c>
      <c r="D698" s="12">
        <f t="shared" si="71"/>
        <v>4.8999999999998535E-5</v>
      </c>
      <c r="E698" s="12">
        <f t="shared" si="72"/>
        <v>1.8489999999999747E-5</v>
      </c>
      <c r="F698" s="12">
        <f t="shared" si="73"/>
        <v>2.4936033254300436E-5</v>
      </c>
      <c r="G698" s="12">
        <f t="shared" si="74"/>
        <v>3.3981458716209554</v>
      </c>
      <c r="I698" s="12">
        <f t="shared" si="75"/>
        <v>4.9935992284423905E-3</v>
      </c>
      <c r="J698" s="12">
        <f t="shared" si="76"/>
        <v>5.4233926257759718E-3</v>
      </c>
    </row>
    <row r="699" spans="1:10">
      <c r="A699" s="15">
        <v>40975</v>
      </c>
      <c r="B699" s="11">
        <v>1.9873000000000001</v>
      </c>
      <c r="C699" s="11">
        <f t="shared" si="70"/>
        <v>3.4000000000000696E-3</v>
      </c>
      <c r="D699" s="12">
        <f t="shared" si="71"/>
        <v>1.1560000000000474E-5</v>
      </c>
      <c r="E699" s="12">
        <f t="shared" si="72"/>
        <v>4.8999999999998535E-5</v>
      </c>
      <c r="F699" s="12">
        <f t="shared" si="73"/>
        <v>2.6574768186137144E-5</v>
      </c>
      <c r="G699" s="12">
        <f t="shared" si="74"/>
        <v>4.1313360923834201</v>
      </c>
      <c r="I699" s="12">
        <f t="shared" si="75"/>
        <v>5.1550720835054423E-3</v>
      </c>
      <c r="J699" s="12">
        <f t="shared" si="76"/>
        <v>5.4233926257759718E-3</v>
      </c>
    </row>
    <row r="700" spans="1:10">
      <c r="A700" s="15">
        <v>40976</v>
      </c>
      <c r="B700" s="11">
        <v>1.9966999999999999</v>
      </c>
      <c r="C700" s="11">
        <f t="shared" si="70"/>
        <v>9.3999999999998529E-3</v>
      </c>
      <c r="D700" s="12">
        <f t="shared" si="71"/>
        <v>8.8359999999997236E-5</v>
      </c>
      <c r="E700" s="12">
        <f t="shared" si="72"/>
        <v>1.1560000000000474E-5</v>
      </c>
      <c r="F700" s="12">
        <f t="shared" si="73"/>
        <v>2.5817254816947226E-5</v>
      </c>
      <c r="G700" s="12">
        <f t="shared" si="74"/>
        <v>2.652036582719814</v>
      </c>
      <c r="I700" s="12">
        <f t="shared" si="75"/>
        <v>5.0810682751708056E-3</v>
      </c>
      <c r="J700" s="12">
        <f t="shared" si="76"/>
        <v>5.4233926257759718E-3</v>
      </c>
    </row>
    <row r="701" spans="1:10">
      <c r="A701" s="15">
        <v>40977</v>
      </c>
      <c r="B701" s="11">
        <v>1.9864999999999999</v>
      </c>
      <c r="C701" s="11">
        <f t="shared" si="70"/>
        <v>-1.0199999999999987E-2</v>
      </c>
      <c r="D701" s="12">
        <f t="shared" si="71"/>
        <v>1.0403999999999973E-4</v>
      </c>
      <c r="E701" s="12">
        <f t="shared" si="72"/>
        <v>8.8359999999997236E-5</v>
      </c>
      <c r="F701" s="12">
        <f t="shared" si="73"/>
        <v>2.9693472382985073E-5</v>
      </c>
      <c r="G701" s="12">
        <f t="shared" si="74"/>
        <v>2.5414529270597801</v>
      </c>
      <c r="I701" s="12">
        <f t="shared" si="75"/>
        <v>5.4491717153146374E-3</v>
      </c>
      <c r="J701" s="12">
        <f t="shared" si="76"/>
        <v>5.4233926257759718E-3</v>
      </c>
    </row>
    <row r="702" spans="1:10">
      <c r="A702" s="15">
        <v>40978</v>
      </c>
      <c r="B702" s="11">
        <v>1.9863999999999999</v>
      </c>
      <c r="C702" s="11">
        <f t="shared" si="70"/>
        <v>-9.9999999999988987E-5</v>
      </c>
      <c r="D702" s="12">
        <f t="shared" si="71"/>
        <v>9.9999999999977966E-9</v>
      </c>
      <c r="E702" s="12">
        <f t="shared" si="72"/>
        <v>1.0403999999999973E-4</v>
      </c>
      <c r="F702" s="12">
        <f t="shared" si="73"/>
        <v>3.4079760360048494E-5</v>
      </c>
      <c r="G702" s="12">
        <f t="shared" si="74"/>
        <v>4.2243181886205381</v>
      </c>
      <c r="I702" s="12">
        <f t="shared" si="75"/>
        <v>5.8377872828708393E-3</v>
      </c>
      <c r="J702" s="12">
        <f t="shared" si="76"/>
        <v>5.4233926257759718E-3</v>
      </c>
    </row>
    <row r="703" spans="1:10">
      <c r="A703" s="15">
        <v>40979</v>
      </c>
      <c r="B703" s="11">
        <v>1.9863999999999999</v>
      </c>
      <c r="C703" s="11">
        <f t="shared" si="70"/>
        <v>0</v>
      </c>
      <c r="D703" s="12">
        <f t="shared" si="71"/>
        <v>0</v>
      </c>
      <c r="E703" s="12">
        <f t="shared" si="72"/>
        <v>9.9999999999977966E-9</v>
      </c>
      <c r="F703" s="12">
        <f t="shared" si="73"/>
        <v>3.1825953048145029E-5</v>
      </c>
      <c r="G703" s="12">
        <f t="shared" si="74"/>
        <v>4.2586756931312149</v>
      </c>
      <c r="I703" s="12">
        <f t="shared" si="75"/>
        <v>5.6414495520340363E-3</v>
      </c>
      <c r="J703" s="12">
        <f t="shared" si="76"/>
        <v>5.4233926257759718E-3</v>
      </c>
    </row>
    <row r="704" spans="1:10">
      <c r="A704" s="15">
        <v>40980</v>
      </c>
      <c r="B704" s="11">
        <v>1.9923</v>
      </c>
      <c r="C704" s="11">
        <f t="shared" si="70"/>
        <v>5.9000000000000163E-3</v>
      </c>
      <c r="D704" s="12">
        <f t="shared" si="71"/>
        <v>3.481000000000019E-5</v>
      </c>
      <c r="E704" s="12">
        <f t="shared" si="72"/>
        <v>0</v>
      </c>
      <c r="F704" s="12">
        <f t="shared" si="73"/>
        <v>2.9815326743593823E-5</v>
      </c>
      <c r="G704" s="12">
        <f t="shared" si="74"/>
        <v>3.707545284607852</v>
      </c>
      <c r="I704" s="12">
        <f t="shared" si="75"/>
        <v>5.4603412662208046E-3</v>
      </c>
      <c r="J704" s="12">
        <f t="shared" si="76"/>
        <v>5.4233926257759718E-3</v>
      </c>
    </row>
    <row r="705" spans="1:10">
      <c r="A705" s="15">
        <v>40981</v>
      </c>
      <c r="B705" s="11">
        <v>1.9883</v>
      </c>
      <c r="C705" s="11">
        <f t="shared" si="70"/>
        <v>-4.0000000000000036E-3</v>
      </c>
      <c r="D705" s="12">
        <f t="shared" si="71"/>
        <v>1.600000000000003E-5</v>
      </c>
      <c r="E705" s="12">
        <f t="shared" si="72"/>
        <v>3.481000000000019E-5</v>
      </c>
      <c r="F705" s="12">
        <f t="shared" si="73"/>
        <v>3.0085297460519094E-5</v>
      </c>
      <c r="G705" s="12">
        <f t="shared" si="74"/>
        <v>4.0208878237552677</v>
      </c>
      <c r="I705" s="12">
        <f t="shared" si="75"/>
        <v>5.4850066053304886E-3</v>
      </c>
      <c r="J705" s="12">
        <f t="shared" si="76"/>
        <v>5.4233926257759718E-3</v>
      </c>
    </row>
    <row r="706" spans="1:10">
      <c r="A706" s="15">
        <v>40982</v>
      </c>
      <c r="B706" s="11">
        <v>1.9872000000000001</v>
      </c>
      <c r="C706" s="11">
        <f t="shared" si="70"/>
        <v>-1.0999999999998789E-3</v>
      </c>
      <c r="D706" s="12">
        <f t="shared" si="71"/>
        <v>1.2099999999997335E-6</v>
      </c>
      <c r="E706" s="12">
        <f t="shared" si="72"/>
        <v>1.600000000000003E-5</v>
      </c>
      <c r="F706" s="12">
        <f t="shared" si="73"/>
        <v>2.9211233102257913E-5</v>
      </c>
      <c r="G706" s="12">
        <f t="shared" si="74"/>
        <v>4.2808288625234825</v>
      </c>
      <c r="I706" s="12">
        <f t="shared" si="75"/>
        <v>5.4047417239177966E-3</v>
      </c>
      <c r="J706" s="12">
        <f t="shared" si="76"/>
        <v>5.4233926257759718E-3</v>
      </c>
    </row>
    <row r="707" spans="1:10">
      <c r="A707" s="15">
        <v>40983</v>
      </c>
      <c r="B707" s="11">
        <v>1.9884999999999999</v>
      </c>
      <c r="C707" s="11">
        <f t="shared" si="70"/>
        <v>1.2999999999998568E-3</v>
      </c>
      <c r="D707" s="12">
        <f t="shared" si="71"/>
        <v>1.6899999999996276E-6</v>
      </c>
      <c r="E707" s="12">
        <f t="shared" si="72"/>
        <v>1.2099999999997335E-6</v>
      </c>
      <c r="F707" s="12">
        <f t="shared" si="73"/>
        <v>2.7555131620595699E-5</v>
      </c>
      <c r="G707" s="12">
        <f t="shared" si="74"/>
        <v>4.3000565520382628</v>
      </c>
      <c r="I707" s="12">
        <f t="shared" si="75"/>
        <v>5.2492982026739248E-3</v>
      </c>
      <c r="J707" s="12">
        <f t="shared" si="76"/>
        <v>5.4233926257759718E-3</v>
      </c>
    </row>
    <row r="708" spans="1:10">
      <c r="A708" s="15">
        <v>40984</v>
      </c>
      <c r="B708" s="11">
        <v>1.9916</v>
      </c>
      <c r="C708" s="11">
        <f t="shared" si="70"/>
        <v>3.1000000000001027E-3</v>
      </c>
      <c r="D708" s="12">
        <f t="shared" si="71"/>
        <v>9.6100000000006364E-6</v>
      </c>
      <c r="E708" s="12">
        <f t="shared" si="72"/>
        <v>1.6899999999996276E-6</v>
      </c>
      <c r="F708" s="12">
        <f t="shared" si="73"/>
        <v>2.6106604199656541E-5</v>
      </c>
      <c r="G708" s="12">
        <f t="shared" si="74"/>
        <v>4.1736695349022321</v>
      </c>
      <c r="I708" s="12">
        <f t="shared" si="75"/>
        <v>5.1094622221576841E-3</v>
      </c>
      <c r="J708" s="12">
        <f t="shared" si="76"/>
        <v>5.4233926257759718E-3</v>
      </c>
    </row>
    <row r="709" spans="1:10">
      <c r="A709" s="15">
        <v>40985</v>
      </c>
      <c r="B709" s="11">
        <v>1.9917</v>
      </c>
      <c r="C709" s="11">
        <f t="shared" si="70"/>
        <v>9.9999999999988987E-5</v>
      </c>
      <c r="D709" s="12">
        <f t="shared" si="71"/>
        <v>9.9999999999977966E-9</v>
      </c>
      <c r="E709" s="12">
        <f t="shared" si="72"/>
        <v>9.6100000000006364E-6</v>
      </c>
      <c r="F709" s="12">
        <f t="shared" si="73"/>
        <v>2.5284154852634158E-5</v>
      </c>
      <c r="G709" s="12">
        <f t="shared" si="74"/>
        <v>4.3735300315211809</v>
      </c>
      <c r="I709" s="12">
        <f t="shared" si="75"/>
        <v>5.0283351969249383E-3</v>
      </c>
      <c r="J709" s="12">
        <f t="shared" si="76"/>
        <v>5.4233926257759718E-3</v>
      </c>
    </row>
    <row r="710" spans="1:10">
      <c r="A710" s="15">
        <v>40986</v>
      </c>
      <c r="B710" s="11">
        <v>1.9917</v>
      </c>
      <c r="C710" s="11">
        <f t="shared" si="70"/>
        <v>0</v>
      </c>
      <c r="D710" s="12">
        <f t="shared" si="71"/>
        <v>0</v>
      </c>
      <c r="E710" s="12">
        <f t="shared" si="72"/>
        <v>9.9999999999977966E-9</v>
      </c>
      <c r="F710" s="12">
        <f t="shared" si="73"/>
        <v>2.3981687610125098E-5</v>
      </c>
      <c r="G710" s="12">
        <f t="shared" si="74"/>
        <v>4.4001714769619982</v>
      </c>
      <c r="I710" s="12">
        <f t="shared" si="75"/>
        <v>4.8971101284456626E-3</v>
      </c>
      <c r="J710" s="12">
        <f t="shared" si="76"/>
        <v>5.4233926257759718E-3</v>
      </c>
    </row>
    <row r="711" spans="1:10">
      <c r="A711" s="15">
        <v>40987</v>
      </c>
      <c r="B711" s="11">
        <v>1.9970000000000001</v>
      </c>
      <c r="C711" s="11">
        <f t="shared" si="70"/>
        <v>5.3000000000000824E-3</v>
      </c>
      <c r="D711" s="12">
        <f t="shared" si="71"/>
        <v>2.8090000000000875E-5</v>
      </c>
      <c r="E711" s="12">
        <f t="shared" si="72"/>
        <v>0</v>
      </c>
      <c r="F711" s="12">
        <f t="shared" si="73"/>
        <v>2.2819503635083032E-5</v>
      </c>
      <c r="G711" s="12">
        <f t="shared" si="74"/>
        <v>3.8095266674602017</v>
      </c>
      <c r="I711" s="12">
        <f t="shared" si="75"/>
        <v>4.7769764114011523E-3</v>
      </c>
      <c r="J711" s="12">
        <f t="shared" si="76"/>
        <v>5.4233926257759718E-3</v>
      </c>
    </row>
    <row r="712" spans="1:10">
      <c r="A712" s="15">
        <v>40988</v>
      </c>
      <c r="B712" s="11">
        <v>1.9965999999999999</v>
      </c>
      <c r="C712" s="11">
        <f t="shared" si="70"/>
        <v>-4.0000000000017799E-4</v>
      </c>
      <c r="D712" s="12">
        <f t="shared" si="71"/>
        <v>1.6000000000014238E-7</v>
      </c>
      <c r="E712" s="12">
        <f t="shared" si="72"/>
        <v>2.8090000000000875E-5</v>
      </c>
      <c r="F712" s="12">
        <f t="shared" si="73"/>
        <v>2.3447866152779295E-5</v>
      </c>
      <c r="G712" s="12">
        <f t="shared" si="74"/>
        <v>4.4080151665032892</v>
      </c>
      <c r="I712" s="12">
        <f t="shared" si="75"/>
        <v>4.8422996760608796E-3</v>
      </c>
      <c r="J712" s="12">
        <f t="shared" si="76"/>
        <v>5.4233926257759718E-3</v>
      </c>
    </row>
    <row r="713" spans="1:10">
      <c r="A713" s="15">
        <v>40989</v>
      </c>
      <c r="B713" s="11">
        <v>1.9990000000000001</v>
      </c>
      <c r="C713" s="11">
        <f t="shared" si="70"/>
        <v>2.4000000000001798E-3</v>
      </c>
      <c r="D713" s="12">
        <f t="shared" si="71"/>
        <v>5.760000000000863E-6</v>
      </c>
      <c r="E713" s="12">
        <f t="shared" si="72"/>
        <v>1.6000000000014238E-7</v>
      </c>
      <c r="F713" s="12">
        <f t="shared" si="73"/>
        <v>2.2352903666109473E-5</v>
      </c>
      <c r="G713" s="12">
        <f t="shared" si="74"/>
        <v>4.3064963016343523</v>
      </c>
      <c r="I713" s="12">
        <f t="shared" si="75"/>
        <v>4.7278857501117212E-3</v>
      </c>
      <c r="J713" s="12">
        <f t="shared" si="76"/>
        <v>5.4233926257759718E-3</v>
      </c>
    </row>
    <row r="714" spans="1:10">
      <c r="A714" s="15">
        <v>40990</v>
      </c>
      <c r="B714" s="11">
        <v>1.9962</v>
      </c>
      <c r="C714" s="11">
        <f t="shared" si="70"/>
        <v>-2.8000000000001357E-3</v>
      </c>
      <c r="D714" s="12">
        <f t="shared" si="71"/>
        <v>7.8400000000007601E-6</v>
      </c>
      <c r="E714" s="12">
        <f t="shared" si="72"/>
        <v>5.760000000000863E-6</v>
      </c>
      <c r="F714" s="12">
        <f t="shared" si="73"/>
        <v>2.1708275152704819E-5</v>
      </c>
      <c r="G714" s="12">
        <f t="shared" si="74"/>
        <v>4.2693936730404438</v>
      </c>
      <c r="I714" s="12">
        <f t="shared" si="75"/>
        <v>4.6592140058924984E-3</v>
      </c>
      <c r="J714" s="12">
        <f t="shared" si="76"/>
        <v>5.4233926257759718E-3</v>
      </c>
    </row>
    <row r="715" spans="1:10">
      <c r="A715" s="15">
        <v>40991</v>
      </c>
      <c r="B715" s="11">
        <v>1.9984999999999999</v>
      </c>
      <c r="C715" s="11">
        <f t="shared" si="70"/>
        <v>2.2999999999999687E-3</v>
      </c>
      <c r="D715" s="12">
        <f t="shared" si="71"/>
        <v>5.2899999999998562E-6</v>
      </c>
      <c r="E715" s="12">
        <f t="shared" si="72"/>
        <v>7.8400000000007601E-6</v>
      </c>
      <c r="F715" s="12">
        <f t="shared" si="73"/>
        <v>2.1256648053145599E-5</v>
      </c>
      <c r="G715" s="12">
        <f t="shared" si="74"/>
        <v>4.3360502305442665</v>
      </c>
      <c r="I715" s="12">
        <f t="shared" si="75"/>
        <v>4.6104932548639089E-3</v>
      </c>
      <c r="J715" s="12">
        <f t="shared" si="76"/>
        <v>5.4233926257759718E-3</v>
      </c>
    </row>
    <row r="716" spans="1:10">
      <c r="A716" s="15">
        <v>40992</v>
      </c>
      <c r="B716" s="11">
        <v>2.0011999999999999</v>
      </c>
      <c r="C716" s="11">
        <f t="shared" si="70"/>
        <v>2.6999999999999247E-3</v>
      </c>
      <c r="D716" s="12">
        <f t="shared" si="71"/>
        <v>7.2899999999995931E-6</v>
      </c>
      <c r="E716" s="12">
        <f t="shared" si="72"/>
        <v>5.2899999999998562E-6</v>
      </c>
      <c r="F716" s="12">
        <f t="shared" si="73"/>
        <v>2.0702735413022918E-5</v>
      </c>
      <c r="G716" s="12">
        <f t="shared" si="74"/>
        <v>4.297620129354943</v>
      </c>
      <c r="I716" s="12">
        <f t="shared" si="75"/>
        <v>4.5500258694894163E-3</v>
      </c>
      <c r="J716" s="12">
        <f t="shared" si="76"/>
        <v>5.4233926257759718E-3</v>
      </c>
    </row>
    <row r="717" spans="1:10">
      <c r="A717" s="15">
        <v>40993</v>
      </c>
      <c r="B717" s="11">
        <v>2.0017</v>
      </c>
      <c r="C717" s="11">
        <f t="shared" si="70"/>
        <v>5.0000000000016698E-4</v>
      </c>
      <c r="D717" s="12">
        <f t="shared" si="71"/>
        <v>2.5000000000016696E-7</v>
      </c>
      <c r="E717" s="12">
        <f t="shared" si="72"/>
        <v>7.2899999999995931E-6</v>
      </c>
      <c r="F717" s="12">
        <f t="shared" si="73"/>
        <v>2.0327270825910038E-5</v>
      </c>
      <c r="G717" s="12">
        <f t="shared" si="74"/>
        <v>4.4766856764613934</v>
      </c>
      <c r="I717" s="12">
        <f t="shared" si="75"/>
        <v>4.5085774725416488E-3</v>
      </c>
      <c r="J717" s="12">
        <f t="shared" si="76"/>
        <v>5.4233926257759718E-3</v>
      </c>
    </row>
    <row r="718" spans="1:10">
      <c r="A718" s="15">
        <v>40994</v>
      </c>
      <c r="B718" s="11">
        <v>2.0063</v>
      </c>
      <c r="C718" s="11">
        <f t="shared" ref="C718:C781" si="77">B718-B717</f>
        <v>4.5999999999999375E-3</v>
      </c>
      <c r="D718" s="12">
        <f t="shared" ref="D718:D781" si="78">C718^2</f>
        <v>2.1159999999999425E-5</v>
      </c>
      <c r="E718" s="12">
        <f t="shared" si="72"/>
        <v>2.5000000000016696E-7</v>
      </c>
      <c r="F718" s="12">
        <f t="shared" si="73"/>
        <v>1.9575168685210627E-5</v>
      </c>
      <c r="G718" s="12">
        <f t="shared" si="74"/>
        <v>3.9612051534092747</v>
      </c>
      <c r="I718" s="12">
        <f t="shared" si="75"/>
        <v>4.4243834242988734E-3</v>
      </c>
      <c r="J718" s="12">
        <f t="shared" si="76"/>
        <v>5.4233926257759718E-3</v>
      </c>
    </row>
    <row r="719" spans="1:10">
      <c r="A719" s="15">
        <v>40995</v>
      </c>
      <c r="B719" s="11">
        <v>2.0009000000000001</v>
      </c>
      <c r="C719" s="11">
        <f t="shared" si="77"/>
        <v>-5.3999999999998494E-3</v>
      </c>
      <c r="D719" s="12">
        <f t="shared" si="78"/>
        <v>2.9159999999998372E-5</v>
      </c>
      <c r="E719" s="12">
        <f t="shared" ref="E719:E782" si="79">D718</f>
        <v>2.1159999999999425E-5</v>
      </c>
      <c r="F719" s="12">
        <f t="shared" ref="F719:F782" si="80">$B$5+$B$6*E719+$B$7*F718</f>
        <v>2.0143712575999166E-5</v>
      </c>
      <c r="G719" s="12">
        <f t="shared" ref="G719:G782" si="81">LN((1/SQRT(2*3.1415927*F719))*EXP(-0.5*D719/F719))</f>
        <v>3.763571585314327</v>
      </c>
      <c r="I719" s="12">
        <f t="shared" ref="I719:I782" si="82">SQRT(F719)</f>
        <v>4.4881747488259823E-3</v>
      </c>
      <c r="J719" s="12">
        <f t="shared" si="76"/>
        <v>5.4233926257759718E-3</v>
      </c>
    </row>
    <row r="720" spans="1:10">
      <c r="A720" s="15">
        <v>40996</v>
      </c>
      <c r="B720" s="11">
        <v>2.0017</v>
      </c>
      <c r="C720" s="11">
        <f t="shared" si="77"/>
        <v>7.9999999999991189E-4</v>
      </c>
      <c r="D720" s="12">
        <f t="shared" si="78"/>
        <v>6.3999999999985898E-7</v>
      </c>
      <c r="E720" s="12">
        <f t="shared" si="79"/>
        <v>2.9159999999998372E-5</v>
      </c>
      <c r="F720" s="12">
        <f t="shared" si="80"/>
        <v>2.1124907871607363E-5</v>
      </c>
      <c r="G720" s="12">
        <f t="shared" si="81"/>
        <v>4.4484423372717465</v>
      </c>
      <c r="I720" s="12">
        <f t="shared" si="82"/>
        <v>4.5961840554537593E-3</v>
      </c>
      <c r="J720" s="12">
        <f t="shared" ref="J720:J783" si="83">J719</f>
        <v>5.4233926257759718E-3</v>
      </c>
    </row>
    <row r="721" spans="1:10">
      <c r="A721" s="15">
        <v>40997</v>
      </c>
      <c r="B721" s="11">
        <v>2.0019</v>
      </c>
      <c r="C721" s="11">
        <f t="shared" si="77"/>
        <v>1.9999999999997797E-4</v>
      </c>
      <c r="D721" s="12">
        <f t="shared" si="78"/>
        <v>3.9999999999991186E-8</v>
      </c>
      <c r="E721" s="12">
        <f t="shared" si="79"/>
        <v>6.3999999999985898E-7</v>
      </c>
      <c r="F721" s="12">
        <f t="shared" si="80"/>
        <v>2.0309647236451905E-5</v>
      </c>
      <c r="G721" s="12">
        <f t="shared" si="81"/>
        <v>4.4822839814624889</v>
      </c>
      <c r="I721" s="12">
        <f t="shared" si="82"/>
        <v>4.5066225975171148E-3</v>
      </c>
      <c r="J721" s="12">
        <f t="shared" si="83"/>
        <v>5.4233926257759718E-3</v>
      </c>
    </row>
    <row r="722" spans="1:10">
      <c r="A722" s="15">
        <v>40998</v>
      </c>
      <c r="B722" s="11">
        <v>2.0023</v>
      </c>
      <c r="C722" s="11">
        <f t="shared" si="77"/>
        <v>3.9999999999995595E-4</v>
      </c>
      <c r="D722" s="12">
        <f t="shared" si="78"/>
        <v>1.5999999999996475E-7</v>
      </c>
      <c r="E722" s="12">
        <f t="shared" si="79"/>
        <v>3.9999999999991186E-8</v>
      </c>
      <c r="F722" s="12">
        <f t="shared" si="80"/>
        <v>1.9547004956261199E-5</v>
      </c>
      <c r="G722" s="12">
        <f t="shared" si="81"/>
        <v>4.4983130020182962</v>
      </c>
      <c r="I722" s="12">
        <f t="shared" si="82"/>
        <v>4.4211994929273662E-3</v>
      </c>
      <c r="J722" s="12">
        <f t="shared" si="83"/>
        <v>5.4233926257759718E-3</v>
      </c>
    </row>
    <row r="723" spans="1:10">
      <c r="A723" s="15">
        <v>40999</v>
      </c>
      <c r="B723" s="11">
        <v>2.0074000000000001</v>
      </c>
      <c r="C723" s="11">
        <f t="shared" si="77"/>
        <v>5.1000000000001044E-3</v>
      </c>
      <c r="D723" s="12">
        <f t="shared" si="78"/>
        <v>2.6010000000001064E-5</v>
      </c>
      <c r="E723" s="12">
        <f t="shared" si="79"/>
        <v>1.5999999999996475E-7</v>
      </c>
      <c r="F723" s="12">
        <f t="shared" si="80"/>
        <v>1.8873962888630758E-5</v>
      </c>
      <c r="G723" s="12">
        <f t="shared" si="81"/>
        <v>3.8308805817672824</v>
      </c>
      <c r="I723" s="12">
        <f t="shared" si="82"/>
        <v>4.3444174394998876E-3</v>
      </c>
      <c r="J723" s="12">
        <f t="shared" si="83"/>
        <v>5.4233926257759718E-3</v>
      </c>
    </row>
    <row r="724" spans="1:10">
      <c r="A724" s="15">
        <v>41000</v>
      </c>
      <c r="B724" s="11">
        <v>2.0074000000000001</v>
      </c>
      <c r="C724" s="11">
        <f t="shared" si="77"/>
        <v>0</v>
      </c>
      <c r="D724" s="12">
        <f t="shared" si="78"/>
        <v>0</v>
      </c>
      <c r="E724" s="12">
        <f t="shared" si="79"/>
        <v>2.6010000000001064E-5</v>
      </c>
      <c r="F724" s="12">
        <f t="shared" si="80"/>
        <v>1.9805800549840073E-5</v>
      </c>
      <c r="G724" s="12">
        <f t="shared" si="81"/>
        <v>4.4958293124612609</v>
      </c>
      <c r="I724" s="12">
        <f t="shared" si="82"/>
        <v>4.4503708328452896E-3</v>
      </c>
      <c r="J724" s="12">
        <f t="shared" si="83"/>
        <v>5.4233926257759718E-3</v>
      </c>
    </row>
    <row r="725" spans="1:10">
      <c r="A725" s="15">
        <v>41001</v>
      </c>
      <c r="B725" s="11">
        <v>2.0024000000000002</v>
      </c>
      <c r="C725" s="11">
        <f t="shared" si="77"/>
        <v>-4.9999999999998934E-3</v>
      </c>
      <c r="D725" s="12">
        <f t="shared" si="78"/>
        <v>2.4999999999998934E-5</v>
      </c>
      <c r="E725" s="12">
        <f t="shared" si="79"/>
        <v>0</v>
      </c>
      <c r="F725" s="12">
        <f t="shared" si="80"/>
        <v>1.9095284021952834E-5</v>
      </c>
      <c r="G725" s="12">
        <f t="shared" si="81"/>
        <v>3.8594841491299823</v>
      </c>
      <c r="I725" s="12">
        <f t="shared" si="82"/>
        <v>4.3698151015749889E-3</v>
      </c>
      <c r="J725" s="12">
        <f t="shared" si="83"/>
        <v>5.4233926257759718E-3</v>
      </c>
    </row>
    <row r="726" spans="1:10">
      <c r="A726" s="15">
        <v>41002</v>
      </c>
      <c r="B726" s="11">
        <v>2.0019999999999998</v>
      </c>
      <c r="C726" s="11">
        <f t="shared" si="77"/>
        <v>-4.0000000000040004E-4</v>
      </c>
      <c r="D726" s="12">
        <f t="shared" si="78"/>
        <v>1.6000000000032002E-7</v>
      </c>
      <c r="E726" s="12">
        <f t="shared" si="79"/>
        <v>2.4999999999998934E-5</v>
      </c>
      <c r="F726" s="12">
        <f t="shared" si="80"/>
        <v>1.9943322523135188E-5</v>
      </c>
      <c r="G726" s="12">
        <f t="shared" si="81"/>
        <v>4.4883581823370235</v>
      </c>
      <c r="I726" s="12">
        <f t="shared" si="82"/>
        <v>4.4657947246974066E-3</v>
      </c>
      <c r="J726" s="12">
        <f t="shared" si="83"/>
        <v>5.4233926257759718E-3</v>
      </c>
    </row>
    <row r="727" spans="1:10">
      <c r="A727" s="15">
        <v>41003</v>
      </c>
      <c r="B727" s="11">
        <v>1.9933000000000001</v>
      </c>
      <c r="C727" s="11">
        <f t="shared" si="77"/>
        <v>-8.699999999999708E-3</v>
      </c>
      <c r="D727" s="12">
        <f t="shared" si="78"/>
        <v>7.568999999999492E-5</v>
      </c>
      <c r="E727" s="12">
        <f t="shared" si="79"/>
        <v>1.6000000000032002E-7</v>
      </c>
      <c r="F727" s="12">
        <f t="shared" si="80"/>
        <v>1.9227414415042373E-5</v>
      </c>
      <c r="G727" s="12">
        <f t="shared" si="81"/>
        <v>2.5423648231529836</v>
      </c>
      <c r="I727" s="12">
        <f t="shared" si="82"/>
        <v>4.3849075720067774E-3</v>
      </c>
      <c r="J727" s="12">
        <f t="shared" si="83"/>
        <v>5.4233926257759718E-3</v>
      </c>
    </row>
    <row r="728" spans="1:10">
      <c r="A728" s="15">
        <v>41004</v>
      </c>
      <c r="B728" s="11">
        <v>1.9954000000000001</v>
      </c>
      <c r="C728" s="11">
        <f t="shared" si="77"/>
        <v>2.0999999999999908E-3</v>
      </c>
      <c r="D728" s="12">
        <f t="shared" si="78"/>
        <v>4.4099999999999612E-6</v>
      </c>
      <c r="E728" s="12">
        <f t="shared" si="79"/>
        <v>7.568999999999492E-5</v>
      </c>
      <c r="F728" s="12">
        <f t="shared" si="80"/>
        <v>2.306546656999451E-5</v>
      </c>
      <c r="G728" s="12">
        <f t="shared" si="81"/>
        <v>4.3240510065182098</v>
      </c>
      <c r="I728" s="12">
        <f t="shared" si="82"/>
        <v>4.8026520350733836E-3</v>
      </c>
      <c r="J728" s="12">
        <f t="shared" si="83"/>
        <v>5.4233926257759718E-3</v>
      </c>
    </row>
    <row r="729" spans="1:10">
      <c r="A729" s="15">
        <v>41005</v>
      </c>
      <c r="B729" s="11">
        <v>1.9913000000000001</v>
      </c>
      <c r="C729" s="11">
        <f t="shared" si="77"/>
        <v>-4.0999999999999925E-3</v>
      </c>
      <c r="D729" s="12">
        <f t="shared" si="78"/>
        <v>1.6809999999999939E-5</v>
      </c>
      <c r="E729" s="12">
        <f t="shared" si="79"/>
        <v>4.4099999999999612E-6</v>
      </c>
      <c r="F729" s="12">
        <f t="shared" si="80"/>
        <v>2.2263754587077674E-5</v>
      </c>
      <c r="G729" s="12">
        <f t="shared" si="81"/>
        <v>4.059817305105625</v>
      </c>
      <c r="I729" s="12">
        <f t="shared" si="82"/>
        <v>4.7184483240868148E-3</v>
      </c>
      <c r="J729" s="12">
        <f t="shared" si="83"/>
        <v>5.4233926257759718E-3</v>
      </c>
    </row>
    <row r="730" spans="1:10">
      <c r="A730" s="15">
        <v>41006</v>
      </c>
      <c r="B730" s="11">
        <v>1.9993000000000001</v>
      </c>
      <c r="C730" s="11">
        <f t="shared" si="77"/>
        <v>8.0000000000000071E-3</v>
      </c>
      <c r="D730" s="12">
        <f t="shared" si="78"/>
        <v>6.4000000000000119E-5</v>
      </c>
      <c r="E730" s="12">
        <f t="shared" si="79"/>
        <v>1.6809999999999939E-5</v>
      </c>
      <c r="F730" s="12">
        <f t="shared" si="80"/>
        <v>2.2283682107561345E-5</v>
      </c>
      <c r="G730" s="12">
        <f t="shared" si="81"/>
        <v>3.0008610214047535</v>
      </c>
      <c r="I730" s="12">
        <f t="shared" si="82"/>
        <v>4.7205595121300337E-3</v>
      </c>
      <c r="J730" s="12">
        <f t="shared" si="83"/>
        <v>5.4233926257759718E-3</v>
      </c>
    </row>
    <row r="731" spans="1:10">
      <c r="A731" s="15">
        <v>41007</v>
      </c>
      <c r="B731" s="11">
        <v>1.9993000000000001</v>
      </c>
      <c r="C731" s="11">
        <f t="shared" si="77"/>
        <v>0</v>
      </c>
      <c r="D731" s="12">
        <f t="shared" si="78"/>
        <v>0</v>
      </c>
      <c r="E731" s="12">
        <f t="shared" si="79"/>
        <v>6.4000000000000119E-5</v>
      </c>
      <c r="F731" s="12">
        <f t="shared" si="80"/>
        <v>2.5098320543470371E-5</v>
      </c>
      <c r="G731" s="12">
        <f t="shared" si="81"/>
        <v>4.3774162717508442</v>
      </c>
      <c r="I731" s="12">
        <f t="shared" si="82"/>
        <v>5.0098224063803267E-3</v>
      </c>
      <c r="J731" s="12">
        <f t="shared" si="83"/>
        <v>5.4233926257759718E-3</v>
      </c>
    </row>
    <row r="732" spans="1:10">
      <c r="A732" s="15">
        <v>41008</v>
      </c>
      <c r="B732" s="11">
        <v>1.9991000000000001</v>
      </c>
      <c r="C732" s="11">
        <f t="shared" si="77"/>
        <v>-1.9999999999997797E-4</v>
      </c>
      <c r="D732" s="12">
        <f t="shared" si="78"/>
        <v>3.9999999999991186E-8</v>
      </c>
      <c r="E732" s="12">
        <f t="shared" si="79"/>
        <v>0</v>
      </c>
      <c r="F732" s="12">
        <f t="shared" si="80"/>
        <v>2.3815360613731233E-5</v>
      </c>
      <c r="G732" s="12">
        <f t="shared" si="81"/>
        <v>4.4028115560469523</v>
      </c>
      <c r="I732" s="12">
        <f t="shared" si="82"/>
        <v>4.8800984225455162E-3</v>
      </c>
      <c r="J732" s="12">
        <f t="shared" si="83"/>
        <v>5.4233926257759718E-3</v>
      </c>
    </row>
    <row r="733" spans="1:10">
      <c r="A733" s="15">
        <v>41009</v>
      </c>
      <c r="B733" s="11">
        <v>1.9945999999999999</v>
      </c>
      <c r="C733" s="11">
        <f t="shared" si="77"/>
        <v>-4.5000000000001705E-3</v>
      </c>
      <c r="D733" s="12">
        <f t="shared" si="78"/>
        <v>2.0250000000001536E-5</v>
      </c>
      <c r="E733" s="12">
        <f t="shared" si="79"/>
        <v>3.9999999999991186E-8</v>
      </c>
      <c r="F733" s="12">
        <f t="shared" si="80"/>
        <v>2.2673537434078128E-5</v>
      </c>
      <c r="G733" s="12">
        <f t="shared" si="81"/>
        <v>3.9816616765195572</v>
      </c>
      <c r="I733" s="12">
        <f t="shared" si="82"/>
        <v>4.7616738059298152E-3</v>
      </c>
      <c r="J733" s="12">
        <f t="shared" si="83"/>
        <v>5.4233926257759718E-3</v>
      </c>
    </row>
    <row r="734" spans="1:10">
      <c r="A734" s="15">
        <v>41010</v>
      </c>
      <c r="B734" s="11">
        <v>2.0011999999999999</v>
      </c>
      <c r="C734" s="11">
        <f t="shared" si="77"/>
        <v>6.5999999999999392E-3</v>
      </c>
      <c r="D734" s="12">
        <f t="shared" si="78"/>
        <v>4.3559999999999197E-5</v>
      </c>
      <c r="E734" s="12">
        <f t="shared" si="79"/>
        <v>2.0250000000001536E-5</v>
      </c>
      <c r="F734" s="12">
        <f t="shared" si="80"/>
        <v>2.2853025101350319E-5</v>
      </c>
      <c r="G734" s="12">
        <f t="shared" si="81"/>
        <v>3.4712282962319962</v>
      </c>
      <c r="I734" s="12">
        <f t="shared" si="82"/>
        <v>4.7804837727316177E-3</v>
      </c>
      <c r="J734" s="12">
        <f t="shared" si="83"/>
        <v>5.4233926257759718E-3</v>
      </c>
    </row>
    <row r="735" spans="1:10">
      <c r="A735" s="15">
        <v>41011</v>
      </c>
      <c r="B735" s="11">
        <v>2.0078999999999998</v>
      </c>
      <c r="C735" s="11">
        <f t="shared" si="77"/>
        <v>6.6999999999999282E-3</v>
      </c>
      <c r="D735" s="12">
        <f t="shared" si="78"/>
        <v>4.4889999999999037E-5</v>
      </c>
      <c r="E735" s="12">
        <f t="shared" si="79"/>
        <v>4.3559999999999197E-5</v>
      </c>
      <c r="F735" s="12">
        <f t="shared" si="80"/>
        <v>2.4394640941748823E-5</v>
      </c>
      <c r="G735" s="12">
        <f t="shared" si="81"/>
        <v>3.4715558716585289</v>
      </c>
      <c r="I735" s="12">
        <f t="shared" si="82"/>
        <v>4.9390931294873179E-3</v>
      </c>
      <c r="J735" s="12">
        <f t="shared" si="83"/>
        <v>5.4233926257759718E-3</v>
      </c>
    </row>
    <row r="736" spans="1:10">
      <c r="A736" s="15">
        <v>41012</v>
      </c>
      <c r="B736" s="11">
        <v>2.0032000000000001</v>
      </c>
      <c r="C736" s="11">
        <f t="shared" si="77"/>
        <v>-4.6999999999997044E-3</v>
      </c>
      <c r="D736" s="12">
        <f t="shared" si="78"/>
        <v>2.2089999999997222E-5</v>
      </c>
      <c r="E736" s="12">
        <f t="shared" si="79"/>
        <v>4.4889999999999037E-5</v>
      </c>
      <c r="F736" s="12">
        <f t="shared" si="80"/>
        <v>2.584834102391088E-5</v>
      </c>
      <c r="G736" s="12">
        <f t="shared" si="81"/>
        <v>3.9353933773309375</v>
      </c>
      <c r="I736" s="12">
        <f t="shared" si="82"/>
        <v>5.084126377649446E-3</v>
      </c>
      <c r="J736" s="12">
        <f t="shared" si="83"/>
        <v>5.4233926257759718E-3</v>
      </c>
    </row>
    <row r="737" spans="1:10">
      <c r="A737" s="15">
        <v>41013</v>
      </c>
      <c r="B737" s="11">
        <v>2.0032999999999999</v>
      </c>
      <c r="C737" s="11">
        <f t="shared" si="77"/>
        <v>9.9999999999766942E-5</v>
      </c>
      <c r="D737" s="12">
        <f t="shared" si="78"/>
        <v>9.9999999999533886E-9</v>
      </c>
      <c r="E737" s="12">
        <f t="shared" si="79"/>
        <v>2.2089999999997222E-5</v>
      </c>
      <c r="F737" s="12">
        <f t="shared" si="80"/>
        <v>2.5793492757352258E-5</v>
      </c>
      <c r="G737" s="12">
        <f t="shared" si="81"/>
        <v>4.3635617703456093</v>
      </c>
      <c r="I737" s="12">
        <f t="shared" si="82"/>
        <v>5.0787294432123728E-3</v>
      </c>
      <c r="J737" s="12">
        <f t="shared" si="83"/>
        <v>5.4233926257759718E-3</v>
      </c>
    </row>
    <row r="738" spans="1:10">
      <c r="A738" s="15">
        <v>41014</v>
      </c>
      <c r="B738" s="11">
        <v>2.0032999999999999</v>
      </c>
      <c r="C738" s="11">
        <f t="shared" si="77"/>
        <v>0</v>
      </c>
      <c r="D738" s="12">
        <f t="shared" si="78"/>
        <v>0</v>
      </c>
      <c r="E738" s="12">
        <f t="shared" si="79"/>
        <v>9.9999999999533886E-9</v>
      </c>
      <c r="F738" s="12">
        <f t="shared" si="80"/>
        <v>2.4435935099838652E-5</v>
      </c>
      <c r="G738" s="12">
        <f t="shared" si="81"/>
        <v>4.3907893389611043</v>
      </c>
      <c r="I738" s="12">
        <f t="shared" si="82"/>
        <v>4.9432716999815675E-3</v>
      </c>
      <c r="J738" s="12">
        <f t="shared" si="83"/>
        <v>5.4233926257759718E-3</v>
      </c>
    </row>
    <row r="739" spans="1:10">
      <c r="A739" s="15">
        <v>41015</v>
      </c>
      <c r="B739" s="11">
        <v>2.0083000000000002</v>
      </c>
      <c r="C739" s="11">
        <f t="shared" si="77"/>
        <v>5.0000000000003375E-3</v>
      </c>
      <c r="D739" s="12">
        <f t="shared" si="78"/>
        <v>2.5000000000003376E-5</v>
      </c>
      <c r="E739" s="12">
        <f t="shared" si="79"/>
        <v>0</v>
      </c>
      <c r="F739" s="12">
        <f t="shared" si="80"/>
        <v>2.3224619335288512E-5</v>
      </c>
      <c r="G739" s="12">
        <f t="shared" si="81"/>
        <v>3.8779883372384742</v>
      </c>
      <c r="I739" s="12">
        <f t="shared" si="82"/>
        <v>4.8191928095157712E-3</v>
      </c>
      <c r="J739" s="12">
        <f t="shared" si="83"/>
        <v>5.4233926257759718E-3</v>
      </c>
    </row>
    <row r="740" spans="1:10">
      <c r="A740" s="15">
        <v>41016</v>
      </c>
      <c r="B740" s="11">
        <v>2.0051000000000001</v>
      </c>
      <c r="C740" s="11">
        <f t="shared" si="77"/>
        <v>-3.2000000000000917E-3</v>
      </c>
      <c r="D740" s="12">
        <f t="shared" si="78"/>
        <v>1.0240000000000586E-5</v>
      </c>
      <c r="E740" s="12">
        <f t="shared" si="79"/>
        <v>2.5000000000003376E-5</v>
      </c>
      <c r="F740" s="12">
        <f t="shared" si="80"/>
        <v>2.3626025465313733E-5</v>
      </c>
      <c r="G740" s="12">
        <f t="shared" si="81"/>
        <v>4.1909321289914345</v>
      </c>
      <c r="I740" s="12">
        <f t="shared" si="82"/>
        <v>4.860661011149999E-3</v>
      </c>
      <c r="J740" s="12">
        <f t="shared" si="83"/>
        <v>5.4233926257759718E-3</v>
      </c>
    </row>
    <row r="741" spans="1:10">
      <c r="A741" s="15">
        <v>41017</v>
      </c>
      <c r="B741" s="11">
        <v>2.0068000000000001</v>
      </c>
      <c r="C741" s="11">
        <f t="shared" si="77"/>
        <v>1.7000000000000348E-3</v>
      </c>
      <c r="D741" s="12">
        <f t="shared" si="78"/>
        <v>2.8900000000001184E-6</v>
      </c>
      <c r="E741" s="12">
        <f t="shared" si="79"/>
        <v>1.0240000000000586E-5</v>
      </c>
      <c r="F741" s="12">
        <f t="shared" si="80"/>
        <v>2.3109216560024594E-5</v>
      </c>
      <c r="G741" s="12">
        <f t="shared" si="81"/>
        <v>4.3561718124348623</v>
      </c>
      <c r="I741" s="12">
        <f t="shared" si="82"/>
        <v>4.8072046513566065E-3</v>
      </c>
      <c r="J741" s="12">
        <f t="shared" si="83"/>
        <v>5.4233926257759718E-3</v>
      </c>
    </row>
    <row r="742" spans="1:10">
      <c r="A742" s="15">
        <v>41018</v>
      </c>
      <c r="B742" s="11">
        <v>1.9994000000000001</v>
      </c>
      <c r="C742" s="11">
        <f t="shared" si="77"/>
        <v>-7.4000000000000732E-3</v>
      </c>
      <c r="D742" s="12">
        <f t="shared" si="78"/>
        <v>5.4760000000001082E-5</v>
      </c>
      <c r="E742" s="12">
        <f t="shared" si="79"/>
        <v>2.8900000000001184E-6</v>
      </c>
      <c r="F742" s="12">
        <f t="shared" si="80"/>
        <v>2.2212684879590354E-5</v>
      </c>
      <c r="G742" s="12">
        <f t="shared" si="81"/>
        <v>3.205855959817792</v>
      </c>
      <c r="I742" s="12">
        <f t="shared" si="82"/>
        <v>4.7130335114011603E-3</v>
      </c>
      <c r="J742" s="12">
        <f t="shared" si="83"/>
        <v>5.4233926257759718E-3</v>
      </c>
    </row>
    <row r="743" spans="1:10">
      <c r="A743" s="15">
        <v>41019</v>
      </c>
      <c r="B743" s="11">
        <v>2.0095000000000001</v>
      </c>
      <c r="C743" s="11">
        <f t="shared" si="77"/>
        <v>1.0099999999999998E-2</v>
      </c>
      <c r="D743" s="12">
        <f t="shared" si="78"/>
        <v>1.0200999999999995E-4</v>
      </c>
      <c r="E743" s="12">
        <f t="shared" si="79"/>
        <v>5.4760000000001082E-5</v>
      </c>
      <c r="F743" s="12">
        <f t="shared" si="80"/>
        <v>2.4487364280003973E-5</v>
      </c>
      <c r="G743" s="12">
        <f t="shared" si="81"/>
        <v>2.306827135117774</v>
      </c>
      <c r="I743" s="12">
        <f t="shared" si="82"/>
        <v>4.9484709032188894E-3</v>
      </c>
      <c r="J743" s="12">
        <f t="shared" si="83"/>
        <v>5.4233926257759718E-3</v>
      </c>
    </row>
    <row r="744" spans="1:10">
      <c r="A744" s="15">
        <v>41020</v>
      </c>
      <c r="B744" s="11">
        <v>2.0129000000000001</v>
      </c>
      <c r="C744" s="11">
        <f t="shared" si="77"/>
        <v>3.4000000000000696E-3</v>
      </c>
      <c r="D744" s="12">
        <f t="shared" si="78"/>
        <v>1.1560000000000474E-5</v>
      </c>
      <c r="E744" s="12">
        <f t="shared" si="79"/>
        <v>1.0200999999999995E-4</v>
      </c>
      <c r="F744" s="12">
        <f t="shared" si="80"/>
        <v>2.9316434833151438E-5</v>
      </c>
      <c r="G744" s="12">
        <f t="shared" si="81"/>
        <v>4.1025835661490211</v>
      </c>
      <c r="I744" s="12">
        <f t="shared" si="82"/>
        <v>5.4144653321589785E-3</v>
      </c>
      <c r="J744" s="12">
        <f t="shared" si="83"/>
        <v>5.4233926257759718E-3</v>
      </c>
    </row>
    <row r="745" spans="1:10">
      <c r="A745" s="15">
        <v>41021</v>
      </c>
      <c r="B745" s="11">
        <v>2.0061</v>
      </c>
      <c r="C745" s="11">
        <f t="shared" si="77"/>
        <v>-6.8000000000001393E-3</v>
      </c>
      <c r="D745" s="12">
        <f t="shared" si="78"/>
        <v>4.6240000000001895E-5</v>
      </c>
      <c r="E745" s="12">
        <f t="shared" si="79"/>
        <v>1.1560000000000474E-5</v>
      </c>
      <c r="F745" s="12">
        <f t="shared" si="80"/>
        <v>2.8262380499723382E-5</v>
      </c>
      <c r="G745" s="12">
        <f t="shared" si="81"/>
        <v>3.5000023620298055</v>
      </c>
      <c r="I745" s="12">
        <f t="shared" si="82"/>
        <v>5.3162374382380046E-3</v>
      </c>
      <c r="J745" s="12">
        <f t="shared" si="83"/>
        <v>5.4233926257759718E-3</v>
      </c>
    </row>
    <row r="746" spans="1:10">
      <c r="A746" s="15">
        <v>41022</v>
      </c>
      <c r="B746" s="11">
        <v>2.0085000000000002</v>
      </c>
      <c r="C746" s="11">
        <f t="shared" si="77"/>
        <v>2.4000000000001798E-3</v>
      </c>
      <c r="D746" s="12">
        <f t="shared" si="78"/>
        <v>5.760000000000863E-6</v>
      </c>
      <c r="E746" s="12">
        <f t="shared" si="79"/>
        <v>4.6240000000001895E-5</v>
      </c>
      <c r="F746" s="12">
        <f t="shared" si="80"/>
        <v>2.9377754695186868E-5</v>
      </c>
      <c r="G746" s="12">
        <f t="shared" si="81"/>
        <v>4.2006645059974765</v>
      </c>
      <c r="I746" s="12">
        <f t="shared" si="82"/>
        <v>5.4201249704399681E-3</v>
      </c>
      <c r="J746" s="12">
        <f t="shared" si="83"/>
        <v>5.4233926257759718E-3</v>
      </c>
    </row>
    <row r="747" spans="1:10">
      <c r="A747" s="15">
        <v>41023</v>
      </c>
      <c r="B747" s="11">
        <v>2.0196000000000001</v>
      </c>
      <c r="C747" s="11">
        <f t="shared" si="77"/>
        <v>1.1099999999999888E-2</v>
      </c>
      <c r="D747" s="12">
        <f t="shared" si="78"/>
        <v>1.2320999999999751E-4</v>
      </c>
      <c r="E747" s="12">
        <f t="shared" si="79"/>
        <v>5.760000000000863E-6</v>
      </c>
      <c r="F747" s="12">
        <f t="shared" si="80"/>
        <v>2.7973312402065247E-5</v>
      </c>
      <c r="G747" s="12">
        <f t="shared" si="81"/>
        <v>2.1209136498174943</v>
      </c>
      <c r="I747" s="12">
        <f t="shared" si="82"/>
        <v>5.2889802799845308E-3</v>
      </c>
      <c r="J747" s="12">
        <f t="shared" si="83"/>
        <v>5.4233926257759718E-3</v>
      </c>
    </row>
    <row r="748" spans="1:10">
      <c r="A748" s="15">
        <v>41024</v>
      </c>
      <c r="B748" s="11">
        <v>2.0226000000000002</v>
      </c>
      <c r="C748" s="11">
        <f t="shared" si="77"/>
        <v>3.0000000000001137E-3</v>
      </c>
      <c r="D748" s="12">
        <f t="shared" si="78"/>
        <v>9.0000000000006829E-6</v>
      </c>
      <c r="E748" s="12">
        <f t="shared" si="79"/>
        <v>1.2320999999999751E-4</v>
      </c>
      <c r="F748" s="12">
        <f t="shared" si="80"/>
        <v>3.3681825693022823E-5</v>
      </c>
      <c r="G748" s="12">
        <f t="shared" si="81"/>
        <v>4.0967343318475544</v>
      </c>
      <c r="I748" s="12">
        <f t="shared" si="82"/>
        <v>5.8036045431285911E-3</v>
      </c>
      <c r="J748" s="12">
        <f t="shared" si="83"/>
        <v>5.4233926257759718E-3</v>
      </c>
    </row>
    <row r="749" spans="1:10">
      <c r="A749" s="15">
        <v>41025</v>
      </c>
      <c r="B749" s="11">
        <v>2.0366</v>
      </c>
      <c r="C749" s="11">
        <f t="shared" si="77"/>
        <v>1.399999999999979E-2</v>
      </c>
      <c r="D749" s="12">
        <f t="shared" si="78"/>
        <v>1.9599999999999414E-4</v>
      </c>
      <c r="E749" s="12">
        <f t="shared" si="79"/>
        <v>9.0000000000006829E-6</v>
      </c>
      <c r="F749" s="12">
        <f t="shared" si="80"/>
        <v>3.2003880434061206E-5</v>
      </c>
      <c r="G749" s="12">
        <f t="shared" si="81"/>
        <v>1.1937594835228533</v>
      </c>
      <c r="I749" s="12">
        <f t="shared" si="82"/>
        <v>5.6571972242499382E-3</v>
      </c>
      <c r="J749" s="12">
        <f t="shared" si="83"/>
        <v>5.4233926257759718E-3</v>
      </c>
    </row>
    <row r="750" spans="1:10">
      <c r="A750" s="15">
        <v>41026</v>
      </c>
      <c r="B750" s="11">
        <v>2.04</v>
      </c>
      <c r="C750" s="11">
        <f t="shared" si="77"/>
        <v>3.4000000000000696E-3</v>
      </c>
      <c r="D750" s="12">
        <f t="shared" si="78"/>
        <v>1.1560000000000474E-5</v>
      </c>
      <c r="E750" s="12">
        <f t="shared" si="79"/>
        <v>1.9599999999999414E-4</v>
      </c>
      <c r="F750" s="12">
        <f t="shared" si="80"/>
        <v>4.1590576283218296E-5</v>
      </c>
      <c r="G750" s="12">
        <f t="shared" si="81"/>
        <v>3.9859061437605661</v>
      </c>
      <c r="I750" s="12">
        <f t="shared" si="82"/>
        <v>6.4490756146302316E-3</v>
      </c>
      <c r="J750" s="12">
        <f t="shared" si="83"/>
        <v>5.4233926257759718E-3</v>
      </c>
    </row>
    <row r="751" spans="1:10">
      <c r="A751" s="15">
        <v>41027</v>
      </c>
      <c r="B751" s="11">
        <v>2.0363000000000002</v>
      </c>
      <c r="C751" s="11">
        <f t="shared" si="77"/>
        <v>-3.6999999999998145E-3</v>
      </c>
      <c r="D751" s="12">
        <f t="shared" si="78"/>
        <v>1.3689999999998627E-5</v>
      </c>
      <c r="E751" s="12">
        <f t="shared" si="79"/>
        <v>1.1560000000000474E-5</v>
      </c>
      <c r="F751" s="12">
        <f t="shared" si="80"/>
        <v>3.9208940515058976E-5</v>
      </c>
      <c r="G751" s="12">
        <f t="shared" si="81"/>
        <v>3.979786810533855</v>
      </c>
      <c r="I751" s="12">
        <f t="shared" si="82"/>
        <v>6.2617042819873708E-3</v>
      </c>
      <c r="J751" s="12">
        <f t="shared" si="83"/>
        <v>5.4233926257759718E-3</v>
      </c>
    </row>
    <row r="752" spans="1:10">
      <c r="A752" s="15">
        <v>41028</v>
      </c>
      <c r="B752" s="11">
        <v>2.0396999999999998</v>
      </c>
      <c r="C752" s="11">
        <f t="shared" si="77"/>
        <v>3.3999999999996255E-3</v>
      </c>
      <c r="D752" s="12">
        <f t="shared" si="78"/>
        <v>1.1559999999997453E-5</v>
      </c>
      <c r="E752" s="12">
        <f t="shared" si="79"/>
        <v>1.3689999999998627E-5</v>
      </c>
      <c r="F752" s="12">
        <f t="shared" si="80"/>
        <v>3.7211145732343619E-5</v>
      </c>
      <c r="G752" s="12">
        <f t="shared" si="81"/>
        <v>4.0251827672394667</v>
      </c>
      <c r="I752" s="12">
        <f t="shared" si="82"/>
        <v>6.1000939117642787E-3</v>
      </c>
      <c r="J752" s="12">
        <f t="shared" si="83"/>
        <v>5.4233926257759718E-3</v>
      </c>
    </row>
    <row r="753" spans="1:10">
      <c r="A753" s="15">
        <v>41029</v>
      </c>
      <c r="B753" s="11">
        <v>2.0297000000000001</v>
      </c>
      <c r="C753" s="11">
        <f t="shared" si="77"/>
        <v>-9.9999999999997868E-3</v>
      </c>
      <c r="D753" s="12">
        <f t="shared" si="78"/>
        <v>9.9999999999995736E-5</v>
      </c>
      <c r="E753" s="12">
        <f t="shared" si="79"/>
        <v>1.1559999999997453E-5</v>
      </c>
      <c r="F753" s="12">
        <f t="shared" si="80"/>
        <v>3.5303192846012438E-5</v>
      </c>
      <c r="G753" s="12">
        <f t="shared" si="81"/>
        <v>2.7905275421141331</v>
      </c>
      <c r="I753" s="12">
        <f t="shared" si="82"/>
        <v>5.9416490005731945E-3</v>
      </c>
      <c r="J753" s="12">
        <f t="shared" si="83"/>
        <v>5.4233926257759718E-3</v>
      </c>
    </row>
    <row r="754" spans="1:10">
      <c r="A754" s="15">
        <v>41030</v>
      </c>
      <c r="B754" s="11">
        <v>2.0295999999999998</v>
      </c>
      <c r="C754" s="11">
        <f t="shared" si="77"/>
        <v>-1.0000000000021103E-4</v>
      </c>
      <c r="D754" s="12">
        <f t="shared" si="78"/>
        <v>1.0000000000042206E-8</v>
      </c>
      <c r="E754" s="12">
        <f t="shared" si="79"/>
        <v>9.9999999999995736E-5</v>
      </c>
      <c r="F754" s="12">
        <f t="shared" si="80"/>
        <v>3.8843285229973105E-5</v>
      </c>
      <c r="G754" s="12">
        <f t="shared" si="81"/>
        <v>4.1589204042531582</v>
      </c>
      <c r="I754" s="12">
        <f t="shared" si="82"/>
        <v>6.2324381448974767E-3</v>
      </c>
      <c r="J754" s="12">
        <f t="shared" si="83"/>
        <v>5.4233926257759718E-3</v>
      </c>
    </row>
    <row r="755" spans="1:10">
      <c r="A755" s="15">
        <v>41031</v>
      </c>
      <c r="B755" s="11">
        <v>2.0272999999999999</v>
      </c>
      <c r="C755" s="11">
        <f t="shared" si="77"/>
        <v>-2.2999999999999687E-3</v>
      </c>
      <c r="D755" s="12">
        <f t="shared" si="78"/>
        <v>5.2899999999998562E-6</v>
      </c>
      <c r="E755" s="12">
        <f t="shared" si="79"/>
        <v>1.0000000000042206E-8</v>
      </c>
      <c r="F755" s="12">
        <f t="shared" si="80"/>
        <v>3.6074251072516368E-5</v>
      </c>
      <c r="G755" s="12">
        <f t="shared" si="81"/>
        <v>4.1227060708294907</v>
      </c>
      <c r="I755" s="12">
        <f t="shared" si="82"/>
        <v>6.0061844021405443E-3</v>
      </c>
      <c r="J755" s="12">
        <f t="shared" si="83"/>
        <v>5.4233926257759718E-3</v>
      </c>
    </row>
    <row r="756" spans="1:10">
      <c r="A756" s="15">
        <v>41032</v>
      </c>
      <c r="B756" s="11">
        <v>2.0322</v>
      </c>
      <c r="C756" s="11">
        <f t="shared" si="77"/>
        <v>4.9000000000001265E-3</v>
      </c>
      <c r="D756" s="12">
        <f t="shared" si="78"/>
        <v>2.4010000000001239E-5</v>
      </c>
      <c r="E756" s="12">
        <f t="shared" si="79"/>
        <v>5.2899999999998562E-6</v>
      </c>
      <c r="F756" s="12">
        <f t="shared" si="80"/>
        <v>3.3917654060882915E-5</v>
      </c>
      <c r="G756" s="12">
        <f t="shared" si="81"/>
        <v>3.8729034448277484</v>
      </c>
      <c r="I756" s="12">
        <f t="shared" si="82"/>
        <v>5.8238865082419758E-3</v>
      </c>
      <c r="J756" s="12">
        <f t="shared" si="83"/>
        <v>5.4233926257759718E-3</v>
      </c>
    </row>
    <row r="757" spans="1:10">
      <c r="A757" s="15">
        <v>41033</v>
      </c>
      <c r="B757" s="11">
        <v>2.0333999999999999</v>
      </c>
      <c r="C757" s="11">
        <f t="shared" si="77"/>
        <v>1.1999999999998678E-3</v>
      </c>
      <c r="D757" s="12">
        <f t="shared" si="78"/>
        <v>1.4399999999996828E-6</v>
      </c>
      <c r="E757" s="12">
        <f t="shared" si="79"/>
        <v>2.4010000000001239E-5</v>
      </c>
      <c r="F757" s="12">
        <f t="shared" si="80"/>
        <v>3.3103817069089313E-5</v>
      </c>
      <c r="G757" s="12">
        <f t="shared" si="81"/>
        <v>4.2172426831759857</v>
      </c>
      <c r="I757" s="12">
        <f t="shared" si="82"/>
        <v>5.7535916668711648E-3</v>
      </c>
      <c r="J757" s="12">
        <f t="shared" si="83"/>
        <v>5.4233926257759718E-3</v>
      </c>
    </row>
    <row r="758" spans="1:10">
      <c r="A758" s="15">
        <v>41034</v>
      </c>
      <c r="B758" s="11">
        <v>2.0333999999999999</v>
      </c>
      <c r="C758" s="11">
        <f t="shared" si="77"/>
        <v>0</v>
      </c>
      <c r="D758" s="12">
        <f t="shared" si="78"/>
        <v>0</v>
      </c>
      <c r="E758" s="12">
        <f t="shared" si="79"/>
        <v>1.4399999999996828E-6</v>
      </c>
      <c r="F758" s="12">
        <f t="shared" si="80"/>
        <v>3.104032212617552E-5</v>
      </c>
      <c r="G758" s="12">
        <f t="shared" si="81"/>
        <v>4.2711732018723296</v>
      </c>
      <c r="I758" s="12">
        <f t="shared" si="82"/>
        <v>5.5713842199381228E-3</v>
      </c>
      <c r="J758" s="12">
        <f t="shared" si="83"/>
        <v>5.4233926257759718E-3</v>
      </c>
    </row>
    <row r="759" spans="1:10">
      <c r="A759" s="15">
        <v>41035</v>
      </c>
      <c r="B759" s="11">
        <v>2.0333999999999999</v>
      </c>
      <c r="C759" s="11">
        <f t="shared" si="77"/>
        <v>0</v>
      </c>
      <c r="D759" s="12">
        <f t="shared" si="78"/>
        <v>0</v>
      </c>
      <c r="E759" s="12">
        <f t="shared" si="79"/>
        <v>0</v>
      </c>
      <c r="F759" s="12">
        <f t="shared" si="80"/>
        <v>2.9114670321128058E-5</v>
      </c>
      <c r="G759" s="12">
        <f t="shared" si="81"/>
        <v>4.303195647445607</v>
      </c>
      <c r="I759" s="12">
        <f t="shared" si="82"/>
        <v>5.3958011750923568E-3</v>
      </c>
      <c r="J759" s="12">
        <f t="shared" si="83"/>
        <v>5.4233926257759718E-3</v>
      </c>
    </row>
    <row r="760" spans="1:10">
      <c r="A760" s="15">
        <v>41036</v>
      </c>
      <c r="B760" s="11">
        <v>2.0232000000000001</v>
      </c>
      <c r="C760" s="11">
        <f t="shared" si="77"/>
        <v>-1.0199999999999765E-2</v>
      </c>
      <c r="D760" s="12">
        <f t="shared" si="78"/>
        <v>1.040399999999952E-4</v>
      </c>
      <c r="E760" s="12">
        <f t="shared" si="79"/>
        <v>0</v>
      </c>
      <c r="F760" s="12">
        <f t="shared" si="80"/>
        <v>2.7397298630542192E-5</v>
      </c>
      <c r="G760" s="12">
        <f t="shared" si="81"/>
        <v>2.4348671874337482</v>
      </c>
      <c r="I760" s="12">
        <f t="shared" si="82"/>
        <v>5.2342428899070197E-3</v>
      </c>
      <c r="J760" s="12">
        <f t="shared" si="83"/>
        <v>5.4233926257759718E-3</v>
      </c>
    </row>
    <row r="761" spans="1:10">
      <c r="A761" s="15">
        <v>41037</v>
      </c>
      <c r="B761" s="11">
        <v>2.0236999999999998</v>
      </c>
      <c r="C761" s="11">
        <f t="shared" si="77"/>
        <v>4.9999999999972289E-4</v>
      </c>
      <c r="D761" s="12">
        <f t="shared" si="78"/>
        <v>2.499999999997229E-7</v>
      </c>
      <c r="E761" s="12">
        <f t="shared" si="79"/>
        <v>1.040399999999952E-4</v>
      </c>
      <c r="F761" s="12">
        <f t="shared" si="80"/>
        <v>3.2031942686689294E-5</v>
      </c>
      <c r="G761" s="12">
        <f t="shared" si="81"/>
        <v>4.2515475768166615</v>
      </c>
      <c r="I761" s="12">
        <f t="shared" si="82"/>
        <v>5.6596769065635974E-3</v>
      </c>
      <c r="J761" s="12">
        <f t="shared" si="83"/>
        <v>5.4233926257759718E-3</v>
      </c>
    </row>
    <row r="762" spans="1:10">
      <c r="A762" s="15">
        <v>41038</v>
      </c>
      <c r="B762" s="11">
        <v>2.0209000000000001</v>
      </c>
      <c r="C762" s="11">
        <f t="shared" si="77"/>
        <v>-2.7999999999996916E-3</v>
      </c>
      <c r="D762" s="12">
        <f t="shared" si="78"/>
        <v>7.8399999999982732E-6</v>
      </c>
      <c r="E762" s="12">
        <f t="shared" si="79"/>
        <v>2.499999999997229E-7</v>
      </c>
      <c r="F762" s="12">
        <f t="shared" si="80"/>
        <v>3.0013853419704343E-5</v>
      </c>
      <c r="G762" s="12">
        <f t="shared" si="81"/>
        <v>4.1573808553473448</v>
      </c>
      <c r="I762" s="12">
        <f t="shared" si="82"/>
        <v>5.4784900675007471E-3</v>
      </c>
      <c r="J762" s="12">
        <f t="shared" si="83"/>
        <v>5.4233926257759718E-3</v>
      </c>
    </row>
    <row r="763" spans="1:10">
      <c r="A763" s="15">
        <v>41039</v>
      </c>
      <c r="B763" s="11">
        <v>2.0211999999999999</v>
      </c>
      <c r="C763" s="11">
        <f t="shared" si="77"/>
        <v>2.9999999999974492E-4</v>
      </c>
      <c r="D763" s="12">
        <f t="shared" si="78"/>
        <v>8.999999999984695E-8</v>
      </c>
      <c r="E763" s="12">
        <f t="shared" si="79"/>
        <v>7.8399999999982732E-6</v>
      </c>
      <c r="F763" s="12">
        <f t="shared" si="80"/>
        <v>2.8663888008106372E-5</v>
      </c>
      <c r="G763" s="12">
        <f t="shared" si="81"/>
        <v>4.309427782308159</v>
      </c>
      <c r="I763" s="12">
        <f t="shared" si="82"/>
        <v>5.3538666408593305E-3</v>
      </c>
      <c r="J763" s="12">
        <f t="shared" si="83"/>
        <v>5.4233926257759718E-3</v>
      </c>
    </row>
    <row r="764" spans="1:10">
      <c r="A764" s="15">
        <v>41040</v>
      </c>
      <c r="B764" s="11">
        <v>2.0240999999999998</v>
      </c>
      <c r="C764" s="11">
        <f t="shared" si="77"/>
        <v>2.8999999999999027E-3</v>
      </c>
      <c r="D764" s="12">
        <f t="shared" si="78"/>
        <v>8.409999999999435E-6</v>
      </c>
      <c r="E764" s="12">
        <f t="shared" si="79"/>
        <v>8.999999999984695E-8</v>
      </c>
      <c r="F764" s="12">
        <f t="shared" si="80"/>
        <v>2.7000607448486567E-5</v>
      </c>
      <c r="G764" s="12">
        <f t="shared" si="81"/>
        <v>4.1851498195193466</v>
      </c>
      <c r="I764" s="12">
        <f t="shared" si="82"/>
        <v>5.1962108741357453E-3</v>
      </c>
      <c r="J764" s="12">
        <f t="shared" si="83"/>
        <v>5.4233926257759718E-3</v>
      </c>
    </row>
    <row r="765" spans="1:10">
      <c r="A765" s="15">
        <v>41041</v>
      </c>
      <c r="B765" s="11">
        <v>2.0232999999999999</v>
      </c>
      <c r="C765" s="11">
        <f t="shared" si="77"/>
        <v>-7.9999999999991189E-4</v>
      </c>
      <c r="D765" s="12">
        <f t="shared" si="78"/>
        <v>6.3999999999985898E-7</v>
      </c>
      <c r="E765" s="12">
        <f t="shared" si="79"/>
        <v>8.409999999999435E-6</v>
      </c>
      <c r="F765" s="12">
        <f t="shared" si="80"/>
        <v>2.601034012184404E-5</v>
      </c>
      <c r="G765" s="12">
        <f t="shared" si="81"/>
        <v>4.3472668608922511</v>
      </c>
      <c r="I765" s="12">
        <f t="shared" si="82"/>
        <v>5.1000333451698176E-3</v>
      </c>
      <c r="J765" s="12">
        <f t="shared" si="83"/>
        <v>5.4233926257759718E-3</v>
      </c>
    </row>
    <row r="766" spans="1:10">
      <c r="A766" s="15">
        <v>41042</v>
      </c>
      <c r="B766" s="11">
        <v>2.0183</v>
      </c>
      <c r="C766" s="11">
        <f t="shared" si="77"/>
        <v>-4.9999999999998934E-3</v>
      </c>
      <c r="D766" s="12">
        <f t="shared" si="78"/>
        <v>2.4999999999998934E-5</v>
      </c>
      <c r="E766" s="12">
        <f t="shared" si="79"/>
        <v>6.3999999999985898E-7</v>
      </c>
      <c r="F766" s="12">
        <f t="shared" si="80"/>
        <v>2.4666667036625419E-5</v>
      </c>
      <c r="G766" s="12">
        <f t="shared" si="81"/>
        <v>3.8793335794676254</v>
      </c>
      <c r="I766" s="12">
        <f t="shared" si="82"/>
        <v>4.9665548458287878E-3</v>
      </c>
      <c r="J766" s="12">
        <f t="shared" si="83"/>
        <v>5.4233926257759718E-3</v>
      </c>
    </row>
    <row r="767" spans="1:10">
      <c r="A767" s="15">
        <v>41043</v>
      </c>
      <c r="B767" s="11">
        <v>2.0205000000000002</v>
      </c>
      <c r="C767" s="11">
        <f t="shared" si="77"/>
        <v>2.2000000000002018E-3</v>
      </c>
      <c r="D767" s="12">
        <f t="shared" si="78"/>
        <v>4.8400000000008879E-6</v>
      </c>
      <c r="E767" s="12">
        <f t="shared" si="79"/>
        <v>2.4999999999998934E-5</v>
      </c>
      <c r="F767" s="12">
        <f t="shared" si="80"/>
        <v>2.4912100077690954E-5</v>
      </c>
      <c r="G767" s="12">
        <f t="shared" si="81"/>
        <v>4.2839983728393101</v>
      </c>
      <c r="I767" s="12">
        <f t="shared" si="82"/>
        <v>4.9912022677598387E-3</v>
      </c>
      <c r="J767" s="12">
        <f t="shared" si="83"/>
        <v>5.4233926257759718E-3</v>
      </c>
    </row>
    <row r="768" spans="1:10">
      <c r="A768" s="15">
        <v>41044</v>
      </c>
      <c r="B768" s="11">
        <v>2.0186999999999999</v>
      </c>
      <c r="C768" s="11">
        <f t="shared" si="77"/>
        <v>-1.8000000000002458E-3</v>
      </c>
      <c r="D768" s="12">
        <f t="shared" si="78"/>
        <v>3.240000000000885E-6</v>
      </c>
      <c r="E768" s="12">
        <f t="shared" si="79"/>
        <v>4.8400000000008879E-6</v>
      </c>
      <c r="F768" s="12">
        <f t="shared" si="80"/>
        <v>2.3936139991039729E-5</v>
      </c>
      <c r="G768" s="12">
        <f t="shared" si="81"/>
        <v>4.3334419277728378</v>
      </c>
      <c r="I768" s="12">
        <f t="shared" si="82"/>
        <v>4.8924574592979064E-3</v>
      </c>
      <c r="J768" s="12">
        <f t="shared" si="83"/>
        <v>5.4233926257759718E-3</v>
      </c>
    </row>
    <row r="769" spans="1:10">
      <c r="A769" s="15">
        <v>41045</v>
      </c>
      <c r="B769" s="11">
        <v>2.0225</v>
      </c>
      <c r="C769" s="11">
        <f t="shared" si="77"/>
        <v>3.8000000000000256E-3</v>
      </c>
      <c r="D769" s="12">
        <f t="shared" si="78"/>
        <v>1.4440000000000194E-5</v>
      </c>
      <c r="E769" s="12">
        <f t="shared" si="79"/>
        <v>3.240000000000885E-6</v>
      </c>
      <c r="F769" s="12">
        <f t="shared" si="80"/>
        <v>2.2970911448203554E-5</v>
      </c>
      <c r="G769" s="12">
        <f t="shared" si="81"/>
        <v>4.1073918322492142</v>
      </c>
      <c r="I769" s="12">
        <f t="shared" si="82"/>
        <v>4.7927978726630604E-3</v>
      </c>
      <c r="J769" s="12">
        <f t="shared" si="83"/>
        <v>5.4233926257759718E-3</v>
      </c>
    </row>
    <row r="770" spans="1:10">
      <c r="A770" s="15">
        <v>41046</v>
      </c>
      <c r="B770" s="11">
        <v>2.0186000000000002</v>
      </c>
      <c r="C770" s="11">
        <f t="shared" si="77"/>
        <v>-3.8999999999997925E-3</v>
      </c>
      <c r="D770" s="12">
        <f t="shared" si="78"/>
        <v>1.5209999999998382E-5</v>
      </c>
      <c r="E770" s="12">
        <f t="shared" si="79"/>
        <v>1.4440000000000194E-5</v>
      </c>
      <c r="F770" s="12">
        <f t="shared" si="80"/>
        <v>2.277388665870474E-5</v>
      </c>
      <c r="G770" s="12">
        <f t="shared" si="81"/>
        <v>4.0920743648103191</v>
      </c>
      <c r="I770" s="12">
        <f t="shared" si="82"/>
        <v>4.7721993523641426E-3</v>
      </c>
      <c r="J770" s="12">
        <f t="shared" si="83"/>
        <v>5.4233926257759718E-3</v>
      </c>
    </row>
    <row r="771" spans="1:10">
      <c r="A771" s="15">
        <v>41047</v>
      </c>
      <c r="B771" s="11">
        <v>2.0146000000000002</v>
      </c>
      <c r="C771" s="11">
        <f t="shared" si="77"/>
        <v>-4.0000000000000036E-3</v>
      </c>
      <c r="D771" s="12">
        <f t="shared" si="78"/>
        <v>1.600000000000003E-5</v>
      </c>
      <c r="E771" s="12">
        <f t="shared" si="79"/>
        <v>1.5209999999998382E-5</v>
      </c>
      <c r="F771" s="12">
        <f t="shared" si="80"/>
        <v>2.2643808748636884E-5</v>
      </c>
      <c r="G771" s="12">
        <f t="shared" si="81"/>
        <v>4.0755760484307446</v>
      </c>
      <c r="I771" s="12">
        <f t="shared" si="82"/>
        <v>4.7585511186323181E-3</v>
      </c>
      <c r="J771" s="12">
        <f t="shared" si="83"/>
        <v>5.4233926257759718E-3</v>
      </c>
    </row>
    <row r="772" spans="1:10">
      <c r="A772" s="15">
        <v>41048</v>
      </c>
      <c r="B772" s="11">
        <v>2.0139999999999998</v>
      </c>
      <c r="C772" s="11">
        <f t="shared" si="77"/>
        <v>-6.0000000000037801E-4</v>
      </c>
      <c r="D772" s="12">
        <f t="shared" si="78"/>
        <v>3.6000000000045363E-7</v>
      </c>
      <c r="E772" s="12">
        <f t="shared" si="79"/>
        <v>1.600000000000003E-5</v>
      </c>
      <c r="F772" s="12">
        <f t="shared" si="80"/>
        <v>2.2574622051338564E-5</v>
      </c>
      <c r="G772" s="12">
        <f t="shared" si="81"/>
        <v>4.4224300043460731</v>
      </c>
      <c r="I772" s="12">
        <f t="shared" si="82"/>
        <v>4.7512758340616853E-3</v>
      </c>
      <c r="J772" s="12">
        <f t="shared" si="83"/>
        <v>5.4233926257759718E-3</v>
      </c>
    </row>
    <row r="773" spans="1:10">
      <c r="A773" s="15">
        <v>41049</v>
      </c>
      <c r="B773" s="11">
        <v>2.0139999999999998</v>
      </c>
      <c r="C773" s="11">
        <f t="shared" si="77"/>
        <v>0</v>
      </c>
      <c r="D773" s="12">
        <f t="shared" si="78"/>
        <v>0</v>
      </c>
      <c r="E773" s="12">
        <f t="shared" si="79"/>
        <v>3.6000000000045363E-7</v>
      </c>
      <c r="F773" s="12">
        <f t="shared" si="80"/>
        <v>2.1585964018877113E-5</v>
      </c>
      <c r="G773" s="12">
        <f t="shared" si="81"/>
        <v>4.4527950936267215</v>
      </c>
      <c r="I773" s="12">
        <f t="shared" si="82"/>
        <v>4.6460697389166588E-3</v>
      </c>
      <c r="J773" s="12">
        <f t="shared" si="83"/>
        <v>5.4233926257759718E-3</v>
      </c>
    </row>
    <row r="774" spans="1:10">
      <c r="A774" s="15">
        <v>41050</v>
      </c>
      <c r="B774" s="11">
        <v>2.0203000000000002</v>
      </c>
      <c r="C774" s="11">
        <f t="shared" si="77"/>
        <v>6.3000000000004164E-3</v>
      </c>
      <c r="D774" s="12">
        <f t="shared" si="78"/>
        <v>3.9690000000005246E-5</v>
      </c>
      <c r="E774" s="12">
        <f t="shared" si="79"/>
        <v>0</v>
      </c>
      <c r="F774" s="12">
        <f t="shared" si="80"/>
        <v>2.0682903516986091E-5</v>
      </c>
      <c r="G774" s="12">
        <f t="shared" si="81"/>
        <v>3.5146749076441703</v>
      </c>
      <c r="I774" s="12">
        <f t="shared" si="82"/>
        <v>4.5478460304836715E-3</v>
      </c>
      <c r="J774" s="12">
        <f t="shared" si="83"/>
        <v>5.4233926257759718E-3</v>
      </c>
    </row>
    <row r="775" spans="1:10">
      <c r="A775" s="15">
        <v>41051</v>
      </c>
      <c r="B775" s="11">
        <v>2.0185</v>
      </c>
      <c r="C775" s="11">
        <f t="shared" si="77"/>
        <v>-1.8000000000002458E-3</v>
      </c>
      <c r="D775" s="12">
        <f t="shared" si="78"/>
        <v>3.240000000000885E-6</v>
      </c>
      <c r="E775" s="12">
        <f t="shared" si="79"/>
        <v>3.9690000000005246E-5</v>
      </c>
      <c r="F775" s="12">
        <f t="shared" si="80"/>
        <v>2.2229873599588143E-5</v>
      </c>
      <c r="G775" s="12">
        <f t="shared" si="81"/>
        <v>4.3652233091293473</v>
      </c>
      <c r="I775" s="12">
        <f t="shared" si="82"/>
        <v>4.7148566891887754E-3</v>
      </c>
      <c r="J775" s="12">
        <f t="shared" si="83"/>
        <v>5.4233926257759718E-3</v>
      </c>
    </row>
    <row r="776" spans="1:10">
      <c r="A776" s="15">
        <v>41052</v>
      </c>
      <c r="B776" s="11">
        <v>2.0133000000000001</v>
      </c>
      <c r="C776" s="11">
        <f t="shared" si="77"/>
        <v>-5.1999999999998714E-3</v>
      </c>
      <c r="D776" s="12">
        <f t="shared" si="78"/>
        <v>2.7039999999998664E-5</v>
      </c>
      <c r="E776" s="12">
        <f t="shared" si="79"/>
        <v>3.240000000000885E-6</v>
      </c>
      <c r="F776" s="12">
        <f t="shared" si="80"/>
        <v>2.1449196260859585E-5</v>
      </c>
      <c r="G776" s="12">
        <f t="shared" si="81"/>
        <v>3.8256465023660993</v>
      </c>
      <c r="I776" s="12">
        <f t="shared" si="82"/>
        <v>4.6313276995759633E-3</v>
      </c>
      <c r="J776" s="12">
        <f t="shared" si="83"/>
        <v>5.4233926257759718E-3</v>
      </c>
    </row>
    <row r="777" spans="1:10">
      <c r="A777" s="15">
        <v>41053</v>
      </c>
      <c r="B777" s="11">
        <v>2.0125999999999999</v>
      </c>
      <c r="C777" s="11">
        <f t="shared" si="77"/>
        <v>-7.0000000000014495E-4</v>
      </c>
      <c r="D777" s="12">
        <f t="shared" si="78"/>
        <v>4.9000000000020294E-7</v>
      </c>
      <c r="E777" s="12">
        <f t="shared" si="79"/>
        <v>2.7039999999998664E-5</v>
      </c>
      <c r="F777" s="12">
        <f t="shared" si="80"/>
        <v>2.2163540765010805E-5</v>
      </c>
      <c r="G777" s="12">
        <f t="shared" si="81"/>
        <v>4.4285382325060016</v>
      </c>
      <c r="I777" s="12">
        <f t="shared" si="82"/>
        <v>4.7078169850803256E-3</v>
      </c>
      <c r="J777" s="12">
        <f t="shared" si="83"/>
        <v>5.4233926257759718E-3</v>
      </c>
    </row>
    <row r="778" spans="1:10">
      <c r="A778" s="15">
        <v>41054</v>
      </c>
      <c r="B778" s="11">
        <v>2.0089000000000001</v>
      </c>
      <c r="C778" s="11">
        <f t="shared" si="77"/>
        <v>-3.6999999999998145E-3</v>
      </c>
      <c r="D778" s="12">
        <f t="shared" si="78"/>
        <v>1.3689999999998627E-5</v>
      </c>
      <c r="E778" s="12">
        <f t="shared" si="79"/>
        <v>4.9000000000020294E-7</v>
      </c>
      <c r="F778" s="12">
        <f t="shared" si="80"/>
        <v>2.1227050495111861E-5</v>
      </c>
      <c r="G778" s="12">
        <f t="shared" si="81"/>
        <v>4.1387126681332003</v>
      </c>
      <c r="I778" s="12">
        <f t="shared" si="82"/>
        <v>4.6072823329064453E-3</v>
      </c>
      <c r="J778" s="12">
        <f t="shared" si="83"/>
        <v>5.4233926257759718E-3</v>
      </c>
    </row>
    <row r="779" spans="1:10">
      <c r="A779" s="15">
        <v>41055</v>
      </c>
      <c r="B779" s="11">
        <v>2.0089999999999999</v>
      </c>
      <c r="C779" s="11">
        <f t="shared" si="77"/>
        <v>9.9999999999766942E-5</v>
      </c>
      <c r="D779" s="12">
        <f t="shared" si="78"/>
        <v>9.9999999999533886E-9</v>
      </c>
      <c r="E779" s="12">
        <f t="shared" si="79"/>
        <v>1.3689999999998627E-5</v>
      </c>
      <c r="F779" s="12">
        <f t="shared" si="80"/>
        <v>2.1174192020078641E-5</v>
      </c>
      <c r="G779" s="12">
        <f t="shared" si="81"/>
        <v>4.4621890605954224</v>
      </c>
      <c r="I779" s="12">
        <f t="shared" si="82"/>
        <v>4.6015423523073917E-3</v>
      </c>
      <c r="J779" s="12">
        <f t="shared" si="83"/>
        <v>5.4233926257759718E-3</v>
      </c>
    </row>
    <row r="780" spans="1:10">
      <c r="A780" s="15">
        <v>41056</v>
      </c>
      <c r="B780" s="11">
        <v>2.0070999999999999</v>
      </c>
      <c r="C780" s="11">
        <f t="shared" si="77"/>
        <v>-1.9000000000000128E-3</v>
      </c>
      <c r="D780" s="12">
        <f t="shared" si="78"/>
        <v>3.6100000000000484E-6</v>
      </c>
      <c r="E780" s="12">
        <f t="shared" si="79"/>
        <v>9.9999999999533886E-9</v>
      </c>
      <c r="F780" s="12">
        <f t="shared" si="80"/>
        <v>2.0316261804956251E-5</v>
      </c>
      <c r="G780" s="12">
        <f t="shared" si="81"/>
        <v>4.3942608339853821</v>
      </c>
      <c r="I780" s="12">
        <f t="shared" si="82"/>
        <v>4.507356409799013E-3</v>
      </c>
      <c r="J780" s="12">
        <f t="shared" si="83"/>
        <v>5.4233926257759718E-3</v>
      </c>
    </row>
    <row r="781" spans="1:10">
      <c r="A781" s="15">
        <v>41057</v>
      </c>
      <c r="B781" s="11">
        <v>2.0122</v>
      </c>
      <c r="C781" s="11">
        <f t="shared" si="77"/>
        <v>5.1000000000001044E-3</v>
      </c>
      <c r="D781" s="12">
        <f t="shared" si="78"/>
        <v>2.6010000000001064E-5</v>
      </c>
      <c r="E781" s="12">
        <f t="shared" si="79"/>
        <v>3.6100000000000484E-6</v>
      </c>
      <c r="F781" s="12">
        <f t="shared" si="80"/>
        <v>1.9764491556552033E-5</v>
      </c>
      <c r="G781" s="12">
        <f t="shared" si="81"/>
        <v>3.8388750457271441</v>
      </c>
      <c r="I781" s="12">
        <f t="shared" si="82"/>
        <v>4.4457273371802768E-3</v>
      </c>
      <c r="J781" s="12">
        <f t="shared" si="83"/>
        <v>5.4233926257759718E-3</v>
      </c>
    </row>
    <row r="782" spans="1:10">
      <c r="A782" s="15">
        <v>41058</v>
      </c>
      <c r="B782" s="11">
        <v>2.0085000000000002</v>
      </c>
      <c r="C782" s="11">
        <f t="shared" ref="C782:C845" si="84">B782-B781</f>
        <v>-3.6999999999998145E-3</v>
      </c>
      <c r="D782" s="12">
        <f t="shared" ref="D782:D845" si="85">C782^2</f>
        <v>1.3689999999998627E-5</v>
      </c>
      <c r="E782" s="12">
        <f t="shared" si="79"/>
        <v>2.6010000000001064E-5</v>
      </c>
      <c r="F782" s="12">
        <f t="shared" si="80"/>
        <v>2.0600008890067731E-5</v>
      </c>
      <c r="G782" s="12">
        <f t="shared" si="81"/>
        <v>4.1438895747152253</v>
      </c>
      <c r="I782" s="12">
        <f t="shared" si="82"/>
        <v>4.5387232665219553E-3</v>
      </c>
      <c r="J782" s="12">
        <f t="shared" si="83"/>
        <v>5.4233926257759718E-3</v>
      </c>
    </row>
    <row r="783" spans="1:10">
      <c r="A783" s="15">
        <v>41059</v>
      </c>
      <c r="B783" s="11">
        <v>2.0007999999999999</v>
      </c>
      <c r="C783" s="11">
        <f t="shared" si="84"/>
        <v>-7.7000000000002622E-3</v>
      </c>
      <c r="D783" s="12">
        <f t="shared" si="85"/>
        <v>5.9290000000004035E-5</v>
      </c>
      <c r="E783" s="12">
        <f t="shared" ref="E783:E846" si="86">D782</f>
        <v>1.3689999999998627E-5</v>
      </c>
      <c r="F783" s="12">
        <f t="shared" ref="F783:F846" si="87">$B$5+$B$6*E783+$B$7*F782</f>
        <v>2.0614971760995629E-5</v>
      </c>
      <c r="G783" s="12">
        <f t="shared" ref="G783:G846" si="88">LN((1/SQRT(2*3.1415927*F783))*EXP(-0.5*D783/F783))</f>
        <v>3.0377754100971117</v>
      </c>
      <c r="I783" s="12">
        <f t="shared" ref="I783:I846" si="89">SQRT(F783)</f>
        <v>4.5403713241314999E-3</v>
      </c>
      <c r="J783" s="12">
        <f t="shared" si="83"/>
        <v>5.4233926257759718E-3</v>
      </c>
    </row>
    <row r="784" spans="1:10">
      <c r="A784" s="15">
        <v>41060</v>
      </c>
      <c r="B784" s="11">
        <v>2.0013999999999998</v>
      </c>
      <c r="C784" s="11">
        <f t="shared" si="84"/>
        <v>5.9999999999993392E-4</v>
      </c>
      <c r="D784" s="12">
        <f t="shared" si="85"/>
        <v>3.5999999999992069E-7</v>
      </c>
      <c r="E784" s="12">
        <f t="shared" si="86"/>
        <v>5.9290000000004035E-5</v>
      </c>
      <c r="F784" s="12">
        <f t="shared" si="87"/>
        <v>2.3330946092207773E-5</v>
      </c>
      <c r="G784" s="12">
        <f t="shared" si="88"/>
        <v>4.4062113444382431</v>
      </c>
      <c r="I784" s="12">
        <f t="shared" si="89"/>
        <v>4.8302118061434706E-3</v>
      </c>
      <c r="J784" s="12">
        <f t="shared" ref="J784:J847" si="90">J783</f>
        <v>5.4233926257759718E-3</v>
      </c>
    </row>
    <row r="785" spans="1:10">
      <c r="A785" s="15">
        <v>41061</v>
      </c>
      <c r="B785" s="11">
        <v>2.0085999999999999</v>
      </c>
      <c r="C785" s="11">
        <f t="shared" si="84"/>
        <v>7.2000000000000952E-3</v>
      </c>
      <c r="D785" s="12">
        <f t="shared" si="85"/>
        <v>5.1840000000001374E-5</v>
      </c>
      <c r="E785" s="12">
        <f t="shared" si="86"/>
        <v>3.5999999999992069E-7</v>
      </c>
      <c r="F785" s="12">
        <f t="shared" si="87"/>
        <v>2.2260483417084832E-5</v>
      </c>
      <c r="G785" s="12">
        <f t="shared" si="88"/>
        <v>3.273015008980996</v>
      </c>
      <c r="I785" s="12">
        <f t="shared" si="89"/>
        <v>4.7181016751533487E-3</v>
      </c>
      <c r="J785" s="12">
        <f t="shared" si="90"/>
        <v>5.4233926257759718E-3</v>
      </c>
    </row>
    <row r="786" spans="1:10">
      <c r="A786" s="15">
        <v>41062</v>
      </c>
      <c r="B786" s="11">
        <v>2.0106999999999999</v>
      </c>
      <c r="C786" s="11">
        <f t="shared" si="84"/>
        <v>2.0999999999999908E-3</v>
      </c>
      <c r="D786" s="12">
        <f t="shared" si="85"/>
        <v>4.4099999999999612E-6</v>
      </c>
      <c r="E786" s="12">
        <f t="shared" si="86"/>
        <v>5.1840000000001374E-5</v>
      </c>
      <c r="F786" s="12">
        <f t="shared" si="87"/>
        <v>2.4356929747627017E-5</v>
      </c>
      <c r="G786" s="12">
        <f t="shared" si="88"/>
        <v>4.3018798879525182</v>
      </c>
      <c r="I786" s="12">
        <f t="shared" si="89"/>
        <v>4.9352740296387818E-3</v>
      </c>
      <c r="J786" s="12">
        <f t="shared" si="90"/>
        <v>5.4233926257759718E-3</v>
      </c>
    </row>
    <row r="787" spans="1:10">
      <c r="A787" s="15">
        <v>41063</v>
      </c>
      <c r="B787" s="11">
        <v>2.0074999999999998</v>
      </c>
      <c r="C787" s="11">
        <f t="shared" si="84"/>
        <v>-3.2000000000000917E-3</v>
      </c>
      <c r="D787" s="12">
        <f t="shared" si="85"/>
        <v>1.0240000000000586E-5</v>
      </c>
      <c r="E787" s="12">
        <f t="shared" si="86"/>
        <v>4.4099999999999612E-6</v>
      </c>
      <c r="F787" s="12">
        <f t="shared" si="87"/>
        <v>2.3415532024144221E-5</v>
      </c>
      <c r="G787" s="12">
        <f t="shared" si="88"/>
        <v>4.1934586746404516</v>
      </c>
      <c r="I787" s="12">
        <f t="shared" si="89"/>
        <v>4.8389598080728277E-3</v>
      </c>
      <c r="J787" s="12">
        <f t="shared" si="90"/>
        <v>5.4233926257759718E-3</v>
      </c>
    </row>
    <row r="788" spans="1:10">
      <c r="A788" s="15">
        <v>41064</v>
      </c>
      <c r="B788" s="11">
        <v>2.0143</v>
      </c>
      <c r="C788" s="11">
        <f t="shared" si="84"/>
        <v>6.8000000000001393E-3</v>
      </c>
      <c r="D788" s="12">
        <f t="shared" si="85"/>
        <v>4.6240000000001895E-5</v>
      </c>
      <c r="E788" s="12">
        <f t="shared" si="86"/>
        <v>1.0240000000000586E-5</v>
      </c>
      <c r="F788" s="12">
        <f t="shared" si="87"/>
        <v>2.2921490266012882E-5</v>
      </c>
      <c r="G788" s="12">
        <f t="shared" si="88"/>
        <v>3.414118863303667</v>
      </c>
      <c r="I788" s="12">
        <f t="shared" si="89"/>
        <v>4.7876393207940049E-3</v>
      </c>
      <c r="J788" s="12">
        <f t="shared" si="90"/>
        <v>5.4233926257759718E-3</v>
      </c>
    </row>
    <row r="789" spans="1:10">
      <c r="A789" s="15">
        <v>41065</v>
      </c>
      <c r="B789" s="11">
        <v>2.0129000000000001</v>
      </c>
      <c r="C789" s="11">
        <f t="shared" si="84"/>
        <v>-1.3999999999998458E-3</v>
      </c>
      <c r="D789" s="12">
        <f t="shared" si="85"/>
        <v>1.9599999999995683E-6</v>
      </c>
      <c r="E789" s="12">
        <f t="shared" si="86"/>
        <v>4.6240000000001895E-5</v>
      </c>
      <c r="F789" s="12">
        <f t="shared" si="87"/>
        <v>2.4614539629068069E-5</v>
      </c>
      <c r="G789" s="12">
        <f t="shared" si="88"/>
        <v>4.3473342165908377</v>
      </c>
      <c r="I789" s="12">
        <f t="shared" si="89"/>
        <v>4.9613042266190522E-3</v>
      </c>
      <c r="J789" s="12">
        <f t="shared" si="90"/>
        <v>5.4233926257759718E-3</v>
      </c>
    </row>
    <row r="790" spans="1:10">
      <c r="A790" s="15">
        <v>41066</v>
      </c>
      <c r="B790" s="11">
        <v>2.0224000000000002</v>
      </c>
      <c r="C790" s="11">
        <f t="shared" si="84"/>
        <v>9.5000000000000639E-3</v>
      </c>
      <c r="D790" s="12">
        <f t="shared" si="85"/>
        <v>9.0250000000001218E-5</v>
      </c>
      <c r="E790" s="12">
        <f t="shared" si="86"/>
        <v>1.9599999999995683E-6</v>
      </c>
      <c r="F790" s="12">
        <f t="shared" si="87"/>
        <v>2.3500071518113953E-5</v>
      </c>
      <c r="G790" s="12">
        <f t="shared" si="88"/>
        <v>2.4901080840106449</v>
      </c>
      <c r="I790" s="12">
        <f t="shared" si="89"/>
        <v>4.8476872339409394E-3</v>
      </c>
      <c r="J790" s="12">
        <f t="shared" si="90"/>
        <v>5.4233926257759718E-3</v>
      </c>
    </row>
    <row r="791" spans="1:10">
      <c r="A791" s="15">
        <v>41067</v>
      </c>
      <c r="B791" s="11">
        <v>2.0200999999999998</v>
      </c>
      <c r="C791" s="11">
        <f t="shared" si="84"/>
        <v>-2.3000000000004128E-3</v>
      </c>
      <c r="D791" s="12">
        <f t="shared" si="85"/>
        <v>5.2900000000018992E-6</v>
      </c>
      <c r="E791" s="12">
        <f t="shared" si="86"/>
        <v>9.0250000000001218E-5</v>
      </c>
      <c r="F791" s="12">
        <f t="shared" si="87"/>
        <v>2.7738934468783194E-5</v>
      </c>
      <c r="G791" s="12">
        <f t="shared" si="88"/>
        <v>4.2320448987876986</v>
      </c>
      <c r="I791" s="12">
        <f t="shared" si="89"/>
        <v>5.2667764779590932E-3</v>
      </c>
      <c r="J791" s="12">
        <f t="shared" si="90"/>
        <v>5.4233926257759718E-3</v>
      </c>
    </row>
    <row r="792" spans="1:10">
      <c r="A792" s="15">
        <v>41068</v>
      </c>
      <c r="B792" s="11">
        <v>2.016</v>
      </c>
      <c r="C792" s="11">
        <f t="shared" si="84"/>
        <v>-4.0999999999997705E-3</v>
      </c>
      <c r="D792" s="12">
        <f t="shared" si="85"/>
        <v>1.680999999999812E-5</v>
      </c>
      <c r="E792" s="12">
        <f t="shared" si="86"/>
        <v>5.2900000000018992E-6</v>
      </c>
      <c r="F792" s="12">
        <f t="shared" si="87"/>
        <v>2.6483892292633956E-5</v>
      </c>
      <c r="G792" s="12">
        <f t="shared" si="88"/>
        <v>4.0331856668621375</v>
      </c>
      <c r="I792" s="12">
        <f t="shared" si="89"/>
        <v>5.1462503138337487E-3</v>
      </c>
      <c r="J792" s="12">
        <f t="shared" si="90"/>
        <v>5.4233926257759718E-3</v>
      </c>
    </row>
    <row r="793" spans="1:10">
      <c r="A793" s="15">
        <v>41069</v>
      </c>
      <c r="B793" s="11">
        <v>2.0165999999999999</v>
      </c>
      <c r="C793" s="11">
        <f t="shared" si="84"/>
        <v>5.9999999999993392E-4</v>
      </c>
      <c r="D793" s="12">
        <f t="shared" si="85"/>
        <v>3.5999999999992069E-7</v>
      </c>
      <c r="E793" s="12">
        <f t="shared" si="86"/>
        <v>1.680999999999812E-5</v>
      </c>
      <c r="F793" s="12">
        <f t="shared" si="87"/>
        <v>2.6047366179052924E-5</v>
      </c>
      <c r="G793" s="12">
        <f t="shared" si="88"/>
        <v>4.3519479224704485</v>
      </c>
      <c r="I793" s="12">
        <f t="shared" si="89"/>
        <v>5.103662036131793E-3</v>
      </c>
      <c r="J793" s="12">
        <f t="shared" si="90"/>
        <v>5.4233926257759718E-3</v>
      </c>
    </row>
    <row r="794" spans="1:10">
      <c r="A794" s="15">
        <v>41070</v>
      </c>
      <c r="B794" s="11">
        <v>2.0182000000000002</v>
      </c>
      <c r="C794" s="11">
        <f t="shared" si="84"/>
        <v>1.6000000000002679E-3</v>
      </c>
      <c r="D794" s="12">
        <f t="shared" si="85"/>
        <v>2.5600000000008573E-6</v>
      </c>
      <c r="E794" s="12">
        <f t="shared" si="86"/>
        <v>3.5999999999992069E-7</v>
      </c>
      <c r="F794" s="12">
        <f t="shared" si="87"/>
        <v>2.4683093228816439E-5</v>
      </c>
      <c r="G794" s="12">
        <f t="shared" si="88"/>
        <v>4.3339001181746584</v>
      </c>
      <c r="I794" s="12">
        <f t="shared" si="89"/>
        <v>4.9682082513534433E-3</v>
      </c>
      <c r="J794" s="12">
        <f t="shared" si="90"/>
        <v>5.4233926257759718E-3</v>
      </c>
    </row>
    <row r="795" spans="1:10">
      <c r="A795" s="15">
        <v>41071</v>
      </c>
      <c r="B795" s="11">
        <v>2.0164</v>
      </c>
      <c r="C795" s="11">
        <f t="shared" si="84"/>
        <v>-1.8000000000002458E-3</v>
      </c>
      <c r="D795" s="12">
        <f t="shared" si="85"/>
        <v>3.240000000000885E-6</v>
      </c>
      <c r="E795" s="12">
        <f t="shared" si="86"/>
        <v>2.5600000000008573E-6</v>
      </c>
      <c r="F795" s="12">
        <f t="shared" si="87"/>
        <v>2.3596771222181633E-5</v>
      </c>
      <c r="G795" s="12">
        <f t="shared" si="88"/>
        <v>4.3396083329084432</v>
      </c>
      <c r="I795" s="12">
        <f t="shared" si="89"/>
        <v>4.8576507925314717E-3</v>
      </c>
      <c r="J795" s="12">
        <f t="shared" si="90"/>
        <v>5.4233926257759718E-3</v>
      </c>
    </row>
    <row r="796" spans="1:10">
      <c r="A796" s="15">
        <v>41072</v>
      </c>
      <c r="B796" s="11">
        <v>2.0129999999999999</v>
      </c>
      <c r="C796" s="11">
        <f t="shared" si="84"/>
        <v>-3.4000000000000696E-3</v>
      </c>
      <c r="D796" s="12">
        <f t="shared" si="85"/>
        <v>1.1560000000000474E-5</v>
      </c>
      <c r="E796" s="12">
        <f t="shared" si="86"/>
        <v>3.240000000000885E-6</v>
      </c>
      <c r="F796" s="12">
        <f t="shared" si="87"/>
        <v>2.2668249090046075E-5</v>
      </c>
      <c r="G796" s="12">
        <f t="shared" si="88"/>
        <v>4.1733519259776459</v>
      </c>
      <c r="I796" s="12">
        <f t="shared" si="89"/>
        <v>4.7611184704905293E-3</v>
      </c>
      <c r="J796" s="12">
        <f t="shared" si="90"/>
        <v>5.4233926257759718E-3</v>
      </c>
    </row>
    <row r="797" spans="1:10">
      <c r="A797" s="15">
        <v>41073</v>
      </c>
      <c r="B797" s="11">
        <v>2.0137999999999998</v>
      </c>
      <c r="C797" s="11">
        <f t="shared" si="84"/>
        <v>7.9999999999991189E-4</v>
      </c>
      <c r="D797" s="12">
        <f t="shared" si="85"/>
        <v>6.3999999999985898E-7</v>
      </c>
      <c r="E797" s="12">
        <f t="shared" si="86"/>
        <v>1.1560000000000474E-5</v>
      </c>
      <c r="F797" s="12">
        <f t="shared" si="87"/>
        <v>2.2333268103059184E-5</v>
      </c>
      <c r="G797" s="12">
        <f t="shared" si="88"/>
        <v>4.4214496333522781</v>
      </c>
      <c r="I797" s="12">
        <f t="shared" si="89"/>
        <v>4.7258087247643854E-3</v>
      </c>
      <c r="J797" s="12">
        <f t="shared" si="90"/>
        <v>5.4233926257759718E-3</v>
      </c>
    </row>
    <row r="798" spans="1:10">
      <c r="A798" s="15">
        <v>41074</v>
      </c>
      <c r="B798" s="11">
        <v>2.0124</v>
      </c>
      <c r="C798" s="11">
        <f t="shared" si="84"/>
        <v>-1.3999999999998458E-3</v>
      </c>
      <c r="D798" s="12">
        <f t="shared" si="85"/>
        <v>1.9599999999995683E-6</v>
      </c>
      <c r="E798" s="12">
        <f t="shared" si="86"/>
        <v>6.3999999999985898E-7</v>
      </c>
      <c r="F798" s="12">
        <f t="shared" si="87"/>
        <v>2.1387310211703026E-5</v>
      </c>
      <c r="G798" s="12">
        <f t="shared" si="88"/>
        <v>4.4115962918700617</v>
      </c>
      <c r="I798" s="12">
        <f t="shared" si="89"/>
        <v>4.6246416306242608E-3</v>
      </c>
      <c r="J798" s="12">
        <f t="shared" si="90"/>
        <v>5.4233926257759718E-3</v>
      </c>
    </row>
    <row r="799" spans="1:10">
      <c r="A799" s="15">
        <v>41075</v>
      </c>
      <c r="B799" s="11">
        <v>2.0070000000000001</v>
      </c>
      <c r="C799" s="11">
        <f t="shared" si="84"/>
        <v>-5.3999999999998494E-3</v>
      </c>
      <c r="D799" s="12">
        <f t="shared" si="85"/>
        <v>2.9159999999998372E-5</v>
      </c>
      <c r="E799" s="12">
        <f t="shared" si="86"/>
        <v>1.9599999999995683E-6</v>
      </c>
      <c r="F799" s="12">
        <f t="shared" si="87"/>
        <v>2.0621901941515948E-5</v>
      </c>
      <c r="G799" s="12">
        <f t="shared" si="88"/>
        <v>3.7686245914745284</v>
      </c>
      <c r="I799" s="12">
        <f t="shared" si="89"/>
        <v>4.5411344333234566E-3</v>
      </c>
      <c r="J799" s="12">
        <f t="shared" si="90"/>
        <v>5.4233926257759718E-3</v>
      </c>
    </row>
    <row r="800" spans="1:10">
      <c r="A800" s="15">
        <v>41076</v>
      </c>
      <c r="B800" s="11">
        <v>2.0121000000000002</v>
      </c>
      <c r="C800" s="11">
        <f t="shared" si="84"/>
        <v>5.1000000000001044E-3</v>
      </c>
      <c r="D800" s="12">
        <f t="shared" si="85"/>
        <v>2.6010000000001064E-5</v>
      </c>
      <c r="E800" s="12">
        <f t="shared" si="86"/>
        <v>2.9159999999998372E-5</v>
      </c>
      <c r="F800" s="12">
        <f t="shared" si="87"/>
        <v>2.1551375874246866E-5</v>
      </c>
      <c r="G800" s="12">
        <f t="shared" si="88"/>
        <v>3.8501551570210943</v>
      </c>
      <c r="I800" s="12">
        <f t="shared" si="89"/>
        <v>4.6423459451280522E-3</v>
      </c>
      <c r="J800" s="12">
        <f t="shared" si="90"/>
        <v>5.4233926257759718E-3</v>
      </c>
    </row>
    <row r="801" spans="1:10">
      <c r="A801" s="15">
        <v>41077</v>
      </c>
      <c r="B801" s="11">
        <v>2.0121000000000002</v>
      </c>
      <c r="C801" s="11">
        <f t="shared" si="84"/>
        <v>0</v>
      </c>
      <c r="D801" s="12">
        <f t="shared" si="85"/>
        <v>0</v>
      </c>
      <c r="E801" s="12">
        <f t="shared" si="86"/>
        <v>2.6010000000001064E-5</v>
      </c>
      <c r="F801" s="12">
        <f t="shared" si="87"/>
        <v>2.2193622301130544E-5</v>
      </c>
      <c r="G801" s="12">
        <f t="shared" si="88"/>
        <v>4.438914256455301</v>
      </c>
      <c r="I801" s="12">
        <f t="shared" si="89"/>
        <v>4.711010751540538E-3</v>
      </c>
      <c r="J801" s="12">
        <f t="shared" si="90"/>
        <v>5.4233926257759718E-3</v>
      </c>
    </row>
    <row r="802" spans="1:10">
      <c r="A802" s="15">
        <v>41078</v>
      </c>
      <c r="B802" s="11">
        <v>2.0049999999999999</v>
      </c>
      <c r="C802" s="11">
        <f t="shared" si="84"/>
        <v>-7.1000000000003283E-3</v>
      </c>
      <c r="D802" s="12">
        <f t="shared" si="85"/>
        <v>5.0410000000004662E-5</v>
      </c>
      <c r="E802" s="12">
        <f t="shared" si="86"/>
        <v>0</v>
      </c>
      <c r="F802" s="12">
        <f t="shared" si="87"/>
        <v>2.1224836969730087E-5</v>
      </c>
      <c r="G802" s="12">
        <f t="shared" si="88"/>
        <v>3.273706868198718</v>
      </c>
      <c r="I802" s="12">
        <f t="shared" si="89"/>
        <v>4.6070421063552358E-3</v>
      </c>
      <c r="J802" s="12">
        <f t="shared" si="90"/>
        <v>5.4233926257759718E-3</v>
      </c>
    </row>
    <row r="803" spans="1:10">
      <c r="A803" s="15">
        <v>41079</v>
      </c>
      <c r="B803" s="11">
        <v>2.0087999999999999</v>
      </c>
      <c r="C803" s="11">
        <f t="shared" si="84"/>
        <v>3.8000000000000256E-3</v>
      </c>
      <c r="D803" s="12">
        <f t="shared" si="85"/>
        <v>1.4440000000000194E-5</v>
      </c>
      <c r="E803" s="12">
        <f t="shared" si="86"/>
        <v>5.0410000000004662E-5</v>
      </c>
      <c r="F803" s="12">
        <f t="shared" si="87"/>
        <v>2.3348546164690812E-5</v>
      </c>
      <c r="G803" s="12">
        <f t="shared" si="88"/>
        <v>4.1043224165781078</v>
      </c>
      <c r="I803" s="12">
        <f t="shared" si="89"/>
        <v>4.8320333364631094E-3</v>
      </c>
      <c r="J803" s="12">
        <f t="shared" si="90"/>
        <v>5.4233926257759718E-3</v>
      </c>
    </row>
    <row r="804" spans="1:10">
      <c r="A804" s="15">
        <v>41080</v>
      </c>
      <c r="B804" s="11">
        <v>2.0093000000000001</v>
      </c>
      <c r="C804" s="11">
        <f t="shared" si="84"/>
        <v>5.0000000000016698E-4</v>
      </c>
      <c r="D804" s="12">
        <f t="shared" si="85"/>
        <v>2.5000000000016696E-7</v>
      </c>
      <c r="E804" s="12">
        <f t="shared" si="86"/>
        <v>1.4440000000000194E-5</v>
      </c>
      <c r="F804" s="12">
        <f t="shared" si="87"/>
        <v>2.3110676087498513E-5</v>
      </c>
      <c r="G804" s="12">
        <f t="shared" si="88"/>
        <v>4.413260643209715</v>
      </c>
      <c r="I804" s="12">
        <f t="shared" si="89"/>
        <v>4.807356455215123E-3</v>
      </c>
      <c r="J804" s="12">
        <f t="shared" si="90"/>
        <v>5.4233926257759718E-3</v>
      </c>
    </row>
    <row r="805" spans="1:10">
      <c r="A805" s="15">
        <v>41081</v>
      </c>
      <c r="B805" s="11">
        <v>2.0011999999999999</v>
      </c>
      <c r="C805" s="11">
        <f t="shared" si="84"/>
        <v>-8.1000000000002181E-3</v>
      </c>
      <c r="D805" s="12">
        <f t="shared" si="85"/>
        <v>6.5610000000003527E-5</v>
      </c>
      <c r="E805" s="12">
        <f t="shared" si="86"/>
        <v>2.5000000000016696E-7</v>
      </c>
      <c r="F805" s="12">
        <f t="shared" si="87"/>
        <v>2.2057518498998469E-5</v>
      </c>
      <c r="G805" s="12">
        <f t="shared" si="88"/>
        <v>2.9547419913568218</v>
      </c>
      <c r="I805" s="12">
        <f t="shared" si="89"/>
        <v>4.6965432499870017E-3</v>
      </c>
      <c r="J805" s="12">
        <f t="shared" si="90"/>
        <v>5.4233926257759718E-3</v>
      </c>
    </row>
    <row r="806" spans="1:10">
      <c r="A806" s="15">
        <v>41082</v>
      </c>
      <c r="B806" s="11">
        <v>2.0017</v>
      </c>
      <c r="C806" s="11">
        <f t="shared" si="84"/>
        <v>5.0000000000016698E-4</v>
      </c>
      <c r="D806" s="12">
        <f t="shared" si="85"/>
        <v>2.5000000000016696E-7</v>
      </c>
      <c r="E806" s="12">
        <f t="shared" si="86"/>
        <v>6.5610000000003527E-5</v>
      </c>
      <c r="F806" s="12">
        <f t="shared" si="87"/>
        <v>2.4992040780288872E-5</v>
      </c>
      <c r="G806" s="12">
        <f t="shared" si="88"/>
        <v>4.3745364433453231</v>
      </c>
      <c r="I806" s="12">
        <f t="shared" si="89"/>
        <v>4.9992040146696224E-3</v>
      </c>
      <c r="J806" s="12">
        <f t="shared" si="90"/>
        <v>5.4233926257759718E-3</v>
      </c>
    </row>
    <row r="807" spans="1:10">
      <c r="A807" s="15">
        <v>41083</v>
      </c>
      <c r="B807" s="11">
        <v>2.0024000000000002</v>
      </c>
      <c r="C807" s="11">
        <f t="shared" si="84"/>
        <v>7.0000000000014495E-4</v>
      </c>
      <c r="D807" s="12">
        <f t="shared" si="85"/>
        <v>4.9000000000020294E-7</v>
      </c>
      <c r="E807" s="12">
        <f t="shared" si="86"/>
        <v>2.5000000000016696E-7</v>
      </c>
      <c r="F807" s="12">
        <f t="shared" si="87"/>
        <v>2.3735393208536778E-5</v>
      </c>
      <c r="G807" s="12">
        <f t="shared" si="88"/>
        <v>4.3950109413282235</v>
      </c>
      <c r="I807" s="12">
        <f t="shared" si="89"/>
        <v>4.8718983167279645E-3</v>
      </c>
      <c r="J807" s="12">
        <f t="shared" si="90"/>
        <v>5.4233926257759718E-3</v>
      </c>
    </row>
    <row r="808" spans="1:10">
      <c r="A808" s="15">
        <v>41084</v>
      </c>
      <c r="B808" s="11">
        <v>2.0024000000000002</v>
      </c>
      <c r="C808" s="11">
        <f t="shared" si="84"/>
        <v>0</v>
      </c>
      <c r="D808" s="12">
        <f t="shared" si="85"/>
        <v>0</v>
      </c>
      <c r="E808" s="12">
        <f t="shared" si="86"/>
        <v>4.9000000000020294E-7</v>
      </c>
      <c r="F808" s="12">
        <f t="shared" si="87"/>
        <v>2.2628890059883639E-5</v>
      </c>
      <c r="G808" s="12">
        <f t="shared" si="88"/>
        <v>4.4292030328135112</v>
      </c>
      <c r="I808" s="12">
        <f t="shared" si="89"/>
        <v>4.7569832940513503E-3</v>
      </c>
      <c r="J808" s="12">
        <f t="shared" si="90"/>
        <v>5.4233926257759718E-3</v>
      </c>
    </row>
    <row r="809" spans="1:10">
      <c r="A809" s="15">
        <v>41085</v>
      </c>
      <c r="B809" s="11">
        <v>1.9953000000000001</v>
      </c>
      <c r="C809" s="11">
        <f t="shared" si="84"/>
        <v>-7.1000000000001062E-3</v>
      </c>
      <c r="D809" s="12">
        <f t="shared" si="85"/>
        <v>5.0410000000001511E-5</v>
      </c>
      <c r="E809" s="12">
        <f t="shared" si="86"/>
        <v>0</v>
      </c>
      <c r="F809" s="12">
        <f t="shared" si="87"/>
        <v>2.1613025802595904E-5</v>
      </c>
      <c r="G809" s="12">
        <f t="shared" si="88"/>
        <v>3.2859737702116765</v>
      </c>
      <c r="I809" s="12">
        <f t="shared" si="89"/>
        <v>4.6489811574791208E-3</v>
      </c>
      <c r="J809" s="12">
        <f t="shared" si="90"/>
        <v>5.4233926257759718E-3</v>
      </c>
    </row>
    <row r="810" spans="1:10">
      <c r="A810" s="15">
        <v>41086</v>
      </c>
      <c r="B810" s="11">
        <v>1.9948999999999999</v>
      </c>
      <c r="C810" s="11">
        <f t="shared" si="84"/>
        <v>-4.0000000000017799E-4</v>
      </c>
      <c r="D810" s="12">
        <f t="shared" si="85"/>
        <v>1.6000000000014238E-7</v>
      </c>
      <c r="E810" s="12">
        <f t="shared" si="86"/>
        <v>5.0410000000001511E-5</v>
      </c>
      <c r="F810" s="12">
        <f t="shared" si="87"/>
        <v>2.3694748167782712E-5</v>
      </c>
      <c r="G810" s="12">
        <f t="shared" si="88"/>
        <v>4.4028137491502655</v>
      </c>
      <c r="I810" s="12">
        <f t="shared" si="89"/>
        <v>4.8677251532705411E-3</v>
      </c>
      <c r="J810" s="12">
        <f t="shared" si="90"/>
        <v>5.4233926257759718E-3</v>
      </c>
    </row>
    <row r="811" spans="1:10">
      <c r="A811" s="15">
        <v>41087</v>
      </c>
      <c r="B811" s="11">
        <v>1.9930000000000001</v>
      </c>
      <c r="C811" s="11">
        <f t="shared" si="84"/>
        <v>-1.8999999999997907E-3</v>
      </c>
      <c r="D811" s="12">
        <f t="shared" si="85"/>
        <v>3.6099999999992048E-6</v>
      </c>
      <c r="E811" s="12">
        <f t="shared" si="86"/>
        <v>1.6000000000014238E-7</v>
      </c>
      <c r="F811" s="12">
        <f t="shared" si="87"/>
        <v>2.2573082715286649E-5</v>
      </c>
      <c r="G811" s="12">
        <f t="shared" si="88"/>
        <v>4.3504751609299923</v>
      </c>
      <c r="I811" s="12">
        <f t="shared" si="89"/>
        <v>4.751113839436669E-3</v>
      </c>
      <c r="J811" s="12">
        <f t="shared" si="90"/>
        <v>5.4233926257759718E-3</v>
      </c>
    </row>
    <row r="812" spans="1:10">
      <c r="A812" s="15">
        <v>41088</v>
      </c>
      <c r="B812" s="11">
        <v>1.9912000000000001</v>
      </c>
      <c r="C812" s="11">
        <f t="shared" si="84"/>
        <v>-1.8000000000000238E-3</v>
      </c>
      <c r="D812" s="12">
        <f t="shared" si="85"/>
        <v>3.2400000000000859E-6</v>
      </c>
      <c r="E812" s="12">
        <f t="shared" si="86"/>
        <v>3.6099999999992048E-6</v>
      </c>
      <c r="F812" s="12">
        <f t="shared" si="87"/>
        <v>2.1777212824210297E-5</v>
      </c>
      <c r="G812" s="12">
        <f t="shared" si="88"/>
        <v>4.3739949835845584</v>
      </c>
      <c r="I812" s="12">
        <f t="shared" si="89"/>
        <v>4.66660613553472E-3</v>
      </c>
      <c r="J812" s="12">
        <f t="shared" si="90"/>
        <v>5.4233926257759718E-3</v>
      </c>
    </row>
    <row r="813" spans="1:10">
      <c r="A813" s="15">
        <v>41089</v>
      </c>
      <c r="B813" s="11">
        <v>2.0047000000000001</v>
      </c>
      <c r="C813" s="11">
        <f t="shared" si="84"/>
        <v>1.3500000000000068E-2</v>
      </c>
      <c r="D813" s="12">
        <f t="shared" si="85"/>
        <v>1.8225000000000183E-4</v>
      </c>
      <c r="E813" s="12">
        <f t="shared" si="86"/>
        <v>3.2400000000000859E-6</v>
      </c>
      <c r="F813" s="12">
        <f t="shared" si="87"/>
        <v>2.1045495654636284E-5</v>
      </c>
      <c r="G813" s="12">
        <f t="shared" si="88"/>
        <v>0.13556831226962146</v>
      </c>
      <c r="I813" s="12">
        <f t="shared" si="89"/>
        <v>4.5875369921817835E-3</v>
      </c>
      <c r="J813" s="12">
        <f t="shared" si="90"/>
        <v>5.4233926257759718E-3</v>
      </c>
    </row>
    <row r="814" spans="1:10">
      <c r="A814" s="15">
        <v>41090</v>
      </c>
      <c r="B814" s="11">
        <v>2.0057</v>
      </c>
      <c r="C814" s="11">
        <f t="shared" si="84"/>
        <v>9.9999999999988987E-4</v>
      </c>
      <c r="D814" s="12">
        <f t="shared" si="85"/>
        <v>9.9999999999977973E-7</v>
      </c>
      <c r="E814" s="12">
        <f t="shared" si="86"/>
        <v>1.8225000000000183E-4</v>
      </c>
      <c r="F814" s="12">
        <f t="shared" si="87"/>
        <v>3.1002521862388466E-5</v>
      </c>
      <c r="G814" s="12">
        <f t="shared" si="88"/>
        <v>4.2556547423414726</v>
      </c>
      <c r="I814" s="12">
        <f t="shared" si="89"/>
        <v>5.5679908281523298E-3</v>
      </c>
      <c r="J814" s="12">
        <f t="shared" si="90"/>
        <v>5.4233926257759718E-3</v>
      </c>
    </row>
    <row r="815" spans="1:10">
      <c r="A815" s="15">
        <v>41091</v>
      </c>
      <c r="B815" s="11">
        <v>2.0049999999999999</v>
      </c>
      <c r="C815" s="11">
        <f t="shared" si="84"/>
        <v>-7.0000000000014495E-4</v>
      </c>
      <c r="D815" s="12">
        <f t="shared" si="85"/>
        <v>4.9000000000020294E-7</v>
      </c>
      <c r="E815" s="12">
        <f t="shared" si="86"/>
        <v>9.9999999999977973E-7</v>
      </c>
      <c r="F815" s="12">
        <f t="shared" si="87"/>
        <v>2.9140226764196297E-5</v>
      </c>
      <c r="G815" s="12">
        <f t="shared" si="88"/>
        <v>4.2943493254780245</v>
      </c>
      <c r="I815" s="12">
        <f t="shared" si="89"/>
        <v>5.3981688343545074E-3</v>
      </c>
      <c r="J815" s="12">
        <f t="shared" si="90"/>
        <v>5.4233926257759718E-3</v>
      </c>
    </row>
    <row r="816" spans="1:10">
      <c r="A816" s="15">
        <v>41092</v>
      </c>
      <c r="B816" s="11">
        <v>2.0055999999999998</v>
      </c>
      <c r="C816" s="11">
        <f t="shared" si="84"/>
        <v>5.9999999999993392E-4</v>
      </c>
      <c r="D816" s="12">
        <f t="shared" si="85"/>
        <v>3.5999999999992069E-7</v>
      </c>
      <c r="E816" s="12">
        <f t="shared" si="86"/>
        <v>4.9000000000020294E-7</v>
      </c>
      <c r="F816" s="12">
        <f t="shared" si="87"/>
        <v>2.7449132284614094E-5</v>
      </c>
      <c r="G816" s="12">
        <f t="shared" si="88"/>
        <v>4.3260918757041225</v>
      </c>
      <c r="I816" s="12">
        <f t="shared" si="89"/>
        <v>5.2391919495867008E-3</v>
      </c>
      <c r="J816" s="12">
        <f t="shared" si="90"/>
        <v>5.4233926257759718E-3</v>
      </c>
    </row>
    <row r="817" spans="1:10">
      <c r="A817" s="15">
        <v>41093</v>
      </c>
      <c r="B817" s="11">
        <v>2.0112000000000001</v>
      </c>
      <c r="C817" s="11">
        <f t="shared" si="84"/>
        <v>5.6000000000002714E-3</v>
      </c>
      <c r="D817" s="12">
        <f t="shared" si="85"/>
        <v>3.136000000000304E-5</v>
      </c>
      <c r="E817" s="12">
        <f t="shared" si="86"/>
        <v>3.5999999999992069E-7</v>
      </c>
      <c r="F817" s="12">
        <f t="shared" si="87"/>
        <v>2.5933243136605305E-5</v>
      </c>
      <c r="G817" s="12">
        <f t="shared" si="88"/>
        <v>3.7564245538752847</v>
      </c>
      <c r="I817" s="12">
        <f t="shared" si="89"/>
        <v>5.0924692573058612E-3</v>
      </c>
      <c r="J817" s="12">
        <f t="shared" si="90"/>
        <v>5.4233926257759718E-3</v>
      </c>
    </row>
    <row r="818" spans="1:10">
      <c r="A818" s="15">
        <v>41094</v>
      </c>
      <c r="B818" s="11">
        <v>2.0036999999999998</v>
      </c>
      <c r="C818" s="11">
        <f t="shared" si="84"/>
        <v>-7.5000000000002842E-3</v>
      </c>
      <c r="D818" s="12">
        <f t="shared" si="85"/>
        <v>5.6250000000004261E-5</v>
      </c>
      <c r="E818" s="12">
        <f t="shared" si="86"/>
        <v>3.136000000000304E-5</v>
      </c>
      <c r="F818" s="12">
        <f t="shared" si="87"/>
        <v>2.6418627987505974E-5</v>
      </c>
      <c r="G818" s="12">
        <f t="shared" si="88"/>
        <v>3.2871923263022973</v>
      </c>
      <c r="I818" s="12">
        <f t="shared" si="89"/>
        <v>5.1399054453857389E-3</v>
      </c>
      <c r="J818" s="12">
        <f t="shared" si="90"/>
        <v>5.4233926257759718E-3</v>
      </c>
    </row>
    <row r="819" spans="1:10">
      <c r="A819" s="15">
        <v>41095</v>
      </c>
      <c r="B819" s="11">
        <v>1.9996</v>
      </c>
      <c r="C819" s="11">
        <f t="shared" si="84"/>
        <v>-4.0999999999997705E-3</v>
      </c>
      <c r="D819" s="12">
        <f t="shared" si="85"/>
        <v>1.680999999999812E-5</v>
      </c>
      <c r="E819" s="12">
        <f t="shared" si="86"/>
        <v>5.6250000000004261E-5</v>
      </c>
      <c r="F819" s="12">
        <f t="shared" si="87"/>
        <v>2.8326698669382317E-5</v>
      </c>
      <c r="G819" s="12">
        <f t="shared" si="88"/>
        <v>4.0201978111591501</v>
      </c>
      <c r="I819" s="12">
        <f t="shared" si="89"/>
        <v>5.322283219576192E-3</v>
      </c>
      <c r="J819" s="12">
        <f t="shared" si="90"/>
        <v>5.4233926257759718E-3</v>
      </c>
    </row>
    <row r="820" spans="1:10">
      <c r="A820" s="15">
        <v>41096</v>
      </c>
      <c r="B820" s="11">
        <v>1.9938</v>
      </c>
      <c r="C820" s="11">
        <f t="shared" si="84"/>
        <v>-5.8000000000000274E-3</v>
      </c>
      <c r="D820" s="12">
        <f t="shared" si="85"/>
        <v>3.3640000000000315E-5</v>
      </c>
      <c r="E820" s="12">
        <f t="shared" si="86"/>
        <v>1.680999999999812E-5</v>
      </c>
      <c r="F820" s="12">
        <f t="shared" si="87"/>
        <v>2.769085307235487E-5</v>
      </c>
      <c r="G820" s="12">
        <f t="shared" si="88"/>
        <v>3.720844870604274</v>
      </c>
      <c r="I820" s="12">
        <f t="shared" si="89"/>
        <v>5.2622099038668983E-3</v>
      </c>
      <c r="J820" s="12">
        <f t="shared" si="90"/>
        <v>5.4233926257759718E-3</v>
      </c>
    </row>
    <row r="821" spans="1:10">
      <c r="A821" s="15">
        <v>41097</v>
      </c>
      <c r="B821" s="11">
        <v>1.9939</v>
      </c>
      <c r="C821" s="11">
        <f t="shared" si="84"/>
        <v>9.9999999999988987E-5</v>
      </c>
      <c r="D821" s="12">
        <f t="shared" si="85"/>
        <v>9.9999999999977966E-9</v>
      </c>
      <c r="E821" s="12">
        <f t="shared" si="86"/>
        <v>3.3640000000000315E-5</v>
      </c>
      <c r="F821" s="12">
        <f t="shared" si="87"/>
        <v>2.8121264851177486E-5</v>
      </c>
      <c r="G821" s="12">
        <f t="shared" si="88"/>
        <v>4.3203759137934501</v>
      </c>
      <c r="I821" s="12">
        <f t="shared" si="89"/>
        <v>5.3029486939982252E-3</v>
      </c>
      <c r="J821" s="12">
        <f t="shared" si="90"/>
        <v>5.4233926257759718E-3</v>
      </c>
    </row>
    <row r="822" spans="1:10">
      <c r="A822" s="15">
        <v>41098</v>
      </c>
      <c r="B822" s="11">
        <v>1.9902</v>
      </c>
      <c r="C822" s="11">
        <f t="shared" si="84"/>
        <v>-3.7000000000000366E-3</v>
      </c>
      <c r="D822" s="12">
        <f t="shared" si="85"/>
        <v>1.369000000000027E-5</v>
      </c>
      <c r="E822" s="12">
        <f t="shared" si="86"/>
        <v>9.9999999999977966E-9</v>
      </c>
      <c r="F822" s="12">
        <f t="shared" si="87"/>
        <v>2.6511933411471475E-5</v>
      </c>
      <c r="G822" s="12">
        <f t="shared" si="88"/>
        <v>4.0918336425580497</v>
      </c>
      <c r="I822" s="12">
        <f t="shared" si="89"/>
        <v>5.1489740154201085E-3</v>
      </c>
      <c r="J822" s="12">
        <f t="shared" si="90"/>
        <v>5.4233926257759718E-3</v>
      </c>
    </row>
    <row r="823" spans="1:10">
      <c r="A823" s="15">
        <v>41099</v>
      </c>
      <c r="B823" s="11">
        <v>2.0002</v>
      </c>
      <c r="C823" s="11">
        <f t="shared" si="84"/>
        <v>1.0000000000000009E-2</v>
      </c>
      <c r="D823" s="12">
        <f t="shared" si="85"/>
        <v>1.0000000000000018E-4</v>
      </c>
      <c r="E823" s="12">
        <f t="shared" si="86"/>
        <v>1.369000000000027E-5</v>
      </c>
      <c r="F823" s="12">
        <f t="shared" si="87"/>
        <v>2.5887457567270001E-5</v>
      </c>
      <c r="G823" s="12">
        <f t="shared" si="88"/>
        <v>2.4305001889211395</v>
      </c>
      <c r="I823" s="12">
        <f t="shared" si="89"/>
        <v>5.0879718520516603E-3</v>
      </c>
      <c r="J823" s="12">
        <f t="shared" si="90"/>
        <v>5.4233926257759718E-3</v>
      </c>
    </row>
    <row r="824" spans="1:10">
      <c r="A824" s="15">
        <v>41100</v>
      </c>
      <c r="B824" s="11">
        <v>1.9971000000000001</v>
      </c>
      <c r="C824" s="11">
        <f t="shared" si="84"/>
        <v>-3.0999999999998806E-3</v>
      </c>
      <c r="D824" s="12">
        <f t="shared" si="85"/>
        <v>9.6099999999992592E-6</v>
      </c>
      <c r="E824" s="12">
        <f t="shared" si="86"/>
        <v>1.0000000000000018E-4</v>
      </c>
      <c r="F824" s="12">
        <f t="shared" si="87"/>
        <v>3.0445963776854118E-5</v>
      </c>
      <c r="G824" s="12">
        <f t="shared" si="88"/>
        <v>4.1230194308439767</v>
      </c>
      <c r="I824" s="12">
        <f t="shared" si="89"/>
        <v>5.5177861300393042E-3</v>
      </c>
      <c r="J824" s="12">
        <f t="shared" si="90"/>
        <v>5.4233926257759718E-3</v>
      </c>
    </row>
    <row r="825" spans="1:10">
      <c r="A825" s="15">
        <v>41101</v>
      </c>
      <c r="B825" s="11">
        <v>1.9979</v>
      </c>
      <c r="C825" s="11">
        <f t="shared" si="84"/>
        <v>7.9999999999991189E-4</v>
      </c>
      <c r="D825" s="12">
        <f t="shared" si="85"/>
        <v>6.3999999999985898E-7</v>
      </c>
      <c r="E825" s="12">
        <f t="shared" si="86"/>
        <v>9.6099999999992592E-6</v>
      </c>
      <c r="F825" s="12">
        <f t="shared" si="87"/>
        <v>2.9154165658127585E-5</v>
      </c>
      <c r="G825" s="12">
        <f t="shared" si="88"/>
        <v>4.2915417019777848</v>
      </c>
      <c r="I825" s="12">
        <f t="shared" si="89"/>
        <v>5.3994597561355696E-3</v>
      </c>
      <c r="J825" s="12">
        <f t="shared" si="90"/>
        <v>5.4233926257759718E-3</v>
      </c>
    </row>
    <row r="826" spans="1:10">
      <c r="A826" s="15">
        <v>41102</v>
      </c>
      <c r="B826" s="11">
        <v>1.9934000000000001</v>
      </c>
      <c r="C826" s="11">
        <f t="shared" si="84"/>
        <v>-4.4999999999999485E-3</v>
      </c>
      <c r="D826" s="12">
        <f t="shared" si="85"/>
        <v>2.0249999999999537E-5</v>
      </c>
      <c r="E826" s="12">
        <f t="shared" si="86"/>
        <v>6.3999999999985898E-7</v>
      </c>
      <c r="F826" s="12">
        <f t="shared" si="87"/>
        <v>2.7470453765878486E-5</v>
      </c>
      <c r="G826" s="12">
        <f t="shared" si="88"/>
        <v>3.9636834077758922</v>
      </c>
      <c r="I826" s="12">
        <f t="shared" si="89"/>
        <v>5.2412263608699909E-3</v>
      </c>
      <c r="J826" s="12">
        <f t="shared" si="90"/>
        <v>5.4233926257759718E-3</v>
      </c>
    </row>
    <row r="827" spans="1:10">
      <c r="A827" s="15">
        <v>41103</v>
      </c>
      <c r="B827" s="11">
        <v>1.9910000000000001</v>
      </c>
      <c r="C827" s="11">
        <f t="shared" si="84"/>
        <v>-2.3999999999999577E-3</v>
      </c>
      <c r="D827" s="12">
        <f t="shared" si="85"/>
        <v>5.7599999999997975E-6</v>
      </c>
      <c r="E827" s="12">
        <f t="shared" si="86"/>
        <v>2.0249999999999537E-5</v>
      </c>
      <c r="F827" s="12">
        <f t="shared" si="87"/>
        <v>2.7131102939072209E-5</v>
      </c>
      <c r="G827" s="12">
        <f t="shared" si="88"/>
        <v>4.2323251166337581</v>
      </c>
      <c r="I827" s="12">
        <f t="shared" si="89"/>
        <v>5.2087525319477607E-3</v>
      </c>
      <c r="J827" s="12">
        <f t="shared" si="90"/>
        <v>5.4233926257759718E-3</v>
      </c>
    </row>
    <row r="828" spans="1:10">
      <c r="A828" s="15">
        <v>41104</v>
      </c>
      <c r="B828" s="11">
        <v>1.9938</v>
      </c>
      <c r="C828" s="11">
        <f t="shared" si="84"/>
        <v>2.7999999999999137E-3</v>
      </c>
      <c r="D828" s="12">
        <f t="shared" si="85"/>
        <v>7.8399999999995167E-6</v>
      </c>
      <c r="E828" s="12">
        <f t="shared" si="86"/>
        <v>5.7599999999997975E-6</v>
      </c>
      <c r="F828" s="12">
        <f t="shared" si="87"/>
        <v>2.5969660384372798E-5</v>
      </c>
      <c r="G828" s="12">
        <f t="shared" si="88"/>
        <v>4.2094068940372642</v>
      </c>
      <c r="I828" s="12">
        <f t="shared" si="89"/>
        <v>5.09604360110594E-3</v>
      </c>
      <c r="J828" s="12">
        <f t="shared" si="90"/>
        <v>5.4233926257759718E-3</v>
      </c>
    </row>
    <row r="829" spans="1:10">
      <c r="A829" s="15">
        <v>41106</v>
      </c>
      <c r="B829" s="11">
        <v>1.9932000000000001</v>
      </c>
      <c r="C829" s="11">
        <f t="shared" si="84"/>
        <v>-5.9999999999993392E-4</v>
      </c>
      <c r="D829" s="12">
        <f t="shared" si="85"/>
        <v>3.5999999999992069E-7</v>
      </c>
      <c r="E829" s="12">
        <f t="shared" si="86"/>
        <v>7.8399999999995167E-6</v>
      </c>
      <c r="F829" s="12">
        <f t="shared" si="87"/>
        <v>2.5057118283726432E-5</v>
      </c>
      <c r="G829" s="12">
        <f t="shared" si="88"/>
        <v>4.371054175864848</v>
      </c>
      <c r="I829" s="12">
        <f t="shared" si="89"/>
        <v>5.00570856959596E-3</v>
      </c>
      <c r="J829" s="12">
        <f t="shared" si="90"/>
        <v>5.4233926257759718E-3</v>
      </c>
    </row>
    <row r="830" spans="1:10">
      <c r="A830" s="15">
        <v>41107</v>
      </c>
      <c r="B830" s="11">
        <v>1.9936</v>
      </c>
      <c r="C830" s="11">
        <f t="shared" si="84"/>
        <v>3.9999999999995595E-4</v>
      </c>
      <c r="D830" s="12">
        <f t="shared" si="85"/>
        <v>1.5999999999996475E-7</v>
      </c>
      <c r="E830" s="12">
        <f t="shared" si="86"/>
        <v>3.5999999999992069E-7</v>
      </c>
      <c r="F830" s="12">
        <f t="shared" si="87"/>
        <v>2.3799951376463731E-5</v>
      </c>
      <c r="G830" s="12">
        <f t="shared" si="88"/>
        <v>4.4006136181511675</v>
      </c>
      <c r="I830" s="12">
        <f t="shared" si="89"/>
        <v>4.8785193836310345E-3</v>
      </c>
      <c r="J830" s="12">
        <f t="shared" si="90"/>
        <v>5.4233926257759718E-3</v>
      </c>
    </row>
    <row r="831" spans="1:10">
      <c r="A831" s="15">
        <v>41108</v>
      </c>
      <c r="B831" s="11">
        <v>1.9925999999999999</v>
      </c>
      <c r="C831" s="11">
        <f t="shared" si="84"/>
        <v>-1.0000000000001119E-3</v>
      </c>
      <c r="D831" s="12">
        <f t="shared" si="85"/>
        <v>1.0000000000002238E-6</v>
      </c>
      <c r="E831" s="12">
        <f t="shared" si="86"/>
        <v>1.5999999999996475E-7</v>
      </c>
      <c r="F831" s="12">
        <f t="shared" si="87"/>
        <v>2.2666907056672759E-5</v>
      </c>
      <c r="G831" s="12">
        <f t="shared" si="88"/>
        <v>4.406305137856112</v>
      </c>
      <c r="I831" s="12">
        <f t="shared" si="89"/>
        <v>4.7609775316286426E-3</v>
      </c>
      <c r="J831" s="12">
        <f t="shared" si="90"/>
        <v>5.4233926257759718E-3</v>
      </c>
    </row>
    <row r="832" spans="1:10">
      <c r="A832" s="15">
        <v>41109</v>
      </c>
      <c r="B832" s="11">
        <v>1.9922</v>
      </c>
      <c r="C832" s="11">
        <f t="shared" si="84"/>
        <v>-3.9999999999995595E-4</v>
      </c>
      <c r="D832" s="12">
        <f t="shared" si="85"/>
        <v>1.5999999999996475E-7</v>
      </c>
      <c r="E832" s="12">
        <f t="shared" si="86"/>
        <v>1.0000000000002238E-6</v>
      </c>
      <c r="F832" s="12">
        <f t="shared" si="87"/>
        <v>2.1706199047741267E-5</v>
      </c>
      <c r="G832" s="12">
        <f t="shared" si="88"/>
        <v>4.4463322102317466</v>
      </c>
      <c r="I832" s="12">
        <f t="shared" si="89"/>
        <v>4.6589912049435408E-3</v>
      </c>
      <c r="J832" s="12">
        <f t="shared" si="90"/>
        <v>5.4233926257759718E-3</v>
      </c>
    </row>
    <row r="833" spans="1:10">
      <c r="A833" s="15">
        <v>41110</v>
      </c>
      <c r="B833" s="11">
        <v>1.9793000000000001</v>
      </c>
      <c r="C833" s="11">
        <f t="shared" si="84"/>
        <v>-1.2899999999999912E-2</v>
      </c>
      <c r="D833" s="12">
        <f t="shared" si="85"/>
        <v>1.6640999999999772E-4</v>
      </c>
      <c r="E833" s="12">
        <f t="shared" si="86"/>
        <v>1.5999999999996475E-7</v>
      </c>
      <c r="F833" s="12">
        <f t="shared" si="87"/>
        <v>2.0799616736054508E-5</v>
      </c>
      <c r="G833" s="12">
        <f t="shared" si="88"/>
        <v>0.47103536319011513</v>
      </c>
      <c r="I833" s="12">
        <f t="shared" si="89"/>
        <v>4.5606596821133787E-3</v>
      </c>
      <c r="J833" s="12">
        <f t="shared" si="90"/>
        <v>5.4233926257759718E-3</v>
      </c>
    </row>
    <row r="834" spans="1:10">
      <c r="A834" s="15">
        <v>41111</v>
      </c>
      <c r="B834" s="11">
        <v>1.9793000000000001</v>
      </c>
      <c r="C834" s="11">
        <f t="shared" si="84"/>
        <v>0</v>
      </c>
      <c r="D834" s="12">
        <f t="shared" si="85"/>
        <v>0</v>
      </c>
      <c r="E834" s="12">
        <f t="shared" si="86"/>
        <v>1.6640999999999772E-4</v>
      </c>
      <c r="F834" s="12">
        <f t="shared" si="87"/>
        <v>2.9844429147782422E-5</v>
      </c>
      <c r="G834" s="12">
        <f t="shared" si="88"/>
        <v>4.2908176412878483</v>
      </c>
      <c r="I834" s="12">
        <f t="shared" si="89"/>
        <v>5.4630055050111769E-3</v>
      </c>
      <c r="J834" s="12">
        <f t="shared" si="90"/>
        <v>5.4233926257759718E-3</v>
      </c>
    </row>
    <row r="835" spans="1:10">
      <c r="A835" s="15">
        <v>41112</v>
      </c>
      <c r="B835" s="11">
        <v>1.9799</v>
      </c>
      <c r="C835" s="11">
        <f t="shared" si="84"/>
        <v>5.9999999999993392E-4</v>
      </c>
      <c r="D835" s="12">
        <f t="shared" si="85"/>
        <v>3.5999999999992069E-7</v>
      </c>
      <c r="E835" s="12">
        <f t="shared" si="86"/>
        <v>0</v>
      </c>
      <c r="F835" s="12">
        <f t="shared" si="87"/>
        <v>2.804812613038735E-5</v>
      </c>
      <c r="G835" s="12">
        <f t="shared" si="88"/>
        <v>4.3154382848119894</v>
      </c>
      <c r="I835" s="12">
        <f t="shared" si="89"/>
        <v>5.2960481616378214E-3</v>
      </c>
      <c r="J835" s="12">
        <f t="shared" si="90"/>
        <v>5.4233926257759718E-3</v>
      </c>
    </row>
    <row r="836" spans="1:10">
      <c r="A836" s="15">
        <v>41113</v>
      </c>
      <c r="B836" s="11">
        <v>1.9810000000000001</v>
      </c>
      <c r="C836" s="11">
        <f t="shared" si="84"/>
        <v>1.1000000000001009E-3</v>
      </c>
      <c r="D836" s="12">
        <f t="shared" si="85"/>
        <v>1.210000000000222E-6</v>
      </c>
      <c r="E836" s="12">
        <f t="shared" si="86"/>
        <v>3.5999999999992069E-7</v>
      </c>
      <c r="F836" s="12">
        <f t="shared" si="87"/>
        <v>2.646744930558651E-5</v>
      </c>
      <c r="G836" s="12">
        <f t="shared" si="88"/>
        <v>4.3280006473174915</v>
      </c>
      <c r="I836" s="12">
        <f t="shared" si="89"/>
        <v>5.1446524960959712E-3</v>
      </c>
      <c r="J836" s="12">
        <f t="shared" si="90"/>
        <v>5.4233926257759718E-3</v>
      </c>
    </row>
    <row r="837" spans="1:10">
      <c r="A837" s="15">
        <v>41114</v>
      </c>
      <c r="B837" s="11">
        <v>1.9849000000000001</v>
      </c>
      <c r="C837" s="11">
        <f t="shared" si="84"/>
        <v>3.9000000000000146E-3</v>
      </c>
      <c r="D837" s="12">
        <f t="shared" si="85"/>
        <v>1.5210000000000114E-5</v>
      </c>
      <c r="E837" s="12">
        <f t="shared" si="86"/>
        <v>1.210000000000222E-6</v>
      </c>
      <c r="F837" s="12">
        <f t="shared" si="87"/>
        <v>2.5108117780845224E-5</v>
      </c>
      <c r="G837" s="12">
        <f t="shared" si="88"/>
        <v>4.0743310448499628</v>
      </c>
      <c r="I837" s="12">
        <f t="shared" si="89"/>
        <v>5.0108001138386296E-3</v>
      </c>
      <c r="J837" s="12">
        <f t="shared" si="90"/>
        <v>5.4233926257759718E-3</v>
      </c>
    </row>
    <row r="838" spans="1:10">
      <c r="A838" s="15">
        <v>41115</v>
      </c>
      <c r="B838" s="11">
        <v>1.9816</v>
      </c>
      <c r="C838" s="11">
        <f t="shared" si="84"/>
        <v>-3.3000000000000806E-3</v>
      </c>
      <c r="D838" s="12">
        <f t="shared" si="85"/>
        <v>1.0890000000000533E-5</v>
      </c>
      <c r="E838" s="12">
        <f t="shared" si="86"/>
        <v>1.5210000000000114E-5</v>
      </c>
      <c r="F838" s="12">
        <f t="shared" si="87"/>
        <v>2.4725567474664689E-5</v>
      </c>
      <c r="G838" s="12">
        <f t="shared" si="88"/>
        <v>4.1646804314350225</v>
      </c>
      <c r="I838" s="12">
        <f t="shared" si="89"/>
        <v>4.9724810180296003E-3</v>
      </c>
      <c r="J838" s="12">
        <f t="shared" si="90"/>
        <v>5.4233926257759718E-3</v>
      </c>
    </row>
    <row r="839" spans="1:10">
      <c r="A839" s="15">
        <v>41116</v>
      </c>
      <c r="B839" s="11">
        <v>1.9892000000000001</v>
      </c>
      <c r="C839" s="11">
        <f t="shared" si="84"/>
        <v>7.6000000000000512E-3</v>
      </c>
      <c r="D839" s="12">
        <f t="shared" si="85"/>
        <v>5.7760000000000775E-5</v>
      </c>
      <c r="E839" s="12">
        <f t="shared" si="86"/>
        <v>1.0890000000000533E-5</v>
      </c>
      <c r="F839" s="12">
        <f t="shared" si="87"/>
        <v>2.4128355512454812E-5</v>
      </c>
      <c r="G839" s="12">
        <f t="shared" si="88"/>
        <v>3.2001909093094798</v>
      </c>
      <c r="I839" s="12">
        <f t="shared" si="89"/>
        <v>4.9120622463945645E-3</v>
      </c>
      <c r="J839" s="12">
        <f t="shared" si="90"/>
        <v>5.4233926257759718E-3</v>
      </c>
    </row>
    <row r="840" spans="1:10">
      <c r="A840" s="15">
        <v>41117</v>
      </c>
      <c r="B840" s="11">
        <v>1.9913000000000001</v>
      </c>
      <c r="C840" s="11">
        <f t="shared" si="84"/>
        <v>2.0999999999999908E-3</v>
      </c>
      <c r="D840" s="12">
        <f t="shared" si="85"/>
        <v>4.4099999999999612E-6</v>
      </c>
      <c r="E840" s="12">
        <f t="shared" si="86"/>
        <v>5.7760000000000775E-5</v>
      </c>
      <c r="F840" s="12">
        <f t="shared" si="87"/>
        <v>2.6373638966214547E-5</v>
      </c>
      <c r="G840" s="12">
        <f t="shared" si="88"/>
        <v>4.2690280346664018</v>
      </c>
      <c r="I840" s="12">
        <f t="shared" si="89"/>
        <v>5.1355271361579373E-3</v>
      </c>
      <c r="J840" s="12">
        <f t="shared" si="90"/>
        <v>5.4233926257759718E-3</v>
      </c>
    </row>
    <row r="841" spans="1:10">
      <c r="A841" s="15">
        <v>41118</v>
      </c>
      <c r="B841" s="11">
        <v>1.9896</v>
      </c>
      <c r="C841" s="11">
        <f t="shared" si="84"/>
        <v>-1.7000000000000348E-3</v>
      </c>
      <c r="D841" s="12">
        <f t="shared" si="85"/>
        <v>2.8900000000001184E-6</v>
      </c>
      <c r="E841" s="12">
        <f t="shared" si="86"/>
        <v>4.4099999999999612E-6</v>
      </c>
      <c r="F841" s="12">
        <f t="shared" si="87"/>
        <v>2.5214112282043129E-5</v>
      </c>
      <c r="G841" s="12">
        <f t="shared" si="88"/>
        <v>4.3178056378488803</v>
      </c>
      <c r="I841" s="12">
        <f t="shared" si="89"/>
        <v>5.0213655794059779E-3</v>
      </c>
      <c r="J841" s="12">
        <f t="shared" si="90"/>
        <v>5.4233926257759718E-3</v>
      </c>
    </row>
    <row r="842" spans="1:10">
      <c r="A842" s="15">
        <v>41119</v>
      </c>
      <c r="B842" s="11">
        <v>1.9916</v>
      </c>
      <c r="C842" s="11">
        <f t="shared" si="84"/>
        <v>2.0000000000000018E-3</v>
      </c>
      <c r="D842" s="12">
        <f t="shared" si="85"/>
        <v>4.0000000000000074E-6</v>
      </c>
      <c r="E842" s="12">
        <f t="shared" si="86"/>
        <v>2.8900000000001184E-6</v>
      </c>
      <c r="F842" s="12">
        <f t="shared" si="87"/>
        <v>2.4089913314738748E-5</v>
      </c>
      <c r="G842" s="12">
        <f t="shared" si="88"/>
        <v>4.3148978296998637</v>
      </c>
      <c r="I842" s="12">
        <f t="shared" si="89"/>
        <v>4.9081476459799725E-3</v>
      </c>
      <c r="J842" s="12">
        <f t="shared" si="90"/>
        <v>5.4233926257759718E-3</v>
      </c>
    </row>
    <row r="843" spans="1:10">
      <c r="A843" s="15">
        <v>41120</v>
      </c>
      <c r="B843" s="11">
        <v>1.9878</v>
      </c>
      <c r="C843" s="11">
        <f t="shared" si="84"/>
        <v>-3.8000000000000256E-3</v>
      </c>
      <c r="D843" s="12">
        <f t="shared" si="85"/>
        <v>1.4440000000000194E-5</v>
      </c>
      <c r="E843" s="12">
        <f t="shared" si="86"/>
        <v>4.0000000000000074E-6</v>
      </c>
      <c r="F843" s="12">
        <f t="shared" si="87"/>
        <v>2.3153096351176132E-5</v>
      </c>
      <c r="G843" s="12">
        <f t="shared" si="88"/>
        <v>4.1059151358508652</v>
      </c>
      <c r="I843" s="12">
        <f t="shared" si="89"/>
        <v>4.8117664481119749E-3</v>
      </c>
      <c r="J843" s="12">
        <f t="shared" si="90"/>
        <v>5.4233926257759718E-3</v>
      </c>
    </row>
    <row r="844" spans="1:10">
      <c r="A844" s="15">
        <v>41121</v>
      </c>
      <c r="B844" s="11">
        <v>1.9923</v>
      </c>
      <c r="C844" s="11">
        <f t="shared" si="84"/>
        <v>4.4999999999999485E-3</v>
      </c>
      <c r="D844" s="12">
        <f t="shared" si="85"/>
        <v>2.0249999999999537E-5</v>
      </c>
      <c r="E844" s="12">
        <f t="shared" si="86"/>
        <v>1.4440000000000194E-5</v>
      </c>
      <c r="F844" s="12">
        <f t="shared" si="87"/>
        <v>2.2936366289755965E-5</v>
      </c>
      <c r="G844" s="12">
        <f t="shared" si="88"/>
        <v>3.9810161768151509</v>
      </c>
      <c r="I844" s="12">
        <f t="shared" si="89"/>
        <v>4.7891926553184265E-3</v>
      </c>
      <c r="J844" s="12">
        <f t="shared" si="90"/>
        <v>5.4233926257759718E-3</v>
      </c>
    </row>
    <row r="845" spans="1:10">
      <c r="A845" s="15">
        <v>41122</v>
      </c>
      <c r="B845" s="11">
        <v>1.9853000000000001</v>
      </c>
      <c r="C845" s="11">
        <f t="shared" si="84"/>
        <v>-6.9999999999998952E-3</v>
      </c>
      <c r="D845" s="12">
        <f t="shared" si="85"/>
        <v>4.8999999999998535E-5</v>
      </c>
      <c r="E845" s="12">
        <f t="shared" si="86"/>
        <v>2.0249999999999537E-5</v>
      </c>
      <c r="F845" s="12">
        <f t="shared" si="87"/>
        <v>2.3087426167538319E-5</v>
      </c>
      <c r="G845" s="12">
        <f t="shared" si="88"/>
        <v>3.3579889786326711</v>
      </c>
      <c r="I845" s="12">
        <f t="shared" si="89"/>
        <v>4.8049376861243808E-3</v>
      </c>
      <c r="J845" s="12">
        <f t="shared" si="90"/>
        <v>5.4233926257759718E-3</v>
      </c>
    </row>
    <row r="846" spans="1:10">
      <c r="A846" s="15">
        <v>41123</v>
      </c>
      <c r="B846" s="11">
        <v>1.9824999999999999</v>
      </c>
      <c r="C846" s="11">
        <f t="shared" ref="C846:C909" si="91">B846-B845</f>
        <v>-2.8000000000001357E-3</v>
      </c>
      <c r="D846" s="12">
        <f t="shared" ref="D846:D909" si="92">C846^2</f>
        <v>7.8400000000007601E-6</v>
      </c>
      <c r="E846" s="12">
        <f t="shared" si="86"/>
        <v>4.8999999999998535E-5</v>
      </c>
      <c r="F846" s="12">
        <f t="shared" si="87"/>
        <v>2.4926107992482136E-5</v>
      </c>
      <c r="G846" s="12">
        <f t="shared" si="88"/>
        <v>4.2235940298879582</v>
      </c>
      <c r="I846" s="12">
        <f t="shared" si="89"/>
        <v>4.9926053311354522E-3</v>
      </c>
      <c r="J846" s="12">
        <f t="shared" si="90"/>
        <v>5.4233926257759718E-3</v>
      </c>
    </row>
    <row r="847" spans="1:10">
      <c r="A847" s="15">
        <v>41124</v>
      </c>
      <c r="B847" s="11">
        <v>1.9964</v>
      </c>
      <c r="C847" s="11">
        <f t="shared" si="91"/>
        <v>1.3900000000000023E-2</v>
      </c>
      <c r="D847" s="12">
        <f t="shared" si="92"/>
        <v>1.9321000000000065E-4</v>
      </c>
      <c r="E847" s="12">
        <f t="shared" ref="E847:E910" si="93">D846</f>
        <v>7.8400000000007601E-6</v>
      </c>
      <c r="F847" s="12">
        <f t="shared" ref="F847:F910" si="94">$B$5+$B$6*E847+$B$7*F846</f>
        <v>2.4126437393869569E-5</v>
      </c>
      <c r="G847" s="12">
        <f t="shared" ref="G847:G910" si="95">LN((1/SQRT(2*3.1415927*F847))*EXP(-0.5*D847/F847))</f>
        <v>0.39304886298781755</v>
      </c>
      <c r="I847" s="12">
        <f t="shared" ref="I847:I910" si="96">SQRT(F847)</f>
        <v>4.9118669967609637E-3</v>
      </c>
      <c r="J847" s="12">
        <f t="shared" si="90"/>
        <v>5.4233926257759718E-3</v>
      </c>
    </row>
    <row r="848" spans="1:10">
      <c r="A848" s="15">
        <v>41125</v>
      </c>
      <c r="B848" s="11">
        <v>1.9916</v>
      </c>
      <c r="C848" s="11">
        <f t="shared" si="91"/>
        <v>-4.7999999999999154E-3</v>
      </c>
      <c r="D848" s="12">
        <f t="shared" si="92"/>
        <v>2.303999999999919E-5</v>
      </c>
      <c r="E848" s="12">
        <f t="shared" si="93"/>
        <v>1.9321000000000065E-4</v>
      </c>
      <c r="F848" s="12">
        <f t="shared" si="94"/>
        <v>3.4399805815673689E-5</v>
      </c>
      <c r="G848" s="12">
        <f t="shared" si="95"/>
        <v>3.8849056673322107</v>
      </c>
      <c r="I848" s="12">
        <f t="shared" si="96"/>
        <v>5.8651347653462908E-3</v>
      </c>
      <c r="J848" s="12">
        <f t="shared" ref="J848:J911" si="97">J847</f>
        <v>5.4233926257759718E-3</v>
      </c>
    </row>
    <row r="849" spans="1:10">
      <c r="A849" s="15">
        <v>41126</v>
      </c>
      <c r="B849" s="11">
        <v>1.9945999999999999</v>
      </c>
      <c r="C849" s="11">
        <f t="shared" si="91"/>
        <v>2.9999999999998916E-3</v>
      </c>
      <c r="D849" s="12">
        <f t="shared" si="92"/>
        <v>8.9999999999993497E-6</v>
      </c>
      <c r="E849" s="12">
        <f t="shared" si="93"/>
        <v>2.303999999999919E-5</v>
      </c>
      <c r="F849" s="12">
        <f t="shared" si="94"/>
        <v>3.3476328732996271E-5</v>
      </c>
      <c r="G849" s="12">
        <f t="shared" si="95"/>
        <v>4.0989741039367962</v>
      </c>
      <c r="I849" s="12">
        <f t="shared" si="96"/>
        <v>5.7858732040199663E-3</v>
      </c>
      <c r="J849" s="12">
        <f t="shared" si="97"/>
        <v>5.4233926257759718E-3</v>
      </c>
    </row>
    <row r="850" spans="1:10">
      <c r="A850" s="15">
        <v>41127</v>
      </c>
      <c r="B850" s="11">
        <v>1.9950000000000001</v>
      </c>
      <c r="C850" s="11">
        <f t="shared" si="91"/>
        <v>4.0000000000017799E-4</v>
      </c>
      <c r="D850" s="12">
        <f t="shared" si="92"/>
        <v>1.6000000000014238E-7</v>
      </c>
      <c r="E850" s="12">
        <f t="shared" si="93"/>
        <v>8.9999999999993497E-6</v>
      </c>
      <c r="F850" s="12">
        <f t="shared" si="94"/>
        <v>3.1820610197600934E-5</v>
      </c>
      <c r="G850" s="12">
        <f t="shared" si="95"/>
        <v>4.2562455449192225</v>
      </c>
      <c r="I850" s="12">
        <f t="shared" si="96"/>
        <v>5.6409759968999102E-3</v>
      </c>
      <c r="J850" s="12">
        <f t="shared" si="97"/>
        <v>5.4233926257759718E-3</v>
      </c>
    </row>
    <row r="851" spans="1:10">
      <c r="A851" s="15">
        <v>41128</v>
      </c>
      <c r="B851" s="11">
        <v>1.9961</v>
      </c>
      <c r="C851" s="11">
        <f t="shared" si="91"/>
        <v>1.0999999999998789E-3</v>
      </c>
      <c r="D851" s="12">
        <f t="shared" si="92"/>
        <v>1.2099999999997335E-6</v>
      </c>
      <c r="E851" s="12">
        <f t="shared" si="93"/>
        <v>1.6000000000014238E-7</v>
      </c>
      <c r="F851" s="12">
        <f t="shared" si="94"/>
        <v>2.9820044692024935E-5</v>
      </c>
      <c r="G851" s="12">
        <f t="shared" si="95"/>
        <v>4.2709379677178116</v>
      </c>
      <c r="I851" s="12">
        <f t="shared" si="96"/>
        <v>5.460773268688688E-3</v>
      </c>
      <c r="J851" s="12">
        <f t="shared" si="97"/>
        <v>5.4233926257759718E-3</v>
      </c>
    </row>
    <row r="852" spans="1:10">
      <c r="A852" s="15">
        <v>41129</v>
      </c>
      <c r="B852" s="11">
        <v>1.9962</v>
      </c>
      <c r="C852" s="11">
        <f t="shared" si="91"/>
        <v>9.9999999999988987E-5</v>
      </c>
      <c r="D852" s="12">
        <f t="shared" si="92"/>
        <v>9.9999999999977966E-9</v>
      </c>
      <c r="E852" s="12">
        <f t="shared" si="93"/>
        <v>1.2099999999997335E-6</v>
      </c>
      <c r="F852" s="12">
        <f t="shared" si="94"/>
        <v>2.8098093638145219E-5</v>
      </c>
      <c r="G852" s="12">
        <f t="shared" si="95"/>
        <v>4.3207879243859129</v>
      </c>
      <c r="I852" s="12">
        <f t="shared" si="96"/>
        <v>5.3007634957754172E-3</v>
      </c>
      <c r="J852" s="12">
        <f t="shared" si="97"/>
        <v>5.4233926257759718E-3</v>
      </c>
    </row>
    <row r="853" spans="1:10">
      <c r="A853" s="15">
        <v>41130</v>
      </c>
      <c r="B853" s="11">
        <v>1.9912000000000001</v>
      </c>
      <c r="C853" s="11">
        <f t="shared" si="91"/>
        <v>-4.9999999999998934E-3</v>
      </c>
      <c r="D853" s="12">
        <f t="shared" si="92"/>
        <v>2.4999999999998934E-5</v>
      </c>
      <c r="E853" s="12">
        <f t="shared" si="93"/>
        <v>9.9999999999977966E-9</v>
      </c>
      <c r="F853" s="12">
        <f t="shared" si="94"/>
        <v>2.6491268416276684E-5</v>
      </c>
      <c r="G853" s="12">
        <f t="shared" si="95"/>
        <v>3.8785555599017321</v>
      </c>
      <c r="I853" s="12">
        <f t="shared" si="96"/>
        <v>5.1469669142395584E-3</v>
      </c>
      <c r="J853" s="12">
        <f t="shared" si="97"/>
        <v>5.4233926257759718E-3</v>
      </c>
    </row>
    <row r="854" spans="1:10">
      <c r="A854" s="15">
        <v>41131</v>
      </c>
      <c r="B854" s="11">
        <v>1.9948999999999999</v>
      </c>
      <c r="C854" s="11">
        <f t="shared" si="91"/>
        <v>3.6999999999998145E-3</v>
      </c>
      <c r="D854" s="12">
        <f t="shared" si="92"/>
        <v>1.3689999999998627E-5</v>
      </c>
      <c r="E854" s="12">
        <f t="shared" si="93"/>
        <v>2.4999999999998934E-5</v>
      </c>
      <c r="F854" s="12">
        <f t="shared" si="94"/>
        <v>2.6539351041652098E-5</v>
      </c>
      <c r="G854" s="12">
        <f t="shared" si="95"/>
        <v>4.0915835586987832</v>
      </c>
      <c r="I854" s="12">
        <f t="shared" si="96"/>
        <v>5.151635763682454E-3</v>
      </c>
      <c r="J854" s="12">
        <f t="shared" si="97"/>
        <v>5.4233926257759718E-3</v>
      </c>
    </row>
    <row r="855" spans="1:10">
      <c r="A855" s="15">
        <v>41132</v>
      </c>
      <c r="B855" s="11">
        <v>1.9919</v>
      </c>
      <c r="C855" s="11">
        <f t="shared" si="91"/>
        <v>-2.9999999999998916E-3</v>
      </c>
      <c r="D855" s="12">
        <f t="shared" si="92"/>
        <v>8.9999999999993497E-6</v>
      </c>
      <c r="E855" s="12">
        <f t="shared" si="93"/>
        <v>1.3689999999998627E-5</v>
      </c>
      <c r="F855" s="12">
        <f t="shared" si="94"/>
        <v>2.591190968357241E-5</v>
      </c>
      <c r="G855" s="12">
        <f t="shared" si="95"/>
        <v>4.1878000735703766</v>
      </c>
      <c r="I855" s="12">
        <f t="shared" si="96"/>
        <v>5.0903742184217077E-3</v>
      </c>
      <c r="J855" s="12">
        <f t="shared" si="97"/>
        <v>5.4233926257759718E-3</v>
      </c>
    </row>
    <row r="856" spans="1:10">
      <c r="A856" s="15">
        <v>41133</v>
      </c>
      <c r="B856" s="11">
        <v>1.9951000000000001</v>
      </c>
      <c r="C856" s="11">
        <f t="shared" si="91"/>
        <v>3.2000000000000917E-3</v>
      </c>
      <c r="D856" s="12">
        <f t="shared" si="92"/>
        <v>1.0240000000000586E-5</v>
      </c>
      <c r="E856" s="12">
        <f t="shared" si="93"/>
        <v>8.9999999999993497E-6</v>
      </c>
      <c r="F856" s="12">
        <f t="shared" si="94"/>
        <v>2.5074365057561827E-5</v>
      </c>
      <c r="G856" s="12">
        <f t="shared" si="95"/>
        <v>4.1737011242959969</v>
      </c>
      <c r="I856" s="12">
        <f t="shared" si="96"/>
        <v>5.0074309838041529E-3</v>
      </c>
      <c r="J856" s="12">
        <f t="shared" si="97"/>
        <v>5.4233926257759718E-3</v>
      </c>
    </row>
    <row r="857" spans="1:10">
      <c r="A857" s="15">
        <v>41134</v>
      </c>
      <c r="B857" s="11">
        <v>1.9979</v>
      </c>
      <c r="C857" s="11">
        <f t="shared" si="91"/>
        <v>2.7999999999999137E-3</v>
      </c>
      <c r="D857" s="12">
        <f t="shared" si="92"/>
        <v>7.8399999999995167E-6</v>
      </c>
      <c r="E857" s="12">
        <f t="shared" si="93"/>
        <v>1.0240000000000586E-5</v>
      </c>
      <c r="F857" s="12">
        <f t="shared" si="94"/>
        <v>2.4400902527114706E-5</v>
      </c>
      <c r="G857" s="12">
        <f t="shared" si="95"/>
        <v>4.2308568827162638</v>
      </c>
      <c r="I857" s="12">
        <f t="shared" si="96"/>
        <v>4.9397269688834736E-3</v>
      </c>
      <c r="J857" s="12">
        <f t="shared" si="97"/>
        <v>5.4233926257759718E-3</v>
      </c>
    </row>
    <row r="858" spans="1:10">
      <c r="A858" s="15">
        <v>41135</v>
      </c>
      <c r="B858" s="11">
        <v>1.9924999999999999</v>
      </c>
      <c r="C858" s="11">
        <f t="shared" si="91"/>
        <v>-5.4000000000000714E-3</v>
      </c>
      <c r="D858" s="12">
        <f t="shared" si="92"/>
        <v>2.9160000000000771E-5</v>
      </c>
      <c r="E858" s="12">
        <f t="shared" si="93"/>
        <v>7.8399999999995167E-6</v>
      </c>
      <c r="F858" s="12">
        <f t="shared" si="94"/>
        <v>2.3658038592176078E-5</v>
      </c>
      <c r="G858" s="12">
        <f t="shared" si="95"/>
        <v>3.7906842472462068</v>
      </c>
      <c r="I858" s="12">
        <f t="shared" si="96"/>
        <v>4.8639529800539889E-3</v>
      </c>
      <c r="J858" s="12">
        <f t="shared" si="97"/>
        <v>5.4233926257759718E-3</v>
      </c>
    </row>
    <row r="859" spans="1:10">
      <c r="A859" s="15">
        <v>41136</v>
      </c>
      <c r="B859" s="11">
        <v>1.9905999999999999</v>
      </c>
      <c r="C859" s="11">
        <f t="shared" si="91"/>
        <v>-1.9000000000000128E-3</v>
      </c>
      <c r="D859" s="12">
        <f t="shared" si="92"/>
        <v>3.6100000000000484E-6</v>
      </c>
      <c r="E859" s="12">
        <f t="shared" si="93"/>
        <v>2.9160000000000771E-5</v>
      </c>
      <c r="F859" s="12">
        <f t="shared" si="94"/>
        <v>2.4259121438074616E-5</v>
      </c>
      <c r="G859" s="12">
        <f t="shared" si="95"/>
        <v>4.320015391312177</v>
      </c>
      <c r="I859" s="12">
        <f t="shared" si="96"/>
        <v>4.9253549555412363E-3</v>
      </c>
      <c r="J859" s="12">
        <f t="shared" si="97"/>
        <v>5.4233926257759718E-3</v>
      </c>
    </row>
    <row r="860" spans="1:10">
      <c r="A860" s="15">
        <v>41137</v>
      </c>
      <c r="B860" s="11">
        <v>1.9970000000000001</v>
      </c>
      <c r="C860" s="11">
        <f t="shared" si="91"/>
        <v>6.4000000000001833E-3</v>
      </c>
      <c r="D860" s="12">
        <f t="shared" si="92"/>
        <v>4.0960000000002345E-5</v>
      </c>
      <c r="E860" s="12">
        <f t="shared" si="93"/>
        <v>3.6100000000000484E-6</v>
      </c>
      <c r="F860" s="12">
        <f t="shared" si="94"/>
        <v>2.3280888184500229E-5</v>
      </c>
      <c r="G860" s="12">
        <f t="shared" si="95"/>
        <v>3.535308827500514</v>
      </c>
      <c r="I860" s="12">
        <f t="shared" si="96"/>
        <v>4.8250272729281262E-3</v>
      </c>
      <c r="J860" s="12">
        <f t="shared" si="97"/>
        <v>5.4233926257759718E-3</v>
      </c>
    </row>
    <row r="861" spans="1:10">
      <c r="A861" s="15">
        <v>41138</v>
      </c>
      <c r="B861" s="11">
        <v>1.9961</v>
      </c>
      <c r="C861" s="11">
        <f t="shared" si="91"/>
        <v>-9.0000000000012292E-4</v>
      </c>
      <c r="D861" s="12">
        <f t="shared" si="92"/>
        <v>8.1000000000022126E-7</v>
      </c>
      <c r="E861" s="12">
        <f t="shared" si="93"/>
        <v>4.0960000000002345E-5</v>
      </c>
      <c r="F861" s="12">
        <f t="shared" si="94"/>
        <v>2.4622128678530599E-5</v>
      </c>
      <c r="G861" s="12">
        <f t="shared" si="95"/>
        <v>4.37054533075721</v>
      </c>
      <c r="I861" s="12">
        <f t="shared" si="96"/>
        <v>4.9620689917141015E-3</v>
      </c>
      <c r="J861" s="12">
        <f t="shared" si="97"/>
        <v>5.4233926257759718E-3</v>
      </c>
    </row>
    <row r="862" spans="1:10">
      <c r="A862" s="15">
        <v>41139</v>
      </c>
      <c r="B862" s="11">
        <v>1.9998</v>
      </c>
      <c r="C862" s="11">
        <f t="shared" si="91"/>
        <v>3.7000000000000366E-3</v>
      </c>
      <c r="D862" s="12">
        <f t="shared" si="92"/>
        <v>1.369000000000027E-5</v>
      </c>
      <c r="E862" s="12">
        <f t="shared" si="93"/>
        <v>8.1000000000022126E-7</v>
      </c>
      <c r="F862" s="12">
        <f t="shared" si="94"/>
        <v>2.3438681301210965E-5</v>
      </c>
      <c r="G862" s="12">
        <f t="shared" si="95"/>
        <v>4.1195842721192175</v>
      </c>
      <c r="I862" s="12">
        <f t="shared" si="96"/>
        <v>4.8413511854864411E-3</v>
      </c>
      <c r="J862" s="12">
        <f t="shared" si="97"/>
        <v>5.4233926257759718E-3</v>
      </c>
    </row>
    <row r="863" spans="1:10">
      <c r="A863" s="15">
        <v>41140</v>
      </c>
      <c r="B863" s="11">
        <v>1.9970000000000001</v>
      </c>
      <c r="C863" s="11">
        <f t="shared" si="91"/>
        <v>-2.7999999999999137E-3</v>
      </c>
      <c r="D863" s="12">
        <f t="shared" si="92"/>
        <v>7.8399999999995167E-6</v>
      </c>
      <c r="E863" s="12">
        <f t="shared" si="93"/>
        <v>1.369000000000027E-5</v>
      </c>
      <c r="F863" s="12">
        <f t="shared" si="94"/>
        <v>2.314661098308466E-5</v>
      </c>
      <c r="G863" s="12">
        <f t="shared" si="95"/>
        <v>4.2485373042678658</v>
      </c>
      <c r="I863" s="12">
        <f t="shared" si="96"/>
        <v>4.8110924937153996E-3</v>
      </c>
      <c r="J863" s="12">
        <f t="shared" si="97"/>
        <v>5.4233926257759718E-3</v>
      </c>
    </row>
    <row r="864" spans="1:10">
      <c r="A864" s="15">
        <v>41141</v>
      </c>
      <c r="B864" s="11">
        <v>1.9962</v>
      </c>
      <c r="C864" s="11">
        <f t="shared" si="91"/>
        <v>-8.0000000000013394E-4</v>
      </c>
      <c r="D864" s="12">
        <f t="shared" si="92"/>
        <v>6.4000000000021431E-7</v>
      </c>
      <c r="E864" s="12">
        <f t="shared" si="93"/>
        <v>7.8399999999995167E-6</v>
      </c>
      <c r="F864" s="12">
        <f t="shared" si="94"/>
        <v>2.2539412273642162E-5</v>
      </c>
      <c r="G864" s="12">
        <f t="shared" si="95"/>
        <v>4.4169866683288612</v>
      </c>
      <c r="I864" s="12">
        <f t="shared" si="96"/>
        <v>4.7475690909814213E-3</v>
      </c>
      <c r="J864" s="12">
        <f t="shared" si="97"/>
        <v>5.4233926257759718E-3</v>
      </c>
    </row>
    <row r="865" spans="1:10">
      <c r="A865" s="15">
        <v>41142</v>
      </c>
      <c r="B865" s="11">
        <v>2.0032999999999999</v>
      </c>
      <c r="C865" s="11">
        <f t="shared" si="91"/>
        <v>7.0999999999998842E-3</v>
      </c>
      <c r="D865" s="12">
        <f t="shared" si="92"/>
        <v>5.0409999999998354E-5</v>
      </c>
      <c r="E865" s="12">
        <f t="shared" si="93"/>
        <v>6.4000000000021431E-7</v>
      </c>
      <c r="F865" s="12">
        <f t="shared" si="94"/>
        <v>2.1571157655883012E-5</v>
      </c>
      <c r="G865" s="12">
        <f t="shared" si="95"/>
        <v>3.28467979077341</v>
      </c>
      <c r="I865" s="12">
        <f t="shared" si="96"/>
        <v>4.6444760367433278E-3</v>
      </c>
      <c r="J865" s="12">
        <f t="shared" si="97"/>
        <v>5.4233926257759718E-3</v>
      </c>
    </row>
    <row r="866" spans="1:10">
      <c r="A866" s="15">
        <v>41143</v>
      </c>
      <c r="B866" s="11">
        <v>2.0055000000000001</v>
      </c>
      <c r="C866" s="11">
        <f t="shared" si="91"/>
        <v>2.2000000000002018E-3</v>
      </c>
      <c r="D866" s="12">
        <f t="shared" si="92"/>
        <v>4.8400000000008879E-6</v>
      </c>
      <c r="E866" s="12">
        <f t="shared" si="93"/>
        <v>5.0409999999998354E-5</v>
      </c>
      <c r="F866" s="12">
        <f t="shared" si="94"/>
        <v>2.3657408514936902E-5</v>
      </c>
      <c r="G866" s="12">
        <f t="shared" si="95"/>
        <v>4.3046850399411136</v>
      </c>
      <c r="I866" s="12">
        <f t="shared" si="96"/>
        <v>4.8638882095435642E-3</v>
      </c>
      <c r="J866" s="12">
        <f t="shared" si="97"/>
        <v>5.4233926257759718E-3</v>
      </c>
    </row>
    <row r="867" spans="1:10">
      <c r="A867" s="15">
        <v>41144</v>
      </c>
      <c r="B867" s="11">
        <v>2.0068000000000001</v>
      </c>
      <c r="C867" s="11">
        <f t="shared" si="91"/>
        <v>1.3000000000000789E-3</v>
      </c>
      <c r="D867" s="12">
        <f t="shared" si="92"/>
        <v>1.6900000000002051E-6</v>
      </c>
      <c r="E867" s="12">
        <f t="shared" si="93"/>
        <v>4.8400000000008879E-6</v>
      </c>
      <c r="F867" s="12">
        <f t="shared" si="94"/>
        <v>2.2817156920142528E-5</v>
      </c>
      <c r="G867" s="12">
        <f t="shared" si="95"/>
        <v>4.3880268277511609</v>
      </c>
      <c r="I867" s="12">
        <f t="shared" si="96"/>
        <v>4.7767307774399977E-3</v>
      </c>
      <c r="J867" s="12">
        <f t="shared" si="97"/>
        <v>5.4233926257759718E-3</v>
      </c>
    </row>
    <row r="868" spans="1:10">
      <c r="A868" s="15">
        <v>41145</v>
      </c>
      <c r="B868" s="11">
        <v>2.0045000000000002</v>
      </c>
      <c r="C868" s="11">
        <f t="shared" si="91"/>
        <v>-2.2999999999999687E-3</v>
      </c>
      <c r="D868" s="12">
        <f t="shared" si="92"/>
        <v>5.2899999999998562E-6</v>
      </c>
      <c r="E868" s="12">
        <f t="shared" si="93"/>
        <v>1.6900000000002051E-6</v>
      </c>
      <c r="F868" s="12">
        <f t="shared" si="94"/>
        <v>2.1881092816995283E-5</v>
      </c>
      <c r="G868" s="12">
        <f t="shared" si="95"/>
        <v>4.3251246602878375</v>
      </c>
      <c r="I868" s="12">
        <f t="shared" si="96"/>
        <v>4.6777230376536067E-3</v>
      </c>
      <c r="J868" s="12">
        <f t="shared" si="97"/>
        <v>5.4233926257759718E-3</v>
      </c>
    </row>
    <row r="869" spans="1:10">
      <c r="A869" s="15">
        <v>41146</v>
      </c>
      <c r="B869" s="11">
        <v>2.0049000000000001</v>
      </c>
      <c r="C869" s="11">
        <f t="shared" si="91"/>
        <v>3.9999999999995595E-4</v>
      </c>
      <c r="D869" s="12">
        <f t="shared" si="92"/>
        <v>1.5999999999996475E-7</v>
      </c>
      <c r="E869" s="12">
        <f t="shared" si="93"/>
        <v>5.2899999999998562E-6</v>
      </c>
      <c r="F869" s="12">
        <f t="shared" si="94"/>
        <v>2.1259639707433294E-5</v>
      </c>
      <c r="G869" s="12">
        <f t="shared" si="95"/>
        <v>4.4566485266297908</v>
      </c>
      <c r="I869" s="12">
        <f t="shared" si="96"/>
        <v>4.6108176831700142E-3</v>
      </c>
      <c r="J869" s="12">
        <f t="shared" si="97"/>
        <v>5.4233926257759718E-3</v>
      </c>
    </row>
    <row r="870" spans="1:10">
      <c r="A870" s="15">
        <v>41147</v>
      </c>
      <c r="B870" s="11">
        <v>2.0044</v>
      </c>
      <c r="C870" s="11">
        <f t="shared" si="91"/>
        <v>-5.0000000000016698E-4</v>
      </c>
      <c r="D870" s="12">
        <f t="shared" si="92"/>
        <v>2.5000000000016696E-7</v>
      </c>
      <c r="E870" s="12">
        <f t="shared" si="93"/>
        <v>1.5999999999996475E-7</v>
      </c>
      <c r="F870" s="12">
        <f t="shared" si="94"/>
        <v>2.0401357628566118E-5</v>
      </c>
      <c r="G870" s="12">
        <f t="shared" si="95"/>
        <v>4.4748889706401052</v>
      </c>
      <c r="I870" s="12">
        <f t="shared" si="96"/>
        <v>4.5167862057624688E-3</v>
      </c>
      <c r="J870" s="12">
        <f t="shared" si="97"/>
        <v>5.4233926257759718E-3</v>
      </c>
    </row>
    <row r="871" spans="1:10">
      <c r="A871" s="15">
        <v>41148</v>
      </c>
      <c r="B871" s="11">
        <v>2.0059</v>
      </c>
      <c r="C871" s="11">
        <f t="shared" si="91"/>
        <v>1.5000000000000568E-3</v>
      </c>
      <c r="D871" s="12">
        <f t="shared" si="92"/>
        <v>2.2500000000001707E-6</v>
      </c>
      <c r="E871" s="12">
        <f t="shared" si="93"/>
        <v>2.5000000000016696E-7</v>
      </c>
      <c r="F871" s="12">
        <f t="shared" si="94"/>
        <v>1.9641242197147765E-5</v>
      </c>
      <c r="G871" s="12">
        <f t="shared" si="95"/>
        <v>4.4427235274031966</v>
      </c>
      <c r="I871" s="12">
        <f t="shared" si="96"/>
        <v>4.4318441079473636E-3</v>
      </c>
      <c r="J871" s="12">
        <f t="shared" si="97"/>
        <v>5.4233926257759718E-3</v>
      </c>
    </row>
    <row r="872" spans="1:10">
      <c r="A872" s="15">
        <v>41149</v>
      </c>
      <c r="B872" s="11">
        <v>2.0085999999999999</v>
      </c>
      <c r="C872" s="11">
        <f t="shared" si="91"/>
        <v>2.6999999999999247E-3</v>
      </c>
      <c r="D872" s="12">
        <f t="shared" si="92"/>
        <v>7.2899999999995931E-6</v>
      </c>
      <c r="E872" s="12">
        <f t="shared" si="93"/>
        <v>2.2500000000001707E-6</v>
      </c>
      <c r="F872" s="12">
        <f t="shared" si="94"/>
        <v>1.9081877885607697E-5</v>
      </c>
      <c r="G872" s="12">
        <f t="shared" si="95"/>
        <v>4.3234282615187771</v>
      </c>
      <c r="I872" s="12">
        <f t="shared" si="96"/>
        <v>4.3682808844679047E-3</v>
      </c>
      <c r="J872" s="12">
        <f t="shared" si="97"/>
        <v>5.4233926257759718E-3</v>
      </c>
    </row>
    <row r="873" spans="1:10">
      <c r="A873" s="15">
        <v>41150</v>
      </c>
      <c r="B873" s="11">
        <v>2.0091999999999999</v>
      </c>
      <c r="C873" s="11">
        <f t="shared" si="91"/>
        <v>5.9999999999993392E-4</v>
      </c>
      <c r="D873" s="12">
        <f t="shared" si="92"/>
        <v>3.5999999999992069E-7</v>
      </c>
      <c r="E873" s="12">
        <f t="shared" si="93"/>
        <v>7.2899999999995931E-6</v>
      </c>
      <c r="F873" s="12">
        <f t="shared" si="94"/>
        <v>1.8881726608227709E-5</v>
      </c>
      <c r="G873" s="12">
        <f t="shared" si="95"/>
        <v>4.5101864077760743</v>
      </c>
      <c r="I873" s="12">
        <f t="shared" si="96"/>
        <v>4.3453108759014822E-3</v>
      </c>
      <c r="J873" s="12">
        <f t="shared" si="97"/>
        <v>5.4233926257759718E-3</v>
      </c>
    </row>
    <row r="874" spans="1:10">
      <c r="A874" s="15">
        <v>41151</v>
      </c>
      <c r="B874" s="11">
        <v>2.0019999999999998</v>
      </c>
      <c r="C874" s="11">
        <f t="shared" si="91"/>
        <v>-7.2000000000000952E-3</v>
      </c>
      <c r="D874" s="12">
        <f t="shared" si="92"/>
        <v>5.1840000000001374E-5</v>
      </c>
      <c r="E874" s="12">
        <f t="shared" si="93"/>
        <v>3.5999999999992069E-7</v>
      </c>
      <c r="F874" s="12">
        <f t="shared" si="94"/>
        <v>1.82924952444764E-5</v>
      </c>
      <c r="G874" s="12">
        <f t="shared" si="95"/>
        <v>3.1185967603743161</v>
      </c>
      <c r="I874" s="12">
        <f t="shared" si="96"/>
        <v>4.2769726728699589E-3</v>
      </c>
      <c r="J874" s="12">
        <f t="shared" si="97"/>
        <v>5.4233926257759718E-3</v>
      </c>
    </row>
    <row r="875" spans="1:10">
      <c r="A875" s="15">
        <v>41152</v>
      </c>
      <c r="B875" s="11">
        <v>2.0121000000000002</v>
      </c>
      <c r="C875" s="11">
        <f t="shared" si="91"/>
        <v>1.0100000000000442E-2</v>
      </c>
      <c r="D875" s="12">
        <f t="shared" si="92"/>
        <v>1.0201000000000893E-4</v>
      </c>
      <c r="E875" s="12">
        <f t="shared" si="93"/>
        <v>5.1840000000001374E-5</v>
      </c>
      <c r="F875" s="12">
        <f t="shared" si="94"/>
        <v>2.0818122504097706E-5</v>
      </c>
      <c r="G875" s="12">
        <f t="shared" si="95"/>
        <v>2.0208759830328158</v>
      </c>
      <c r="I875" s="12">
        <f t="shared" si="96"/>
        <v>4.5626880787642829E-3</v>
      </c>
      <c r="J875" s="12">
        <f t="shared" si="97"/>
        <v>5.4233926257759718E-3</v>
      </c>
    </row>
    <row r="876" spans="1:10">
      <c r="A876" s="15">
        <v>41153</v>
      </c>
      <c r="B876" s="11">
        <v>2.0123000000000002</v>
      </c>
      <c r="C876" s="11">
        <f t="shared" si="91"/>
        <v>1.9999999999997797E-4</v>
      </c>
      <c r="D876" s="12">
        <f t="shared" si="92"/>
        <v>3.9999999999991186E-8</v>
      </c>
      <c r="E876" s="12">
        <f t="shared" si="93"/>
        <v>1.0201000000000893E-4</v>
      </c>
      <c r="F876" s="12">
        <f t="shared" si="94"/>
        <v>2.6044061325470445E-5</v>
      </c>
      <c r="G876" s="12">
        <f t="shared" si="95"/>
        <v>4.3581539239764551</v>
      </c>
      <c r="I876" s="12">
        <f t="shared" si="96"/>
        <v>5.1033382530918372E-3</v>
      </c>
      <c r="J876" s="12">
        <f t="shared" si="97"/>
        <v>5.4233926257759718E-3</v>
      </c>
    </row>
    <row r="877" spans="1:10">
      <c r="A877" s="15">
        <v>41154</v>
      </c>
      <c r="B877" s="11">
        <v>2.0112000000000001</v>
      </c>
      <c r="C877" s="11">
        <f t="shared" si="91"/>
        <v>-1.1000000000001009E-3</v>
      </c>
      <c r="D877" s="12">
        <f t="shared" si="92"/>
        <v>1.210000000000222E-6</v>
      </c>
      <c r="E877" s="12">
        <f t="shared" si="93"/>
        <v>3.9999999999991186E-8</v>
      </c>
      <c r="F877" s="12">
        <f t="shared" si="94"/>
        <v>2.4661180007411964E-5</v>
      </c>
      <c r="G877" s="12">
        <f t="shared" si="95"/>
        <v>4.3616690807201284</v>
      </c>
      <c r="I877" s="12">
        <f t="shared" si="96"/>
        <v>4.9660024171774182E-3</v>
      </c>
      <c r="J877" s="12">
        <f t="shared" si="97"/>
        <v>5.4233926257759718E-3</v>
      </c>
    </row>
    <row r="878" spans="1:10">
      <c r="A878" s="15">
        <v>41155</v>
      </c>
      <c r="B878" s="11">
        <v>2.0121000000000002</v>
      </c>
      <c r="C878" s="11">
        <f t="shared" si="91"/>
        <v>9.0000000000012292E-4</v>
      </c>
      <c r="D878" s="12">
        <f t="shared" si="92"/>
        <v>8.1000000000022126E-7</v>
      </c>
      <c r="E878" s="12">
        <f t="shared" si="93"/>
        <v>1.210000000000222E-6</v>
      </c>
      <c r="F878" s="12">
        <f t="shared" si="94"/>
        <v>2.3497216085051418E-5</v>
      </c>
      <c r="G878" s="12">
        <f t="shared" si="95"/>
        <v>4.3931396791409458</v>
      </c>
      <c r="I878" s="12">
        <f t="shared" si="96"/>
        <v>4.8473927100093116E-3</v>
      </c>
      <c r="J878" s="12">
        <f t="shared" si="97"/>
        <v>5.4233926257759718E-3</v>
      </c>
    </row>
    <row r="879" spans="1:10">
      <c r="A879" s="15">
        <v>41156</v>
      </c>
      <c r="B879" s="11">
        <v>2.0093000000000001</v>
      </c>
      <c r="C879" s="11">
        <f t="shared" si="91"/>
        <v>-2.8000000000001357E-3</v>
      </c>
      <c r="D879" s="12">
        <f t="shared" si="92"/>
        <v>7.8400000000007601E-6</v>
      </c>
      <c r="E879" s="12">
        <f t="shared" si="93"/>
        <v>8.1000000000022126E-7</v>
      </c>
      <c r="F879" s="12">
        <f t="shared" si="94"/>
        <v>2.2435440197413878E-5</v>
      </c>
      <c r="G879" s="12">
        <f t="shared" si="95"/>
        <v>4.2587722474406853</v>
      </c>
      <c r="I879" s="12">
        <f t="shared" si="96"/>
        <v>4.736606400938744E-3</v>
      </c>
      <c r="J879" s="12">
        <f t="shared" si="97"/>
        <v>5.4233926257759718E-3</v>
      </c>
    </row>
    <row r="880" spans="1:10">
      <c r="A880" s="15">
        <v>41157</v>
      </c>
      <c r="B880" s="11">
        <v>2.0112999999999999</v>
      </c>
      <c r="C880" s="11">
        <f t="shared" si="91"/>
        <v>1.9999999999997797E-3</v>
      </c>
      <c r="D880" s="12">
        <f t="shared" si="92"/>
        <v>3.9999999999991189E-6</v>
      </c>
      <c r="E880" s="12">
        <f t="shared" si="93"/>
        <v>7.8400000000007601E-6</v>
      </c>
      <c r="F880" s="12">
        <f t="shared" si="94"/>
        <v>2.1905162316676309E-5</v>
      </c>
      <c r="G880" s="12">
        <f t="shared" si="95"/>
        <v>4.3541528939147209</v>
      </c>
      <c r="I880" s="12">
        <f t="shared" si="96"/>
        <v>4.6802951099985468E-3</v>
      </c>
      <c r="J880" s="12">
        <f t="shared" si="97"/>
        <v>5.4233926257759718E-3</v>
      </c>
    </row>
    <row r="881" spans="1:10">
      <c r="A881" s="15">
        <v>41158</v>
      </c>
      <c r="B881" s="11">
        <v>2.0133000000000001</v>
      </c>
      <c r="C881" s="11">
        <f t="shared" si="91"/>
        <v>2.0000000000002238E-3</v>
      </c>
      <c r="D881" s="12">
        <f t="shared" si="92"/>
        <v>4.0000000000008951E-6</v>
      </c>
      <c r="E881" s="12">
        <f t="shared" si="93"/>
        <v>3.9999999999991189E-6</v>
      </c>
      <c r="F881" s="12">
        <f t="shared" si="94"/>
        <v>2.1204649853622922E-5</v>
      </c>
      <c r="G881" s="12">
        <f t="shared" si="95"/>
        <v>4.3673875578049266</v>
      </c>
      <c r="I881" s="12">
        <f t="shared" si="96"/>
        <v>4.6048506874406822E-3</v>
      </c>
      <c r="J881" s="12">
        <f t="shared" si="97"/>
        <v>5.4233926257759718E-3</v>
      </c>
    </row>
    <row r="882" spans="1:10">
      <c r="A882" s="15">
        <v>41159</v>
      </c>
      <c r="B882" s="11">
        <v>2.0272999999999999</v>
      </c>
      <c r="C882" s="11">
        <f t="shared" si="91"/>
        <v>1.399999999999979E-2</v>
      </c>
      <c r="D882" s="12">
        <f t="shared" si="92"/>
        <v>1.9599999999999414E-4</v>
      </c>
      <c r="E882" s="12">
        <f t="shared" si="93"/>
        <v>4.0000000000008951E-6</v>
      </c>
      <c r="F882" s="12">
        <f t="shared" si="94"/>
        <v>2.0579905406160046E-5</v>
      </c>
      <c r="G882" s="12">
        <f t="shared" si="95"/>
        <v>-0.28526747821597126</v>
      </c>
      <c r="I882" s="12">
        <f t="shared" si="96"/>
        <v>4.5365080630546716E-3</v>
      </c>
      <c r="J882" s="12">
        <f t="shared" si="97"/>
        <v>5.4233926257759718E-3</v>
      </c>
    </row>
    <row r="883" spans="1:10">
      <c r="A883" s="15">
        <v>41160</v>
      </c>
      <c r="B883" s="11">
        <v>2.0270999999999999</v>
      </c>
      <c r="C883" s="11">
        <f t="shared" si="91"/>
        <v>-1.9999999999997797E-4</v>
      </c>
      <c r="D883" s="12">
        <f t="shared" si="92"/>
        <v>3.9999999999991186E-8</v>
      </c>
      <c r="E883" s="12">
        <f t="shared" si="93"/>
        <v>1.9599999999999414E-4</v>
      </c>
      <c r="F883" s="12">
        <f t="shared" si="94"/>
        <v>3.140222797671137E-5</v>
      </c>
      <c r="G883" s="12">
        <f t="shared" si="95"/>
        <v>4.2647404183720532</v>
      </c>
      <c r="I883" s="12">
        <f t="shared" si="96"/>
        <v>5.6037690866693798E-3</v>
      </c>
      <c r="J883" s="12">
        <f t="shared" si="97"/>
        <v>5.4233926257759718E-3</v>
      </c>
    </row>
    <row r="884" spans="1:10">
      <c r="A884" s="15">
        <v>41161</v>
      </c>
      <c r="B884" s="11">
        <v>2.0259999999999998</v>
      </c>
      <c r="C884" s="11">
        <f t="shared" si="91"/>
        <v>-1.1000000000001009E-3</v>
      </c>
      <c r="D884" s="12">
        <f t="shared" si="92"/>
        <v>1.210000000000222E-6</v>
      </c>
      <c r="E884" s="12">
        <f t="shared" si="93"/>
        <v>3.9999999999991186E-8</v>
      </c>
      <c r="F884" s="12">
        <f t="shared" si="94"/>
        <v>2.9439802859249721E-5</v>
      </c>
      <c r="G884" s="12">
        <f t="shared" si="95"/>
        <v>4.2770925302984146</v>
      </c>
      <c r="I884" s="12">
        <f t="shared" si="96"/>
        <v>5.4258458197086398E-3</v>
      </c>
      <c r="J884" s="12">
        <f t="shared" si="97"/>
        <v>5.4233926257759718E-3</v>
      </c>
    </row>
    <row r="885" spans="1:10">
      <c r="A885" s="15">
        <v>41162</v>
      </c>
      <c r="B885" s="11">
        <v>2.0226999999999999</v>
      </c>
      <c r="C885" s="11">
        <f t="shared" si="91"/>
        <v>-3.2999999999998586E-3</v>
      </c>
      <c r="D885" s="12">
        <f t="shared" si="92"/>
        <v>1.0889999999999067E-5</v>
      </c>
      <c r="E885" s="12">
        <f t="shared" si="93"/>
        <v>1.210000000000222E-6</v>
      </c>
      <c r="F885" s="12">
        <f t="shared" si="94"/>
        <v>2.7758979080948065E-5</v>
      </c>
      <c r="G885" s="12">
        <f t="shared" si="95"/>
        <v>4.1308843122445396</v>
      </c>
      <c r="I885" s="12">
        <f t="shared" si="96"/>
        <v>5.268679064143883E-3</v>
      </c>
      <c r="J885" s="12">
        <f t="shared" si="97"/>
        <v>5.4233926257759718E-3</v>
      </c>
    </row>
    <row r="886" spans="1:10">
      <c r="A886" s="15">
        <v>41163</v>
      </c>
      <c r="B886" s="11">
        <v>2.0287999999999999</v>
      </c>
      <c r="C886" s="11">
        <f t="shared" si="91"/>
        <v>6.0999999999999943E-3</v>
      </c>
      <c r="D886" s="12">
        <f t="shared" si="92"/>
        <v>3.720999999999993E-5</v>
      </c>
      <c r="E886" s="12">
        <f t="shared" si="93"/>
        <v>1.0889999999999067E-5</v>
      </c>
      <c r="F886" s="12">
        <f t="shared" si="94"/>
        <v>2.6833670774991123E-5</v>
      </c>
      <c r="G886" s="12">
        <f t="shared" si="95"/>
        <v>3.6506426846926816</v>
      </c>
      <c r="I886" s="12">
        <f t="shared" si="96"/>
        <v>5.1801226602264088E-3</v>
      </c>
      <c r="J886" s="12">
        <f t="shared" si="97"/>
        <v>5.4233926257759718E-3</v>
      </c>
    </row>
    <row r="887" spans="1:10">
      <c r="A887" s="15">
        <v>41164</v>
      </c>
      <c r="B887" s="11">
        <v>2.0314000000000001</v>
      </c>
      <c r="C887" s="11">
        <f t="shared" si="91"/>
        <v>2.6000000000001577E-3</v>
      </c>
      <c r="D887" s="12">
        <f t="shared" si="92"/>
        <v>6.7600000000008204E-6</v>
      </c>
      <c r="E887" s="12">
        <f t="shared" si="93"/>
        <v>3.720999999999993E-5</v>
      </c>
      <c r="F887" s="12">
        <f t="shared" si="94"/>
        <v>2.7568383579161236E-5</v>
      </c>
      <c r="G887" s="12">
        <f t="shared" si="95"/>
        <v>4.2078777275817956</v>
      </c>
      <c r="I887" s="12">
        <f t="shared" si="96"/>
        <v>5.2505603109726526E-3</v>
      </c>
      <c r="J887" s="12">
        <f t="shared" si="97"/>
        <v>5.4233926257759718E-3</v>
      </c>
    </row>
    <row r="888" spans="1:10">
      <c r="A888" s="15">
        <v>41165</v>
      </c>
      <c r="B888" s="11">
        <v>2.0367000000000002</v>
      </c>
      <c r="C888" s="11">
        <f t="shared" si="91"/>
        <v>5.3000000000000824E-3</v>
      </c>
      <c r="D888" s="12">
        <f t="shared" si="92"/>
        <v>2.8090000000000875E-5</v>
      </c>
      <c r="E888" s="12">
        <f t="shared" si="93"/>
        <v>6.7600000000008204E-6</v>
      </c>
      <c r="F888" s="12">
        <f t="shared" si="94"/>
        <v>2.6418912582258334E-5</v>
      </c>
      <c r="G888" s="12">
        <f t="shared" si="95"/>
        <v>3.8201499427321575</v>
      </c>
      <c r="I888" s="12">
        <f t="shared" si="96"/>
        <v>5.1399331301348987E-3</v>
      </c>
      <c r="J888" s="12">
        <f t="shared" si="97"/>
        <v>5.4233926257759718E-3</v>
      </c>
    </row>
    <row r="889" spans="1:10">
      <c r="A889" s="15">
        <v>41166</v>
      </c>
      <c r="B889" s="11">
        <v>2.0375999999999999</v>
      </c>
      <c r="C889" s="11">
        <f t="shared" si="91"/>
        <v>8.9999999999967883E-4</v>
      </c>
      <c r="D889" s="12">
        <f t="shared" si="92"/>
        <v>8.0999999999942187E-7</v>
      </c>
      <c r="E889" s="12">
        <f t="shared" si="93"/>
        <v>2.8090000000000875E-5</v>
      </c>
      <c r="F889" s="12">
        <f t="shared" si="94"/>
        <v>2.6657960009060845E-5</v>
      </c>
      <c r="G889" s="12">
        <f t="shared" si="95"/>
        <v>4.3320803815414575</v>
      </c>
      <c r="I889" s="12">
        <f t="shared" si="96"/>
        <v>5.1631347076229617E-3</v>
      </c>
      <c r="J889" s="12">
        <f t="shared" si="97"/>
        <v>5.4233926257759718E-3</v>
      </c>
    </row>
    <row r="890" spans="1:10">
      <c r="A890" s="15">
        <v>41167</v>
      </c>
      <c r="B890" s="11">
        <v>2.0383</v>
      </c>
      <c r="C890" s="11">
        <f t="shared" si="91"/>
        <v>7.0000000000014495E-4</v>
      </c>
      <c r="D890" s="12">
        <f t="shared" si="92"/>
        <v>4.9000000000020294E-7</v>
      </c>
      <c r="E890" s="12">
        <f t="shared" si="93"/>
        <v>8.0999999999942187E-7</v>
      </c>
      <c r="F890" s="12">
        <f t="shared" si="94"/>
        <v>2.5254315407385281E-5</v>
      </c>
      <c r="G890" s="12">
        <f t="shared" si="95"/>
        <v>4.3646169019475725</v>
      </c>
      <c r="I890" s="12">
        <f t="shared" si="96"/>
        <v>5.0253671912990879E-3</v>
      </c>
      <c r="J890" s="12">
        <f t="shared" si="97"/>
        <v>5.4233926257759718E-3</v>
      </c>
    </row>
    <row r="891" spans="1:10">
      <c r="A891" s="15">
        <v>41168</v>
      </c>
      <c r="B891" s="11">
        <v>2.0413000000000001</v>
      </c>
      <c r="C891" s="11">
        <f t="shared" si="91"/>
        <v>3.0000000000001137E-3</v>
      </c>
      <c r="D891" s="12">
        <f t="shared" si="92"/>
        <v>9.0000000000006829E-6</v>
      </c>
      <c r="E891" s="12">
        <f t="shared" si="93"/>
        <v>4.9000000000020294E-7</v>
      </c>
      <c r="F891" s="12">
        <f t="shared" si="94"/>
        <v>2.39835243596399E-5</v>
      </c>
      <c r="G891" s="12">
        <f t="shared" si="95"/>
        <v>4.212504379231353</v>
      </c>
      <c r="I891" s="12">
        <f t="shared" si="96"/>
        <v>4.897297658876771E-3</v>
      </c>
      <c r="J891" s="12">
        <f t="shared" si="97"/>
        <v>5.4233926257759718E-3</v>
      </c>
    </row>
    <row r="892" spans="1:10">
      <c r="A892" s="15">
        <v>41169</v>
      </c>
      <c r="B892" s="11">
        <v>2.0398000000000001</v>
      </c>
      <c r="C892" s="11">
        <f t="shared" si="91"/>
        <v>-1.5000000000000568E-3</v>
      </c>
      <c r="D892" s="12">
        <f t="shared" si="92"/>
        <v>2.2500000000001707E-6</v>
      </c>
      <c r="E892" s="12">
        <f t="shared" si="93"/>
        <v>9.0000000000006829E-6</v>
      </c>
      <c r="F892" s="12">
        <f t="shared" si="94"/>
        <v>2.3354555507786462E-5</v>
      </c>
      <c r="G892" s="12">
        <f t="shared" si="95"/>
        <v>4.365250233881202</v>
      </c>
      <c r="I892" s="12">
        <f t="shared" si="96"/>
        <v>4.8326551198886996E-3</v>
      </c>
      <c r="J892" s="12">
        <f t="shared" si="97"/>
        <v>5.4233926257759718E-3</v>
      </c>
    </row>
    <row r="893" spans="1:10">
      <c r="A893" s="15">
        <v>41170</v>
      </c>
      <c r="B893" s="11">
        <v>2.0354000000000001</v>
      </c>
      <c r="C893" s="11">
        <f t="shared" si="91"/>
        <v>-4.3999999999999595E-3</v>
      </c>
      <c r="D893" s="12">
        <f t="shared" si="92"/>
        <v>1.9359999999999645E-5</v>
      </c>
      <c r="E893" s="12">
        <f t="shared" si="93"/>
        <v>2.2500000000001707E-6</v>
      </c>
      <c r="F893" s="12">
        <f t="shared" si="94"/>
        <v>2.2393556113857998E-5</v>
      </c>
      <c r="G893" s="12">
        <f t="shared" si="95"/>
        <v>4.002162907438966</v>
      </c>
      <c r="I893" s="12">
        <f t="shared" si="96"/>
        <v>4.732183017789781E-3</v>
      </c>
      <c r="J893" s="12">
        <f t="shared" si="97"/>
        <v>5.4233926257759718E-3</v>
      </c>
    </row>
    <row r="894" spans="1:10">
      <c r="A894" s="15">
        <v>41171</v>
      </c>
      <c r="B894" s="11">
        <v>2.0354999999999999</v>
      </c>
      <c r="C894" s="11">
        <f t="shared" si="91"/>
        <v>9.9999999999766942E-5</v>
      </c>
      <c r="D894" s="12">
        <f t="shared" si="92"/>
        <v>9.9999999999533886E-9</v>
      </c>
      <c r="E894" s="12">
        <f t="shared" si="93"/>
        <v>1.9359999999999645E-5</v>
      </c>
      <c r="F894" s="12">
        <f t="shared" si="94"/>
        <v>2.2550578098802599E-5</v>
      </c>
      <c r="G894" s="12">
        <f t="shared" si="95"/>
        <v>4.4307146636199004</v>
      </c>
      <c r="I894" s="12">
        <f t="shared" si="96"/>
        <v>4.748744897212589E-3</v>
      </c>
      <c r="J894" s="12">
        <f t="shared" si="97"/>
        <v>5.4233926257759718E-3</v>
      </c>
    </row>
    <row r="895" spans="1:10">
      <c r="A895" s="15">
        <v>41172</v>
      </c>
      <c r="B895" s="11">
        <v>2.0308999999999999</v>
      </c>
      <c r="C895" s="11">
        <f t="shared" si="91"/>
        <v>-4.5999999999999375E-3</v>
      </c>
      <c r="D895" s="12">
        <f t="shared" si="92"/>
        <v>2.1159999999999425E-5</v>
      </c>
      <c r="E895" s="12">
        <f t="shared" si="93"/>
        <v>9.9999999999533886E-9</v>
      </c>
      <c r="F895" s="12">
        <f t="shared" si="94"/>
        <v>2.1543776810899267E-5</v>
      </c>
      <c r="G895" s="12">
        <f t="shared" si="95"/>
        <v>3.9626801469946815</v>
      </c>
      <c r="I895" s="12">
        <f t="shared" si="96"/>
        <v>4.6415274221854241E-3</v>
      </c>
      <c r="J895" s="12">
        <f t="shared" si="97"/>
        <v>5.4233926257759718E-3</v>
      </c>
    </row>
    <row r="896" spans="1:10">
      <c r="A896" s="15">
        <v>41173</v>
      </c>
      <c r="B896" s="11">
        <v>2.0362</v>
      </c>
      <c r="C896" s="11">
        <f t="shared" si="91"/>
        <v>5.3000000000000824E-3</v>
      </c>
      <c r="D896" s="12">
        <f t="shared" si="92"/>
        <v>2.8090000000000875E-5</v>
      </c>
      <c r="E896" s="12">
        <f t="shared" si="93"/>
        <v>2.1159999999999425E-5</v>
      </c>
      <c r="F896" s="12">
        <f t="shared" si="94"/>
        <v>2.1899394395554099E-5</v>
      </c>
      <c r="G896" s="12">
        <f t="shared" si="95"/>
        <v>3.8042453107050056</v>
      </c>
      <c r="I896" s="12">
        <f t="shared" si="96"/>
        <v>4.6796788773968345E-3</v>
      </c>
      <c r="J896" s="12">
        <f t="shared" si="97"/>
        <v>5.4233926257759718E-3</v>
      </c>
    </row>
    <row r="897" spans="1:10">
      <c r="A897" s="15">
        <v>41174</v>
      </c>
      <c r="B897" s="11">
        <v>2.0363000000000002</v>
      </c>
      <c r="C897" s="11">
        <f t="shared" si="91"/>
        <v>1.0000000000021103E-4</v>
      </c>
      <c r="D897" s="12">
        <f t="shared" si="92"/>
        <v>1.0000000000042206E-8</v>
      </c>
      <c r="E897" s="12">
        <f t="shared" si="93"/>
        <v>2.8090000000000875E-5</v>
      </c>
      <c r="F897" s="12">
        <f t="shared" si="94"/>
        <v>2.2627276700381105E-5</v>
      </c>
      <c r="G897" s="12">
        <f t="shared" si="95"/>
        <v>4.4290177100695658</v>
      </c>
      <c r="I897" s="12">
        <f t="shared" si="96"/>
        <v>4.756813713020629E-3</v>
      </c>
      <c r="J897" s="12">
        <f t="shared" si="97"/>
        <v>5.4233926257759718E-3</v>
      </c>
    </row>
    <row r="898" spans="1:10">
      <c r="A898" s="15">
        <v>41175</v>
      </c>
      <c r="B898" s="11">
        <v>2.0367000000000002</v>
      </c>
      <c r="C898" s="11">
        <f t="shared" si="91"/>
        <v>3.9999999999995595E-4</v>
      </c>
      <c r="D898" s="12">
        <f t="shared" si="92"/>
        <v>1.5999999999996475E-7</v>
      </c>
      <c r="E898" s="12">
        <f t="shared" si="93"/>
        <v>1.0000000000042206E-8</v>
      </c>
      <c r="F898" s="12">
        <f t="shared" si="94"/>
        <v>2.1612179627396618E-5</v>
      </c>
      <c r="G898" s="12">
        <f t="shared" si="95"/>
        <v>4.4484866082174035</v>
      </c>
      <c r="I898" s="12">
        <f t="shared" si="96"/>
        <v>4.6488901500677145E-3</v>
      </c>
      <c r="J898" s="12">
        <f t="shared" si="97"/>
        <v>5.4233926257759718E-3</v>
      </c>
    </row>
    <row r="899" spans="1:10">
      <c r="A899" s="15">
        <v>41176</v>
      </c>
      <c r="B899" s="11">
        <v>2.0327000000000002</v>
      </c>
      <c r="C899" s="11">
        <f t="shared" si="91"/>
        <v>-4.0000000000000036E-3</v>
      </c>
      <c r="D899" s="12">
        <f t="shared" si="92"/>
        <v>1.600000000000003E-5</v>
      </c>
      <c r="E899" s="12">
        <f t="shared" si="93"/>
        <v>1.5999999999996475E-7</v>
      </c>
      <c r="F899" s="12">
        <f t="shared" si="94"/>
        <v>2.0715766535077383E-5</v>
      </c>
      <c r="G899" s="12">
        <f t="shared" si="95"/>
        <v>4.0871899096306548</v>
      </c>
      <c r="I899" s="12">
        <f t="shared" si="96"/>
        <v>4.5514576275164182E-3</v>
      </c>
      <c r="J899" s="12">
        <f t="shared" si="97"/>
        <v>5.4233926257759718E-3</v>
      </c>
    </row>
    <row r="900" spans="1:10">
      <c r="A900" s="15">
        <v>41177</v>
      </c>
      <c r="B900" s="11">
        <v>2.0310999999999999</v>
      </c>
      <c r="C900" s="11">
        <f t="shared" si="91"/>
        <v>-1.6000000000002679E-3</v>
      </c>
      <c r="D900" s="12">
        <f t="shared" si="92"/>
        <v>2.5600000000008573E-6</v>
      </c>
      <c r="E900" s="12">
        <f t="shared" si="93"/>
        <v>1.600000000000003E-5</v>
      </c>
      <c r="F900" s="12">
        <f t="shared" si="94"/>
        <v>2.0855118500830387E-5</v>
      </c>
      <c r="G900" s="12">
        <f t="shared" si="95"/>
        <v>4.4086412134703776</v>
      </c>
      <c r="I900" s="12">
        <f t="shared" si="96"/>
        <v>4.5667404678644032E-3</v>
      </c>
      <c r="J900" s="12">
        <f t="shared" si="97"/>
        <v>5.4233926257759718E-3</v>
      </c>
    </row>
    <row r="901" spans="1:10">
      <c r="A901" s="15">
        <v>41178</v>
      </c>
      <c r="B901" s="11">
        <v>2.0297000000000001</v>
      </c>
      <c r="C901" s="11">
        <f t="shared" si="91"/>
        <v>-1.3999999999998458E-3</v>
      </c>
      <c r="D901" s="12">
        <f t="shared" si="92"/>
        <v>1.9599999999995683E-6</v>
      </c>
      <c r="E901" s="12">
        <f t="shared" si="93"/>
        <v>2.5600000000008573E-6</v>
      </c>
      <c r="F901" s="12">
        <f t="shared" si="94"/>
        <v>2.0182833451661725E-5</v>
      </c>
      <c r="G901" s="12">
        <f t="shared" si="95"/>
        <v>4.4378444155183958</v>
      </c>
      <c r="I901" s="12">
        <f t="shared" si="96"/>
        <v>4.492530851498042E-3</v>
      </c>
      <c r="J901" s="12">
        <f t="shared" si="97"/>
        <v>5.4233926257759718E-3</v>
      </c>
    </row>
    <row r="902" spans="1:10">
      <c r="A902" s="15">
        <v>41179</v>
      </c>
      <c r="B902" s="11">
        <v>2.0306999999999999</v>
      </c>
      <c r="C902" s="11">
        <f t="shared" si="91"/>
        <v>9.9999999999988987E-4</v>
      </c>
      <c r="D902" s="12">
        <f t="shared" si="92"/>
        <v>9.9999999999977973E-7</v>
      </c>
      <c r="E902" s="12">
        <f t="shared" si="93"/>
        <v>1.9599999999995683E-6</v>
      </c>
      <c r="F902" s="12">
        <f t="shared" si="94"/>
        <v>1.9547702398150146E-5</v>
      </c>
      <c r="G902" s="12">
        <f t="shared" si="95"/>
        <v>4.4768094071617544</v>
      </c>
      <c r="I902" s="12">
        <f t="shared" si="96"/>
        <v>4.4212783669601878E-3</v>
      </c>
      <c r="J902" s="12">
        <f t="shared" si="97"/>
        <v>5.4233926257759718E-3</v>
      </c>
    </row>
    <row r="903" spans="1:10">
      <c r="A903" s="15">
        <v>41180</v>
      </c>
      <c r="B903" s="11">
        <v>2.0278</v>
      </c>
      <c r="C903" s="11">
        <f t="shared" si="91"/>
        <v>-2.8999999999999027E-3</v>
      </c>
      <c r="D903" s="12">
        <f t="shared" si="92"/>
        <v>8.409999999999435E-6</v>
      </c>
      <c r="E903" s="12">
        <f t="shared" si="93"/>
        <v>9.9999999999977973E-7</v>
      </c>
      <c r="F903" s="12">
        <f t="shared" si="94"/>
        <v>1.892437018145861E-5</v>
      </c>
      <c r="G903" s="12">
        <f t="shared" si="95"/>
        <v>4.2963912175227765</v>
      </c>
      <c r="I903" s="12">
        <f t="shared" si="96"/>
        <v>4.3502149580749005E-3</v>
      </c>
      <c r="J903" s="12">
        <f t="shared" si="97"/>
        <v>5.4233926257759718E-3</v>
      </c>
    </row>
    <row r="904" spans="1:10">
      <c r="A904" s="15">
        <v>41181</v>
      </c>
      <c r="B904" s="11">
        <v>2.0280999999999998</v>
      </c>
      <c r="C904" s="11">
        <f t="shared" si="91"/>
        <v>2.9999999999974492E-4</v>
      </c>
      <c r="D904" s="12">
        <f t="shared" si="92"/>
        <v>8.999999999984695E-8</v>
      </c>
      <c r="E904" s="12">
        <f t="shared" si="93"/>
        <v>8.409999999999435E-6</v>
      </c>
      <c r="F904" s="12">
        <f t="shared" si="94"/>
        <v>1.8807635451927607E-5</v>
      </c>
      <c r="G904" s="12">
        <f t="shared" si="95"/>
        <v>4.5192926288998008</v>
      </c>
      <c r="I904" s="12">
        <f t="shared" si="96"/>
        <v>4.3367770811891639E-3</v>
      </c>
      <c r="J904" s="12">
        <f t="shared" si="97"/>
        <v>5.4233926257759718E-3</v>
      </c>
    </row>
    <row r="905" spans="1:10">
      <c r="A905" s="15">
        <v>41182</v>
      </c>
      <c r="B905" s="11">
        <v>2.0276999999999998</v>
      </c>
      <c r="C905" s="11">
        <f t="shared" si="91"/>
        <v>-3.9999999999995595E-4</v>
      </c>
      <c r="D905" s="12">
        <f t="shared" si="92"/>
        <v>1.5999999999996475E-7</v>
      </c>
      <c r="E905" s="12">
        <f t="shared" si="93"/>
        <v>8.999999999984695E-8</v>
      </c>
      <c r="F905" s="12">
        <f t="shared" si="94"/>
        <v>1.8210415436162322E-5</v>
      </c>
      <c r="G905" s="12">
        <f t="shared" si="95"/>
        <v>4.5334267945051918</v>
      </c>
      <c r="I905" s="12">
        <f t="shared" si="96"/>
        <v>4.2673663348911494E-3</v>
      </c>
      <c r="J905" s="12">
        <f t="shared" si="97"/>
        <v>5.4233926257759718E-3</v>
      </c>
    </row>
    <row r="906" spans="1:10">
      <c r="A906" s="15">
        <v>41183</v>
      </c>
      <c r="B906" s="11">
        <v>2.0293999999999999</v>
      </c>
      <c r="C906" s="11">
        <f t="shared" si="91"/>
        <v>1.7000000000000348E-3</v>
      </c>
      <c r="D906" s="12">
        <f t="shared" si="92"/>
        <v>2.8900000000001184E-6</v>
      </c>
      <c r="E906" s="12">
        <f t="shared" si="93"/>
        <v>1.5999999999996475E-7</v>
      </c>
      <c r="F906" s="12">
        <f t="shared" si="94"/>
        <v>1.7681940012150769E-5</v>
      </c>
      <c r="G906" s="12">
        <f t="shared" si="95"/>
        <v>4.4708230462358749</v>
      </c>
      <c r="I906" s="12">
        <f t="shared" si="96"/>
        <v>4.2049898944171993E-3</v>
      </c>
      <c r="J906" s="12">
        <f t="shared" si="97"/>
        <v>5.4233926257759718E-3</v>
      </c>
    </row>
    <row r="907" spans="1:10">
      <c r="A907" s="15">
        <v>41184</v>
      </c>
      <c r="B907" s="11">
        <v>2.0324</v>
      </c>
      <c r="C907" s="11">
        <f t="shared" si="91"/>
        <v>3.0000000000001137E-3</v>
      </c>
      <c r="D907" s="12">
        <f t="shared" si="92"/>
        <v>9.0000000000006829E-6</v>
      </c>
      <c r="E907" s="12">
        <f t="shared" si="93"/>
        <v>2.8900000000001184E-6</v>
      </c>
      <c r="F907" s="12">
        <f t="shared" si="94"/>
        <v>1.7372427115508569E-5</v>
      </c>
      <c r="G907" s="12">
        <f t="shared" si="95"/>
        <v>4.3023434249816317</v>
      </c>
      <c r="I907" s="12">
        <f t="shared" si="96"/>
        <v>4.1680243659926661E-3</v>
      </c>
      <c r="J907" s="12">
        <f t="shared" si="97"/>
        <v>5.4233926257759718E-3</v>
      </c>
    </row>
    <row r="908" spans="1:10">
      <c r="A908" s="15">
        <v>41185</v>
      </c>
      <c r="B908" s="11">
        <v>2.0295999999999998</v>
      </c>
      <c r="C908" s="11">
        <f t="shared" si="91"/>
        <v>-2.8000000000001357E-3</v>
      </c>
      <c r="D908" s="12">
        <f t="shared" si="92"/>
        <v>7.8400000000007601E-6</v>
      </c>
      <c r="E908" s="12">
        <f t="shared" si="93"/>
        <v>9.0000000000006829E-6</v>
      </c>
      <c r="F908" s="12">
        <f t="shared" si="94"/>
        <v>1.7458520086937605E-5</v>
      </c>
      <c r="G908" s="12">
        <f t="shared" si="95"/>
        <v>4.3343706407196789</v>
      </c>
      <c r="I908" s="12">
        <f t="shared" si="96"/>
        <v>4.1783393934597514E-3</v>
      </c>
      <c r="J908" s="12">
        <f t="shared" si="97"/>
        <v>5.4233926257759718E-3</v>
      </c>
    </row>
    <row r="909" spans="1:10">
      <c r="A909" s="15">
        <v>41186</v>
      </c>
      <c r="B909" s="11">
        <v>2.0373999999999999</v>
      </c>
      <c r="C909" s="11">
        <f t="shared" si="91"/>
        <v>7.8000000000000291E-3</v>
      </c>
      <c r="D909" s="12">
        <f t="shared" si="92"/>
        <v>6.0840000000000454E-5</v>
      </c>
      <c r="E909" s="12">
        <f t="shared" si="93"/>
        <v>7.8400000000007601E-6</v>
      </c>
      <c r="F909" s="12">
        <f t="shared" si="94"/>
        <v>1.74665500599663E-5</v>
      </c>
      <c r="G909" s="12">
        <f t="shared" si="95"/>
        <v>2.8170582446724879</v>
      </c>
      <c r="I909" s="12">
        <f t="shared" si="96"/>
        <v>4.1793001878264622E-3</v>
      </c>
      <c r="J909" s="12">
        <f t="shared" si="97"/>
        <v>5.4233926257759718E-3</v>
      </c>
    </row>
    <row r="910" spans="1:10">
      <c r="A910" s="15">
        <v>41187</v>
      </c>
      <c r="B910" s="11">
        <v>2.0394999999999999</v>
      </c>
      <c r="C910" s="11">
        <f t="shared" ref="C910:C973" si="98">B910-B909</f>
        <v>2.0999999999999908E-3</v>
      </c>
      <c r="D910" s="12">
        <f t="shared" ref="D910:D973" si="99">C910^2</f>
        <v>4.4099999999999612E-6</v>
      </c>
      <c r="E910" s="12">
        <f t="shared" si="93"/>
        <v>6.0840000000000454E-5</v>
      </c>
      <c r="F910" s="12">
        <f t="shared" si="94"/>
        <v>2.0614926031099857E-5</v>
      </c>
      <c r="G910" s="12">
        <f t="shared" si="95"/>
        <v>4.3688477148170355</v>
      </c>
      <c r="I910" s="12">
        <f t="shared" si="96"/>
        <v>4.5403662882084585E-3</v>
      </c>
      <c r="J910" s="12">
        <f t="shared" si="97"/>
        <v>5.4233926257759718E-3</v>
      </c>
    </row>
    <row r="911" spans="1:10">
      <c r="A911" s="15">
        <v>41188</v>
      </c>
      <c r="B911" s="11">
        <v>2.0392999999999999</v>
      </c>
      <c r="C911" s="11">
        <f t="shared" si="98"/>
        <v>-1.9999999999997797E-4</v>
      </c>
      <c r="D911" s="12">
        <f t="shared" si="99"/>
        <v>3.9999999999991186E-8</v>
      </c>
      <c r="E911" s="12">
        <f t="shared" ref="E911:E974" si="100">D910</f>
        <v>4.4099999999999612E-6</v>
      </c>
      <c r="F911" s="12">
        <f t="shared" ref="F911:F974" si="101">$B$5+$B$6*E911+$B$7*F910</f>
        <v>2.0078266568371729E-5</v>
      </c>
      <c r="G911" s="12">
        <f t="shared" ref="G911:G974" si="102">LN((1/SQRT(2*3.1415927*F911))*EXP(-0.5*D911/F911))</f>
        <v>4.4880016540545791</v>
      </c>
      <c r="I911" s="12">
        <f t="shared" ref="I911:I974" si="103">SQRT(F911)</f>
        <v>4.4808778792075699E-3</v>
      </c>
      <c r="J911" s="12">
        <f t="shared" si="97"/>
        <v>5.4233926257759718E-3</v>
      </c>
    </row>
    <row r="912" spans="1:10">
      <c r="A912" s="15">
        <v>41189</v>
      </c>
      <c r="B912" s="11">
        <v>2.0394000000000001</v>
      </c>
      <c r="C912" s="11">
        <f t="shared" si="98"/>
        <v>1.0000000000021103E-4</v>
      </c>
      <c r="D912" s="12">
        <f t="shared" si="99"/>
        <v>1.0000000000042206E-8</v>
      </c>
      <c r="E912" s="12">
        <f t="shared" si="100"/>
        <v>3.9999999999991186E-8</v>
      </c>
      <c r="F912" s="12">
        <f t="shared" si="101"/>
        <v>1.9340650615321592E-5</v>
      </c>
      <c r="G912" s="12">
        <f t="shared" si="102"/>
        <v>4.5074536503593352</v>
      </c>
      <c r="I912" s="12">
        <f t="shared" si="103"/>
        <v>4.3978006566148028E-3</v>
      </c>
      <c r="J912" s="12">
        <f t="shared" ref="J912:J975" si="104">J911</f>
        <v>5.4233926257759718E-3</v>
      </c>
    </row>
    <row r="913" spans="1:10">
      <c r="A913" s="15">
        <v>41190</v>
      </c>
      <c r="B913" s="11">
        <v>2.0347</v>
      </c>
      <c r="C913" s="11">
        <f t="shared" si="98"/>
        <v>-4.7000000000001485E-3</v>
      </c>
      <c r="D913" s="12">
        <f t="shared" si="99"/>
        <v>2.2090000000001396E-5</v>
      </c>
      <c r="E913" s="12">
        <f t="shared" si="100"/>
        <v>1.0000000000042206E-8</v>
      </c>
      <c r="F913" s="12">
        <f t="shared" si="101"/>
        <v>1.8681037776503621E-5</v>
      </c>
      <c r="G913" s="12">
        <f t="shared" si="102"/>
        <v>3.9338210017782136</v>
      </c>
      <c r="I913" s="12">
        <f t="shared" si="103"/>
        <v>4.3221566117510853E-3</v>
      </c>
      <c r="J913" s="12">
        <f t="shared" si="104"/>
        <v>5.4233926257759718E-3</v>
      </c>
    </row>
    <row r="914" spans="1:10">
      <c r="A914" s="15">
        <v>41191</v>
      </c>
      <c r="B914" s="11">
        <v>2.0305</v>
      </c>
      <c r="C914" s="11">
        <f t="shared" si="98"/>
        <v>-4.1999999999999815E-3</v>
      </c>
      <c r="D914" s="12">
        <f t="shared" si="99"/>
        <v>1.7639999999999845E-5</v>
      </c>
      <c r="E914" s="12">
        <f t="shared" si="100"/>
        <v>2.2090000000001396E-5</v>
      </c>
      <c r="F914" s="12">
        <f t="shared" si="101"/>
        <v>1.9401411041085025E-5</v>
      </c>
      <c r="G914" s="12">
        <f t="shared" si="102"/>
        <v>4.0515377297385013</v>
      </c>
      <c r="I914" s="12">
        <f t="shared" si="103"/>
        <v>4.4047032863843419E-3</v>
      </c>
      <c r="J914" s="12">
        <f t="shared" si="104"/>
        <v>5.4233926257759718E-3</v>
      </c>
    </row>
    <row r="915" spans="1:10">
      <c r="A915" s="15">
        <v>41192</v>
      </c>
      <c r="B915" s="11">
        <v>2.0289000000000001</v>
      </c>
      <c r="C915" s="11">
        <f t="shared" si="98"/>
        <v>-1.5999999999998238E-3</v>
      </c>
      <c r="D915" s="12">
        <f t="shared" si="99"/>
        <v>2.5599999999994359E-6</v>
      </c>
      <c r="E915" s="12">
        <f t="shared" si="100"/>
        <v>1.7639999999999845E-5</v>
      </c>
      <c r="F915" s="12">
        <f t="shared" si="101"/>
        <v>1.9780124645275997E-5</v>
      </c>
      <c r="G915" s="12">
        <f t="shared" si="102"/>
        <v>4.4317665021659485</v>
      </c>
      <c r="I915" s="12">
        <f t="shared" si="103"/>
        <v>4.4474852046157498E-3</v>
      </c>
      <c r="J915" s="12">
        <f t="shared" si="104"/>
        <v>5.4233926257759718E-3</v>
      </c>
    </row>
    <row r="916" spans="1:10">
      <c r="A916" s="15">
        <v>41193</v>
      </c>
      <c r="B916" s="11">
        <v>2.0316000000000001</v>
      </c>
      <c r="C916" s="11">
        <f t="shared" si="98"/>
        <v>2.6999999999999247E-3</v>
      </c>
      <c r="D916" s="12">
        <f t="shared" si="99"/>
        <v>7.2899999999995931E-6</v>
      </c>
      <c r="E916" s="12">
        <f t="shared" si="100"/>
        <v>2.5599999999994359E-6</v>
      </c>
      <c r="F916" s="12">
        <f t="shared" si="101"/>
        <v>1.9224111833223794E-5</v>
      </c>
      <c r="G916" s="12">
        <f t="shared" si="102"/>
        <v>4.321128441928896</v>
      </c>
      <c r="I916" s="12">
        <f t="shared" si="103"/>
        <v>4.3845309707223864E-3</v>
      </c>
      <c r="J916" s="12">
        <f t="shared" si="104"/>
        <v>5.4233926257759718E-3</v>
      </c>
    </row>
    <row r="917" spans="1:10">
      <c r="A917" s="15">
        <v>41194</v>
      </c>
      <c r="B917" s="11">
        <v>2.0316999999999998</v>
      </c>
      <c r="C917" s="11">
        <f t="shared" si="98"/>
        <v>9.9999999999766942E-5</v>
      </c>
      <c r="D917" s="12">
        <f t="shared" si="99"/>
        <v>9.9999999999533886E-9</v>
      </c>
      <c r="E917" s="12">
        <f t="shared" si="100"/>
        <v>7.2899999999995931E-6</v>
      </c>
      <c r="F917" s="12">
        <f t="shared" si="101"/>
        <v>1.9008576412764485E-5</v>
      </c>
      <c r="G917" s="12">
        <f t="shared" si="102"/>
        <v>4.5161085654965731</v>
      </c>
      <c r="I917" s="12">
        <f t="shared" si="103"/>
        <v>4.3598826145625161E-3</v>
      </c>
      <c r="J917" s="12">
        <f t="shared" si="104"/>
        <v>5.4233926257759718E-3</v>
      </c>
    </row>
    <row r="918" spans="1:10">
      <c r="A918" s="15">
        <v>41195</v>
      </c>
      <c r="B918" s="11">
        <v>2.0310000000000001</v>
      </c>
      <c r="C918" s="11">
        <f t="shared" si="98"/>
        <v>-6.9999999999970086E-4</v>
      </c>
      <c r="D918" s="12">
        <f t="shared" si="99"/>
        <v>4.8999999999958122E-7</v>
      </c>
      <c r="E918" s="12">
        <f t="shared" si="100"/>
        <v>9.9999999999533886E-9</v>
      </c>
      <c r="F918" s="12">
        <f t="shared" si="101"/>
        <v>1.8384880998237367E-5</v>
      </c>
      <c r="G918" s="12">
        <f t="shared" si="102"/>
        <v>4.5197262501053599</v>
      </c>
      <c r="I918" s="12">
        <f t="shared" si="103"/>
        <v>4.2877594380092464E-3</v>
      </c>
      <c r="J918" s="12">
        <f t="shared" si="104"/>
        <v>5.4233926257759718E-3</v>
      </c>
    </row>
    <row r="919" spans="1:10">
      <c r="A919" s="15">
        <v>41196</v>
      </c>
      <c r="B919" s="11">
        <v>2.0314999999999999</v>
      </c>
      <c r="C919" s="11">
        <f t="shared" si="98"/>
        <v>4.9999999999972289E-4</v>
      </c>
      <c r="D919" s="12">
        <f t="shared" si="99"/>
        <v>2.499999999997229E-7</v>
      </c>
      <c r="E919" s="12">
        <f t="shared" si="100"/>
        <v>4.8999999999958122E-7</v>
      </c>
      <c r="F919" s="12">
        <f t="shared" si="101"/>
        <v>1.7857093738234614E-5</v>
      </c>
      <c r="G919" s="12">
        <f t="shared" si="102"/>
        <v>4.5406163003442215</v>
      </c>
      <c r="I919" s="12">
        <f t="shared" si="103"/>
        <v>4.2257654618109855E-3</v>
      </c>
      <c r="J919" s="12">
        <f t="shared" si="104"/>
        <v>5.4233926257759718E-3</v>
      </c>
    </row>
    <row r="920" spans="1:10">
      <c r="A920" s="15">
        <v>41197</v>
      </c>
      <c r="B920" s="11">
        <v>2.0316000000000001</v>
      </c>
      <c r="C920" s="11">
        <f t="shared" si="98"/>
        <v>1.0000000000021103E-4</v>
      </c>
      <c r="D920" s="12">
        <f t="shared" si="99"/>
        <v>1.0000000000042206E-8</v>
      </c>
      <c r="E920" s="12">
        <f t="shared" si="100"/>
        <v>2.499999999997229E-7</v>
      </c>
      <c r="F920" s="12">
        <f t="shared" si="101"/>
        <v>1.7372168023311057E-5</v>
      </c>
      <c r="G920" s="12">
        <f t="shared" si="102"/>
        <v>4.5610942283441158</v>
      </c>
      <c r="I920" s="12">
        <f t="shared" si="103"/>
        <v>4.1679932849407351E-3</v>
      </c>
      <c r="J920" s="12">
        <f t="shared" si="104"/>
        <v>5.4233926257759718E-3</v>
      </c>
    </row>
    <row r="921" spans="1:10">
      <c r="A921" s="15">
        <v>41198</v>
      </c>
      <c r="B921" s="11">
        <v>2.0366</v>
      </c>
      <c r="C921" s="11">
        <f t="shared" si="98"/>
        <v>4.9999999999998934E-3</v>
      </c>
      <c r="D921" s="12">
        <f t="shared" si="99"/>
        <v>2.4999999999998934E-5</v>
      </c>
      <c r="E921" s="12">
        <f t="shared" si="100"/>
        <v>1.0000000000042206E-8</v>
      </c>
      <c r="F921" s="12">
        <f t="shared" si="101"/>
        <v>1.6925467912798875E-5</v>
      </c>
      <c r="G921" s="12">
        <f t="shared" si="102"/>
        <v>3.83587498647604</v>
      </c>
      <c r="I921" s="12">
        <f t="shared" si="103"/>
        <v>4.1140573540969106E-3</v>
      </c>
      <c r="J921" s="12">
        <f t="shared" si="104"/>
        <v>5.4233926257759718E-3</v>
      </c>
    </row>
    <row r="922" spans="1:10">
      <c r="A922" s="15">
        <v>41199</v>
      </c>
      <c r="B922" s="11">
        <v>2.0430000000000001</v>
      </c>
      <c r="C922" s="11">
        <f t="shared" si="98"/>
        <v>6.4000000000001833E-3</v>
      </c>
      <c r="D922" s="12">
        <f t="shared" si="99"/>
        <v>4.0960000000002345E-5</v>
      </c>
      <c r="E922" s="12">
        <f t="shared" si="100"/>
        <v>2.4999999999998934E-5</v>
      </c>
      <c r="F922" s="12">
        <f t="shared" si="101"/>
        <v>1.8008195544378854E-5</v>
      </c>
      <c r="G922" s="12">
        <f t="shared" si="102"/>
        <v>3.4061432830534888</v>
      </c>
      <c r="I922" s="12">
        <f t="shared" si="103"/>
        <v>4.2436064313716524E-3</v>
      </c>
      <c r="J922" s="12">
        <f t="shared" si="104"/>
        <v>5.4233926257759718E-3</v>
      </c>
    </row>
    <row r="923" spans="1:10">
      <c r="A923" s="15">
        <v>41200</v>
      </c>
      <c r="B923" s="11">
        <v>2.0387</v>
      </c>
      <c r="C923" s="11">
        <f t="shared" si="98"/>
        <v>-4.3000000000001926E-3</v>
      </c>
      <c r="D923" s="12">
        <f t="shared" si="99"/>
        <v>1.8490000000001658E-5</v>
      </c>
      <c r="E923" s="12">
        <f t="shared" si="100"/>
        <v>4.0960000000002345E-5</v>
      </c>
      <c r="F923" s="12">
        <f t="shared" si="101"/>
        <v>1.9919734897074503E-5</v>
      </c>
      <c r="G923" s="12">
        <f t="shared" si="102"/>
        <v>4.0288486642573682</v>
      </c>
      <c r="I923" s="12">
        <f t="shared" si="103"/>
        <v>4.4631530219200978E-3</v>
      </c>
      <c r="J923" s="12">
        <f t="shared" si="104"/>
        <v>5.4233926257759718E-3</v>
      </c>
    </row>
    <row r="924" spans="1:10">
      <c r="A924" s="15">
        <v>41201</v>
      </c>
      <c r="B924" s="11">
        <v>2.0352000000000001</v>
      </c>
      <c r="C924" s="11">
        <f t="shared" si="98"/>
        <v>-3.4999999999998366E-3</v>
      </c>
      <c r="D924" s="12">
        <f t="shared" si="99"/>
        <v>1.2249999999998856E-5</v>
      </c>
      <c r="E924" s="12">
        <f t="shared" si="100"/>
        <v>1.8490000000001658E-5</v>
      </c>
      <c r="F924" s="12">
        <f t="shared" si="101"/>
        <v>2.0292764127058958E-5</v>
      </c>
      <c r="G924" s="12">
        <f t="shared" si="102"/>
        <v>4.1818528256831611</v>
      </c>
      <c r="I924" s="12">
        <f t="shared" si="103"/>
        <v>4.5047490637169741E-3</v>
      </c>
      <c r="J924" s="12">
        <f t="shared" si="104"/>
        <v>5.4233926257759718E-3</v>
      </c>
    </row>
    <row r="925" spans="1:10">
      <c r="A925" s="15">
        <v>41202</v>
      </c>
      <c r="B925" s="11">
        <v>2.0352000000000001</v>
      </c>
      <c r="C925" s="11">
        <f t="shared" si="98"/>
        <v>0</v>
      </c>
      <c r="D925" s="12">
        <f t="shared" si="99"/>
        <v>0</v>
      </c>
      <c r="E925" s="12">
        <f t="shared" si="100"/>
        <v>1.2249999999998856E-5</v>
      </c>
      <c r="F925" s="12">
        <f t="shared" si="101"/>
        <v>2.0255612643260279E-5</v>
      </c>
      <c r="G925" s="12">
        <f t="shared" si="102"/>
        <v>4.4846007770324894</v>
      </c>
      <c r="I925" s="12">
        <f t="shared" si="103"/>
        <v>4.5006235838226105E-3</v>
      </c>
      <c r="J925" s="12">
        <f t="shared" si="104"/>
        <v>5.4233926257759718E-3</v>
      </c>
    </row>
    <row r="926" spans="1:10">
      <c r="A926" s="15">
        <v>41203</v>
      </c>
      <c r="B926" s="11">
        <v>2.0405000000000002</v>
      </c>
      <c r="C926" s="11">
        <f t="shared" si="98"/>
        <v>5.3000000000000824E-3</v>
      </c>
      <c r="D926" s="12">
        <f t="shared" si="99"/>
        <v>2.8090000000000875E-5</v>
      </c>
      <c r="E926" s="12">
        <f t="shared" si="100"/>
        <v>0</v>
      </c>
      <c r="F926" s="12">
        <f t="shared" si="101"/>
        <v>1.9496444062048442E-5</v>
      </c>
      <c r="G926" s="12">
        <f t="shared" si="102"/>
        <v>3.7833129146764541</v>
      </c>
      <c r="I926" s="12">
        <f t="shared" si="103"/>
        <v>4.4154777841190007E-3</v>
      </c>
      <c r="J926" s="12">
        <f t="shared" si="104"/>
        <v>5.4233926257759718E-3</v>
      </c>
    </row>
    <row r="927" spans="1:10">
      <c r="A927" s="15">
        <v>41204</v>
      </c>
      <c r="B927" s="11">
        <v>2.0377000000000001</v>
      </c>
      <c r="C927" s="11">
        <f t="shared" si="98"/>
        <v>-2.8000000000001357E-3</v>
      </c>
      <c r="D927" s="12">
        <f t="shared" si="99"/>
        <v>7.8400000000007601E-6</v>
      </c>
      <c r="E927" s="12">
        <f t="shared" si="100"/>
        <v>2.8090000000000875E-5</v>
      </c>
      <c r="F927" s="12">
        <f t="shared" si="101"/>
        <v>2.0484231490530841E-5</v>
      </c>
      <c r="G927" s="12">
        <f t="shared" si="102"/>
        <v>4.2876223304783059</v>
      </c>
      <c r="I927" s="12">
        <f t="shared" si="103"/>
        <v>4.5259508935173876E-3</v>
      </c>
      <c r="J927" s="12">
        <f t="shared" si="104"/>
        <v>5.4233926257759718E-3</v>
      </c>
    </row>
    <row r="928" spans="1:10">
      <c r="A928" s="15">
        <v>41205</v>
      </c>
      <c r="B928" s="11">
        <v>2.0365000000000002</v>
      </c>
      <c r="C928" s="11">
        <f t="shared" si="98"/>
        <v>-1.1999999999998678E-3</v>
      </c>
      <c r="D928" s="12">
        <f t="shared" si="99"/>
        <v>1.4399999999996828E-6</v>
      </c>
      <c r="E928" s="12">
        <f t="shared" si="100"/>
        <v>7.8400000000007601E-6</v>
      </c>
      <c r="F928" s="12">
        <f t="shared" si="101"/>
        <v>2.0164997980194417E-5</v>
      </c>
      <c r="G928" s="12">
        <f t="shared" si="102"/>
        <v>4.4511371405331195</v>
      </c>
      <c r="I928" s="12">
        <f t="shared" si="103"/>
        <v>4.4905453989681939E-3</v>
      </c>
      <c r="J928" s="12">
        <f t="shared" si="104"/>
        <v>5.4233926257759718E-3</v>
      </c>
    </row>
    <row r="929" spans="1:10">
      <c r="A929" s="15">
        <v>41206</v>
      </c>
      <c r="B929" s="11">
        <v>2.0329999999999999</v>
      </c>
      <c r="C929" s="11">
        <f t="shared" si="98"/>
        <v>-3.5000000000002807E-3</v>
      </c>
      <c r="D929" s="12">
        <f t="shared" si="99"/>
        <v>1.2250000000001965E-5</v>
      </c>
      <c r="E929" s="12">
        <f t="shared" si="100"/>
        <v>1.4399999999996828E-6</v>
      </c>
      <c r="F929" s="12">
        <f t="shared" si="101"/>
        <v>1.9500976562956003E-5</v>
      </c>
      <c r="G929" s="12">
        <f t="shared" si="102"/>
        <v>4.1894976315710633</v>
      </c>
      <c r="I929" s="12">
        <f t="shared" si="103"/>
        <v>4.4159910057603152E-3</v>
      </c>
      <c r="J929" s="12">
        <f t="shared" si="104"/>
        <v>5.4233926257759718E-3</v>
      </c>
    </row>
    <row r="930" spans="1:10">
      <c r="A930" s="15">
        <v>41207</v>
      </c>
      <c r="B930" s="11">
        <v>2.0306999999999999</v>
      </c>
      <c r="C930" s="11">
        <f t="shared" si="98"/>
        <v>-2.2999999999999687E-3</v>
      </c>
      <c r="D930" s="12">
        <f t="shared" si="99"/>
        <v>5.2899999999998562E-6</v>
      </c>
      <c r="E930" s="12">
        <f t="shared" si="100"/>
        <v>1.2250000000001965E-5</v>
      </c>
      <c r="F930" s="12">
        <f t="shared" si="101"/>
        <v>1.9549465486238559E-5</v>
      </c>
      <c r="G930" s="12">
        <f t="shared" si="102"/>
        <v>4.3670449489855629</v>
      </c>
      <c r="I930" s="12">
        <f t="shared" si="103"/>
        <v>4.4214777491511318E-3</v>
      </c>
      <c r="J930" s="12">
        <f t="shared" si="104"/>
        <v>5.4233926257759718E-3</v>
      </c>
    </row>
    <row r="931" spans="1:10">
      <c r="A931" s="15">
        <v>41208</v>
      </c>
      <c r="B931" s="11">
        <v>2.0308999999999999</v>
      </c>
      <c r="C931" s="11">
        <f t="shared" si="98"/>
        <v>1.9999999999997797E-4</v>
      </c>
      <c r="D931" s="12">
        <f t="shared" si="99"/>
        <v>3.9999999999991186E-8</v>
      </c>
      <c r="E931" s="12">
        <f t="shared" si="100"/>
        <v>5.2899999999998562E-6</v>
      </c>
      <c r="F931" s="12">
        <f t="shared" si="101"/>
        <v>1.918020314452924E-5</v>
      </c>
      <c r="G931" s="12">
        <f t="shared" si="102"/>
        <v>4.5108346661295453</v>
      </c>
      <c r="I931" s="12">
        <f t="shared" si="103"/>
        <v>4.3795208807047873E-3</v>
      </c>
      <c r="J931" s="12">
        <f t="shared" si="104"/>
        <v>5.4233926257759718E-3</v>
      </c>
    </row>
    <row r="932" spans="1:10">
      <c r="A932" s="15">
        <v>41209</v>
      </c>
      <c r="B932" s="11">
        <v>2.0303</v>
      </c>
      <c r="C932" s="11">
        <f t="shared" si="98"/>
        <v>-5.9999999999993392E-4</v>
      </c>
      <c r="D932" s="12">
        <f t="shared" si="99"/>
        <v>3.5999999999992069E-7</v>
      </c>
      <c r="E932" s="12">
        <f t="shared" si="100"/>
        <v>3.9999999999991186E-8</v>
      </c>
      <c r="F932" s="12">
        <f t="shared" si="101"/>
        <v>1.8539722484693274E-5</v>
      </c>
      <c r="G932" s="12">
        <f t="shared" si="102"/>
        <v>4.5191500594186476</v>
      </c>
      <c r="I932" s="12">
        <f t="shared" si="103"/>
        <v>4.3057778025222425E-3</v>
      </c>
      <c r="J932" s="12">
        <f t="shared" si="104"/>
        <v>5.4233926257759718E-3</v>
      </c>
    </row>
    <row r="933" spans="1:10">
      <c r="A933" s="15">
        <v>41210</v>
      </c>
      <c r="B933" s="11">
        <v>2.0327999999999999</v>
      </c>
      <c r="C933" s="11">
        <f t="shared" si="98"/>
        <v>2.4999999999999467E-3</v>
      </c>
      <c r="D933" s="12">
        <f t="shared" si="99"/>
        <v>6.2499999999997335E-6</v>
      </c>
      <c r="E933" s="12">
        <f t="shared" si="100"/>
        <v>3.5999999999992069E-7</v>
      </c>
      <c r="F933" s="12">
        <f t="shared" si="101"/>
        <v>1.7987482573814899E-5</v>
      </c>
      <c r="G933" s="12">
        <f t="shared" si="102"/>
        <v>4.370246760205764</v>
      </c>
      <c r="I933" s="12">
        <f t="shared" si="103"/>
        <v>4.2411652377400836E-3</v>
      </c>
      <c r="J933" s="12">
        <f t="shared" si="104"/>
        <v>5.4233926257759718E-3</v>
      </c>
    </row>
    <row r="934" spans="1:10">
      <c r="A934" s="15">
        <v>41211</v>
      </c>
      <c r="B934" s="11">
        <v>2.0268999999999999</v>
      </c>
      <c r="C934" s="11">
        <f t="shared" si="98"/>
        <v>-5.9000000000000163E-3</v>
      </c>
      <c r="D934" s="12">
        <f t="shared" si="99"/>
        <v>3.481000000000019E-5</v>
      </c>
      <c r="E934" s="12">
        <f t="shared" si="100"/>
        <v>6.2499999999997335E-6</v>
      </c>
      <c r="F934" s="12">
        <f t="shared" si="101"/>
        <v>1.7844063084769946E-5</v>
      </c>
      <c r="G934" s="12">
        <f t="shared" si="102"/>
        <v>3.5725868675973613</v>
      </c>
      <c r="I934" s="12">
        <f t="shared" si="103"/>
        <v>4.2242233706055298E-3</v>
      </c>
      <c r="J934" s="12">
        <f t="shared" si="104"/>
        <v>5.4233926257759718E-3</v>
      </c>
    </row>
    <row r="935" spans="1:10">
      <c r="A935" s="15">
        <v>41212</v>
      </c>
      <c r="B935" s="11">
        <v>2.0310000000000001</v>
      </c>
      <c r="C935" s="11">
        <f t="shared" si="98"/>
        <v>4.1000000000002146E-3</v>
      </c>
      <c r="D935" s="12">
        <f t="shared" si="99"/>
        <v>1.6810000000001758E-5</v>
      </c>
      <c r="E935" s="12">
        <f t="shared" si="100"/>
        <v>3.481000000000019E-5</v>
      </c>
      <c r="F935" s="12">
        <f t="shared" si="101"/>
        <v>1.9408855720473181E-5</v>
      </c>
      <c r="G935" s="12">
        <f t="shared" si="102"/>
        <v>4.0729022732715761</v>
      </c>
      <c r="I935" s="12">
        <f t="shared" si="103"/>
        <v>4.4055482882920695E-3</v>
      </c>
      <c r="J935" s="12">
        <f t="shared" si="104"/>
        <v>5.4233926257759718E-3</v>
      </c>
    </row>
    <row r="936" spans="1:10">
      <c r="A936" s="15">
        <v>41213</v>
      </c>
      <c r="B936" s="11">
        <v>2.0310000000000001</v>
      </c>
      <c r="C936" s="11">
        <f t="shared" si="98"/>
        <v>0</v>
      </c>
      <c r="D936" s="12">
        <f t="shared" si="99"/>
        <v>0</v>
      </c>
      <c r="E936" s="12">
        <f t="shared" si="100"/>
        <v>1.6810000000001758E-5</v>
      </c>
      <c r="F936" s="12">
        <f t="shared" si="101"/>
        <v>1.9737571497044622E-5</v>
      </c>
      <c r="G936" s="12">
        <f t="shared" si="102"/>
        <v>4.4975547374053599</v>
      </c>
      <c r="I936" s="12">
        <f t="shared" si="103"/>
        <v>4.4426986727713847E-3</v>
      </c>
      <c r="J936" s="12">
        <f t="shared" si="104"/>
        <v>5.4233926257759718E-3</v>
      </c>
    </row>
    <row r="937" spans="1:10">
      <c r="A937" s="15">
        <v>41214</v>
      </c>
      <c r="B937" s="11">
        <v>2.0301</v>
      </c>
      <c r="C937" s="11">
        <f t="shared" si="98"/>
        <v>-9.0000000000012292E-4</v>
      </c>
      <c r="D937" s="12">
        <f t="shared" si="99"/>
        <v>8.1000000000022126E-7</v>
      </c>
      <c r="E937" s="12">
        <f t="shared" si="100"/>
        <v>0</v>
      </c>
      <c r="F937" s="12">
        <f t="shared" si="101"/>
        <v>1.9034434680737945E-5</v>
      </c>
      <c r="G937" s="12">
        <f t="shared" si="102"/>
        <v>4.4944146655070067</v>
      </c>
      <c r="I937" s="12">
        <f t="shared" si="103"/>
        <v>4.3628470842716855E-3</v>
      </c>
      <c r="J937" s="12">
        <f t="shared" si="104"/>
        <v>5.4233926257759718E-3</v>
      </c>
    </row>
    <row r="938" spans="1:10">
      <c r="A938" s="15">
        <v>41215</v>
      </c>
      <c r="B938" s="11">
        <v>2.0259</v>
      </c>
      <c r="C938" s="11">
        <f t="shared" si="98"/>
        <v>-4.1999999999999815E-3</v>
      </c>
      <c r="D938" s="12">
        <f t="shared" si="99"/>
        <v>1.7639999999999845E-5</v>
      </c>
      <c r="E938" s="12">
        <f t="shared" si="100"/>
        <v>8.1000000000022126E-7</v>
      </c>
      <c r="F938" s="12">
        <f t="shared" si="101"/>
        <v>1.8455356973150972E-5</v>
      </c>
      <c r="G938" s="12">
        <f t="shared" si="102"/>
        <v>4.0532293798870578</v>
      </c>
      <c r="I938" s="12">
        <f t="shared" si="103"/>
        <v>4.2959698524490334E-3</v>
      </c>
      <c r="J938" s="12">
        <f t="shared" si="104"/>
        <v>5.4233926257759718E-3</v>
      </c>
    </row>
    <row r="939" spans="1:10">
      <c r="A939" s="15">
        <v>41216</v>
      </c>
      <c r="B939" s="11">
        <v>2.0253999999999999</v>
      </c>
      <c r="C939" s="11">
        <f t="shared" si="98"/>
        <v>-5.0000000000016698E-4</v>
      </c>
      <c r="D939" s="12">
        <f t="shared" si="99"/>
        <v>2.5000000000016696E-7</v>
      </c>
      <c r="E939" s="12">
        <f t="shared" si="100"/>
        <v>1.7639999999999845E-5</v>
      </c>
      <c r="F939" s="12">
        <f t="shared" si="101"/>
        <v>1.8936396578875387E-5</v>
      </c>
      <c r="G939" s="12">
        <f t="shared" si="102"/>
        <v>4.511672786150517</v>
      </c>
      <c r="I939" s="12">
        <f t="shared" si="103"/>
        <v>4.3515970147608319E-3</v>
      </c>
      <c r="J939" s="12">
        <f t="shared" si="104"/>
        <v>5.4233926257759718E-3</v>
      </c>
    </row>
    <row r="940" spans="1:10">
      <c r="A940" s="15">
        <v>41217</v>
      </c>
      <c r="B940" s="11">
        <v>2.0253000000000001</v>
      </c>
      <c r="C940" s="11">
        <f t="shared" si="98"/>
        <v>-9.9999999999766942E-5</v>
      </c>
      <c r="D940" s="12">
        <f t="shared" si="99"/>
        <v>9.9999999999533886E-9</v>
      </c>
      <c r="E940" s="12">
        <f t="shared" si="100"/>
        <v>2.5000000000016696E-7</v>
      </c>
      <c r="F940" s="12">
        <f t="shared" si="101"/>
        <v>1.8334732563394011E-5</v>
      </c>
      <c r="G940" s="12">
        <f t="shared" si="102"/>
        <v>4.5341454242858852</v>
      </c>
      <c r="I940" s="12">
        <f t="shared" si="103"/>
        <v>4.2819075846395856E-3</v>
      </c>
      <c r="J940" s="12">
        <f t="shared" si="104"/>
        <v>5.4233926257759718E-3</v>
      </c>
    </row>
    <row r="941" spans="1:10">
      <c r="A941" s="15">
        <v>41218</v>
      </c>
      <c r="B941" s="11">
        <v>2.0282</v>
      </c>
      <c r="C941" s="11">
        <f t="shared" si="98"/>
        <v>2.8999999999999027E-3</v>
      </c>
      <c r="D941" s="12">
        <f t="shared" si="99"/>
        <v>8.409999999999435E-6</v>
      </c>
      <c r="E941" s="12">
        <f t="shared" si="100"/>
        <v>9.9999999999533886E-9</v>
      </c>
      <c r="F941" s="12">
        <f t="shared" si="101"/>
        <v>1.778392066483185E-5</v>
      </c>
      <c r="G941" s="12">
        <f t="shared" si="102"/>
        <v>4.3132198327472491</v>
      </c>
      <c r="I941" s="12">
        <f t="shared" si="103"/>
        <v>4.217098607435194E-3</v>
      </c>
      <c r="J941" s="12">
        <f t="shared" si="104"/>
        <v>5.4233926257759718E-3</v>
      </c>
    </row>
    <row r="942" spans="1:10">
      <c r="A942" s="15">
        <v>41219</v>
      </c>
      <c r="B942" s="11">
        <v>2.0301999999999998</v>
      </c>
      <c r="C942" s="11">
        <f t="shared" si="98"/>
        <v>1.9999999999997797E-3</v>
      </c>
      <c r="D942" s="12">
        <f t="shared" si="99"/>
        <v>3.9999999999991189E-6</v>
      </c>
      <c r="E942" s="12">
        <f t="shared" si="100"/>
        <v>8.409999999999435E-6</v>
      </c>
      <c r="F942" s="12">
        <f t="shared" si="101"/>
        <v>1.7790537911622879E-5</v>
      </c>
      <c r="G942" s="12">
        <f t="shared" si="102"/>
        <v>4.4370640592165227</v>
      </c>
      <c r="I942" s="12">
        <f t="shared" si="103"/>
        <v>4.2178831078661817E-3</v>
      </c>
      <c r="J942" s="12">
        <f t="shared" si="104"/>
        <v>5.4233926257759718E-3</v>
      </c>
    </row>
    <row r="943" spans="1:10">
      <c r="A943" s="15">
        <v>41220</v>
      </c>
      <c r="B943" s="11">
        <v>2.0282</v>
      </c>
      <c r="C943" s="11">
        <f t="shared" si="98"/>
        <v>-1.9999999999997797E-3</v>
      </c>
      <c r="D943" s="12">
        <f t="shared" si="99"/>
        <v>3.9999999999991189E-6</v>
      </c>
      <c r="E943" s="12">
        <f t="shared" si="100"/>
        <v>3.9999999999991189E-6</v>
      </c>
      <c r="F943" s="12">
        <f t="shared" si="101"/>
        <v>1.7535066675547639E-5</v>
      </c>
      <c r="G943" s="12">
        <f t="shared" si="102"/>
        <v>4.4426582299918413</v>
      </c>
      <c r="I943" s="12">
        <f t="shared" si="103"/>
        <v>4.1874893045293427E-3</v>
      </c>
      <c r="J943" s="12">
        <f t="shared" si="104"/>
        <v>5.4233926257759718E-3</v>
      </c>
    </row>
    <row r="944" spans="1:10">
      <c r="A944" s="15">
        <v>41221</v>
      </c>
      <c r="B944" s="11">
        <v>2.0274999999999999</v>
      </c>
      <c r="C944" s="11">
        <f t="shared" si="98"/>
        <v>-7.0000000000014495E-4</v>
      </c>
      <c r="D944" s="12">
        <f t="shared" si="99"/>
        <v>4.9000000000020294E-7</v>
      </c>
      <c r="E944" s="12">
        <f t="shared" si="100"/>
        <v>3.9999999999991189E-6</v>
      </c>
      <c r="F944" s="12">
        <f t="shared" si="101"/>
        <v>1.7307227422654367E-5</v>
      </c>
      <c r="G944" s="12">
        <f t="shared" si="102"/>
        <v>4.5490987104278426</v>
      </c>
      <c r="I944" s="12">
        <f t="shared" si="103"/>
        <v>4.1601955990859816E-3</v>
      </c>
      <c r="J944" s="12">
        <f t="shared" si="104"/>
        <v>5.4233926257759718E-3</v>
      </c>
    </row>
    <row r="945" spans="1:10">
      <c r="A945" s="15">
        <v>41222</v>
      </c>
      <c r="B945" s="11">
        <v>2.0259999999999998</v>
      </c>
      <c r="C945" s="11">
        <f t="shared" si="98"/>
        <v>-1.5000000000000568E-3</v>
      </c>
      <c r="D945" s="12">
        <f t="shared" si="99"/>
        <v>2.2500000000001707E-6</v>
      </c>
      <c r="E945" s="12">
        <f t="shared" si="100"/>
        <v>4.9000000000020294E-7</v>
      </c>
      <c r="F945" s="12">
        <f t="shared" si="101"/>
        <v>1.6896000077317454E-5</v>
      </c>
      <c r="G945" s="12">
        <f t="shared" si="102"/>
        <v>4.5086944758275909</v>
      </c>
      <c r="I945" s="12">
        <f t="shared" si="103"/>
        <v>4.1104744345777716E-3</v>
      </c>
      <c r="J945" s="12">
        <f t="shared" si="104"/>
        <v>5.4233926257759718E-3</v>
      </c>
    </row>
    <row r="946" spans="1:10">
      <c r="A946" s="15">
        <v>41223</v>
      </c>
      <c r="B946" s="11">
        <v>2.0259999999999998</v>
      </c>
      <c r="C946" s="11">
        <f t="shared" si="98"/>
        <v>0</v>
      </c>
      <c r="D946" s="12">
        <f t="shared" si="99"/>
        <v>0</v>
      </c>
      <c r="E946" s="12">
        <f t="shared" si="100"/>
        <v>2.2500000000001707E-6</v>
      </c>
      <c r="F946" s="12">
        <f t="shared" si="101"/>
        <v>1.6633563456154393E-5</v>
      </c>
      <c r="G946" s="12">
        <f t="shared" si="102"/>
        <v>4.5831054638745492</v>
      </c>
      <c r="I946" s="12">
        <f t="shared" si="103"/>
        <v>4.0784265907521733E-3</v>
      </c>
      <c r="J946" s="12">
        <f t="shared" si="104"/>
        <v>5.4233926257759718E-3</v>
      </c>
    </row>
    <row r="947" spans="1:10">
      <c r="A947" s="15">
        <v>41224</v>
      </c>
      <c r="B947" s="11">
        <v>2.0236999999999998</v>
      </c>
      <c r="C947" s="11">
        <f t="shared" si="98"/>
        <v>-2.2999999999999687E-3</v>
      </c>
      <c r="D947" s="12">
        <f t="shared" si="99"/>
        <v>5.2899999999998562E-6</v>
      </c>
      <c r="E947" s="12">
        <f t="shared" si="100"/>
        <v>0</v>
      </c>
      <c r="F947" s="12">
        <f t="shared" si="101"/>
        <v>1.6266158753177728E-5</v>
      </c>
      <c r="G947" s="12">
        <f t="shared" si="102"/>
        <v>4.4316658023292632</v>
      </c>
      <c r="I947" s="12">
        <f t="shared" si="103"/>
        <v>4.0331326228104291E-3</v>
      </c>
      <c r="J947" s="12">
        <f t="shared" si="104"/>
        <v>5.4233926257759718E-3</v>
      </c>
    </row>
    <row r="948" spans="1:10">
      <c r="A948" s="15">
        <v>41225</v>
      </c>
      <c r="B948" s="11">
        <v>2.0268999999999999</v>
      </c>
      <c r="C948" s="11">
        <f t="shared" si="98"/>
        <v>3.2000000000000917E-3</v>
      </c>
      <c r="D948" s="12">
        <f t="shared" si="99"/>
        <v>1.0240000000000586E-5</v>
      </c>
      <c r="E948" s="12">
        <f t="shared" si="100"/>
        <v>5.2899999999998562E-6</v>
      </c>
      <c r="F948" s="12">
        <f t="shared" si="101"/>
        <v>1.6252021621738491E-5</v>
      </c>
      <c r="G948" s="12">
        <f t="shared" si="102"/>
        <v>4.2796703541031729</v>
      </c>
      <c r="I948" s="12">
        <f t="shared" si="103"/>
        <v>4.031379617666698E-3</v>
      </c>
      <c r="J948" s="12">
        <f t="shared" si="104"/>
        <v>5.4233926257759718E-3</v>
      </c>
    </row>
    <row r="949" spans="1:10">
      <c r="A949" s="15">
        <v>41226</v>
      </c>
      <c r="B949" s="11">
        <v>2.0209999999999999</v>
      </c>
      <c r="C949" s="11">
        <f t="shared" si="98"/>
        <v>-5.9000000000000163E-3</v>
      </c>
      <c r="D949" s="12">
        <f t="shared" si="99"/>
        <v>3.481000000000019E-5</v>
      </c>
      <c r="E949" s="12">
        <f t="shared" si="100"/>
        <v>1.0240000000000586E-5</v>
      </c>
      <c r="F949" s="12">
        <f t="shared" si="101"/>
        <v>1.6532791157450144E-5</v>
      </c>
      <c r="G949" s="12">
        <f t="shared" si="102"/>
        <v>3.5333875654551061</v>
      </c>
      <c r="I949" s="12">
        <f t="shared" si="103"/>
        <v>4.0660535113854739E-3</v>
      </c>
      <c r="J949" s="12">
        <f t="shared" si="104"/>
        <v>5.4233926257759718E-3</v>
      </c>
    </row>
    <row r="950" spans="1:10">
      <c r="A950" s="15">
        <v>41227</v>
      </c>
      <c r="B950" s="11">
        <v>2.0255999999999998</v>
      </c>
      <c r="C950" s="11">
        <f t="shared" si="98"/>
        <v>4.5999999999999375E-3</v>
      </c>
      <c r="D950" s="12">
        <f t="shared" si="99"/>
        <v>2.1159999999999425E-5</v>
      </c>
      <c r="E950" s="12">
        <f t="shared" si="100"/>
        <v>3.481000000000019E-5</v>
      </c>
      <c r="F950" s="12">
        <f t="shared" si="101"/>
        <v>1.8239412064701004E-5</v>
      </c>
      <c r="G950" s="12">
        <f t="shared" si="102"/>
        <v>3.9569618059985934</v>
      </c>
      <c r="I950" s="12">
        <f t="shared" si="103"/>
        <v>4.2707624687754533E-3</v>
      </c>
      <c r="J950" s="12">
        <f t="shared" si="104"/>
        <v>5.4233926257759718E-3</v>
      </c>
    </row>
    <row r="951" spans="1:10">
      <c r="A951" s="15">
        <v>41228</v>
      </c>
      <c r="B951" s="11">
        <v>2.0278</v>
      </c>
      <c r="C951" s="11">
        <f t="shared" si="98"/>
        <v>2.2000000000002018E-3</v>
      </c>
      <c r="D951" s="12">
        <f t="shared" si="99"/>
        <v>4.8400000000008879E-6</v>
      </c>
      <c r="E951" s="12">
        <f t="shared" si="100"/>
        <v>2.1159999999999425E-5</v>
      </c>
      <c r="F951" s="12">
        <f t="shared" si="101"/>
        <v>1.8952432511990226E-5</v>
      </c>
      <c r="G951" s="12">
        <f t="shared" si="102"/>
        <v>4.3901624995335169</v>
      </c>
      <c r="I951" s="12">
        <f t="shared" si="103"/>
        <v>4.3534391591005641E-3</v>
      </c>
      <c r="J951" s="12">
        <f t="shared" si="104"/>
        <v>5.4233926257759718E-3</v>
      </c>
    </row>
    <row r="952" spans="1:10">
      <c r="A952" s="15">
        <v>41229</v>
      </c>
      <c r="B952" s="11">
        <v>2.0327999999999999</v>
      </c>
      <c r="C952" s="11">
        <f t="shared" si="98"/>
        <v>4.9999999999998934E-3</v>
      </c>
      <c r="D952" s="12">
        <f t="shared" si="99"/>
        <v>2.4999999999998934E-5</v>
      </c>
      <c r="E952" s="12">
        <f t="shared" si="100"/>
        <v>4.8400000000008879E-6</v>
      </c>
      <c r="F952" s="12">
        <f t="shared" si="101"/>
        <v>1.8621075068186276E-5</v>
      </c>
      <c r="G952" s="12">
        <f t="shared" si="102"/>
        <v>3.8553873326373256</v>
      </c>
      <c r="I952" s="12">
        <f t="shared" si="103"/>
        <v>4.3152143710580909E-3</v>
      </c>
      <c r="J952" s="12">
        <f t="shared" si="104"/>
        <v>5.4233926257759718E-3</v>
      </c>
    </row>
    <row r="953" spans="1:10">
      <c r="A953" s="15">
        <v>41230</v>
      </c>
      <c r="B953" s="11">
        <v>2.0326</v>
      </c>
      <c r="C953" s="11">
        <f t="shared" si="98"/>
        <v>-1.9999999999997797E-4</v>
      </c>
      <c r="D953" s="12">
        <f t="shared" si="99"/>
        <v>3.9999999999991186E-8</v>
      </c>
      <c r="E953" s="12">
        <f t="shared" si="100"/>
        <v>2.4999999999998934E-5</v>
      </c>
      <c r="F953" s="12">
        <f t="shared" si="101"/>
        <v>1.9520404407572259E-5</v>
      </c>
      <c r="G953" s="12">
        <f t="shared" si="102"/>
        <v>4.5020620202680384</v>
      </c>
      <c r="I953" s="12">
        <f t="shared" si="103"/>
        <v>4.4181901733144372E-3</v>
      </c>
      <c r="J953" s="12">
        <f t="shared" si="104"/>
        <v>5.4233926257759718E-3</v>
      </c>
    </row>
    <row r="954" spans="1:10">
      <c r="A954" s="15">
        <v>41231</v>
      </c>
      <c r="B954" s="11">
        <v>2.0245000000000002</v>
      </c>
      <c r="C954" s="11">
        <f t="shared" si="98"/>
        <v>-8.099999999999774E-3</v>
      </c>
      <c r="D954" s="12">
        <f t="shared" si="99"/>
        <v>6.5609999999996345E-5</v>
      </c>
      <c r="E954" s="12">
        <f t="shared" si="100"/>
        <v>3.9999999999991186E-8</v>
      </c>
      <c r="F954" s="12">
        <f t="shared" si="101"/>
        <v>1.8843127293766344E-5</v>
      </c>
      <c r="G954" s="12">
        <f t="shared" si="102"/>
        <v>2.7797895610628389</v>
      </c>
      <c r="I954" s="12">
        <f t="shared" si="103"/>
        <v>4.3408671131199518E-3</v>
      </c>
      <c r="J954" s="12">
        <f t="shared" si="104"/>
        <v>5.4233926257759718E-3</v>
      </c>
    </row>
    <row r="955" spans="1:10">
      <c r="A955" s="15">
        <v>41232</v>
      </c>
      <c r="B955" s="11">
        <v>2.0325000000000002</v>
      </c>
      <c r="C955" s="11">
        <f t="shared" si="98"/>
        <v>8.0000000000000071E-3</v>
      </c>
      <c r="D955" s="12">
        <f t="shared" si="99"/>
        <v>6.4000000000000119E-5</v>
      </c>
      <c r="E955" s="12">
        <f t="shared" si="100"/>
        <v>6.5609999999996345E-5</v>
      </c>
      <c r="F955" s="12">
        <f t="shared" si="101"/>
        <v>2.212532082403043E-5</v>
      </c>
      <c r="G955" s="12">
        <f t="shared" si="102"/>
        <v>2.9941486813212803</v>
      </c>
      <c r="I955" s="12">
        <f t="shared" si="103"/>
        <v>4.7037560336427343E-3</v>
      </c>
      <c r="J955" s="12">
        <f t="shared" si="104"/>
        <v>5.4233926257759718E-3</v>
      </c>
    </row>
    <row r="956" spans="1:10">
      <c r="A956" s="15">
        <v>41233</v>
      </c>
      <c r="B956" s="11">
        <v>2.0312000000000001</v>
      </c>
      <c r="C956" s="11">
        <f t="shared" si="98"/>
        <v>-1.3000000000000789E-3</v>
      </c>
      <c r="D956" s="12">
        <f t="shared" si="99"/>
        <v>1.6900000000002051E-6</v>
      </c>
      <c r="E956" s="12">
        <f t="shared" si="100"/>
        <v>6.4000000000000119E-5</v>
      </c>
      <c r="F956" s="12">
        <f t="shared" si="101"/>
        <v>2.4957087749198863E-5</v>
      </c>
      <c r="G956" s="12">
        <f t="shared" si="102"/>
        <v>4.3463796912809149</v>
      </c>
      <c r="I956" s="12">
        <f t="shared" si="103"/>
        <v>4.9957069318764952E-3</v>
      </c>
      <c r="J956" s="12">
        <f t="shared" si="104"/>
        <v>5.4233926257759718E-3</v>
      </c>
    </row>
    <row r="957" spans="1:10">
      <c r="A957" s="15">
        <v>41234</v>
      </c>
      <c r="B957" s="11">
        <v>2.0322</v>
      </c>
      <c r="C957" s="11">
        <f t="shared" si="98"/>
        <v>9.9999999999988987E-4</v>
      </c>
      <c r="D957" s="12">
        <f t="shared" si="99"/>
        <v>9.9999999999977973E-7</v>
      </c>
      <c r="E957" s="12">
        <f t="shared" si="100"/>
        <v>1.6900000000002051E-6</v>
      </c>
      <c r="F957" s="12">
        <f t="shared" si="101"/>
        <v>2.3789566932616984E-5</v>
      </c>
      <c r="G957" s="12">
        <f t="shared" si="102"/>
        <v>4.3831755614634718</v>
      </c>
      <c r="I957" s="12">
        <f t="shared" si="103"/>
        <v>4.8774549646938802E-3</v>
      </c>
      <c r="J957" s="12">
        <f t="shared" si="104"/>
        <v>5.4233926257759718E-3</v>
      </c>
    </row>
    <row r="958" spans="1:10">
      <c r="A958" s="15">
        <v>41235</v>
      </c>
      <c r="B958" s="11">
        <v>2.0348999999999999</v>
      </c>
      <c r="C958" s="11">
        <f t="shared" si="98"/>
        <v>2.6999999999999247E-3</v>
      </c>
      <c r="D958" s="12">
        <f t="shared" si="99"/>
        <v>7.2899999999995931E-6</v>
      </c>
      <c r="E958" s="12">
        <f t="shared" si="100"/>
        <v>9.9999999999977973E-7</v>
      </c>
      <c r="F958" s="12">
        <f t="shared" si="101"/>
        <v>2.2707431089821519E-5</v>
      </c>
      <c r="G958" s="12">
        <f t="shared" si="102"/>
        <v>4.2669504833143916</v>
      </c>
      <c r="I958" s="12">
        <f t="shared" si="103"/>
        <v>4.7652314833407112E-3</v>
      </c>
      <c r="J958" s="12">
        <f t="shared" si="104"/>
        <v>5.4233926257759718E-3</v>
      </c>
    </row>
    <row r="959" spans="1:10">
      <c r="A959" s="15">
        <v>41236</v>
      </c>
      <c r="B959" s="11">
        <v>2.0388000000000002</v>
      </c>
      <c r="C959" s="11">
        <f t="shared" si="98"/>
        <v>3.9000000000002366E-3</v>
      </c>
      <c r="D959" s="12">
        <f t="shared" si="99"/>
        <v>1.5210000000001845E-5</v>
      </c>
      <c r="E959" s="12">
        <f t="shared" si="100"/>
        <v>7.2899999999995931E-6</v>
      </c>
      <c r="F959" s="12">
        <f t="shared" si="101"/>
        <v>2.2115136936776813E-5</v>
      </c>
      <c r="G959" s="12">
        <f t="shared" si="102"/>
        <v>4.0968034745884996</v>
      </c>
      <c r="I959" s="12">
        <f t="shared" si="103"/>
        <v>4.702673381894262E-3</v>
      </c>
      <c r="J959" s="12">
        <f t="shared" si="104"/>
        <v>5.4233926257759718E-3</v>
      </c>
    </row>
    <row r="960" spans="1:10">
      <c r="A960" s="15">
        <v>41237</v>
      </c>
      <c r="B960" s="11">
        <v>2.0383</v>
      </c>
      <c r="C960" s="11">
        <f t="shared" si="98"/>
        <v>-5.0000000000016698E-4</v>
      </c>
      <c r="D960" s="12">
        <f t="shared" si="99"/>
        <v>2.5000000000016696E-7</v>
      </c>
      <c r="E960" s="12">
        <f t="shared" si="100"/>
        <v>1.5210000000001845E-5</v>
      </c>
      <c r="F960" s="12">
        <f t="shared" si="101"/>
        <v>2.2056309949189053E-5</v>
      </c>
      <c r="G960" s="12">
        <f t="shared" si="102"/>
        <v>4.4363500627142525</v>
      </c>
      <c r="I960" s="12">
        <f t="shared" si="103"/>
        <v>4.6964145844664365E-3</v>
      </c>
      <c r="J960" s="12">
        <f t="shared" si="104"/>
        <v>5.4233926257759718E-3</v>
      </c>
    </row>
    <row r="961" spans="1:10">
      <c r="A961" s="15">
        <v>41238</v>
      </c>
      <c r="B961" s="11">
        <v>2.0436999999999999</v>
      </c>
      <c r="C961" s="11">
        <f t="shared" si="98"/>
        <v>5.3999999999998494E-3</v>
      </c>
      <c r="D961" s="12">
        <f t="shared" si="99"/>
        <v>2.9159999999998372E-5</v>
      </c>
      <c r="E961" s="12">
        <f t="shared" si="100"/>
        <v>2.5000000000016696E-7</v>
      </c>
      <c r="F961" s="12">
        <f t="shared" si="101"/>
        <v>2.1117193486605909E-5</v>
      </c>
      <c r="G961" s="12">
        <f t="shared" si="102"/>
        <v>3.773340298813062</v>
      </c>
      <c r="I961" s="12">
        <f t="shared" si="103"/>
        <v>4.5953447625402283E-3</v>
      </c>
      <c r="J961" s="12">
        <f t="shared" si="104"/>
        <v>5.4233926257759718E-3</v>
      </c>
    </row>
    <row r="962" spans="1:10">
      <c r="A962" s="15">
        <v>41239</v>
      </c>
      <c r="B962" s="11">
        <v>2.0394999999999999</v>
      </c>
      <c r="C962" s="11">
        <f t="shared" si="98"/>
        <v>-4.1999999999999815E-3</v>
      </c>
      <c r="D962" s="12">
        <f t="shared" si="99"/>
        <v>1.7639999999999845E-5</v>
      </c>
      <c r="E962" s="12">
        <f t="shared" si="100"/>
        <v>2.9159999999998372E-5</v>
      </c>
      <c r="F962" s="12">
        <f t="shared" si="101"/>
        <v>2.1993096270371677E-5</v>
      </c>
      <c r="G962" s="12">
        <f t="shared" si="102"/>
        <v>4.0424175012460575</v>
      </c>
      <c r="I962" s="12">
        <f t="shared" si="103"/>
        <v>4.6896797620276463E-3</v>
      </c>
      <c r="J962" s="12">
        <f t="shared" si="104"/>
        <v>5.4233926257759718E-3</v>
      </c>
    </row>
    <row r="963" spans="1:10">
      <c r="A963" s="15">
        <v>41240</v>
      </c>
      <c r="B963" s="11">
        <v>2.0402</v>
      </c>
      <c r="C963" s="11">
        <f t="shared" si="98"/>
        <v>7.0000000000014495E-4</v>
      </c>
      <c r="D963" s="12">
        <f t="shared" si="99"/>
        <v>4.9000000000020294E-7</v>
      </c>
      <c r="E963" s="12">
        <f t="shared" si="100"/>
        <v>1.7639999999999845E-5</v>
      </c>
      <c r="F963" s="12">
        <f t="shared" si="101"/>
        <v>2.2091491026269642E-5</v>
      </c>
      <c r="G963" s="12">
        <f t="shared" si="102"/>
        <v>4.4301302390850692</v>
      </c>
      <c r="I963" s="12">
        <f t="shared" si="103"/>
        <v>4.7001586171393876E-3</v>
      </c>
      <c r="J963" s="12">
        <f t="shared" si="104"/>
        <v>5.4233926257759718E-3</v>
      </c>
    </row>
    <row r="964" spans="1:10">
      <c r="A964" s="15">
        <v>41241</v>
      </c>
      <c r="B964" s="11">
        <v>2.0413999999999999</v>
      </c>
      <c r="C964" s="11">
        <f t="shared" si="98"/>
        <v>1.1999999999998678E-3</v>
      </c>
      <c r="D964" s="12">
        <f t="shared" si="99"/>
        <v>1.4399999999996828E-6</v>
      </c>
      <c r="E964" s="12">
        <f t="shared" si="100"/>
        <v>4.9000000000020294E-7</v>
      </c>
      <c r="F964" s="12">
        <f t="shared" si="101"/>
        <v>2.1162793716547922E-5</v>
      </c>
      <c r="G964" s="12">
        <f t="shared" si="102"/>
        <v>4.4286724519886214</v>
      </c>
      <c r="I964" s="12">
        <f t="shared" si="103"/>
        <v>4.6003036548197471E-3</v>
      </c>
      <c r="J964" s="12">
        <f t="shared" si="104"/>
        <v>5.4233926257759718E-3</v>
      </c>
    </row>
    <row r="965" spans="1:10">
      <c r="A965" s="15">
        <v>41242</v>
      </c>
      <c r="B965" s="11">
        <v>2.0447000000000002</v>
      </c>
      <c r="C965" s="11">
        <f t="shared" si="98"/>
        <v>3.3000000000003027E-3</v>
      </c>
      <c r="D965" s="12">
        <f t="shared" si="99"/>
        <v>1.0890000000001998E-5</v>
      </c>
      <c r="E965" s="12">
        <f t="shared" si="100"/>
        <v>1.4399999999996828E-6</v>
      </c>
      <c r="F965" s="12">
        <f t="shared" si="101"/>
        <v>2.0390849875519148E-5</v>
      </c>
      <c r="G965" s="12">
        <f t="shared" si="102"/>
        <v>4.214242068199975</v>
      </c>
      <c r="I965" s="12">
        <f t="shared" si="103"/>
        <v>4.5156228668389864E-3</v>
      </c>
      <c r="J965" s="12">
        <f t="shared" si="104"/>
        <v>5.4233926257759718E-3</v>
      </c>
    </row>
    <row r="966" spans="1:10">
      <c r="A966" s="15">
        <v>41243</v>
      </c>
      <c r="B966" s="11">
        <v>2.0436999999999999</v>
      </c>
      <c r="C966" s="11">
        <f t="shared" si="98"/>
        <v>-1.000000000000334E-3</v>
      </c>
      <c r="D966" s="12">
        <f t="shared" si="99"/>
        <v>1.0000000000006678E-6</v>
      </c>
      <c r="E966" s="12">
        <f t="shared" si="100"/>
        <v>1.0890000000001998E-5</v>
      </c>
      <c r="F966" s="12">
        <f t="shared" si="101"/>
        <v>2.0262484604773644E-5</v>
      </c>
      <c r="G966" s="12">
        <f t="shared" si="102"/>
        <v>4.4597550301579174</v>
      </c>
      <c r="I966" s="12">
        <f t="shared" si="103"/>
        <v>4.5013869645669927E-3</v>
      </c>
      <c r="J966" s="12">
        <f t="shared" si="104"/>
        <v>5.4233926257759718E-3</v>
      </c>
    </row>
    <row r="967" spans="1:10">
      <c r="A967" s="15">
        <v>41244</v>
      </c>
      <c r="B967" s="11">
        <v>2.0444</v>
      </c>
      <c r="C967" s="11">
        <f t="shared" si="98"/>
        <v>7.0000000000014495E-4</v>
      </c>
      <c r="D967" s="12">
        <f t="shared" si="99"/>
        <v>4.9000000000020294E-7</v>
      </c>
      <c r="E967" s="12">
        <f t="shared" si="100"/>
        <v>1.0000000000006678E-6</v>
      </c>
      <c r="F967" s="12">
        <f t="shared" si="101"/>
        <v>1.9561840945057813E-5</v>
      </c>
      <c r="G967" s="12">
        <f t="shared" si="102"/>
        <v>4.4895019657751805</v>
      </c>
      <c r="I967" s="12">
        <f t="shared" si="103"/>
        <v>4.4228769986353689E-3</v>
      </c>
      <c r="J967" s="12">
        <f t="shared" si="104"/>
        <v>5.4233926257759718E-3</v>
      </c>
    </row>
    <row r="968" spans="1:10">
      <c r="A968" s="15">
        <v>41245</v>
      </c>
      <c r="B968" s="11">
        <v>2.0470999999999999</v>
      </c>
      <c r="C968" s="11">
        <f t="shared" si="98"/>
        <v>2.6999999999999247E-3</v>
      </c>
      <c r="D968" s="12">
        <f t="shared" si="99"/>
        <v>7.2899999999995931E-6</v>
      </c>
      <c r="E968" s="12">
        <f t="shared" si="100"/>
        <v>4.9000000000020294E-7</v>
      </c>
      <c r="F968" s="12">
        <f t="shared" si="101"/>
        <v>1.8906752709978539E-5</v>
      </c>
      <c r="G968" s="12">
        <f t="shared" si="102"/>
        <v>4.3262689038795337</v>
      </c>
      <c r="I968" s="12">
        <f t="shared" si="103"/>
        <v>4.3481895899303352E-3</v>
      </c>
      <c r="J968" s="12">
        <f t="shared" si="104"/>
        <v>5.4233926257759718E-3</v>
      </c>
    </row>
    <row r="969" spans="1:10">
      <c r="A969" s="15">
        <v>41246</v>
      </c>
      <c r="B969" s="11">
        <v>2.0470999999999999</v>
      </c>
      <c r="C969" s="11">
        <f t="shared" si="98"/>
        <v>0</v>
      </c>
      <c r="D969" s="12">
        <f t="shared" si="99"/>
        <v>0</v>
      </c>
      <c r="E969" s="12">
        <f t="shared" si="100"/>
        <v>7.2899999999995931E-6</v>
      </c>
      <c r="F969" s="12">
        <f t="shared" si="101"/>
        <v>1.8725543118488772E-5</v>
      </c>
      <c r="G969" s="12">
        <f t="shared" si="102"/>
        <v>4.5238724714033651</v>
      </c>
      <c r="I969" s="12">
        <f t="shared" si="103"/>
        <v>4.3273020600009858E-3</v>
      </c>
      <c r="J969" s="12">
        <f t="shared" si="104"/>
        <v>5.4233926257759718E-3</v>
      </c>
    </row>
    <row r="970" spans="1:10">
      <c r="A970" s="15">
        <v>41247</v>
      </c>
      <c r="B970" s="11">
        <v>2.0489000000000002</v>
      </c>
      <c r="C970" s="11">
        <f t="shared" si="98"/>
        <v>1.8000000000002458E-3</v>
      </c>
      <c r="D970" s="12">
        <f t="shared" si="99"/>
        <v>3.240000000000885E-6</v>
      </c>
      <c r="E970" s="12">
        <f t="shared" si="100"/>
        <v>0</v>
      </c>
      <c r="F970" s="12">
        <f t="shared" si="101"/>
        <v>1.8131868140491338E-5</v>
      </c>
      <c r="G970" s="12">
        <f t="shared" si="102"/>
        <v>4.4506357534613832</v>
      </c>
      <c r="I970" s="12">
        <f t="shared" si="103"/>
        <v>4.258153137275753E-3</v>
      </c>
      <c r="J970" s="12">
        <f t="shared" si="104"/>
        <v>5.4233926257759718E-3</v>
      </c>
    </row>
    <row r="971" spans="1:10">
      <c r="A971" s="15">
        <v>41248</v>
      </c>
      <c r="B971" s="11">
        <v>2.044</v>
      </c>
      <c r="C971" s="11">
        <f t="shared" si="98"/>
        <v>-4.9000000000001265E-3</v>
      </c>
      <c r="D971" s="12">
        <f t="shared" si="99"/>
        <v>2.4010000000001239E-5</v>
      </c>
      <c r="E971" s="12">
        <f t="shared" si="100"/>
        <v>3.240000000000885E-6</v>
      </c>
      <c r="F971" s="12">
        <f t="shared" si="101"/>
        <v>1.7794434509606368E-5</v>
      </c>
      <c r="G971" s="12">
        <f t="shared" si="102"/>
        <v>3.8747247247418999</v>
      </c>
      <c r="I971" s="12">
        <f t="shared" si="103"/>
        <v>4.2183449965130125E-3</v>
      </c>
      <c r="J971" s="12">
        <f t="shared" si="104"/>
        <v>5.4233926257759718E-3</v>
      </c>
    </row>
    <row r="972" spans="1:10">
      <c r="A972" s="15">
        <v>41249</v>
      </c>
      <c r="B972" s="11">
        <v>2.0381</v>
      </c>
      <c r="C972" s="11">
        <f t="shared" si="98"/>
        <v>-5.9000000000000163E-3</v>
      </c>
      <c r="D972" s="12">
        <f t="shared" si="99"/>
        <v>3.481000000000019E-5</v>
      </c>
      <c r="E972" s="12">
        <f t="shared" si="100"/>
        <v>2.4010000000001239E-5</v>
      </c>
      <c r="F972" s="12">
        <f t="shared" si="101"/>
        <v>1.8724498468559454E-5</v>
      </c>
      <c r="G972" s="12">
        <f t="shared" si="102"/>
        <v>3.594369461278454</v>
      </c>
      <c r="I972" s="12">
        <f t="shared" si="103"/>
        <v>4.3271813537867181E-3</v>
      </c>
      <c r="J972" s="12">
        <f t="shared" si="104"/>
        <v>5.4233926257759718E-3</v>
      </c>
    </row>
    <row r="973" spans="1:10">
      <c r="A973" s="15">
        <v>41250</v>
      </c>
      <c r="B973" s="11">
        <v>2.0411999999999999</v>
      </c>
      <c r="C973" s="11">
        <f t="shared" si="98"/>
        <v>3.0999999999998806E-3</v>
      </c>
      <c r="D973" s="12">
        <f t="shared" si="99"/>
        <v>9.6099999999992592E-6</v>
      </c>
      <c r="E973" s="12">
        <f t="shared" si="100"/>
        <v>3.481000000000019E-5</v>
      </c>
      <c r="F973" s="12">
        <f t="shared" si="101"/>
        <v>2.0194062474646963E-5</v>
      </c>
      <c r="G973" s="12">
        <f t="shared" si="102"/>
        <v>4.2481811994057876</v>
      </c>
      <c r="I973" s="12">
        <f t="shared" si="103"/>
        <v>4.4937804212763846E-3</v>
      </c>
      <c r="J973" s="12">
        <f t="shared" si="104"/>
        <v>5.4233926257759718E-3</v>
      </c>
    </row>
    <row r="974" spans="1:10">
      <c r="A974" s="15">
        <v>41251</v>
      </c>
      <c r="B974" s="11">
        <v>2.0406</v>
      </c>
      <c r="C974" s="11">
        <f t="shared" ref="C974:C1037" si="105">B974-B973</f>
        <v>-5.9999999999993392E-4</v>
      </c>
      <c r="D974" s="12">
        <f t="shared" ref="D974:D1037" si="106">C974^2</f>
        <v>3.5999999999992069E-7</v>
      </c>
      <c r="E974" s="12">
        <f t="shared" si="100"/>
        <v>9.6099999999992592E-6</v>
      </c>
      <c r="F974" s="12">
        <f t="shared" si="101"/>
        <v>2.0011118600013686E-5</v>
      </c>
      <c r="G974" s="12">
        <f t="shared" si="102"/>
        <v>4.4816777144396607</v>
      </c>
      <c r="I974" s="12">
        <f t="shared" si="103"/>
        <v>4.4733788795510813E-3</v>
      </c>
      <c r="J974" s="12">
        <f t="shared" si="104"/>
        <v>5.4233926257759718E-3</v>
      </c>
    </row>
    <row r="975" spans="1:10">
      <c r="A975" s="15">
        <v>41252</v>
      </c>
      <c r="B975" s="11">
        <v>2.0493999999999999</v>
      </c>
      <c r="C975" s="11">
        <f t="shared" si="105"/>
        <v>8.799999999999919E-3</v>
      </c>
      <c r="D975" s="12">
        <f t="shared" si="106"/>
        <v>7.7439999999998581E-5</v>
      </c>
      <c r="E975" s="12">
        <f t="shared" ref="E975:E1038" si="107">D974</f>
        <v>3.5999999999992069E-7</v>
      </c>
      <c r="F975" s="12">
        <f t="shared" ref="F975:F1038" si="108">$B$5+$B$6*E975+$B$7*F974</f>
        <v>1.9299731251102123E-5</v>
      </c>
      <c r="G975" s="12">
        <f t="shared" ref="G975:G1038" si="109">LN((1/SQRT(2*3.1415927*F975))*EXP(-0.5*D975/F975))</f>
        <v>2.5025255997156277</v>
      </c>
      <c r="I975" s="12">
        <f t="shared" ref="I975:I1038" si="110">SQRT(F975)</f>
        <v>4.3931459401096752E-3</v>
      </c>
      <c r="J975" s="12">
        <f t="shared" si="104"/>
        <v>5.4233926257759718E-3</v>
      </c>
    </row>
    <row r="976" spans="1:10">
      <c r="A976" s="15">
        <v>41253</v>
      </c>
      <c r="B976" s="11">
        <v>2.0409000000000002</v>
      </c>
      <c r="C976" s="11">
        <f t="shared" si="105"/>
        <v>-8.49999999999973E-3</v>
      </c>
      <c r="D976" s="12">
        <f t="shared" si="106"/>
        <v>7.2249999999995414E-5</v>
      </c>
      <c r="E976" s="12">
        <f t="shared" si="107"/>
        <v>7.7439999999998581E-5</v>
      </c>
      <c r="F976" s="12">
        <f t="shared" si="108"/>
        <v>2.3233680903987713E-5</v>
      </c>
      <c r="G976" s="12">
        <f t="shared" si="109"/>
        <v>2.8611604557444998</v>
      </c>
      <c r="I976" s="12">
        <f t="shared" si="110"/>
        <v>4.8201328720262173E-3</v>
      </c>
      <c r="J976" s="12">
        <f t="shared" ref="J976:J1039" si="111">J975</f>
        <v>5.4233926257759718E-3</v>
      </c>
    </row>
    <row r="977" spans="1:10">
      <c r="A977" s="15">
        <v>41254</v>
      </c>
      <c r="B977" s="11">
        <v>2.0457999999999998</v>
      </c>
      <c r="C977" s="11">
        <f t="shared" si="105"/>
        <v>4.8999999999996824E-3</v>
      </c>
      <c r="D977" s="12">
        <f t="shared" si="106"/>
        <v>2.4009999999996889E-5</v>
      </c>
      <c r="E977" s="12">
        <f t="shared" si="107"/>
        <v>7.2249999999995414E-5</v>
      </c>
      <c r="F977" s="12">
        <f t="shared" si="108"/>
        <v>2.6434529311814172E-5</v>
      </c>
      <c r="G977" s="12">
        <f t="shared" si="109"/>
        <v>3.8973403316578028</v>
      </c>
      <c r="I977" s="12">
        <f t="shared" si="110"/>
        <v>5.1414520625805869E-3</v>
      </c>
      <c r="J977" s="12">
        <f t="shared" si="111"/>
        <v>5.4233926257759718E-3</v>
      </c>
    </row>
    <row r="978" spans="1:10">
      <c r="A978" s="15">
        <v>41255</v>
      </c>
      <c r="B978" s="11">
        <v>2.0489999999999999</v>
      </c>
      <c r="C978" s="11">
        <f t="shared" si="105"/>
        <v>3.2000000000000917E-3</v>
      </c>
      <c r="D978" s="12">
        <f t="shared" si="106"/>
        <v>1.0240000000000586E-5</v>
      </c>
      <c r="E978" s="12">
        <f t="shared" si="107"/>
        <v>2.4009999999996889E-5</v>
      </c>
      <c r="F978" s="12">
        <f t="shared" si="108"/>
        <v>2.6430073369689379E-5</v>
      </c>
      <c r="G978" s="12">
        <f t="shared" si="109"/>
        <v>4.1578467654294631</v>
      </c>
      <c r="I978" s="12">
        <f t="shared" si="110"/>
        <v>5.1410187093308048E-3</v>
      </c>
      <c r="J978" s="12">
        <f t="shared" si="111"/>
        <v>5.4233926257759718E-3</v>
      </c>
    </row>
    <row r="979" spans="1:10">
      <c r="A979" s="15">
        <v>41256</v>
      </c>
      <c r="B979" s="11">
        <v>2.0491000000000001</v>
      </c>
      <c r="C979" s="11">
        <f t="shared" si="105"/>
        <v>1.0000000000021103E-4</v>
      </c>
      <c r="D979" s="12">
        <f t="shared" si="106"/>
        <v>1.0000000000042206E-8</v>
      </c>
      <c r="E979" s="12">
        <f t="shared" si="107"/>
        <v>1.0240000000000586E-5</v>
      </c>
      <c r="F979" s="12">
        <f t="shared" si="108"/>
        <v>2.5609976291040793E-5</v>
      </c>
      <c r="G979" s="12">
        <f t="shared" si="109"/>
        <v>4.3671305147537529</v>
      </c>
      <c r="I979" s="12">
        <f t="shared" si="110"/>
        <v>5.0606300290616775E-3</v>
      </c>
      <c r="J979" s="12">
        <f t="shared" si="111"/>
        <v>5.4233926257759718E-3</v>
      </c>
    </row>
    <row r="980" spans="1:10">
      <c r="A980" s="15">
        <v>41257</v>
      </c>
      <c r="B980" s="11">
        <v>2.0546000000000002</v>
      </c>
      <c r="C980" s="11">
        <f t="shared" si="105"/>
        <v>5.5000000000000604E-3</v>
      </c>
      <c r="D980" s="12">
        <f t="shared" si="106"/>
        <v>3.0250000000000664E-5</v>
      </c>
      <c r="E980" s="12">
        <f t="shared" si="107"/>
        <v>1.0000000000042206E-8</v>
      </c>
      <c r="F980" s="12">
        <f t="shared" si="108"/>
        <v>2.4272267928456186E-5</v>
      </c>
      <c r="G980" s="12">
        <f t="shared" si="109"/>
        <v>3.771010374534276</v>
      </c>
      <c r="I980" s="12">
        <f t="shared" si="110"/>
        <v>4.9266893476711303E-3</v>
      </c>
      <c r="J980" s="12">
        <f t="shared" si="111"/>
        <v>5.4233926257759718E-3</v>
      </c>
    </row>
    <row r="981" spans="1:10">
      <c r="A981" s="15">
        <v>41258</v>
      </c>
      <c r="B981" s="11">
        <v>2.0514999999999999</v>
      </c>
      <c r="C981" s="11">
        <f t="shared" si="105"/>
        <v>-3.1000000000003247E-3</v>
      </c>
      <c r="D981" s="12">
        <f t="shared" si="106"/>
        <v>9.6100000000020137E-6</v>
      </c>
      <c r="E981" s="12">
        <f t="shared" si="107"/>
        <v>3.0250000000000664E-5</v>
      </c>
      <c r="F981" s="12">
        <f t="shared" si="108"/>
        <v>2.487151755062297E-5</v>
      </c>
      <c r="G981" s="12">
        <f t="shared" si="109"/>
        <v>4.1887622249962808</v>
      </c>
      <c r="I981" s="12">
        <f t="shared" si="110"/>
        <v>4.9871352047666578E-3</v>
      </c>
      <c r="J981" s="12">
        <f t="shared" si="111"/>
        <v>5.4233926257759718E-3</v>
      </c>
    </row>
    <row r="982" spans="1:10">
      <c r="A982" s="15">
        <v>41259</v>
      </c>
      <c r="B982" s="11">
        <v>2.0510999999999999</v>
      </c>
      <c r="C982" s="11">
        <f t="shared" si="105"/>
        <v>-3.9999999999995595E-4</v>
      </c>
      <c r="D982" s="12">
        <f t="shared" si="106"/>
        <v>1.5999999999996475E-7</v>
      </c>
      <c r="E982" s="12">
        <f t="shared" si="107"/>
        <v>9.6100000000020137E-6</v>
      </c>
      <c r="F982" s="12">
        <f t="shared" si="108"/>
        <v>2.4182656211545002E-5</v>
      </c>
      <c r="G982" s="12">
        <f t="shared" si="109"/>
        <v>4.3926907369859691</v>
      </c>
      <c r="I982" s="12">
        <f t="shared" si="110"/>
        <v>4.917586421360076E-3</v>
      </c>
      <c r="J982" s="12">
        <f t="shared" si="111"/>
        <v>5.4233926257759718E-3</v>
      </c>
    </row>
    <row r="983" spans="1:10">
      <c r="A983" s="15">
        <v>41260</v>
      </c>
      <c r="B983" s="11">
        <v>2.0529999999999999</v>
      </c>
      <c r="C983" s="11">
        <f t="shared" si="105"/>
        <v>1.9000000000000128E-3</v>
      </c>
      <c r="D983" s="12">
        <f t="shared" si="106"/>
        <v>3.6100000000000484E-6</v>
      </c>
      <c r="E983" s="12">
        <f t="shared" si="107"/>
        <v>1.5999999999996475E-7</v>
      </c>
      <c r="F983" s="12">
        <f t="shared" si="108"/>
        <v>2.3008218215780627E-5</v>
      </c>
      <c r="G983" s="12">
        <f t="shared" si="109"/>
        <v>4.3424407759468862</v>
      </c>
      <c r="I983" s="12">
        <f t="shared" si="110"/>
        <v>4.7966882550131013E-3</v>
      </c>
      <c r="J983" s="12">
        <f t="shared" si="111"/>
        <v>5.4233926257759718E-3</v>
      </c>
    </row>
    <row r="984" spans="1:10">
      <c r="A984" s="15">
        <v>41261</v>
      </c>
      <c r="B984" s="11">
        <v>2.0556000000000001</v>
      </c>
      <c r="C984" s="11">
        <f t="shared" si="105"/>
        <v>2.6000000000001577E-3</v>
      </c>
      <c r="D984" s="12">
        <f t="shared" si="106"/>
        <v>6.7600000000008204E-6</v>
      </c>
      <c r="E984" s="12">
        <f t="shared" si="107"/>
        <v>3.6100000000000484E-6</v>
      </c>
      <c r="F984" s="12">
        <f t="shared" si="108"/>
        <v>2.2165283703981286E-5</v>
      </c>
      <c r="G984" s="12">
        <f t="shared" si="109"/>
        <v>4.2870623877186746</v>
      </c>
      <c r="I984" s="12">
        <f t="shared" si="110"/>
        <v>4.7080020926058737E-3</v>
      </c>
      <c r="J984" s="12">
        <f t="shared" si="111"/>
        <v>5.4233926257759718E-3</v>
      </c>
    </row>
    <row r="985" spans="1:10">
      <c r="A985" s="15">
        <v>41262</v>
      </c>
      <c r="B985" s="11">
        <v>2.0518000000000001</v>
      </c>
      <c r="C985" s="11">
        <f t="shared" si="105"/>
        <v>-3.8000000000000256E-3</v>
      </c>
      <c r="D985" s="12">
        <f t="shared" si="106"/>
        <v>1.4440000000000194E-5</v>
      </c>
      <c r="E985" s="12">
        <f t="shared" si="107"/>
        <v>6.7600000000008204E-6</v>
      </c>
      <c r="F985" s="12">
        <f t="shared" si="108"/>
        <v>2.1600216521672573E-5</v>
      </c>
      <c r="G985" s="12">
        <f t="shared" si="109"/>
        <v>4.1182091603679645</v>
      </c>
      <c r="I985" s="12">
        <f t="shared" si="110"/>
        <v>4.6476033094136355E-3</v>
      </c>
      <c r="J985" s="12">
        <f t="shared" si="111"/>
        <v>5.4233926257759718E-3</v>
      </c>
    </row>
    <row r="986" spans="1:10">
      <c r="A986" s="15">
        <v>41263</v>
      </c>
      <c r="B986" s="11">
        <v>2.0518000000000001</v>
      </c>
      <c r="C986" s="11">
        <f t="shared" si="105"/>
        <v>0</v>
      </c>
      <c r="D986" s="12">
        <f t="shared" si="106"/>
        <v>0</v>
      </c>
      <c r="E986" s="12">
        <f t="shared" si="107"/>
        <v>1.4440000000000194E-5</v>
      </c>
      <c r="F986" s="12">
        <f t="shared" si="108"/>
        <v>2.1551447245159799E-5</v>
      </c>
      <c r="G986" s="12">
        <f t="shared" si="109"/>
        <v>4.4535952524696469</v>
      </c>
      <c r="I986" s="12">
        <f t="shared" si="110"/>
        <v>4.6423536320663681E-3</v>
      </c>
      <c r="J986" s="12">
        <f t="shared" si="111"/>
        <v>5.4233926257759718E-3</v>
      </c>
    </row>
    <row r="987" spans="1:10">
      <c r="A987" s="15">
        <v>41264</v>
      </c>
      <c r="B987" s="11">
        <v>2.0468000000000002</v>
      </c>
      <c r="C987" s="11">
        <f t="shared" si="105"/>
        <v>-4.9999999999998934E-3</v>
      </c>
      <c r="D987" s="12">
        <f t="shared" si="106"/>
        <v>2.4999999999998934E-5</v>
      </c>
      <c r="E987" s="12">
        <f t="shared" si="107"/>
        <v>0</v>
      </c>
      <c r="F987" s="12">
        <f t="shared" si="108"/>
        <v>2.0652120106466552E-5</v>
      </c>
      <c r="G987" s="12">
        <f t="shared" si="109"/>
        <v>3.8696430121915935</v>
      </c>
      <c r="I987" s="12">
        <f t="shared" si="110"/>
        <v>4.544460375717512E-3</v>
      </c>
      <c r="J987" s="12">
        <f t="shared" si="111"/>
        <v>5.4233926257759718E-3</v>
      </c>
    </row>
    <row r="988" spans="1:10">
      <c r="A988" s="15">
        <v>41265</v>
      </c>
      <c r="B988" s="11">
        <v>2.0457000000000001</v>
      </c>
      <c r="C988" s="11">
        <f t="shared" si="105"/>
        <v>-1.1000000000001009E-3</v>
      </c>
      <c r="D988" s="12">
        <f t="shared" si="106"/>
        <v>1.210000000000222E-6</v>
      </c>
      <c r="E988" s="12">
        <f t="shared" si="107"/>
        <v>2.4999999999998934E-5</v>
      </c>
      <c r="F988" s="12">
        <f t="shared" si="108"/>
        <v>2.1331769910881132E-5</v>
      </c>
      <c r="G988" s="12">
        <f t="shared" si="109"/>
        <v>4.4303565316205002</v>
      </c>
      <c r="I988" s="12">
        <f t="shared" si="110"/>
        <v>4.6186329049710297E-3</v>
      </c>
      <c r="J988" s="12">
        <f t="shared" si="111"/>
        <v>5.4233926257759718E-3</v>
      </c>
    </row>
    <row r="989" spans="1:10">
      <c r="A989" s="15">
        <v>41266</v>
      </c>
      <c r="B989" s="11">
        <v>2.0449999999999999</v>
      </c>
      <c r="C989" s="11">
        <f t="shared" si="105"/>
        <v>-7.0000000000014495E-4</v>
      </c>
      <c r="D989" s="12">
        <f t="shared" si="106"/>
        <v>4.9000000000020294E-7</v>
      </c>
      <c r="E989" s="12">
        <f t="shared" si="107"/>
        <v>1.210000000000222E-6</v>
      </c>
      <c r="F989" s="12">
        <f t="shared" si="108"/>
        <v>2.0527917777254868E-5</v>
      </c>
      <c r="G989" s="12">
        <f t="shared" si="109"/>
        <v>4.4659888711910201</v>
      </c>
      <c r="I989" s="12">
        <f t="shared" si="110"/>
        <v>4.5307745228884283E-3</v>
      </c>
      <c r="J989" s="12">
        <f t="shared" si="111"/>
        <v>5.4233926257759718E-3</v>
      </c>
    </row>
    <row r="990" spans="1:10">
      <c r="A990" s="15">
        <v>41267</v>
      </c>
      <c r="B990" s="11">
        <v>2.0474000000000001</v>
      </c>
      <c r="C990" s="11">
        <f t="shared" si="105"/>
        <v>2.4000000000001798E-3</v>
      </c>
      <c r="D990" s="12">
        <f t="shared" si="106"/>
        <v>5.760000000000863E-6</v>
      </c>
      <c r="E990" s="12">
        <f t="shared" si="107"/>
        <v>4.9000000000020294E-7</v>
      </c>
      <c r="F990" s="12">
        <f t="shared" si="108"/>
        <v>1.9768337861664465E-5</v>
      </c>
      <c r="G990" s="12">
        <f t="shared" si="109"/>
        <v>4.351088444397802</v>
      </c>
      <c r="I990" s="12">
        <f t="shared" si="110"/>
        <v>4.4461599005956214E-3</v>
      </c>
      <c r="J990" s="12">
        <f t="shared" si="111"/>
        <v>5.4233926257759718E-3</v>
      </c>
    </row>
    <row r="991" spans="1:10">
      <c r="A991" s="15">
        <v>41268</v>
      </c>
      <c r="B991" s="11">
        <v>2.0415000000000001</v>
      </c>
      <c r="C991" s="11">
        <f t="shared" si="105"/>
        <v>-5.9000000000000163E-3</v>
      </c>
      <c r="D991" s="12">
        <f t="shared" si="106"/>
        <v>3.481000000000019E-5</v>
      </c>
      <c r="E991" s="12">
        <f t="shared" si="107"/>
        <v>5.760000000000863E-6</v>
      </c>
      <c r="F991" s="12">
        <f t="shared" si="108"/>
        <v>1.9403258153590207E-5</v>
      </c>
      <c r="G991" s="12">
        <f t="shared" si="109"/>
        <v>3.6090819409411989</v>
      </c>
      <c r="I991" s="12">
        <f t="shared" si="110"/>
        <v>4.4049129564147126E-3</v>
      </c>
      <c r="J991" s="12">
        <f t="shared" si="111"/>
        <v>5.4233926257759718E-3</v>
      </c>
    </row>
    <row r="992" spans="1:10">
      <c r="A992" s="15">
        <v>41269</v>
      </c>
      <c r="B992" s="11">
        <v>2.0495999999999999</v>
      </c>
      <c r="C992" s="11">
        <f t="shared" si="105"/>
        <v>8.099999999999774E-3</v>
      </c>
      <c r="D992" s="12">
        <f t="shared" si="106"/>
        <v>6.5609999999996345E-5</v>
      </c>
      <c r="E992" s="12">
        <f t="shared" si="107"/>
        <v>3.481000000000019E-5</v>
      </c>
      <c r="F992" s="12">
        <f t="shared" si="108"/>
        <v>2.0799406942804363E-5</v>
      </c>
      <c r="G992" s="12">
        <f t="shared" si="109"/>
        <v>2.8941460699421153</v>
      </c>
      <c r="I992" s="12">
        <f t="shared" si="110"/>
        <v>4.560636681736922E-3</v>
      </c>
      <c r="J992" s="12">
        <f t="shared" si="111"/>
        <v>5.4233926257759718E-3</v>
      </c>
    </row>
    <row r="993" spans="1:10">
      <c r="A993" s="15">
        <v>41270</v>
      </c>
      <c r="B993" s="11">
        <v>2.0478999999999998</v>
      </c>
      <c r="C993" s="11">
        <f t="shared" si="105"/>
        <v>-1.7000000000000348E-3</v>
      </c>
      <c r="D993" s="12">
        <f t="shared" si="106"/>
        <v>2.8900000000001184E-6</v>
      </c>
      <c r="E993" s="12">
        <f t="shared" si="107"/>
        <v>6.5609999999996345E-5</v>
      </c>
      <c r="F993" s="12">
        <f t="shared" si="108"/>
        <v>2.3870007625310343E-5</v>
      </c>
      <c r="G993" s="12">
        <f t="shared" si="109"/>
        <v>4.3419691398726918</v>
      </c>
      <c r="I993" s="12">
        <f t="shared" si="110"/>
        <v>4.885694180493734E-3</v>
      </c>
      <c r="J993" s="12">
        <f t="shared" si="111"/>
        <v>5.4233926257759718E-3</v>
      </c>
    </row>
    <row r="994" spans="1:10">
      <c r="A994" s="15">
        <v>41271</v>
      </c>
      <c r="B994" s="11">
        <v>2.0497000000000001</v>
      </c>
      <c r="C994" s="11">
        <f t="shared" si="105"/>
        <v>1.8000000000002458E-3</v>
      </c>
      <c r="D994" s="12">
        <f t="shared" si="106"/>
        <v>3.240000000000885E-6</v>
      </c>
      <c r="E994" s="12">
        <f t="shared" si="107"/>
        <v>2.8900000000001184E-6</v>
      </c>
      <c r="F994" s="12">
        <f t="shared" si="108"/>
        <v>2.2891188145106833E-5</v>
      </c>
      <c r="G994" s="12">
        <f t="shared" si="109"/>
        <v>4.3526711287004636</v>
      </c>
      <c r="I994" s="12">
        <f t="shared" si="110"/>
        <v>4.7844736539254589E-3</v>
      </c>
      <c r="J994" s="12">
        <f t="shared" si="111"/>
        <v>5.4233926257759718E-3</v>
      </c>
    </row>
    <row r="995" spans="1:10">
      <c r="A995" s="15">
        <v>41272</v>
      </c>
      <c r="B995" s="11">
        <v>2.0501999999999998</v>
      </c>
      <c r="C995" s="11">
        <f t="shared" si="105"/>
        <v>4.9999999999972289E-4</v>
      </c>
      <c r="D995" s="12">
        <f t="shared" si="106"/>
        <v>2.499999999997229E-7</v>
      </c>
      <c r="E995" s="12">
        <f t="shared" si="107"/>
        <v>3.240000000000885E-6</v>
      </c>
      <c r="F995" s="12">
        <f t="shared" si="108"/>
        <v>2.2038982470427446E-5</v>
      </c>
      <c r="G995" s="12">
        <f t="shared" si="109"/>
        <v>4.4367385622804125</v>
      </c>
      <c r="I995" s="12">
        <f t="shared" si="110"/>
        <v>4.6945694659284191E-3</v>
      </c>
      <c r="J995" s="12">
        <f t="shared" si="111"/>
        <v>5.4233926257759718E-3</v>
      </c>
    </row>
    <row r="996" spans="1:10">
      <c r="A996" s="15">
        <v>41273</v>
      </c>
      <c r="B996" s="11">
        <v>2.0501999999999998</v>
      </c>
      <c r="C996" s="11">
        <f t="shared" si="105"/>
        <v>0</v>
      </c>
      <c r="D996" s="12">
        <f t="shared" si="106"/>
        <v>0</v>
      </c>
      <c r="E996" s="12">
        <f t="shared" si="107"/>
        <v>2.499999999997229E-7</v>
      </c>
      <c r="F996" s="12">
        <f t="shared" si="108"/>
        <v>2.1101740162481341E-5</v>
      </c>
      <c r="G996" s="12">
        <f t="shared" si="109"/>
        <v>4.464138983772604</v>
      </c>
      <c r="I996" s="12">
        <f t="shared" si="110"/>
        <v>4.5936630440729263E-3</v>
      </c>
      <c r="J996" s="12">
        <f t="shared" si="111"/>
        <v>5.4233926257759718E-3</v>
      </c>
    </row>
    <row r="997" spans="1:10">
      <c r="A997" s="15">
        <v>41274</v>
      </c>
      <c r="B997" s="11">
        <v>2.0472999999999999</v>
      </c>
      <c r="C997" s="11">
        <f t="shared" si="105"/>
        <v>-2.8999999999999027E-3</v>
      </c>
      <c r="D997" s="12">
        <f t="shared" si="106"/>
        <v>8.409999999999435E-6</v>
      </c>
      <c r="E997" s="12">
        <f t="shared" si="107"/>
        <v>0</v>
      </c>
      <c r="F997" s="12">
        <f t="shared" si="108"/>
        <v>2.0251053719062781E-5</v>
      </c>
      <c r="G997" s="12">
        <f t="shared" si="109"/>
        <v>4.2770698083855097</v>
      </c>
      <c r="I997" s="12">
        <f t="shared" si="110"/>
        <v>4.5001170783728261E-3</v>
      </c>
      <c r="J997" s="12">
        <f t="shared" si="111"/>
        <v>5.4233926257759718E-3</v>
      </c>
    </row>
    <row r="998" spans="1:10">
      <c r="A998" s="15">
        <v>41275</v>
      </c>
      <c r="B998" s="11">
        <v>2.0482999999999998</v>
      </c>
      <c r="C998" s="11">
        <f t="shared" si="105"/>
        <v>9.9999999999988987E-4</v>
      </c>
      <c r="D998" s="12">
        <f t="shared" si="106"/>
        <v>9.9999999999977973E-7</v>
      </c>
      <c r="E998" s="12">
        <f t="shared" si="107"/>
        <v>8.409999999999435E-6</v>
      </c>
      <c r="F998" s="12">
        <f t="shared" si="108"/>
        <v>1.9990823785288607E-5</v>
      </c>
      <c r="G998" s="12">
        <f t="shared" si="109"/>
        <v>4.4661685840912835</v>
      </c>
      <c r="I998" s="12">
        <f t="shared" si="110"/>
        <v>4.4711099053018821E-3</v>
      </c>
      <c r="J998" s="12">
        <f t="shared" si="111"/>
        <v>5.4233926257759718E-3</v>
      </c>
    </row>
    <row r="999" spans="1:10">
      <c r="A999" s="15">
        <v>41276</v>
      </c>
      <c r="B999" s="11">
        <v>2.0476999999999999</v>
      </c>
      <c r="C999" s="11">
        <f t="shared" si="105"/>
        <v>-5.9999999999993392E-4</v>
      </c>
      <c r="D999" s="12">
        <f t="shared" si="106"/>
        <v>3.5999999999992069E-7</v>
      </c>
      <c r="E999" s="12">
        <f t="shared" si="107"/>
        <v>9.9999999999977973E-7</v>
      </c>
      <c r="F999" s="12">
        <f t="shared" si="108"/>
        <v>1.9319563187676042E-5</v>
      </c>
      <c r="G999" s="12">
        <f t="shared" si="109"/>
        <v>4.4989406479563705</v>
      </c>
      <c r="I999" s="12">
        <f t="shared" si="110"/>
        <v>4.3954025057639538E-3</v>
      </c>
      <c r="J999" s="12">
        <f t="shared" si="111"/>
        <v>5.4233926257759718E-3</v>
      </c>
    </row>
    <row r="1000" spans="1:10">
      <c r="A1000" s="15">
        <v>41277</v>
      </c>
      <c r="B1000" s="11">
        <v>2.0394999999999999</v>
      </c>
      <c r="C1000" s="11">
        <f t="shared" si="105"/>
        <v>-8.1999999999999851E-3</v>
      </c>
      <c r="D1000" s="12">
        <f t="shared" si="106"/>
        <v>6.7239999999999756E-5</v>
      </c>
      <c r="E1000" s="12">
        <f t="shared" si="107"/>
        <v>3.5999999999992069E-7</v>
      </c>
      <c r="F1000" s="12">
        <f t="shared" si="108"/>
        <v>1.8682975052236341E-5</v>
      </c>
      <c r="G1000" s="12">
        <f t="shared" si="109"/>
        <v>2.7255111245954504</v>
      </c>
      <c r="I1000" s="12">
        <f t="shared" si="110"/>
        <v>4.3223807157903547E-3</v>
      </c>
      <c r="J1000" s="12">
        <f t="shared" si="111"/>
        <v>5.4233926257759718E-3</v>
      </c>
    </row>
    <row r="1001" spans="1:10">
      <c r="A1001" s="15">
        <v>41278</v>
      </c>
      <c r="B1001" s="11">
        <v>2.0447000000000002</v>
      </c>
      <c r="C1001" s="11">
        <f t="shared" si="105"/>
        <v>5.2000000000003155E-3</v>
      </c>
      <c r="D1001" s="12">
        <f t="shared" si="106"/>
        <v>2.7040000000003282E-5</v>
      </c>
      <c r="E1001" s="12">
        <f t="shared" si="107"/>
        <v>6.7239999999999756E-5</v>
      </c>
      <c r="F1001" s="12">
        <f t="shared" si="108"/>
        <v>2.2079097947025853E-5</v>
      </c>
      <c r="G1001" s="12">
        <f t="shared" si="109"/>
        <v>3.8291571978451717</v>
      </c>
      <c r="I1001" s="12">
        <f t="shared" si="110"/>
        <v>4.6988400639972686E-3</v>
      </c>
      <c r="J1001" s="12">
        <f t="shared" si="111"/>
        <v>5.4233926257759718E-3</v>
      </c>
    </row>
    <row r="1002" spans="1:10">
      <c r="A1002" s="15">
        <v>41279</v>
      </c>
      <c r="B1002" s="11">
        <v>2.0468000000000002</v>
      </c>
      <c r="C1002" s="11">
        <f t="shared" si="105"/>
        <v>2.0999999999999908E-3</v>
      </c>
      <c r="D1002" s="12">
        <f t="shared" si="106"/>
        <v>4.4099999999999612E-6</v>
      </c>
      <c r="E1002" s="12">
        <f t="shared" si="107"/>
        <v>2.7040000000003282E-5</v>
      </c>
      <c r="F1002" s="12">
        <f t="shared" si="108"/>
        <v>2.2725311756443035E-5</v>
      </c>
      <c r="G1002" s="12">
        <f t="shared" si="109"/>
        <v>4.3300486872071469</v>
      </c>
      <c r="I1002" s="12">
        <f t="shared" si="110"/>
        <v>4.7671072734356452E-3</v>
      </c>
      <c r="J1002" s="12">
        <f t="shared" si="111"/>
        <v>5.4233926257759718E-3</v>
      </c>
    </row>
    <row r="1003" spans="1:10">
      <c r="A1003" s="15">
        <v>41280</v>
      </c>
      <c r="B1003" s="11">
        <v>2.0478000000000001</v>
      </c>
      <c r="C1003" s="11">
        <f t="shared" si="105"/>
        <v>9.9999999999988987E-4</v>
      </c>
      <c r="D1003" s="12">
        <f t="shared" si="106"/>
        <v>9.9999999999977973E-7</v>
      </c>
      <c r="E1003" s="12">
        <f t="shared" si="107"/>
        <v>4.4099999999999612E-6</v>
      </c>
      <c r="F1003" s="12">
        <f t="shared" si="108"/>
        <v>2.1960391203480183E-5</v>
      </c>
      <c r="G1003" s="12">
        <f t="shared" si="109"/>
        <v>4.4214282582592128</v>
      </c>
      <c r="I1003" s="12">
        <f t="shared" si="110"/>
        <v>4.6861915457522847E-3</v>
      </c>
      <c r="J1003" s="12">
        <f t="shared" si="111"/>
        <v>5.4233926257759718E-3</v>
      </c>
    </row>
    <row r="1004" spans="1:10">
      <c r="A1004" s="15">
        <v>41281</v>
      </c>
      <c r="B1004" s="11">
        <v>2.0501</v>
      </c>
      <c r="C1004" s="11">
        <f t="shared" si="105"/>
        <v>2.2999999999999687E-3</v>
      </c>
      <c r="D1004" s="12">
        <f t="shared" si="106"/>
        <v>5.2899999999998562E-6</v>
      </c>
      <c r="E1004" s="12">
        <f t="shared" si="107"/>
        <v>9.9999999999977973E-7</v>
      </c>
      <c r="F1004" s="12">
        <f t="shared" si="108"/>
        <v>2.1076100541852146E-5</v>
      </c>
      <c r="G1004" s="12">
        <f t="shared" si="109"/>
        <v>4.3392492786796151</v>
      </c>
      <c r="I1004" s="12">
        <f t="shared" si="110"/>
        <v>4.5908714359968903E-3</v>
      </c>
      <c r="J1004" s="12">
        <f t="shared" si="111"/>
        <v>5.4233926257759718E-3</v>
      </c>
    </row>
    <row r="1005" spans="1:10">
      <c r="A1005" s="15">
        <v>41282</v>
      </c>
      <c r="B1005" s="11">
        <v>2.0514999999999999</v>
      </c>
      <c r="C1005" s="11">
        <f t="shared" si="105"/>
        <v>1.3999999999998458E-3</v>
      </c>
      <c r="D1005" s="12">
        <f t="shared" si="106"/>
        <v>1.9599999999995683E-6</v>
      </c>
      <c r="E1005" s="12">
        <f t="shared" si="107"/>
        <v>5.2899999999998562E-6</v>
      </c>
      <c r="F1005" s="12">
        <f t="shared" si="108"/>
        <v>2.0541716071993366E-5</v>
      </c>
      <c r="G1005" s="12">
        <f t="shared" si="109"/>
        <v>4.4298800679742252</v>
      </c>
      <c r="I1005" s="12">
        <f t="shared" si="110"/>
        <v>4.5322969973285469E-3</v>
      </c>
      <c r="J1005" s="12">
        <f t="shared" si="111"/>
        <v>5.4233926257759718E-3</v>
      </c>
    </row>
    <row r="1006" spans="1:10">
      <c r="A1006" s="15">
        <v>41283</v>
      </c>
      <c r="B1006" s="11">
        <v>2.0512000000000001</v>
      </c>
      <c r="C1006" s="11">
        <f t="shared" si="105"/>
        <v>-2.9999999999974492E-4</v>
      </c>
      <c r="D1006" s="12">
        <f t="shared" si="106"/>
        <v>8.999999999984695E-8</v>
      </c>
      <c r="E1006" s="12">
        <f t="shared" si="107"/>
        <v>1.9599999999995683E-6</v>
      </c>
      <c r="F1006" s="12">
        <f t="shared" si="108"/>
        <v>1.9867767973237668E-5</v>
      </c>
      <c r="G1006" s="12">
        <f t="shared" si="109"/>
        <v>4.4920024038979447</v>
      </c>
      <c r="I1006" s="12">
        <f t="shared" si="110"/>
        <v>4.4573274473879154E-3</v>
      </c>
      <c r="J1006" s="12">
        <f t="shared" si="111"/>
        <v>5.4233926257759718E-3</v>
      </c>
    </row>
    <row r="1007" spans="1:10">
      <c r="A1007" s="15">
        <v>41284</v>
      </c>
      <c r="B1007" s="11">
        <v>2.0577000000000001</v>
      </c>
      <c r="C1007" s="11">
        <f t="shared" si="105"/>
        <v>6.4999999999999503E-3</v>
      </c>
      <c r="D1007" s="12">
        <f t="shared" si="106"/>
        <v>4.2249999999999353E-5</v>
      </c>
      <c r="E1007" s="12">
        <f t="shared" si="107"/>
        <v>8.999999999984695E-8</v>
      </c>
      <c r="F1007" s="12">
        <f t="shared" si="108"/>
        <v>1.915588313473332E-5</v>
      </c>
      <c r="G1007" s="12">
        <f t="shared" si="109"/>
        <v>3.4097174313466412</v>
      </c>
      <c r="I1007" s="12">
        <f t="shared" si="110"/>
        <v>4.3767434394459681E-3</v>
      </c>
      <c r="J1007" s="12">
        <f t="shared" si="111"/>
        <v>5.4233926257759718E-3</v>
      </c>
    </row>
    <row r="1008" spans="1:10">
      <c r="A1008" s="15">
        <v>41285</v>
      </c>
      <c r="B1008" s="11">
        <v>2.069</v>
      </c>
      <c r="C1008" s="11">
        <f t="shared" si="105"/>
        <v>1.1299999999999866E-2</v>
      </c>
      <c r="D1008" s="12">
        <f t="shared" si="106"/>
        <v>1.2768999999999696E-4</v>
      </c>
      <c r="E1008" s="12">
        <f t="shared" si="107"/>
        <v>4.2249999999999353E-5</v>
      </c>
      <c r="F1008" s="12">
        <f t="shared" si="108"/>
        <v>2.1019743611197578E-5</v>
      </c>
      <c r="G1008" s="12">
        <f t="shared" si="109"/>
        <v>1.4287032209539914</v>
      </c>
      <c r="I1008" s="12">
        <f t="shared" si="110"/>
        <v>4.5847293934536178E-3</v>
      </c>
      <c r="J1008" s="12">
        <f t="shared" si="111"/>
        <v>5.4233926257759718E-3</v>
      </c>
    </row>
    <row r="1009" spans="1:10">
      <c r="A1009" s="15">
        <v>41286</v>
      </c>
      <c r="B1009" s="11">
        <v>2.0693999999999999</v>
      </c>
      <c r="C1009" s="11">
        <f t="shared" si="105"/>
        <v>3.9999999999995595E-4</v>
      </c>
      <c r="D1009" s="12">
        <f t="shared" si="106"/>
        <v>1.5999999999996475E-7</v>
      </c>
      <c r="E1009" s="12">
        <f t="shared" si="107"/>
        <v>1.2768999999999696E-4</v>
      </c>
      <c r="F1009" s="12">
        <f t="shared" si="108"/>
        <v>2.7745882265002151E-5</v>
      </c>
      <c r="G1009" s="12">
        <f t="shared" si="109"/>
        <v>4.3243897064951522</v>
      </c>
      <c r="I1009" s="12">
        <f t="shared" si="110"/>
        <v>5.267436023816725E-3</v>
      </c>
      <c r="J1009" s="12">
        <f t="shared" si="111"/>
        <v>5.4233926257759718E-3</v>
      </c>
    </row>
    <row r="1010" spans="1:10">
      <c r="A1010" s="15">
        <v>41287</v>
      </c>
      <c r="B1010" s="11">
        <v>2.0655999999999999</v>
      </c>
      <c r="C1010" s="11">
        <f t="shared" si="105"/>
        <v>-3.8000000000000256E-3</v>
      </c>
      <c r="D1010" s="12">
        <f t="shared" si="106"/>
        <v>1.4440000000000194E-5</v>
      </c>
      <c r="E1010" s="12">
        <f t="shared" si="107"/>
        <v>1.5999999999996475E-7</v>
      </c>
      <c r="F1010" s="12">
        <f t="shared" si="108"/>
        <v>2.6186042750478619E-5</v>
      </c>
      <c r="G1010" s="12">
        <f t="shared" si="109"/>
        <v>4.0804840635334605</v>
      </c>
      <c r="I1010" s="12">
        <f t="shared" si="110"/>
        <v>5.1172299880383153E-3</v>
      </c>
      <c r="J1010" s="12">
        <f t="shared" si="111"/>
        <v>5.4233926257759718E-3</v>
      </c>
    </row>
    <row r="1011" spans="1:10">
      <c r="A1011" s="15">
        <v>41288</v>
      </c>
      <c r="B1011" s="11">
        <v>2.0688</v>
      </c>
      <c r="C1011" s="11">
        <f t="shared" si="105"/>
        <v>3.2000000000000917E-3</v>
      </c>
      <c r="D1011" s="12">
        <f t="shared" si="106"/>
        <v>1.0240000000000586E-5</v>
      </c>
      <c r="E1011" s="12">
        <f t="shared" si="107"/>
        <v>1.4440000000000194E-5</v>
      </c>
      <c r="F1011" s="12">
        <f t="shared" si="108"/>
        <v>2.5641266662488739E-5</v>
      </c>
      <c r="G1011" s="12">
        <f t="shared" si="109"/>
        <v>4.1670370990101739</v>
      </c>
      <c r="I1011" s="12">
        <f t="shared" si="110"/>
        <v>5.063720634324996E-3</v>
      </c>
      <c r="J1011" s="12">
        <f t="shared" si="111"/>
        <v>5.4233926257759718E-3</v>
      </c>
    </row>
    <row r="1012" spans="1:10">
      <c r="A1012" s="15">
        <v>41289</v>
      </c>
      <c r="B1012" s="11">
        <v>2.0720999999999998</v>
      </c>
      <c r="C1012" s="11">
        <f t="shared" si="105"/>
        <v>3.2999999999998586E-3</v>
      </c>
      <c r="D1012" s="12">
        <f t="shared" si="106"/>
        <v>1.0889999999999067E-5</v>
      </c>
      <c r="E1012" s="12">
        <f t="shared" si="107"/>
        <v>1.0240000000000586E-5</v>
      </c>
      <c r="F1012" s="12">
        <f t="shared" si="108"/>
        <v>2.4906487578938326E-5</v>
      </c>
      <c r="G1012" s="12">
        <f t="shared" si="109"/>
        <v>4.1626348419920189</v>
      </c>
      <c r="I1012" s="12">
        <f t="shared" si="110"/>
        <v>4.9906399969280816E-3</v>
      </c>
      <c r="J1012" s="12">
        <f t="shared" si="111"/>
        <v>5.4233926257759718E-3</v>
      </c>
    </row>
    <row r="1013" spans="1:10">
      <c r="A1013" s="15">
        <v>41290</v>
      </c>
      <c r="B1013" s="11">
        <v>2.0756000000000001</v>
      </c>
      <c r="C1013" s="11">
        <f t="shared" si="105"/>
        <v>3.5000000000002807E-3</v>
      </c>
      <c r="D1013" s="12">
        <f t="shared" si="106"/>
        <v>1.2250000000001965E-5</v>
      </c>
      <c r="E1013" s="12">
        <f t="shared" si="107"/>
        <v>1.0889999999999067E-5</v>
      </c>
      <c r="F1013" s="12">
        <f t="shared" si="108"/>
        <v>2.4289707146495193E-5</v>
      </c>
      <c r="G1013" s="12">
        <f t="shared" si="109"/>
        <v>4.1416259716760608</v>
      </c>
      <c r="I1013" s="12">
        <f t="shared" si="110"/>
        <v>4.9284589017760099E-3</v>
      </c>
      <c r="J1013" s="12">
        <f t="shared" si="111"/>
        <v>5.4233926257759718E-3</v>
      </c>
    </row>
    <row r="1014" spans="1:10">
      <c r="A1014" s="15">
        <v>41291</v>
      </c>
      <c r="B1014" s="11">
        <v>2.0836000000000001</v>
      </c>
      <c r="C1014" s="11">
        <f t="shared" si="105"/>
        <v>8.0000000000000071E-3</v>
      </c>
      <c r="D1014" s="12">
        <f t="shared" si="106"/>
        <v>6.4000000000000119E-5</v>
      </c>
      <c r="E1014" s="12">
        <f t="shared" si="107"/>
        <v>1.2250000000001965E-5</v>
      </c>
      <c r="F1014" s="12">
        <f t="shared" si="108"/>
        <v>2.3820242953097492E-5</v>
      </c>
      <c r="G1014" s="12">
        <f t="shared" si="109"/>
        <v>3.0601536586145106</v>
      </c>
      <c r="I1014" s="12">
        <f t="shared" si="110"/>
        <v>4.8805986265106349E-3</v>
      </c>
      <c r="J1014" s="12">
        <f t="shared" si="111"/>
        <v>5.4233926257759718E-3</v>
      </c>
    </row>
    <row r="1015" spans="1:10">
      <c r="A1015" s="15">
        <v>41292</v>
      </c>
      <c r="B1015" s="11">
        <v>2.0804</v>
      </c>
      <c r="C1015" s="11">
        <f t="shared" si="105"/>
        <v>-3.2000000000000917E-3</v>
      </c>
      <c r="D1015" s="12">
        <f t="shared" si="106"/>
        <v>1.0240000000000586E-5</v>
      </c>
      <c r="E1015" s="12">
        <f t="shared" si="107"/>
        <v>6.4000000000000119E-5</v>
      </c>
      <c r="F1015" s="12">
        <f t="shared" si="108"/>
        <v>2.6468685679093329E-5</v>
      </c>
      <c r="G1015" s="12">
        <f t="shared" si="109"/>
        <v>4.1573994321840901</v>
      </c>
      <c r="I1015" s="12">
        <f t="shared" si="110"/>
        <v>5.1447726557247728E-3</v>
      </c>
      <c r="J1015" s="12">
        <f t="shared" si="111"/>
        <v>5.4233926257759718E-3</v>
      </c>
    </row>
    <row r="1016" spans="1:10">
      <c r="A1016" s="15">
        <v>41293</v>
      </c>
      <c r="B1016" s="11">
        <v>2.0767000000000002</v>
      </c>
      <c r="C1016" s="11">
        <f t="shared" si="105"/>
        <v>-3.6999999999998145E-3</v>
      </c>
      <c r="D1016" s="12">
        <f t="shared" si="106"/>
        <v>1.3689999999998627E-5</v>
      </c>
      <c r="E1016" s="12">
        <f t="shared" si="107"/>
        <v>1.0240000000000586E-5</v>
      </c>
      <c r="F1016" s="12">
        <f t="shared" si="108"/>
        <v>2.5644412260671792E-5</v>
      </c>
      <c r="G1016" s="12">
        <f t="shared" si="109"/>
        <v>4.0997341415130473</v>
      </c>
      <c r="I1016" s="12">
        <f t="shared" si="110"/>
        <v>5.0640312262733717E-3</v>
      </c>
      <c r="J1016" s="12">
        <f t="shared" si="111"/>
        <v>5.4233926257759718E-3</v>
      </c>
    </row>
    <row r="1017" spans="1:10">
      <c r="A1017" s="15">
        <v>41294</v>
      </c>
      <c r="B1017" s="11">
        <v>2.0741999999999998</v>
      </c>
      <c r="C1017" s="11">
        <f t="shared" si="105"/>
        <v>-2.5000000000003908E-3</v>
      </c>
      <c r="D1017" s="12">
        <f t="shared" si="106"/>
        <v>6.2500000000019544E-6</v>
      </c>
      <c r="E1017" s="12">
        <f t="shared" si="107"/>
        <v>1.3689999999998627E-5</v>
      </c>
      <c r="F1017" s="12">
        <f t="shared" si="108"/>
        <v>2.5113768231813367E-5</v>
      </c>
      <c r="G1017" s="12">
        <f t="shared" si="109"/>
        <v>4.2526748871951368</v>
      </c>
      <c r="I1017" s="12">
        <f t="shared" si="110"/>
        <v>5.011363909337793E-3</v>
      </c>
      <c r="J1017" s="12">
        <f t="shared" si="111"/>
        <v>5.4233926257759718E-3</v>
      </c>
    </row>
    <row r="1018" spans="1:10">
      <c r="A1018" s="15">
        <v>41295</v>
      </c>
      <c r="B1018" s="11">
        <v>2.0798999999999999</v>
      </c>
      <c r="C1018" s="11">
        <f t="shared" si="105"/>
        <v>5.7000000000000384E-3</v>
      </c>
      <c r="D1018" s="12">
        <f t="shared" si="106"/>
        <v>3.2490000000000436E-5</v>
      </c>
      <c r="E1018" s="12">
        <f t="shared" si="107"/>
        <v>6.2500000000019544E-6</v>
      </c>
      <c r="F1018" s="12">
        <f t="shared" si="108"/>
        <v>2.4199563708504585E-5</v>
      </c>
      <c r="G1018" s="12">
        <f t="shared" si="109"/>
        <v>3.7243563419851853</v>
      </c>
      <c r="I1018" s="12">
        <f t="shared" si="110"/>
        <v>4.9193052058704983E-3</v>
      </c>
      <c r="J1018" s="12">
        <f t="shared" si="111"/>
        <v>5.4233926257759718E-3</v>
      </c>
    </row>
    <row r="1019" spans="1:10">
      <c r="A1019" s="15">
        <v>41296</v>
      </c>
      <c r="B1019" s="11">
        <v>2.0789</v>
      </c>
      <c r="C1019" s="11">
        <f t="shared" si="105"/>
        <v>-9.9999999999988987E-4</v>
      </c>
      <c r="D1019" s="12">
        <f t="shared" si="106"/>
        <v>9.9999999999977973E-7</v>
      </c>
      <c r="E1019" s="12">
        <f t="shared" si="107"/>
        <v>3.2490000000000436E-5</v>
      </c>
      <c r="F1019" s="12">
        <f t="shared" si="108"/>
        <v>2.4939437844988296E-5</v>
      </c>
      <c r="G1019" s="12">
        <f t="shared" si="109"/>
        <v>4.3605429711629062</v>
      </c>
      <c r="I1019" s="12">
        <f t="shared" si="110"/>
        <v>4.9939401122749052E-3</v>
      </c>
      <c r="J1019" s="12">
        <f t="shared" si="111"/>
        <v>5.4233926257759718E-3</v>
      </c>
    </row>
    <row r="1020" spans="1:10">
      <c r="A1020" s="15">
        <v>41297</v>
      </c>
      <c r="B1020" s="11">
        <v>2.0771000000000002</v>
      </c>
      <c r="C1020" s="11">
        <f t="shared" si="105"/>
        <v>-1.7999999999998018E-3</v>
      </c>
      <c r="D1020" s="12">
        <f t="shared" si="106"/>
        <v>3.2399999999992863E-6</v>
      </c>
      <c r="E1020" s="12">
        <f t="shared" si="107"/>
        <v>9.9999999999977973E-7</v>
      </c>
      <c r="F1020" s="12">
        <f t="shared" si="108"/>
        <v>2.3732930999804446E-5</v>
      </c>
      <c r="G1020" s="12">
        <f t="shared" si="109"/>
        <v>4.3371253655955186</v>
      </c>
      <c r="I1020" s="12">
        <f t="shared" si="110"/>
        <v>4.8716456151699341E-3</v>
      </c>
      <c r="J1020" s="12">
        <f t="shared" si="111"/>
        <v>5.4233926257759718E-3</v>
      </c>
    </row>
    <row r="1021" spans="1:10">
      <c r="A1021" s="15">
        <v>41298</v>
      </c>
      <c r="B1021" s="11">
        <v>2.0821999999999998</v>
      </c>
      <c r="C1021" s="11">
        <f t="shared" si="105"/>
        <v>5.0999999999996604E-3</v>
      </c>
      <c r="D1021" s="12">
        <f t="shared" si="106"/>
        <v>2.6009999999996537E-5</v>
      </c>
      <c r="E1021" s="12">
        <f t="shared" si="107"/>
        <v>3.2399999999992863E-6</v>
      </c>
      <c r="F1021" s="12">
        <f t="shared" si="108"/>
        <v>2.2789681711910929E-5</v>
      </c>
      <c r="G1021" s="12">
        <f t="shared" si="109"/>
        <v>3.8550098103167967</v>
      </c>
      <c r="I1021" s="12">
        <f t="shared" si="110"/>
        <v>4.7738539684316827E-3</v>
      </c>
      <c r="J1021" s="12">
        <f t="shared" si="111"/>
        <v>5.4233926257759718E-3</v>
      </c>
    </row>
    <row r="1022" spans="1:10">
      <c r="A1022" s="15">
        <v>41299</v>
      </c>
      <c r="B1022" s="11">
        <v>2.0871</v>
      </c>
      <c r="C1022" s="11">
        <f t="shared" si="105"/>
        <v>4.9000000000001265E-3</v>
      </c>
      <c r="D1022" s="12">
        <f t="shared" si="106"/>
        <v>2.4010000000001239E-5</v>
      </c>
      <c r="E1022" s="12">
        <f t="shared" si="107"/>
        <v>2.6009999999996537E-5</v>
      </c>
      <c r="F1022" s="12">
        <f t="shared" si="108"/>
        <v>2.3297991940707485E-5</v>
      </c>
      <c r="G1022" s="12">
        <f t="shared" si="109"/>
        <v>3.8993526915471795</v>
      </c>
      <c r="I1022" s="12">
        <f t="shared" si="110"/>
        <v>4.8267993474669611E-3</v>
      </c>
      <c r="J1022" s="12">
        <f t="shared" si="111"/>
        <v>5.4233926257759718E-3</v>
      </c>
    </row>
    <row r="1023" spans="1:10">
      <c r="A1023" s="15">
        <v>41300</v>
      </c>
      <c r="B1023" s="11">
        <v>2.0855999999999999</v>
      </c>
      <c r="C1023" s="11">
        <f t="shared" si="105"/>
        <v>-1.5000000000000568E-3</v>
      </c>
      <c r="D1023" s="12">
        <f t="shared" si="106"/>
        <v>2.2500000000001707E-6</v>
      </c>
      <c r="E1023" s="12">
        <f t="shared" si="107"/>
        <v>2.4010000000001239E-5</v>
      </c>
      <c r="F1023" s="12">
        <f t="shared" si="108"/>
        <v>2.3632786511554622E-5</v>
      </c>
      <c r="G1023" s="12">
        <f t="shared" si="109"/>
        <v>4.3598958768234581</v>
      </c>
      <c r="I1023" s="12">
        <f t="shared" si="110"/>
        <v>4.8613564476959123E-3</v>
      </c>
      <c r="J1023" s="12">
        <f t="shared" si="111"/>
        <v>5.4233926257759718E-3</v>
      </c>
    </row>
    <row r="1024" spans="1:10">
      <c r="A1024" s="15">
        <v>41301</v>
      </c>
      <c r="B1024" s="11">
        <v>2.0880000000000001</v>
      </c>
      <c r="C1024" s="11">
        <f t="shared" si="105"/>
        <v>2.4000000000001798E-3</v>
      </c>
      <c r="D1024" s="12">
        <f t="shared" si="106"/>
        <v>5.760000000000863E-6</v>
      </c>
      <c r="E1024" s="12">
        <f t="shared" si="107"/>
        <v>2.2500000000001707E-6</v>
      </c>
      <c r="F1024" s="12">
        <f t="shared" si="108"/>
        <v>2.2641693418879739E-5</v>
      </c>
      <c r="G1024" s="12">
        <f t="shared" si="109"/>
        <v>4.3017212479141609</v>
      </c>
      <c r="I1024" s="12">
        <f t="shared" si="110"/>
        <v>4.7583288472823875E-3</v>
      </c>
      <c r="J1024" s="12">
        <f t="shared" si="111"/>
        <v>5.4233926257759718E-3</v>
      </c>
    </row>
    <row r="1025" spans="1:10">
      <c r="A1025" s="15">
        <v>41302</v>
      </c>
      <c r="B1025" s="11">
        <v>2.0863999999999998</v>
      </c>
      <c r="C1025" s="11">
        <f t="shared" si="105"/>
        <v>-1.6000000000002679E-3</v>
      </c>
      <c r="D1025" s="12">
        <f t="shared" si="106"/>
        <v>2.5600000000008573E-6</v>
      </c>
      <c r="E1025" s="12">
        <f t="shared" si="107"/>
        <v>5.760000000000863E-6</v>
      </c>
      <c r="F1025" s="12">
        <f t="shared" si="108"/>
        <v>2.1965829163579967E-5</v>
      </c>
      <c r="G1025" s="12">
        <f t="shared" si="109"/>
        <v>4.3858003974612219</v>
      </c>
      <c r="I1025" s="12">
        <f t="shared" si="110"/>
        <v>4.6867717208735442E-3</v>
      </c>
      <c r="J1025" s="12">
        <f t="shared" si="111"/>
        <v>5.4233926257759718E-3</v>
      </c>
    </row>
    <row r="1026" spans="1:10">
      <c r="A1026" s="15">
        <v>41303</v>
      </c>
      <c r="B1026" s="11">
        <v>2.0867</v>
      </c>
      <c r="C1026" s="11">
        <f t="shared" si="105"/>
        <v>3.00000000000189E-4</v>
      </c>
      <c r="D1026" s="12">
        <f t="shared" si="106"/>
        <v>9.0000000000113408E-8</v>
      </c>
      <c r="E1026" s="12">
        <f t="shared" si="107"/>
        <v>2.5600000000008573E-6</v>
      </c>
      <c r="F1026" s="12">
        <f t="shared" si="108"/>
        <v>2.1173408717469437E-5</v>
      </c>
      <c r="G1026" s="12">
        <f t="shared" si="109"/>
        <v>4.4603183867972325</v>
      </c>
      <c r="I1026" s="12">
        <f t="shared" si="110"/>
        <v>4.6014572384701609E-3</v>
      </c>
      <c r="J1026" s="12">
        <f t="shared" si="111"/>
        <v>5.4233926257759718E-3</v>
      </c>
    </row>
    <row r="1027" spans="1:10">
      <c r="A1027" s="15">
        <v>41304</v>
      </c>
      <c r="B1027" s="11">
        <v>2.0886999999999998</v>
      </c>
      <c r="C1027" s="11">
        <f t="shared" si="105"/>
        <v>1.9999999999997797E-3</v>
      </c>
      <c r="D1027" s="12">
        <f t="shared" si="106"/>
        <v>3.9999999999991189E-6</v>
      </c>
      <c r="E1027" s="12">
        <f t="shared" si="107"/>
        <v>9.0000000000113408E-8</v>
      </c>
      <c r="F1027" s="12">
        <f t="shared" si="108"/>
        <v>2.0320304680903691E-5</v>
      </c>
      <c r="G1027" s="12">
        <f t="shared" si="109"/>
        <v>4.3845827089512142</v>
      </c>
      <c r="I1027" s="12">
        <f t="shared" si="110"/>
        <v>4.5078048627800746E-3</v>
      </c>
      <c r="J1027" s="12">
        <f t="shared" si="111"/>
        <v>5.4233926257759718E-3</v>
      </c>
    </row>
    <row r="1028" spans="1:10">
      <c r="A1028" s="15">
        <v>41305</v>
      </c>
      <c r="B1028" s="11">
        <v>2.0905999999999998</v>
      </c>
      <c r="C1028" s="11">
        <f t="shared" si="105"/>
        <v>1.9000000000000128E-3</v>
      </c>
      <c r="D1028" s="12">
        <f t="shared" si="106"/>
        <v>3.6100000000000484E-6</v>
      </c>
      <c r="E1028" s="12">
        <f t="shared" si="107"/>
        <v>3.9999999999991189E-6</v>
      </c>
      <c r="F1028" s="12">
        <f t="shared" si="108"/>
        <v>1.9791211749106589E-5</v>
      </c>
      <c r="G1028" s="12">
        <f t="shared" si="109"/>
        <v>4.4049956480256327</v>
      </c>
      <c r="I1028" s="12">
        <f t="shared" si="110"/>
        <v>4.4487314763993783E-3</v>
      </c>
      <c r="J1028" s="12">
        <f t="shared" si="111"/>
        <v>5.4233926257759718E-3</v>
      </c>
    </row>
    <row r="1029" spans="1:10">
      <c r="A1029" s="15">
        <v>41306</v>
      </c>
      <c r="B1029" s="11">
        <v>2.0933000000000002</v>
      </c>
      <c r="C1029" s="11">
        <f t="shared" si="105"/>
        <v>2.7000000000003688E-3</v>
      </c>
      <c r="D1029" s="12">
        <f t="shared" si="106"/>
        <v>7.290000000001991E-6</v>
      </c>
      <c r="E1029" s="12">
        <f t="shared" si="107"/>
        <v>3.6100000000000484E-6</v>
      </c>
      <c r="F1029" s="12">
        <f t="shared" si="108"/>
        <v>1.9296231355152585E-5</v>
      </c>
      <c r="G1029" s="12">
        <f t="shared" si="109"/>
        <v>4.3199648443607792</v>
      </c>
      <c r="I1029" s="12">
        <f t="shared" si="110"/>
        <v>4.3927475860960396E-3</v>
      </c>
      <c r="J1029" s="12">
        <f t="shared" si="111"/>
        <v>5.4233926257759718E-3</v>
      </c>
    </row>
    <row r="1030" spans="1:10">
      <c r="A1030" s="15">
        <v>41307</v>
      </c>
      <c r="B1030" s="11">
        <v>2.1019999999999999</v>
      </c>
      <c r="C1030" s="11">
        <f t="shared" si="105"/>
        <v>8.699999999999708E-3</v>
      </c>
      <c r="D1030" s="12">
        <f t="shared" si="106"/>
        <v>7.568999999999492E-5</v>
      </c>
      <c r="E1030" s="12">
        <f t="shared" si="107"/>
        <v>7.290000000001991E-6</v>
      </c>
      <c r="F1030" s="12">
        <f t="shared" si="108"/>
        <v>1.9072895426708085E-5</v>
      </c>
      <c r="G1030" s="12">
        <f t="shared" si="109"/>
        <v>2.5304532106700623</v>
      </c>
      <c r="I1030" s="12">
        <f t="shared" si="110"/>
        <v>4.3672526176886176E-3</v>
      </c>
      <c r="J1030" s="12">
        <f t="shared" si="111"/>
        <v>5.4233926257759718E-3</v>
      </c>
    </row>
    <row r="1031" spans="1:10">
      <c r="A1031" s="15">
        <v>41308</v>
      </c>
      <c r="B1031" s="11">
        <v>2.0956999999999999</v>
      </c>
      <c r="C1031" s="11">
        <f t="shared" si="105"/>
        <v>-6.2999999999999723E-3</v>
      </c>
      <c r="D1031" s="12">
        <f t="shared" si="106"/>
        <v>3.9689999999999649E-5</v>
      </c>
      <c r="E1031" s="12">
        <f t="shared" si="107"/>
        <v>7.568999999999492E-5</v>
      </c>
      <c r="F1031" s="12">
        <f t="shared" si="108"/>
        <v>2.2927660485048255E-5</v>
      </c>
      <c r="G1031" s="12">
        <f t="shared" si="109"/>
        <v>3.5570963002359406</v>
      </c>
      <c r="I1031" s="12">
        <f t="shared" si="110"/>
        <v>4.7882836679804443E-3</v>
      </c>
      <c r="J1031" s="12">
        <f t="shared" si="111"/>
        <v>5.4233926257759718E-3</v>
      </c>
    </row>
    <row r="1032" spans="1:10">
      <c r="A1032" s="15">
        <v>41309</v>
      </c>
      <c r="B1032" s="11">
        <v>2.0863</v>
      </c>
      <c r="C1032" s="11">
        <f t="shared" si="105"/>
        <v>-9.3999999999998529E-3</v>
      </c>
      <c r="D1032" s="12">
        <f t="shared" si="106"/>
        <v>8.8359999999997236E-5</v>
      </c>
      <c r="E1032" s="12">
        <f t="shared" si="107"/>
        <v>3.9689999999999649E-5</v>
      </c>
      <c r="F1032" s="12">
        <f t="shared" si="108"/>
        <v>2.4231835771092801E-5</v>
      </c>
      <c r="G1032" s="12">
        <f t="shared" si="109"/>
        <v>2.5717617537358111</v>
      </c>
      <c r="I1032" s="12">
        <f t="shared" si="110"/>
        <v>4.9225842573888765E-3</v>
      </c>
      <c r="J1032" s="12">
        <f t="shared" si="111"/>
        <v>5.4233926257759718E-3</v>
      </c>
    </row>
    <row r="1033" spans="1:10">
      <c r="A1033" s="15">
        <v>41310</v>
      </c>
      <c r="B1033" s="11">
        <v>2.0937000000000001</v>
      </c>
      <c r="C1033" s="11">
        <f t="shared" si="105"/>
        <v>7.4000000000000732E-3</v>
      </c>
      <c r="D1033" s="12">
        <f t="shared" si="106"/>
        <v>5.4760000000001082E-5</v>
      </c>
      <c r="E1033" s="12">
        <f t="shared" si="107"/>
        <v>8.8359999999997236E-5</v>
      </c>
      <c r="F1033" s="12">
        <f t="shared" si="108"/>
        <v>2.8279533590972288E-5</v>
      </c>
      <c r="G1033" s="12">
        <f t="shared" si="109"/>
        <v>3.3495562073127552</v>
      </c>
      <c r="I1033" s="12">
        <f t="shared" si="110"/>
        <v>5.3178504671504527E-3</v>
      </c>
      <c r="J1033" s="12">
        <f t="shared" si="111"/>
        <v>5.4233926257759718E-3</v>
      </c>
    </row>
    <row r="1034" spans="1:10">
      <c r="A1034" s="15">
        <v>41311</v>
      </c>
      <c r="B1034" s="11">
        <v>2.0928</v>
      </c>
      <c r="C1034" s="11">
        <f t="shared" si="105"/>
        <v>-9.0000000000012292E-4</v>
      </c>
      <c r="D1034" s="12">
        <f t="shared" si="106"/>
        <v>8.1000000000022126E-7</v>
      </c>
      <c r="E1034" s="12">
        <f t="shared" si="107"/>
        <v>5.4760000000001082E-5</v>
      </c>
      <c r="F1034" s="12">
        <f t="shared" si="108"/>
        <v>2.9898017545918715E-5</v>
      </c>
      <c r="G1034" s="12">
        <f t="shared" si="109"/>
        <v>4.2763746020550428</v>
      </c>
      <c r="I1034" s="12">
        <f t="shared" si="110"/>
        <v>5.4679079679452102E-3</v>
      </c>
      <c r="J1034" s="12">
        <f t="shared" si="111"/>
        <v>5.4233926257759718E-3</v>
      </c>
    </row>
    <row r="1035" spans="1:10">
      <c r="A1035" s="15">
        <v>41312</v>
      </c>
      <c r="B1035" s="11">
        <v>2.0865999999999998</v>
      </c>
      <c r="C1035" s="11">
        <f t="shared" si="105"/>
        <v>-6.2000000000002053E-3</v>
      </c>
      <c r="D1035" s="12">
        <f t="shared" si="106"/>
        <v>3.8440000000002546E-5</v>
      </c>
      <c r="E1035" s="12">
        <f t="shared" si="107"/>
        <v>8.1000000000022126E-7</v>
      </c>
      <c r="F1035" s="12">
        <f t="shared" si="108"/>
        <v>2.814392560331165E-5</v>
      </c>
      <c r="G1035" s="12">
        <f t="shared" si="109"/>
        <v>3.637232731073984</v>
      </c>
      <c r="I1035" s="12">
        <f t="shared" si="110"/>
        <v>5.3050848818196727E-3</v>
      </c>
      <c r="J1035" s="12">
        <f t="shared" si="111"/>
        <v>5.4233926257759718E-3</v>
      </c>
    </row>
    <row r="1036" spans="1:10">
      <c r="A1036" s="15">
        <v>41313</v>
      </c>
      <c r="B1036" s="11">
        <v>2.0827</v>
      </c>
      <c r="C1036" s="11">
        <f t="shared" si="105"/>
        <v>-3.8999999999997925E-3</v>
      </c>
      <c r="D1036" s="12">
        <f t="shared" si="106"/>
        <v>1.5209999999998382E-5</v>
      </c>
      <c r="E1036" s="12">
        <f t="shared" si="107"/>
        <v>3.8440000000002546E-5</v>
      </c>
      <c r="F1036" s="12">
        <f t="shared" si="108"/>
        <v>2.8809820030514614E-5</v>
      </c>
      <c r="G1036" s="12">
        <f t="shared" si="109"/>
        <v>4.0444860948053778</v>
      </c>
      <c r="I1036" s="12">
        <f t="shared" si="110"/>
        <v>5.3674779953451707E-3</v>
      </c>
      <c r="J1036" s="12">
        <f t="shared" si="111"/>
        <v>5.4233926257759718E-3</v>
      </c>
    </row>
    <row r="1037" spans="1:10">
      <c r="A1037" s="15">
        <v>41314</v>
      </c>
      <c r="B1037" s="11">
        <v>2.0825999999999998</v>
      </c>
      <c r="C1037" s="11">
        <f t="shared" si="105"/>
        <v>-1.0000000000021103E-4</v>
      </c>
      <c r="D1037" s="12">
        <f t="shared" si="106"/>
        <v>1.0000000000042206E-8</v>
      </c>
      <c r="E1037" s="12">
        <f t="shared" si="107"/>
        <v>1.5209999999998382E-5</v>
      </c>
      <c r="F1037" s="12">
        <f t="shared" si="108"/>
        <v>2.8026890504039319E-5</v>
      </c>
      <c r="G1037" s="12">
        <f t="shared" si="109"/>
        <v>4.3220561260663466</v>
      </c>
      <c r="I1037" s="12">
        <f t="shared" si="110"/>
        <v>5.2940429261613773E-3</v>
      </c>
      <c r="J1037" s="12">
        <f t="shared" si="111"/>
        <v>5.4233926257759718E-3</v>
      </c>
    </row>
    <row r="1038" spans="1:10">
      <c r="A1038" s="15">
        <v>41315</v>
      </c>
      <c r="B1038" s="11">
        <v>2.0771000000000002</v>
      </c>
      <c r="C1038" s="11">
        <f t="shared" ref="C1038:C1101" si="112">B1038-B1037</f>
        <v>-5.4999999999996163E-3</v>
      </c>
      <c r="D1038" s="12">
        <f t="shared" ref="D1038:D1101" si="113">C1038^2</f>
        <v>3.0249999999995778E-5</v>
      </c>
      <c r="E1038" s="12">
        <f t="shared" si="107"/>
        <v>1.0000000000042206E-8</v>
      </c>
      <c r="F1038" s="12">
        <f t="shared" si="108"/>
        <v>2.6427766672880532E-5</v>
      </c>
      <c r="G1038" s="12">
        <f t="shared" si="109"/>
        <v>3.7792944013152066</v>
      </c>
      <c r="I1038" s="12">
        <f t="shared" si="110"/>
        <v>5.1407943620495593E-3</v>
      </c>
      <c r="J1038" s="12">
        <f t="shared" si="111"/>
        <v>5.4233926257759718E-3</v>
      </c>
    </row>
    <row r="1039" spans="1:10">
      <c r="A1039" s="15">
        <v>41316</v>
      </c>
      <c r="B1039" s="11">
        <v>2.0863</v>
      </c>
      <c r="C1039" s="11">
        <f t="shared" si="112"/>
        <v>9.1999999999998749E-3</v>
      </c>
      <c r="D1039" s="12">
        <f t="shared" si="113"/>
        <v>8.4639999999997699E-5</v>
      </c>
      <c r="E1039" s="12">
        <f t="shared" ref="E1039:E1102" si="114">D1038</f>
        <v>3.0249999999995778E-5</v>
      </c>
      <c r="F1039" s="12">
        <f t="shared" ref="F1039:F1102" si="115">$B$5+$B$6*E1039+$B$7*F1038</f>
        <v>2.6793875742827897E-5</v>
      </c>
      <c r="G1039" s="12">
        <f t="shared" ref="G1039:G1102" si="116">LN((1/SQRT(2*3.1415927*F1039))*EXP(-0.5*D1039/F1039))</f>
        <v>2.7652646538167804</v>
      </c>
      <c r="I1039" s="12">
        <f t="shared" ref="I1039:I1102" si="117">SQRT(F1039)</f>
        <v>5.1762801066816211E-3</v>
      </c>
      <c r="J1039" s="12">
        <f t="shared" si="111"/>
        <v>5.4233926257759718E-3</v>
      </c>
    </row>
    <row r="1040" spans="1:10">
      <c r="A1040" s="15">
        <v>41317</v>
      </c>
      <c r="B1040" s="11">
        <v>2.0897000000000001</v>
      </c>
      <c r="C1040" s="11">
        <f t="shared" si="112"/>
        <v>3.4000000000000696E-3</v>
      </c>
      <c r="D1040" s="12">
        <f t="shared" si="113"/>
        <v>1.1560000000000474E-5</v>
      </c>
      <c r="E1040" s="12">
        <f t="shared" si="114"/>
        <v>8.4639999999997699E-5</v>
      </c>
      <c r="F1040" s="12">
        <f t="shared" si="115"/>
        <v>3.0343983471480686E-5</v>
      </c>
      <c r="G1040" s="12">
        <f t="shared" si="116"/>
        <v>4.0920350370897509</v>
      </c>
      <c r="I1040" s="12">
        <f t="shared" si="117"/>
        <v>5.5085373259587418E-3</v>
      </c>
      <c r="J1040" s="12">
        <f t="shared" ref="J1040:J1103" si="118">J1039</f>
        <v>5.4233926257759718E-3</v>
      </c>
    </row>
    <row r="1041" spans="1:10">
      <c r="A1041" s="15">
        <v>41318</v>
      </c>
      <c r="B1041" s="11">
        <v>2.0888</v>
      </c>
      <c r="C1041" s="11">
        <f t="shared" si="112"/>
        <v>-9.0000000000012292E-4</v>
      </c>
      <c r="D1041" s="12">
        <f t="shared" si="113"/>
        <v>8.1000000000022126E-7</v>
      </c>
      <c r="E1041" s="12">
        <f t="shared" si="114"/>
        <v>1.1560000000000474E-5</v>
      </c>
      <c r="F1041" s="12">
        <f t="shared" si="115"/>
        <v>2.9178788615427979E-5</v>
      </c>
      <c r="G1041" s="12">
        <f t="shared" si="116"/>
        <v>4.2882157787322388</v>
      </c>
      <c r="I1041" s="12">
        <f t="shared" si="117"/>
        <v>5.4017394064715838E-3</v>
      </c>
      <c r="J1041" s="12">
        <f t="shared" si="118"/>
        <v>5.4233926257759718E-3</v>
      </c>
    </row>
    <row r="1042" spans="1:10">
      <c r="A1042" s="15">
        <v>41319</v>
      </c>
      <c r="B1042" s="11">
        <v>2.0855999999999999</v>
      </c>
      <c r="C1042" s="11">
        <f t="shared" si="112"/>
        <v>-3.2000000000000917E-3</v>
      </c>
      <c r="D1042" s="12">
        <f t="shared" si="113"/>
        <v>1.0240000000000586E-5</v>
      </c>
      <c r="E1042" s="12">
        <f t="shared" si="114"/>
        <v>8.1000000000022126E-7</v>
      </c>
      <c r="F1042" s="12">
        <f t="shared" si="115"/>
        <v>2.7502489077228632E-5</v>
      </c>
      <c r="G1042" s="12">
        <f t="shared" si="116"/>
        <v>4.1455135141161508</v>
      </c>
      <c r="I1042" s="12">
        <f t="shared" si="117"/>
        <v>5.2442815596827593E-3</v>
      </c>
      <c r="J1042" s="12">
        <f t="shared" si="118"/>
        <v>5.4233926257759718E-3</v>
      </c>
    </row>
    <row r="1043" spans="1:10">
      <c r="A1043" s="15">
        <v>41320</v>
      </c>
      <c r="B1043" s="11">
        <v>2.085</v>
      </c>
      <c r="C1043" s="11">
        <f t="shared" si="112"/>
        <v>-5.9999999999993392E-4</v>
      </c>
      <c r="D1043" s="12">
        <f t="shared" si="113"/>
        <v>3.5999999999992069E-7</v>
      </c>
      <c r="E1043" s="12">
        <f t="shared" si="114"/>
        <v>1.0240000000000586E-5</v>
      </c>
      <c r="F1043" s="12">
        <f t="shared" si="115"/>
        <v>2.6566398616115359E-5</v>
      </c>
      <c r="G1043" s="12">
        <f t="shared" si="116"/>
        <v>4.3422176585766463</v>
      </c>
      <c r="I1043" s="12">
        <f t="shared" si="117"/>
        <v>5.154260239463599E-3</v>
      </c>
      <c r="J1043" s="12">
        <f t="shared" si="118"/>
        <v>5.4233926257759718E-3</v>
      </c>
    </row>
    <row r="1044" spans="1:10">
      <c r="A1044" s="15">
        <v>41321</v>
      </c>
      <c r="B1044" s="11">
        <v>2.085</v>
      </c>
      <c r="C1044" s="11">
        <f t="shared" si="112"/>
        <v>0</v>
      </c>
      <c r="D1044" s="12">
        <f t="shared" si="113"/>
        <v>0</v>
      </c>
      <c r="E1044" s="12">
        <f t="shared" si="114"/>
        <v>3.5999999999992069E-7</v>
      </c>
      <c r="F1044" s="12">
        <f t="shared" si="115"/>
        <v>2.5145986682124236E-5</v>
      </c>
      <c r="G1044" s="12">
        <f t="shared" si="116"/>
        <v>4.3764675841166447</v>
      </c>
      <c r="I1044" s="12">
        <f t="shared" si="117"/>
        <v>5.014577418100576E-3</v>
      </c>
      <c r="J1044" s="12">
        <f t="shared" si="118"/>
        <v>5.4233926257759718E-3</v>
      </c>
    </row>
    <row r="1045" spans="1:10">
      <c r="A1045" s="15">
        <v>41322</v>
      </c>
      <c r="B1045" s="11">
        <v>2.0804</v>
      </c>
      <c r="C1045" s="11">
        <f t="shared" si="112"/>
        <v>-4.5999999999999375E-3</v>
      </c>
      <c r="D1045" s="12">
        <f t="shared" si="113"/>
        <v>2.1159999999999425E-5</v>
      </c>
      <c r="E1045" s="12">
        <f t="shared" si="114"/>
        <v>0</v>
      </c>
      <c r="F1045" s="12">
        <f t="shared" si="115"/>
        <v>2.3857871142846165E-5</v>
      </c>
      <c r="G1045" s="12">
        <f t="shared" si="116"/>
        <v>3.9593001270428263</v>
      </c>
      <c r="I1045" s="12">
        <f t="shared" si="117"/>
        <v>4.8844519797871045E-3</v>
      </c>
      <c r="J1045" s="12">
        <f t="shared" si="118"/>
        <v>5.4233926257759718E-3</v>
      </c>
    </row>
    <row r="1046" spans="1:10">
      <c r="A1046" s="15">
        <v>41323</v>
      </c>
      <c r="B1046" s="11">
        <v>2.0840999999999998</v>
      </c>
      <c r="C1046" s="11">
        <f t="shared" si="112"/>
        <v>3.6999999999998145E-3</v>
      </c>
      <c r="D1046" s="12">
        <f t="shared" si="113"/>
        <v>1.3689999999998627E-5</v>
      </c>
      <c r="E1046" s="12">
        <f t="shared" si="114"/>
        <v>2.1159999999999425E-5</v>
      </c>
      <c r="F1046" s="12">
        <f t="shared" si="115"/>
        <v>2.3963194343506194E-5</v>
      </c>
      <c r="G1046" s="12">
        <f t="shared" si="116"/>
        <v>4.1149108044970655</v>
      </c>
      <c r="I1046" s="12">
        <f t="shared" si="117"/>
        <v>4.8952215826769466E-3</v>
      </c>
      <c r="J1046" s="12">
        <f t="shared" si="118"/>
        <v>5.4233926257759718E-3</v>
      </c>
    </row>
    <row r="1047" spans="1:10">
      <c r="A1047" s="15">
        <v>41324</v>
      </c>
      <c r="B1047" s="11">
        <v>2.0859999999999999</v>
      </c>
      <c r="C1047" s="11">
        <f t="shared" si="112"/>
        <v>1.9000000000000128E-3</v>
      </c>
      <c r="D1047" s="12">
        <f t="shared" si="113"/>
        <v>3.6100000000000484E-6</v>
      </c>
      <c r="E1047" s="12">
        <f t="shared" si="114"/>
        <v>1.3689999999998627E-5</v>
      </c>
      <c r="F1047" s="12">
        <f t="shared" si="115"/>
        <v>2.3614392254766071E-5</v>
      </c>
      <c r="G1047" s="12">
        <f t="shared" si="116"/>
        <v>4.3314521179110415</v>
      </c>
      <c r="I1047" s="12">
        <f t="shared" si="117"/>
        <v>4.8594641942055787E-3</v>
      </c>
      <c r="J1047" s="12">
        <f t="shared" si="118"/>
        <v>5.4233926257759718E-3</v>
      </c>
    </row>
    <row r="1048" spans="1:10">
      <c r="A1048" s="15">
        <v>41325</v>
      </c>
      <c r="B1048" s="11">
        <v>2.0790999999999999</v>
      </c>
      <c r="C1048" s="11">
        <f t="shared" si="112"/>
        <v>-6.8999999999999062E-3</v>
      </c>
      <c r="D1048" s="12">
        <f t="shared" si="113"/>
        <v>4.7609999999998706E-5</v>
      </c>
      <c r="E1048" s="12">
        <f t="shared" si="114"/>
        <v>3.6100000000000484E-6</v>
      </c>
      <c r="F1048" s="12">
        <f t="shared" si="115"/>
        <v>2.2705893450454137E-5</v>
      </c>
      <c r="G1048" s="12">
        <f t="shared" si="116"/>
        <v>3.3790982579693907</v>
      </c>
      <c r="I1048" s="12">
        <f t="shared" si="117"/>
        <v>4.7650701411893334E-3</v>
      </c>
      <c r="J1048" s="12">
        <f t="shared" si="118"/>
        <v>5.4233926257759718E-3</v>
      </c>
    </row>
    <row r="1049" spans="1:10">
      <c r="A1049" s="15">
        <v>41326</v>
      </c>
      <c r="B1049" s="11">
        <v>2.0764999999999998</v>
      </c>
      <c r="C1049" s="11">
        <f t="shared" si="112"/>
        <v>-2.6000000000001577E-3</v>
      </c>
      <c r="D1049" s="12">
        <f t="shared" si="113"/>
        <v>6.7600000000008204E-6</v>
      </c>
      <c r="E1049" s="12">
        <f t="shared" si="114"/>
        <v>4.7609999999998706E-5</v>
      </c>
      <c r="F1049" s="12">
        <f t="shared" si="115"/>
        <v>2.4503459378027424E-5</v>
      </c>
      <c r="G1049" s="12">
        <f t="shared" si="116"/>
        <v>4.2514698783373488</v>
      </c>
      <c r="I1049" s="12">
        <f t="shared" si="117"/>
        <v>4.9500969059228959E-3</v>
      </c>
      <c r="J1049" s="12">
        <f t="shared" si="118"/>
        <v>5.4233926257759718E-3</v>
      </c>
    </row>
    <row r="1050" spans="1:10">
      <c r="A1050" s="15">
        <v>41327</v>
      </c>
      <c r="B1050" s="11">
        <v>2.0762999999999998</v>
      </c>
      <c r="C1050" s="11">
        <f t="shared" si="112"/>
        <v>-1.9999999999997797E-4</v>
      </c>
      <c r="D1050" s="12">
        <f t="shared" si="113"/>
        <v>3.9999999999991186E-8</v>
      </c>
      <c r="E1050" s="12">
        <f t="shared" si="114"/>
        <v>6.7600000000008204E-6</v>
      </c>
      <c r="F1050" s="12">
        <f t="shared" si="115"/>
        <v>2.3685493153563136E-5</v>
      </c>
      <c r="G1050" s="12">
        <f t="shared" si="116"/>
        <v>4.4055409609232123</v>
      </c>
      <c r="I1050" s="12">
        <f t="shared" si="117"/>
        <v>4.8667744095615461E-3</v>
      </c>
      <c r="J1050" s="12">
        <f t="shared" si="118"/>
        <v>5.4233926257759718E-3</v>
      </c>
    </row>
    <row r="1051" spans="1:10">
      <c r="A1051" s="15">
        <v>41328</v>
      </c>
      <c r="B1051" s="11">
        <v>2.0762999999999998</v>
      </c>
      <c r="C1051" s="11">
        <f t="shared" si="112"/>
        <v>0</v>
      </c>
      <c r="D1051" s="12">
        <f t="shared" si="113"/>
        <v>0</v>
      </c>
      <c r="E1051" s="12">
        <f t="shared" si="114"/>
        <v>3.9999999999991186E-8</v>
      </c>
      <c r="F1051" s="12">
        <f t="shared" si="115"/>
        <v>2.2557716547334025E-5</v>
      </c>
      <c r="G1051" s="12">
        <f t="shared" si="116"/>
        <v>4.4307781360742542</v>
      </c>
      <c r="I1051" s="12">
        <f t="shared" si="117"/>
        <v>4.749496451976149E-3</v>
      </c>
      <c r="J1051" s="12">
        <f t="shared" si="118"/>
        <v>5.4233926257759718E-3</v>
      </c>
    </row>
    <row r="1052" spans="1:10">
      <c r="A1052" s="15">
        <v>41329</v>
      </c>
      <c r="B1052" s="11">
        <v>2.0762999999999998</v>
      </c>
      <c r="C1052" s="11">
        <f t="shared" si="112"/>
        <v>0</v>
      </c>
      <c r="D1052" s="12">
        <f t="shared" si="113"/>
        <v>0</v>
      </c>
      <c r="E1052" s="12">
        <f t="shared" si="114"/>
        <v>0</v>
      </c>
      <c r="F1052" s="12">
        <f t="shared" si="115"/>
        <v>2.1549550476863663E-5</v>
      </c>
      <c r="G1052" s="12">
        <f t="shared" si="116"/>
        <v>4.4536392599960983</v>
      </c>
      <c r="I1052" s="12">
        <f t="shared" si="117"/>
        <v>4.6421493380613748E-3</v>
      </c>
      <c r="J1052" s="12">
        <f t="shared" si="118"/>
        <v>5.4233926257759718E-3</v>
      </c>
    </row>
    <row r="1053" spans="1:10">
      <c r="A1053" s="15">
        <v>41330</v>
      </c>
      <c r="B1053" s="11">
        <v>2.0709</v>
      </c>
      <c r="C1053" s="11">
        <f t="shared" si="112"/>
        <v>-5.3999999999998494E-3</v>
      </c>
      <c r="D1053" s="12">
        <f t="shared" si="113"/>
        <v>2.9159999999998372E-5</v>
      </c>
      <c r="E1053" s="12">
        <f t="shared" si="114"/>
        <v>0</v>
      </c>
      <c r="F1053" s="12">
        <f t="shared" si="115"/>
        <v>2.0650428494220324E-5</v>
      </c>
      <c r="G1053" s="12">
        <f t="shared" si="116"/>
        <v>3.7689100853984598</v>
      </c>
      <c r="I1053" s="12">
        <f t="shared" si="117"/>
        <v>4.544274253851799E-3</v>
      </c>
      <c r="J1053" s="12">
        <f t="shared" si="118"/>
        <v>5.4233926257759718E-3</v>
      </c>
    </row>
    <row r="1054" spans="1:10">
      <c r="A1054" s="15">
        <v>41331</v>
      </c>
      <c r="B1054" s="11">
        <v>2.0688</v>
      </c>
      <c r="C1054" s="11">
        <f t="shared" si="112"/>
        <v>-2.0999999999999908E-3</v>
      </c>
      <c r="D1054" s="12">
        <f t="shared" si="113"/>
        <v>4.4099999999999612E-6</v>
      </c>
      <c r="E1054" s="12">
        <f t="shared" si="114"/>
        <v>2.9159999999998372E-5</v>
      </c>
      <c r="F1054" s="12">
        <f t="shared" si="115"/>
        <v>2.1576816971082796E-5</v>
      </c>
      <c r="G1054" s="12">
        <f t="shared" si="116"/>
        <v>4.3508139975177063</v>
      </c>
      <c r="I1054" s="12">
        <f t="shared" si="117"/>
        <v>4.6450852490651662E-3</v>
      </c>
      <c r="J1054" s="12">
        <f t="shared" si="118"/>
        <v>5.4233926257759718E-3</v>
      </c>
    </row>
    <row r="1055" spans="1:10">
      <c r="A1055" s="15">
        <v>41332</v>
      </c>
      <c r="B1055" s="11">
        <v>2.0724999999999998</v>
      </c>
      <c r="C1055" s="11">
        <f t="shared" si="112"/>
        <v>3.6999999999998145E-3</v>
      </c>
      <c r="D1055" s="12">
        <f t="shared" si="113"/>
        <v>1.3689999999998627E-5</v>
      </c>
      <c r="E1055" s="12">
        <f t="shared" si="114"/>
        <v>4.4099999999999612E-6</v>
      </c>
      <c r="F1055" s="12">
        <f t="shared" si="115"/>
        <v>2.0936118577456523E-5</v>
      </c>
      <c r="G1055" s="12">
        <f t="shared" si="116"/>
        <v>4.1411318793144529</v>
      </c>
      <c r="I1055" s="12">
        <f t="shared" si="117"/>
        <v>4.5756003515884693E-3</v>
      </c>
      <c r="J1055" s="12">
        <f t="shared" si="118"/>
        <v>5.4233926257759718E-3</v>
      </c>
    </row>
    <row r="1056" spans="1:10">
      <c r="A1056" s="15">
        <v>41333</v>
      </c>
      <c r="B1056" s="11">
        <v>2.0688</v>
      </c>
      <c r="C1056" s="11">
        <f t="shared" si="112"/>
        <v>-3.6999999999998145E-3</v>
      </c>
      <c r="D1056" s="12">
        <f t="shared" si="113"/>
        <v>1.3689999999998627E-5</v>
      </c>
      <c r="E1056" s="12">
        <f t="shared" si="114"/>
        <v>1.3689999999998627E-5</v>
      </c>
      <c r="F1056" s="12">
        <f t="shared" si="115"/>
        <v>2.0914727542669227E-5</v>
      </c>
      <c r="G1056" s="12">
        <f t="shared" si="116"/>
        <v>4.1413086121024119</v>
      </c>
      <c r="I1056" s="12">
        <f t="shared" si="117"/>
        <v>4.57326224293657E-3</v>
      </c>
      <c r="J1056" s="12">
        <f t="shared" si="118"/>
        <v>5.4233926257759718E-3</v>
      </c>
    </row>
    <row r="1057" spans="1:10">
      <c r="A1057" s="15">
        <v>41334</v>
      </c>
      <c r="B1057" s="11">
        <v>2.0665</v>
      </c>
      <c r="C1057" s="11">
        <f t="shared" si="112"/>
        <v>-2.2999999999999687E-3</v>
      </c>
      <c r="D1057" s="12">
        <f t="shared" si="113"/>
        <v>5.2899999999998562E-6</v>
      </c>
      <c r="E1057" s="12">
        <f t="shared" si="114"/>
        <v>1.3689999999998627E-5</v>
      </c>
      <c r="F1057" s="12">
        <f t="shared" si="115"/>
        <v>2.0895650180147225E-5</v>
      </c>
      <c r="G1057" s="12">
        <f t="shared" si="116"/>
        <v>4.3424648636967769</v>
      </c>
      <c r="I1057" s="12">
        <f t="shared" si="117"/>
        <v>4.5711760171915526E-3</v>
      </c>
      <c r="J1057" s="12">
        <f t="shared" si="118"/>
        <v>5.4233926257759718E-3</v>
      </c>
    </row>
    <row r="1058" spans="1:10">
      <c r="A1058" s="15">
        <v>41335</v>
      </c>
      <c r="B1058" s="11">
        <v>2.0691000000000002</v>
      </c>
      <c r="C1058" s="11">
        <f t="shared" si="112"/>
        <v>2.6000000000001577E-3</v>
      </c>
      <c r="D1058" s="12">
        <f t="shared" si="113"/>
        <v>6.7600000000008204E-6</v>
      </c>
      <c r="E1058" s="12">
        <f t="shared" si="114"/>
        <v>5.2899999999998562E-6</v>
      </c>
      <c r="F1058" s="12">
        <f t="shared" si="115"/>
        <v>2.0380783372771363E-5</v>
      </c>
      <c r="G1058" s="12">
        <f t="shared" si="116"/>
        <v>4.3156780089705951</v>
      </c>
      <c r="I1058" s="12">
        <f t="shared" si="117"/>
        <v>4.514508098649438E-3</v>
      </c>
      <c r="J1058" s="12">
        <f t="shared" si="118"/>
        <v>5.4233926257759718E-3</v>
      </c>
    </row>
    <row r="1059" spans="1:10">
      <c r="A1059" s="15">
        <v>41336</v>
      </c>
      <c r="B1059" s="11">
        <v>2.0636000000000001</v>
      </c>
      <c r="C1059" s="11">
        <f t="shared" si="112"/>
        <v>-5.5000000000000604E-3</v>
      </c>
      <c r="D1059" s="12">
        <f t="shared" si="113"/>
        <v>3.0250000000000664E-5</v>
      </c>
      <c r="E1059" s="12">
        <f t="shared" si="114"/>
        <v>6.7600000000008204E-6</v>
      </c>
      <c r="F1059" s="12">
        <f t="shared" si="115"/>
        <v>2.0008729243116789E-5</v>
      </c>
      <c r="G1059" s="12">
        <f t="shared" si="116"/>
        <v>3.734812348650244</v>
      </c>
      <c r="I1059" s="12">
        <f t="shared" si="117"/>
        <v>4.473111807580578E-3</v>
      </c>
      <c r="J1059" s="12">
        <f t="shared" si="118"/>
        <v>5.4233926257759718E-3</v>
      </c>
    </row>
    <row r="1060" spans="1:10">
      <c r="A1060" s="15">
        <v>41337</v>
      </c>
      <c r="B1060" s="11">
        <v>2.0661</v>
      </c>
      <c r="C1060" s="11">
        <f t="shared" si="112"/>
        <v>2.4999999999999467E-3</v>
      </c>
      <c r="D1060" s="12">
        <f t="shared" si="113"/>
        <v>6.2499999999997335E-6</v>
      </c>
      <c r="E1060" s="12">
        <f t="shared" si="114"/>
        <v>3.0250000000000664E-5</v>
      </c>
      <c r="F1060" s="12">
        <f t="shared" si="115"/>
        <v>2.106912678572605E-5</v>
      </c>
      <c r="G1060" s="12">
        <f t="shared" si="116"/>
        <v>4.3165910596951385</v>
      </c>
      <c r="I1060" s="12">
        <f t="shared" si="117"/>
        <v>4.5901118489341903E-3</v>
      </c>
      <c r="J1060" s="12">
        <f t="shared" si="118"/>
        <v>5.4233926257759718E-3</v>
      </c>
    </row>
    <row r="1061" spans="1:10">
      <c r="A1061" s="15">
        <v>41338</v>
      </c>
      <c r="B1061" s="11">
        <v>2.0663999999999998</v>
      </c>
      <c r="C1061" s="11">
        <f t="shared" si="112"/>
        <v>2.9999999999974492E-4</v>
      </c>
      <c r="D1061" s="12">
        <f t="shared" si="113"/>
        <v>8.999999999984695E-8</v>
      </c>
      <c r="E1061" s="12">
        <f t="shared" si="114"/>
        <v>6.2499999999997335E-6</v>
      </c>
      <c r="F1061" s="12">
        <f t="shared" si="115"/>
        <v>2.0592394073852135E-5</v>
      </c>
      <c r="G1061" s="12">
        <f t="shared" si="116"/>
        <v>4.4741705715751916</v>
      </c>
      <c r="I1061" s="12">
        <f t="shared" si="117"/>
        <v>4.5378843169314193E-3</v>
      </c>
      <c r="J1061" s="12">
        <f t="shared" si="118"/>
        <v>5.4233926257759718E-3</v>
      </c>
    </row>
    <row r="1062" spans="1:10">
      <c r="A1062" s="15">
        <v>41339</v>
      </c>
      <c r="B1062" s="11">
        <v>2.0613999999999999</v>
      </c>
      <c r="C1062" s="11">
        <f t="shared" si="112"/>
        <v>-4.9999999999998934E-3</v>
      </c>
      <c r="D1062" s="12">
        <f t="shared" si="113"/>
        <v>2.4999999999998934E-5</v>
      </c>
      <c r="E1062" s="12">
        <f t="shared" si="114"/>
        <v>8.999999999984695E-8</v>
      </c>
      <c r="F1062" s="12">
        <f t="shared" si="115"/>
        <v>1.9802133068492366E-5</v>
      </c>
      <c r="G1062" s="12">
        <f t="shared" si="116"/>
        <v>3.8646767802625455</v>
      </c>
      <c r="I1062" s="12">
        <f t="shared" si="117"/>
        <v>4.4499587715497281E-3</v>
      </c>
      <c r="J1062" s="12">
        <f t="shared" si="118"/>
        <v>5.4233926257759718E-3</v>
      </c>
    </row>
    <row r="1063" spans="1:10">
      <c r="A1063" s="15">
        <v>41340</v>
      </c>
      <c r="B1063" s="11">
        <v>2.0680000000000001</v>
      </c>
      <c r="C1063" s="11">
        <f t="shared" si="112"/>
        <v>6.6000000000001613E-3</v>
      </c>
      <c r="D1063" s="12">
        <f t="shared" si="113"/>
        <v>4.3560000000002131E-5</v>
      </c>
      <c r="E1063" s="12">
        <f t="shared" si="114"/>
        <v>2.4999999999998934E-5</v>
      </c>
      <c r="F1063" s="12">
        <f t="shared" si="115"/>
        <v>2.0573718183899355E-5</v>
      </c>
      <c r="G1063" s="12">
        <f t="shared" si="116"/>
        <v>3.4181773423269561</v>
      </c>
      <c r="I1063" s="12">
        <f t="shared" si="117"/>
        <v>4.5358260751377309E-3</v>
      </c>
      <c r="J1063" s="12">
        <f t="shared" si="118"/>
        <v>5.4233926257759718E-3</v>
      </c>
    </row>
    <row r="1064" spans="1:10">
      <c r="A1064" s="15">
        <v>41341</v>
      </c>
      <c r="B1064" s="11">
        <v>2.0577000000000001</v>
      </c>
      <c r="C1064" s="11">
        <f t="shared" si="112"/>
        <v>-1.0299999999999976E-2</v>
      </c>
      <c r="D1064" s="12">
        <f t="shared" si="113"/>
        <v>1.0608999999999951E-4</v>
      </c>
      <c r="E1064" s="12">
        <f t="shared" si="114"/>
        <v>4.3560000000002131E-5</v>
      </c>
      <c r="F1064" s="12">
        <f t="shared" si="115"/>
        <v>2.2361865772361438E-5</v>
      </c>
      <c r="G1064" s="12">
        <f t="shared" si="116"/>
        <v>2.0630194932390991</v>
      </c>
      <c r="I1064" s="12">
        <f t="shared" si="117"/>
        <v>4.7288334473061574E-3</v>
      </c>
      <c r="J1064" s="12">
        <f t="shared" si="118"/>
        <v>5.4233926257759718E-3</v>
      </c>
    </row>
    <row r="1065" spans="1:10">
      <c r="A1065" s="15">
        <v>41342</v>
      </c>
      <c r="B1065" s="11">
        <v>2.0514000000000001</v>
      </c>
      <c r="C1065" s="11">
        <f t="shared" si="112"/>
        <v>-6.2999999999999723E-3</v>
      </c>
      <c r="D1065" s="12">
        <f t="shared" si="113"/>
        <v>3.9689999999999649E-5</v>
      </c>
      <c r="E1065" s="12">
        <f t="shared" si="114"/>
        <v>1.0608999999999951E-4</v>
      </c>
      <c r="F1065" s="12">
        <f t="shared" si="115"/>
        <v>2.7662646277312696E-5</v>
      </c>
      <c r="G1065" s="12">
        <f t="shared" si="116"/>
        <v>3.6113818368969217</v>
      </c>
      <c r="I1065" s="12">
        <f t="shared" si="117"/>
        <v>5.2595290927337493E-3</v>
      </c>
      <c r="J1065" s="12">
        <f t="shared" si="118"/>
        <v>5.4233926257759718E-3</v>
      </c>
    </row>
    <row r="1066" spans="1:10">
      <c r="A1066" s="15">
        <v>41344</v>
      </c>
      <c r="B1066" s="11">
        <v>2.0638000000000001</v>
      </c>
      <c r="C1066" s="11">
        <f t="shared" si="112"/>
        <v>1.2399999999999967E-2</v>
      </c>
      <c r="D1066" s="12">
        <f t="shared" si="113"/>
        <v>1.5375999999999918E-4</v>
      </c>
      <c r="E1066" s="12">
        <f t="shared" si="114"/>
        <v>3.9689999999999649E-5</v>
      </c>
      <c r="F1066" s="12">
        <f t="shared" si="115"/>
        <v>2.8454681528382139E-5</v>
      </c>
      <c r="G1066" s="12">
        <f t="shared" si="116"/>
        <v>1.6128202739065736</v>
      </c>
      <c r="I1066" s="12">
        <f t="shared" si="117"/>
        <v>5.3342929736172294E-3</v>
      </c>
      <c r="J1066" s="12">
        <f t="shared" si="118"/>
        <v>5.4233926257759718E-3</v>
      </c>
    </row>
    <row r="1067" spans="1:10">
      <c r="A1067" s="15">
        <v>41345</v>
      </c>
      <c r="B1067" s="11">
        <v>2.0621</v>
      </c>
      <c r="C1067" s="11">
        <f t="shared" si="112"/>
        <v>-1.7000000000000348E-3</v>
      </c>
      <c r="D1067" s="12">
        <f t="shared" si="113"/>
        <v>2.8900000000001184E-6</v>
      </c>
      <c r="E1067" s="12">
        <f t="shared" si="114"/>
        <v>1.5375999999999918E-4</v>
      </c>
      <c r="F1067" s="12">
        <f t="shared" si="115"/>
        <v>3.592177299862935E-5</v>
      </c>
      <c r="G1067" s="12">
        <f t="shared" si="116"/>
        <v>4.1579186379362199</v>
      </c>
      <c r="I1067" s="12">
        <f t="shared" si="117"/>
        <v>5.9934775380099115E-3</v>
      </c>
      <c r="J1067" s="12">
        <f t="shared" si="118"/>
        <v>5.4233926257759718E-3</v>
      </c>
    </row>
    <row r="1068" spans="1:10">
      <c r="A1068" s="15">
        <v>41346</v>
      </c>
      <c r="B1068" s="11">
        <v>2.0554999999999999</v>
      </c>
      <c r="C1068" s="11">
        <f t="shared" si="112"/>
        <v>-6.6000000000001613E-3</v>
      </c>
      <c r="D1068" s="12">
        <f t="shared" si="113"/>
        <v>4.3560000000002131E-5</v>
      </c>
      <c r="E1068" s="12">
        <f t="shared" si="114"/>
        <v>2.8900000000001184E-6</v>
      </c>
      <c r="F1068" s="12">
        <f t="shared" si="115"/>
        <v>3.3639424466683625E-5</v>
      </c>
      <c r="G1068" s="12">
        <f t="shared" si="116"/>
        <v>3.5835127785505549</v>
      </c>
      <c r="I1068" s="12">
        <f t="shared" si="117"/>
        <v>5.7999503848467212E-3</v>
      </c>
      <c r="J1068" s="12">
        <f t="shared" si="118"/>
        <v>5.4233926257759718E-3</v>
      </c>
    </row>
    <row r="1069" spans="1:10">
      <c r="A1069" s="15">
        <v>41347</v>
      </c>
      <c r="B1069" s="11">
        <v>2.0575999999999999</v>
      </c>
      <c r="C1069" s="11">
        <f t="shared" si="112"/>
        <v>2.0999999999999908E-3</v>
      </c>
      <c r="D1069" s="12">
        <f t="shared" si="113"/>
        <v>4.4099999999999612E-6</v>
      </c>
      <c r="E1069" s="12">
        <f t="shared" si="114"/>
        <v>4.3560000000002131E-5</v>
      </c>
      <c r="F1069" s="12">
        <f t="shared" si="115"/>
        <v>3.4014374304146871E-5</v>
      </c>
      <c r="G1069" s="12">
        <f t="shared" si="116"/>
        <v>4.1605995992805962</v>
      </c>
      <c r="I1069" s="12">
        <f t="shared" si="117"/>
        <v>5.8321843510083654E-3</v>
      </c>
      <c r="J1069" s="12">
        <f t="shared" si="118"/>
        <v>5.4233926257759718E-3</v>
      </c>
    </row>
    <row r="1070" spans="1:10">
      <c r="A1070" s="15">
        <v>41348</v>
      </c>
      <c r="B1070" s="11">
        <v>2.0503</v>
      </c>
      <c r="C1070" s="11">
        <f t="shared" si="112"/>
        <v>-7.2999999999998622E-3</v>
      </c>
      <c r="D1070" s="12">
        <f t="shared" si="113"/>
        <v>5.3289999999997987E-5</v>
      </c>
      <c r="E1070" s="12">
        <f t="shared" si="114"/>
        <v>4.4099999999999612E-6</v>
      </c>
      <c r="F1070" s="12">
        <f t="shared" si="115"/>
        <v>3.2028419276811877E-5</v>
      </c>
      <c r="G1070" s="12">
        <f t="shared" si="116"/>
        <v>3.4235875107153477</v>
      </c>
      <c r="I1070" s="12">
        <f t="shared" si="117"/>
        <v>5.6593656249452444E-3</v>
      </c>
      <c r="J1070" s="12">
        <f t="shared" si="118"/>
        <v>5.4233926257759718E-3</v>
      </c>
    </row>
    <row r="1071" spans="1:10">
      <c r="A1071" s="15">
        <v>41349</v>
      </c>
      <c r="B1071" s="11">
        <v>2.0501</v>
      </c>
      <c r="C1071" s="11">
        <f t="shared" si="112"/>
        <v>-1.9999999999997797E-4</v>
      </c>
      <c r="D1071" s="12">
        <f t="shared" si="113"/>
        <v>3.9999999999991186E-8</v>
      </c>
      <c r="E1071" s="12">
        <f t="shared" si="114"/>
        <v>5.3289999999997987E-5</v>
      </c>
      <c r="F1071" s="12">
        <f t="shared" si="115"/>
        <v>3.3154296359462451E-5</v>
      </c>
      <c r="G1071" s="12">
        <f t="shared" si="116"/>
        <v>4.2376273424038882</v>
      </c>
      <c r="I1071" s="12">
        <f t="shared" si="117"/>
        <v>5.7579767591978389E-3</v>
      </c>
      <c r="J1071" s="12">
        <f t="shared" si="118"/>
        <v>5.4233926257759718E-3</v>
      </c>
    </row>
    <row r="1072" spans="1:10">
      <c r="A1072" s="15">
        <v>41350</v>
      </c>
      <c r="B1072" s="11">
        <v>2.0501</v>
      </c>
      <c r="C1072" s="11">
        <f t="shared" si="112"/>
        <v>0</v>
      </c>
      <c r="D1072" s="12">
        <f t="shared" si="113"/>
        <v>0</v>
      </c>
      <c r="E1072" s="12">
        <f t="shared" si="114"/>
        <v>3.9999999999991186E-8</v>
      </c>
      <c r="F1072" s="12">
        <f t="shared" si="115"/>
        <v>3.100236605609574E-5</v>
      </c>
      <c r="G1072" s="12">
        <f t="shared" si="116"/>
        <v>4.2717849754096635</v>
      </c>
      <c r="I1072" s="12">
        <f t="shared" si="117"/>
        <v>5.5679768368857045E-3</v>
      </c>
      <c r="J1072" s="12">
        <f t="shared" si="118"/>
        <v>5.4233926257759718E-3</v>
      </c>
    </row>
    <row r="1073" spans="1:10">
      <c r="A1073" s="15">
        <v>41351</v>
      </c>
      <c r="B1073" s="11">
        <v>2.0508999999999999</v>
      </c>
      <c r="C1073" s="11">
        <f t="shared" si="112"/>
        <v>7.9999999999991189E-4</v>
      </c>
      <c r="D1073" s="12">
        <f t="shared" si="113"/>
        <v>6.3999999999985898E-7</v>
      </c>
      <c r="E1073" s="12">
        <f t="shared" si="114"/>
        <v>0</v>
      </c>
      <c r="F1073" s="12">
        <f t="shared" si="115"/>
        <v>2.9080819611425474E-5</v>
      </c>
      <c r="G1073" s="12">
        <f t="shared" si="116"/>
        <v>4.2927735034929171</v>
      </c>
      <c r="I1073" s="12">
        <f t="shared" si="117"/>
        <v>5.3926634988125744E-3</v>
      </c>
      <c r="J1073" s="12">
        <f t="shared" si="118"/>
        <v>5.4233926257759718E-3</v>
      </c>
    </row>
    <row r="1074" spans="1:10">
      <c r="A1074" s="15">
        <v>41352</v>
      </c>
      <c r="B1074" s="11">
        <v>2.0411999999999999</v>
      </c>
      <c r="C1074" s="11">
        <f t="shared" si="112"/>
        <v>-9.7000000000000419E-3</v>
      </c>
      <c r="D1074" s="12">
        <f t="shared" si="113"/>
        <v>9.4090000000000815E-5</v>
      </c>
      <c r="E1074" s="12">
        <f t="shared" si="114"/>
        <v>6.3999999999985898E-7</v>
      </c>
      <c r="F1074" s="12">
        <f t="shared" si="115"/>
        <v>2.7405040889109992E-5</v>
      </c>
      <c r="G1074" s="12">
        <f t="shared" si="116"/>
        <v>2.6167982701857713</v>
      </c>
      <c r="I1074" s="12">
        <f t="shared" si="117"/>
        <v>5.23498241535824E-3</v>
      </c>
      <c r="J1074" s="12">
        <f t="shared" si="118"/>
        <v>5.4233926257759718E-3</v>
      </c>
    </row>
    <row r="1075" spans="1:10">
      <c r="A1075" s="15">
        <v>41353</v>
      </c>
      <c r="B1075" s="11">
        <v>2.0459999999999998</v>
      </c>
      <c r="C1075" s="11">
        <f t="shared" si="112"/>
        <v>4.7999999999999154E-3</v>
      </c>
      <c r="D1075" s="12">
        <f t="shared" si="113"/>
        <v>2.303999999999919E-5</v>
      </c>
      <c r="E1075" s="12">
        <f t="shared" si="114"/>
        <v>9.4090000000000815E-5</v>
      </c>
      <c r="F1075" s="12">
        <f t="shared" si="115"/>
        <v>3.1449128959833253E-5</v>
      </c>
      <c r="G1075" s="12">
        <f t="shared" si="116"/>
        <v>3.8983252423346455</v>
      </c>
      <c r="I1075" s="12">
        <f t="shared" si="117"/>
        <v>5.6079522965012153E-3</v>
      </c>
      <c r="J1075" s="12">
        <f t="shared" si="118"/>
        <v>5.4233926257759718E-3</v>
      </c>
    </row>
    <row r="1076" spans="1:10">
      <c r="A1076" s="15">
        <v>41354</v>
      </c>
      <c r="B1076" s="11">
        <v>2.0444</v>
      </c>
      <c r="C1076" s="11">
        <f t="shared" si="112"/>
        <v>-1.5999999999998238E-3</v>
      </c>
      <c r="D1076" s="12">
        <f t="shared" si="113"/>
        <v>2.5599999999994359E-6</v>
      </c>
      <c r="E1076" s="12">
        <f t="shared" si="114"/>
        <v>2.303999999999919E-5</v>
      </c>
      <c r="F1076" s="12">
        <f t="shared" si="115"/>
        <v>3.0844799560897388E-5</v>
      </c>
      <c r="G1076" s="12">
        <f t="shared" si="116"/>
        <v>4.2328345749007115</v>
      </c>
      <c r="I1076" s="12">
        <f t="shared" si="117"/>
        <v>5.5538094638632853E-3</v>
      </c>
      <c r="J1076" s="12">
        <f t="shared" si="118"/>
        <v>5.4233926257759718E-3</v>
      </c>
    </row>
    <row r="1077" spans="1:10">
      <c r="A1077" s="15">
        <v>41355</v>
      </c>
      <c r="B1077" s="11">
        <v>2.0478000000000001</v>
      </c>
      <c r="C1077" s="11">
        <f t="shared" si="112"/>
        <v>3.4000000000000696E-3</v>
      </c>
      <c r="D1077" s="12">
        <f t="shared" si="113"/>
        <v>1.1560000000000474E-5</v>
      </c>
      <c r="E1077" s="12">
        <f t="shared" si="114"/>
        <v>2.5599999999994359E-6</v>
      </c>
      <c r="F1077" s="12">
        <f t="shared" si="115"/>
        <v>2.909202222897437E-5</v>
      </c>
      <c r="G1077" s="12">
        <f t="shared" si="116"/>
        <v>4.1049048475105154</v>
      </c>
      <c r="I1077" s="12">
        <f t="shared" si="117"/>
        <v>5.3937020893792759E-3</v>
      </c>
      <c r="J1077" s="12">
        <f t="shared" si="118"/>
        <v>5.4233926257759718E-3</v>
      </c>
    </row>
    <row r="1078" spans="1:10">
      <c r="A1078" s="15">
        <v>41356</v>
      </c>
      <c r="B1078" s="11">
        <v>2.0478000000000001</v>
      </c>
      <c r="C1078" s="11">
        <f t="shared" si="112"/>
        <v>0</v>
      </c>
      <c r="D1078" s="12">
        <f t="shared" si="113"/>
        <v>0</v>
      </c>
      <c r="E1078" s="12">
        <f t="shared" si="114"/>
        <v>1.1560000000000474E-5</v>
      </c>
      <c r="F1078" s="12">
        <f t="shared" si="115"/>
        <v>2.8062240551050342E-5</v>
      </c>
      <c r="G1078" s="12">
        <f t="shared" si="116"/>
        <v>4.3216042783596187</v>
      </c>
      <c r="I1078" s="12">
        <f t="shared" si="117"/>
        <v>5.2973805367417526E-3</v>
      </c>
      <c r="J1078" s="12">
        <f t="shared" si="118"/>
        <v>5.4233926257759718E-3</v>
      </c>
    </row>
    <row r="1079" spans="1:10">
      <c r="A1079" s="15">
        <v>41357</v>
      </c>
      <c r="B1079" s="11">
        <v>2.0529000000000002</v>
      </c>
      <c r="C1079" s="11">
        <f t="shared" si="112"/>
        <v>5.1000000000001044E-3</v>
      </c>
      <c r="D1079" s="12">
        <f t="shared" si="113"/>
        <v>2.6010000000001064E-5</v>
      </c>
      <c r="E1079" s="12">
        <f t="shared" si="114"/>
        <v>0</v>
      </c>
      <c r="F1079" s="12">
        <f t="shared" si="115"/>
        <v>2.6458700547169214E-5</v>
      </c>
      <c r="G1079" s="12">
        <f t="shared" si="116"/>
        <v>3.8595034774284476</v>
      </c>
      <c r="I1079" s="12">
        <f t="shared" si="117"/>
        <v>5.143802148913702E-3</v>
      </c>
      <c r="J1079" s="12">
        <f t="shared" si="118"/>
        <v>5.4233926257759718E-3</v>
      </c>
    </row>
    <row r="1080" spans="1:10">
      <c r="A1080" s="15">
        <v>41358</v>
      </c>
      <c r="B1080" s="11">
        <v>2.0434000000000001</v>
      </c>
      <c r="C1080" s="11">
        <f t="shared" si="112"/>
        <v>-9.5000000000000639E-3</v>
      </c>
      <c r="D1080" s="12">
        <f t="shared" si="113"/>
        <v>9.0250000000001218E-5</v>
      </c>
      <c r="E1080" s="12">
        <f t="shared" si="114"/>
        <v>2.6010000000001064E-5</v>
      </c>
      <c r="F1080" s="12">
        <f t="shared" si="115"/>
        <v>2.6570166621188788E-5</v>
      </c>
      <c r="G1080" s="12">
        <f t="shared" si="116"/>
        <v>2.6505888763067476</v>
      </c>
      <c r="I1080" s="12">
        <f t="shared" si="117"/>
        <v>5.1546257498666951E-3</v>
      </c>
      <c r="J1080" s="12">
        <f t="shared" si="118"/>
        <v>5.4233926257759718E-3</v>
      </c>
    </row>
    <row r="1081" spans="1:10">
      <c r="A1081" s="15">
        <v>41359</v>
      </c>
      <c r="B1081" s="11">
        <v>2.0449000000000002</v>
      </c>
      <c r="C1081" s="11">
        <f t="shared" si="112"/>
        <v>1.5000000000000568E-3</v>
      </c>
      <c r="D1081" s="12">
        <f t="shared" si="113"/>
        <v>2.2500000000001707E-6</v>
      </c>
      <c r="E1081" s="12">
        <f t="shared" si="114"/>
        <v>9.0250000000001218E-5</v>
      </c>
      <c r="F1081" s="12">
        <f t="shared" si="115"/>
        <v>3.0476965510328142E-5</v>
      </c>
      <c r="G1081" s="12">
        <f t="shared" si="116"/>
        <v>4.2434180300643085</v>
      </c>
      <c r="I1081" s="12">
        <f t="shared" si="117"/>
        <v>5.5205946699905563E-3</v>
      </c>
      <c r="J1081" s="12">
        <f t="shared" si="118"/>
        <v>5.4233926257759718E-3</v>
      </c>
    </row>
    <row r="1082" spans="1:10">
      <c r="A1082" s="15">
        <v>41360</v>
      </c>
      <c r="B1082" s="11">
        <v>2.0428999999999999</v>
      </c>
      <c r="C1082" s="11">
        <f t="shared" si="112"/>
        <v>-2.0000000000002238E-3</v>
      </c>
      <c r="D1082" s="12">
        <f t="shared" si="113"/>
        <v>4.0000000000008951E-6</v>
      </c>
      <c r="E1082" s="12">
        <f t="shared" si="114"/>
        <v>2.2500000000001707E-6</v>
      </c>
      <c r="F1082" s="12">
        <f t="shared" si="115"/>
        <v>2.8745600276280807E-5</v>
      </c>
      <c r="G1082" s="12">
        <f t="shared" si="116"/>
        <v>4.2399985127039841</v>
      </c>
      <c r="I1082" s="12">
        <f t="shared" si="117"/>
        <v>5.3614923553317508E-3</v>
      </c>
      <c r="J1082" s="12">
        <f t="shared" si="118"/>
        <v>5.4233926257759718E-3</v>
      </c>
    </row>
    <row r="1083" spans="1:10">
      <c r="A1083" s="15">
        <v>41361</v>
      </c>
      <c r="B1083" s="11">
        <v>2.0448</v>
      </c>
      <c r="C1083" s="11">
        <f t="shared" si="112"/>
        <v>1.9000000000000128E-3</v>
      </c>
      <c r="D1083" s="12">
        <f t="shared" si="113"/>
        <v>3.6100000000000484E-6</v>
      </c>
      <c r="E1083" s="12">
        <f t="shared" si="114"/>
        <v>4.0000000000008951E-6</v>
      </c>
      <c r="F1083" s="12">
        <f t="shared" si="115"/>
        <v>2.7305220305789559E-5</v>
      </c>
      <c r="G1083" s="12">
        <f t="shared" si="116"/>
        <v>4.2691732108387734</v>
      </c>
      <c r="I1083" s="12">
        <f t="shared" si="117"/>
        <v>5.2254397236777654E-3</v>
      </c>
      <c r="J1083" s="12">
        <f t="shared" si="118"/>
        <v>5.4233926257759718E-3</v>
      </c>
    </row>
    <row r="1084" spans="1:10">
      <c r="A1084" s="15">
        <v>41362</v>
      </c>
      <c r="B1084" s="11">
        <v>2.0463</v>
      </c>
      <c r="C1084" s="11">
        <f t="shared" si="112"/>
        <v>1.5000000000000568E-3</v>
      </c>
      <c r="D1084" s="12">
        <f t="shared" si="113"/>
        <v>2.2500000000001707E-6</v>
      </c>
      <c r="E1084" s="12">
        <f t="shared" si="114"/>
        <v>3.6100000000000484E-6</v>
      </c>
      <c r="F1084" s="12">
        <f t="shared" si="115"/>
        <v>2.5997518443629737E-5</v>
      </c>
      <c r="G1084" s="12">
        <f t="shared" si="116"/>
        <v>4.3165428329232691</v>
      </c>
      <c r="I1084" s="12">
        <f t="shared" si="117"/>
        <v>5.098776171163992E-3</v>
      </c>
      <c r="J1084" s="12">
        <f t="shared" si="118"/>
        <v>5.4233926257759718E-3</v>
      </c>
    </row>
    <row r="1085" spans="1:10">
      <c r="A1085" s="15">
        <v>41363</v>
      </c>
      <c r="B1085" s="11">
        <v>2.048</v>
      </c>
      <c r="C1085" s="11">
        <f t="shared" si="112"/>
        <v>1.7000000000000348E-3</v>
      </c>
      <c r="D1085" s="12">
        <f t="shared" si="113"/>
        <v>2.8900000000001184E-6</v>
      </c>
      <c r="E1085" s="12">
        <f t="shared" si="114"/>
        <v>2.2500000000001707E-6</v>
      </c>
      <c r="F1085" s="12">
        <f t="shared" si="115"/>
        <v>2.4750653961655602E-5</v>
      </c>
      <c r="G1085" s="12">
        <f t="shared" si="116"/>
        <v>4.3260084869453053</v>
      </c>
      <c r="I1085" s="12">
        <f t="shared" si="117"/>
        <v>4.9750029107183047E-3</v>
      </c>
      <c r="J1085" s="12">
        <f t="shared" si="118"/>
        <v>5.4233926257759718E-3</v>
      </c>
    </row>
    <row r="1086" spans="1:10">
      <c r="A1086" s="15">
        <v>41364</v>
      </c>
      <c r="B1086" s="11">
        <v>2.048</v>
      </c>
      <c r="C1086" s="11">
        <f t="shared" si="112"/>
        <v>0</v>
      </c>
      <c r="D1086" s="12">
        <f t="shared" si="113"/>
        <v>0</v>
      </c>
      <c r="E1086" s="12">
        <f t="shared" si="114"/>
        <v>2.8900000000001184E-6</v>
      </c>
      <c r="F1086" s="12">
        <f t="shared" si="115"/>
        <v>2.3676583035030992E-5</v>
      </c>
      <c r="G1086" s="12">
        <f t="shared" si="116"/>
        <v>4.4065734873426603</v>
      </c>
      <c r="I1086" s="12">
        <f t="shared" si="117"/>
        <v>4.8658589205844219E-3</v>
      </c>
      <c r="J1086" s="12">
        <f t="shared" si="118"/>
        <v>5.4233926257759718E-3</v>
      </c>
    </row>
    <row r="1087" spans="1:10">
      <c r="A1087" s="15">
        <v>41365</v>
      </c>
      <c r="B1087" s="11">
        <v>2.0487000000000002</v>
      </c>
      <c r="C1087" s="11">
        <f t="shared" si="112"/>
        <v>7.0000000000014495E-4</v>
      </c>
      <c r="D1087" s="12">
        <f t="shared" si="113"/>
        <v>4.9000000000020294E-7</v>
      </c>
      <c r="E1087" s="12">
        <f t="shared" si="114"/>
        <v>0</v>
      </c>
      <c r="F1087" s="12">
        <f t="shared" si="115"/>
        <v>2.2547399426751385E-5</v>
      </c>
      <c r="G1087" s="12">
        <f t="shared" si="116"/>
        <v>4.420140872990256</v>
      </c>
      <c r="I1087" s="12">
        <f t="shared" si="117"/>
        <v>4.7484101999249583E-3</v>
      </c>
      <c r="J1087" s="12">
        <f t="shared" si="118"/>
        <v>5.4233926257759718E-3</v>
      </c>
    </row>
    <row r="1088" spans="1:10">
      <c r="A1088" s="15">
        <v>41366</v>
      </c>
      <c r="B1088" s="11">
        <v>2.0491000000000001</v>
      </c>
      <c r="C1088" s="11">
        <f t="shared" si="112"/>
        <v>3.9999999999995595E-4</v>
      </c>
      <c r="D1088" s="12">
        <f t="shared" si="113"/>
        <v>1.5999999999996475E-7</v>
      </c>
      <c r="E1088" s="12">
        <f t="shared" si="114"/>
        <v>4.9000000000020294E-7</v>
      </c>
      <c r="F1088" s="12">
        <f t="shared" si="115"/>
        <v>2.1569390682019741E-5</v>
      </c>
      <c r="G1088" s="12">
        <f t="shared" si="116"/>
        <v>4.4494701729266088</v>
      </c>
      <c r="I1088" s="12">
        <f t="shared" si="117"/>
        <v>4.6442858096826618E-3</v>
      </c>
      <c r="J1088" s="12">
        <f t="shared" si="118"/>
        <v>5.4233926257759718E-3</v>
      </c>
    </row>
    <row r="1089" spans="1:10">
      <c r="A1089" s="15">
        <v>41367</v>
      </c>
      <c r="B1089" s="11">
        <v>2.0558999999999998</v>
      </c>
      <c r="C1089" s="11">
        <f t="shared" si="112"/>
        <v>6.7999999999996952E-3</v>
      </c>
      <c r="D1089" s="12">
        <f t="shared" si="113"/>
        <v>4.6239999999995857E-5</v>
      </c>
      <c r="E1089" s="12">
        <f t="shared" si="114"/>
        <v>1.5999999999996475E-7</v>
      </c>
      <c r="F1089" s="12">
        <f t="shared" si="115"/>
        <v>2.0677605677923636E-5</v>
      </c>
      <c r="G1089" s="12">
        <f t="shared" si="116"/>
        <v>3.3561732569025233</v>
      </c>
      <c r="I1089" s="12">
        <f t="shared" si="117"/>
        <v>4.5472635373291961E-3</v>
      </c>
      <c r="J1089" s="12">
        <f t="shared" si="118"/>
        <v>5.4233926257759718E-3</v>
      </c>
    </row>
    <row r="1090" spans="1:10">
      <c r="A1090" s="15">
        <v>41368</v>
      </c>
      <c r="B1090" s="11">
        <v>2.0626000000000002</v>
      </c>
      <c r="C1090" s="11">
        <f t="shared" si="112"/>
        <v>6.7000000000003723E-3</v>
      </c>
      <c r="D1090" s="12">
        <f t="shared" si="113"/>
        <v>4.4890000000004986E-5</v>
      </c>
      <c r="E1090" s="12">
        <f t="shared" si="114"/>
        <v>4.6239999999995857E-5</v>
      </c>
      <c r="F1090" s="12">
        <f t="shared" si="115"/>
        <v>2.261335548018602E-5</v>
      </c>
      <c r="G1090" s="12">
        <f t="shared" si="116"/>
        <v>3.4369913552268057</v>
      </c>
      <c r="I1090" s="12">
        <f t="shared" si="117"/>
        <v>4.7553501953258945E-3</v>
      </c>
      <c r="J1090" s="12">
        <f t="shared" si="118"/>
        <v>5.4233926257759718E-3</v>
      </c>
    </row>
    <row r="1091" spans="1:10">
      <c r="A1091" s="15">
        <v>41369</v>
      </c>
      <c r="B1091" s="11">
        <v>2.0695999999999999</v>
      </c>
      <c r="C1091" s="11">
        <f t="shared" si="112"/>
        <v>6.9999999999996732E-3</v>
      </c>
      <c r="D1091" s="12">
        <f t="shared" si="113"/>
        <v>4.8999999999995424E-5</v>
      </c>
      <c r="E1091" s="12">
        <f t="shared" si="114"/>
        <v>4.4890000000004986E-5</v>
      </c>
      <c r="F1091" s="12">
        <f t="shared" si="115"/>
        <v>2.4259720892004917E-5</v>
      </c>
      <c r="G1091" s="12">
        <f t="shared" si="116"/>
        <v>3.3845035925851725</v>
      </c>
      <c r="I1091" s="12">
        <f t="shared" si="117"/>
        <v>4.9254158090464729E-3</v>
      </c>
      <c r="J1091" s="12">
        <f t="shared" si="118"/>
        <v>5.4233926257759718E-3</v>
      </c>
    </row>
    <row r="1092" spans="1:10">
      <c r="A1092" s="15">
        <v>41370</v>
      </c>
      <c r="B1092" s="11">
        <v>2.0693999999999999</v>
      </c>
      <c r="C1092" s="11">
        <f t="shared" si="112"/>
        <v>-1.9999999999997797E-4</v>
      </c>
      <c r="D1092" s="12">
        <f t="shared" si="113"/>
        <v>3.9999999999991186E-8</v>
      </c>
      <c r="E1092" s="12">
        <f t="shared" si="114"/>
        <v>4.8999999999995424E-5</v>
      </c>
      <c r="F1092" s="12">
        <f t="shared" si="115"/>
        <v>2.597160633623495E-5</v>
      </c>
      <c r="G1092" s="12">
        <f t="shared" si="116"/>
        <v>4.3595447280071316</v>
      </c>
      <c r="I1092" s="12">
        <f t="shared" si="117"/>
        <v>5.0962345252387031E-3</v>
      </c>
      <c r="J1092" s="12">
        <f t="shared" si="118"/>
        <v>5.4233926257759718E-3</v>
      </c>
    </row>
    <row r="1093" spans="1:10">
      <c r="A1093" s="15">
        <v>41371</v>
      </c>
      <c r="B1093" s="11">
        <v>2.0693999999999999</v>
      </c>
      <c r="C1093" s="11">
        <f t="shared" si="112"/>
        <v>0</v>
      </c>
      <c r="D1093" s="12">
        <f t="shared" si="113"/>
        <v>0</v>
      </c>
      <c r="E1093" s="12">
        <f t="shared" si="114"/>
        <v>3.9999999999991186E-8</v>
      </c>
      <c r="F1093" s="12">
        <f t="shared" si="115"/>
        <v>2.4596561810587086E-5</v>
      </c>
      <c r="G1093" s="12">
        <f t="shared" si="116"/>
        <v>4.387513403704463</v>
      </c>
      <c r="I1093" s="12">
        <f t="shared" si="117"/>
        <v>4.9594920919976354E-3</v>
      </c>
      <c r="J1093" s="12">
        <f t="shared" si="118"/>
        <v>5.4233926257759718E-3</v>
      </c>
    </row>
    <row r="1094" spans="1:10">
      <c r="A1094" s="15">
        <v>41372</v>
      </c>
      <c r="B1094" s="11">
        <v>2.0754999999999999</v>
      </c>
      <c r="C1094" s="11">
        <f t="shared" si="112"/>
        <v>6.0999999999999943E-3</v>
      </c>
      <c r="D1094" s="12">
        <f t="shared" si="113"/>
        <v>3.720999999999993E-5</v>
      </c>
      <c r="E1094" s="12">
        <f t="shared" si="114"/>
        <v>0</v>
      </c>
      <c r="F1094" s="12">
        <f t="shared" si="115"/>
        <v>2.3367872526269472E-5</v>
      </c>
      <c r="G1094" s="12">
        <f t="shared" si="116"/>
        <v>3.6169570847931705</v>
      </c>
      <c r="I1094" s="12">
        <f t="shared" si="117"/>
        <v>4.8340327394701694E-3</v>
      </c>
      <c r="J1094" s="12">
        <f t="shared" si="118"/>
        <v>5.4233926257759718E-3</v>
      </c>
    </row>
    <row r="1095" spans="1:10">
      <c r="A1095" s="15">
        <v>41373</v>
      </c>
      <c r="B1095" s="11">
        <v>2.0825</v>
      </c>
      <c r="C1095" s="11">
        <f t="shared" si="112"/>
        <v>7.0000000000001172E-3</v>
      </c>
      <c r="D1095" s="12">
        <f t="shared" si="113"/>
        <v>4.9000000000001638E-5</v>
      </c>
      <c r="E1095" s="12">
        <f t="shared" si="114"/>
        <v>3.720999999999993E-5</v>
      </c>
      <c r="F1095" s="12">
        <f t="shared" si="115"/>
        <v>2.4477448976116566E-5</v>
      </c>
      <c r="G1095" s="12">
        <f t="shared" si="116"/>
        <v>3.3890193185668869</v>
      </c>
      <c r="I1095" s="12">
        <f t="shared" si="117"/>
        <v>4.9474689464529802E-3</v>
      </c>
      <c r="J1095" s="12">
        <f t="shared" si="118"/>
        <v>5.4233926257759718E-3</v>
      </c>
    </row>
    <row r="1096" spans="1:10">
      <c r="A1096" s="15">
        <v>41374</v>
      </c>
      <c r="B1096" s="11">
        <v>2.0796000000000001</v>
      </c>
      <c r="C1096" s="11">
        <f t="shared" si="112"/>
        <v>-2.8999999999999027E-3</v>
      </c>
      <c r="D1096" s="12">
        <f t="shared" si="113"/>
        <v>8.409999999999435E-6</v>
      </c>
      <c r="E1096" s="12">
        <f t="shared" si="114"/>
        <v>4.9000000000001638E-5</v>
      </c>
      <c r="F1096" s="12">
        <f t="shared" si="115"/>
        <v>2.6165784768140159E-5</v>
      </c>
      <c r="G1096" s="12">
        <f t="shared" si="116"/>
        <v>4.1958843689396952</v>
      </c>
      <c r="I1096" s="12">
        <f t="shared" si="117"/>
        <v>5.115250215594557E-3</v>
      </c>
      <c r="J1096" s="12">
        <f t="shared" si="118"/>
        <v>5.4233926257759718E-3</v>
      </c>
    </row>
    <row r="1097" spans="1:10">
      <c r="A1097" s="15">
        <v>41375</v>
      </c>
      <c r="B1097" s="11">
        <v>2.0872999999999999</v>
      </c>
      <c r="C1097" s="11">
        <f t="shared" si="112"/>
        <v>7.6999999999998181E-3</v>
      </c>
      <c r="D1097" s="12">
        <f t="shared" si="113"/>
        <v>5.9289999999997198E-5</v>
      </c>
      <c r="E1097" s="12">
        <f t="shared" si="114"/>
        <v>8.409999999999435E-6</v>
      </c>
      <c r="F1097" s="12">
        <f t="shared" si="115"/>
        <v>2.526581256284923E-5</v>
      </c>
      <c r="G1097" s="12">
        <f t="shared" si="116"/>
        <v>3.2007660154809674</v>
      </c>
      <c r="I1097" s="12">
        <f t="shared" si="117"/>
        <v>5.0265109731153709E-3</v>
      </c>
      <c r="J1097" s="12">
        <f t="shared" si="118"/>
        <v>5.4233926257759718E-3</v>
      </c>
    </row>
    <row r="1098" spans="1:10">
      <c r="A1098" s="15">
        <v>41376</v>
      </c>
      <c r="B1098" s="11">
        <v>2.0943999999999998</v>
      </c>
      <c r="C1098" s="11">
        <f t="shared" si="112"/>
        <v>7.0999999999998842E-3</v>
      </c>
      <c r="D1098" s="12">
        <f t="shared" si="113"/>
        <v>5.0409999999998354E-5</v>
      </c>
      <c r="E1098" s="12">
        <f t="shared" si="114"/>
        <v>5.9289999999997198E-5</v>
      </c>
      <c r="F1098" s="12">
        <f t="shared" si="115"/>
        <v>2.7478748051829126E-5</v>
      </c>
      <c r="G1098" s="12">
        <f t="shared" si="116"/>
        <v>3.4148559775485512</v>
      </c>
      <c r="I1098" s="12">
        <f t="shared" si="117"/>
        <v>5.2420175554674679E-3</v>
      </c>
      <c r="J1098" s="12">
        <f t="shared" si="118"/>
        <v>5.4233926257759718E-3</v>
      </c>
    </row>
    <row r="1099" spans="1:10">
      <c r="A1099" s="15">
        <v>41377</v>
      </c>
      <c r="B1099" s="11">
        <v>2.0735999999999999</v>
      </c>
      <c r="C1099" s="11">
        <f t="shared" si="112"/>
        <v>-2.079999999999993E-2</v>
      </c>
      <c r="D1099" s="12">
        <f t="shared" si="113"/>
        <v>4.3263999999999705E-4</v>
      </c>
      <c r="E1099" s="12">
        <f t="shared" si="114"/>
        <v>5.0409999999998354E-5</v>
      </c>
      <c r="F1099" s="12">
        <f t="shared" si="115"/>
        <v>2.8926028978398485E-5</v>
      </c>
      <c r="G1099" s="12">
        <f t="shared" si="116"/>
        <v>-3.171939834026372</v>
      </c>
      <c r="I1099" s="12">
        <f t="shared" si="117"/>
        <v>5.3782923849860081E-3</v>
      </c>
      <c r="J1099" s="12">
        <f t="shared" si="118"/>
        <v>5.4233926257759718E-3</v>
      </c>
    </row>
    <row r="1100" spans="1:10">
      <c r="A1100" s="15">
        <v>41379</v>
      </c>
      <c r="B1100" s="11">
        <v>2.0847000000000002</v>
      </c>
      <c r="C1100" s="11">
        <f t="shared" si="112"/>
        <v>1.1100000000000332E-2</v>
      </c>
      <c r="D1100" s="12">
        <f t="shared" si="113"/>
        <v>1.2321000000000735E-4</v>
      </c>
      <c r="E1100" s="12">
        <f t="shared" si="114"/>
        <v>4.3263999999999705E-4</v>
      </c>
      <c r="F1100" s="12">
        <f t="shared" si="115"/>
        <v>5.2870854343513395E-5</v>
      </c>
      <c r="G1100" s="12">
        <f t="shared" si="116"/>
        <v>2.8396928835363728</v>
      </c>
      <c r="I1100" s="12">
        <f t="shared" si="117"/>
        <v>7.2712347193247305E-3</v>
      </c>
      <c r="J1100" s="12">
        <f t="shared" si="118"/>
        <v>5.4233926257759718E-3</v>
      </c>
    </row>
    <row r="1101" spans="1:10">
      <c r="A1101" s="15">
        <v>41380</v>
      </c>
      <c r="B1101" s="11">
        <v>2.1078000000000001</v>
      </c>
      <c r="C1101" s="11">
        <f t="shared" si="112"/>
        <v>2.3099999999999898E-2</v>
      </c>
      <c r="D1101" s="12">
        <f t="shared" si="113"/>
        <v>5.3360999999999535E-4</v>
      </c>
      <c r="E1101" s="12">
        <f t="shared" si="114"/>
        <v>1.2321000000000735E-4</v>
      </c>
      <c r="F1101" s="12">
        <f t="shared" si="115"/>
        <v>5.5886428614143607E-5</v>
      </c>
      <c r="G1101" s="12">
        <f t="shared" si="116"/>
        <v>-0.79690112349459397</v>
      </c>
      <c r="I1101" s="12">
        <f t="shared" si="117"/>
        <v>7.4757226148475849E-3</v>
      </c>
      <c r="J1101" s="12">
        <f t="shared" si="118"/>
        <v>5.4233926257759718E-3</v>
      </c>
    </row>
    <row r="1102" spans="1:10">
      <c r="A1102" s="15">
        <v>41381</v>
      </c>
      <c r="B1102" s="11">
        <v>2.0893000000000002</v>
      </c>
      <c r="C1102" s="11">
        <f t="shared" ref="C1102:C1165" si="119">B1102-B1101</f>
        <v>-1.8499999999999961E-2</v>
      </c>
      <c r="D1102" s="12">
        <f t="shared" ref="D1102:D1165" si="120">C1102^2</f>
        <v>3.4224999999999853E-4</v>
      </c>
      <c r="E1102" s="12">
        <f t="shared" si="114"/>
        <v>5.3360999999999535E-4</v>
      </c>
      <c r="F1102" s="12">
        <f t="shared" si="115"/>
        <v>8.2899504554800711E-5</v>
      </c>
      <c r="G1102" s="12">
        <f t="shared" si="116"/>
        <v>1.7157558418487076</v>
      </c>
      <c r="I1102" s="12">
        <f t="shared" si="117"/>
        <v>9.1049165045485568E-3</v>
      </c>
      <c r="J1102" s="12">
        <f t="shared" si="118"/>
        <v>5.4233926257759718E-3</v>
      </c>
    </row>
    <row r="1103" spans="1:10">
      <c r="A1103" s="15">
        <v>41382</v>
      </c>
      <c r="B1103" s="11">
        <v>2.0920999999999998</v>
      </c>
      <c r="C1103" s="11">
        <f t="shared" si="119"/>
        <v>2.7999999999996916E-3</v>
      </c>
      <c r="D1103" s="12">
        <f t="shared" si="120"/>
        <v>7.8399999999982732E-6</v>
      </c>
      <c r="E1103" s="12">
        <f t="shared" ref="E1103:E1166" si="121">D1102</f>
        <v>3.4224999999999853E-4</v>
      </c>
      <c r="F1103" s="12">
        <f t="shared" ref="F1103:F1166" si="122">$B$5+$B$6*E1103+$B$7*F1102</f>
        <v>9.5649261055846501E-5</v>
      </c>
      <c r="G1103" s="12">
        <f t="shared" ref="G1103:G1166" si="123">LN((1/SQRT(2*3.1415927*F1103))*EXP(-0.5*D1103/F1103))</f>
        <v>3.6674896869906024</v>
      </c>
      <c r="I1103" s="12">
        <f t="shared" ref="I1103:I1166" si="124">SQRT(F1103)</f>
        <v>9.7800440211609739E-3</v>
      </c>
      <c r="J1103" s="12">
        <f t="shared" si="118"/>
        <v>5.4233926257759718E-3</v>
      </c>
    </row>
    <row r="1104" spans="1:10">
      <c r="A1104" s="15">
        <v>41383</v>
      </c>
      <c r="B1104" s="11">
        <v>2.0912999999999999</v>
      </c>
      <c r="C1104" s="11">
        <f t="shared" si="119"/>
        <v>-7.9999999999991189E-4</v>
      </c>
      <c r="D1104" s="12">
        <f t="shared" si="120"/>
        <v>6.3999999999985898E-7</v>
      </c>
      <c r="E1104" s="12">
        <f t="shared" si="121"/>
        <v>7.8399999999982732E-6</v>
      </c>
      <c r="F1104" s="12">
        <f t="shared" si="122"/>
        <v>8.720011489965261E-5</v>
      </c>
      <c r="G1104" s="12">
        <f t="shared" si="123"/>
        <v>3.7510441941705235</v>
      </c>
      <c r="I1104" s="12">
        <f t="shared" si="124"/>
        <v>9.3381001761414298E-3</v>
      </c>
      <c r="J1104" s="12">
        <f t="shared" ref="J1104:J1167" si="125">J1103</f>
        <v>5.4233926257759718E-3</v>
      </c>
    </row>
    <row r="1105" spans="1:10">
      <c r="A1105" s="15">
        <v>41384</v>
      </c>
      <c r="B1105" s="11">
        <v>2.0914999999999999</v>
      </c>
      <c r="C1105" s="11">
        <f t="shared" si="119"/>
        <v>1.9999999999997797E-4</v>
      </c>
      <c r="D1105" s="12">
        <f t="shared" si="120"/>
        <v>3.9999999999991186E-8</v>
      </c>
      <c r="E1105" s="12">
        <f t="shared" si="121"/>
        <v>6.3999999999985898E-7</v>
      </c>
      <c r="F1105" s="12">
        <f t="shared" si="122"/>
        <v>7.9238104448771344E-5</v>
      </c>
      <c r="G1105" s="12">
        <f t="shared" si="123"/>
        <v>3.8023356846251222</v>
      </c>
      <c r="I1105" s="12">
        <f t="shared" si="124"/>
        <v>8.9015787615889432E-3</v>
      </c>
      <c r="J1105" s="12">
        <f t="shared" si="125"/>
        <v>5.4233926257759718E-3</v>
      </c>
    </row>
    <row r="1106" spans="1:10">
      <c r="A1106" s="15">
        <v>41385</v>
      </c>
      <c r="B1106" s="11">
        <v>2.0914999999999999</v>
      </c>
      <c r="C1106" s="11">
        <f t="shared" si="119"/>
        <v>0</v>
      </c>
      <c r="D1106" s="12">
        <f t="shared" si="120"/>
        <v>0</v>
      </c>
      <c r="E1106" s="12">
        <f t="shared" si="121"/>
        <v>3.9999999999991186E-8</v>
      </c>
      <c r="F1106" s="12">
        <f t="shared" si="122"/>
        <v>7.2101710807583806E-5</v>
      </c>
      <c r="G1106" s="12">
        <f t="shared" si="123"/>
        <v>3.8497778522560919</v>
      </c>
      <c r="I1106" s="12">
        <f t="shared" si="124"/>
        <v>8.4912726259132563E-3</v>
      </c>
      <c r="J1106" s="12">
        <f t="shared" si="125"/>
        <v>5.4233926257759718E-3</v>
      </c>
    </row>
    <row r="1107" spans="1:10">
      <c r="A1107" s="15">
        <v>41386</v>
      </c>
      <c r="B1107" s="11">
        <v>2.0949</v>
      </c>
      <c r="C1107" s="11">
        <f t="shared" si="119"/>
        <v>3.4000000000000696E-3</v>
      </c>
      <c r="D1107" s="12">
        <f t="shared" si="120"/>
        <v>1.1560000000000474E-5</v>
      </c>
      <c r="E1107" s="12">
        <f t="shared" si="121"/>
        <v>0</v>
      </c>
      <c r="F1107" s="12">
        <f t="shared" si="122"/>
        <v>6.5734824760655799E-5</v>
      </c>
      <c r="G1107" s="12">
        <f t="shared" si="123"/>
        <v>3.8080732777854127</v>
      </c>
      <c r="I1107" s="12">
        <f t="shared" si="124"/>
        <v>8.1077015707693503E-3</v>
      </c>
      <c r="J1107" s="12">
        <f t="shared" si="125"/>
        <v>5.4233926257759718E-3</v>
      </c>
    </row>
    <row r="1108" spans="1:10">
      <c r="A1108" s="15">
        <v>41387</v>
      </c>
      <c r="B1108" s="11">
        <v>2.0910000000000002</v>
      </c>
      <c r="C1108" s="11">
        <f t="shared" si="119"/>
        <v>-3.8999999999997925E-3</v>
      </c>
      <c r="D1108" s="12">
        <f t="shared" si="120"/>
        <v>1.5209999999998382E-5</v>
      </c>
      <c r="E1108" s="12">
        <f t="shared" si="121"/>
        <v>1.1560000000000474E-5</v>
      </c>
      <c r="F1108" s="12">
        <f t="shared" si="122"/>
        <v>6.0741726825094936E-5</v>
      </c>
      <c r="G1108" s="12">
        <f t="shared" si="123"/>
        <v>3.8102990581721241</v>
      </c>
      <c r="I1108" s="12">
        <f t="shared" si="124"/>
        <v>7.7936978915720701E-3</v>
      </c>
      <c r="J1108" s="12">
        <f t="shared" si="125"/>
        <v>5.4233926257759718E-3</v>
      </c>
    </row>
    <row r="1109" spans="1:10">
      <c r="A1109" s="15">
        <v>41388</v>
      </c>
      <c r="B1109" s="11">
        <v>2.093</v>
      </c>
      <c r="C1109" s="11">
        <f t="shared" si="119"/>
        <v>1.9999999999997797E-3</v>
      </c>
      <c r="D1109" s="12">
        <f t="shared" si="120"/>
        <v>3.9999999999991189E-6</v>
      </c>
      <c r="E1109" s="12">
        <f t="shared" si="121"/>
        <v>1.5209999999998382E-5</v>
      </c>
      <c r="F1109" s="12">
        <f t="shared" si="122"/>
        <v>5.650501547538481E-5</v>
      </c>
      <c r="G1109" s="12">
        <f t="shared" si="123"/>
        <v>3.9362569484617516</v>
      </c>
      <c r="I1109" s="12">
        <f t="shared" si="124"/>
        <v>7.5169818062427694E-3</v>
      </c>
      <c r="J1109" s="12">
        <f t="shared" si="125"/>
        <v>5.4233926257759718E-3</v>
      </c>
    </row>
    <row r="1110" spans="1:10">
      <c r="A1110" s="15">
        <v>41389</v>
      </c>
      <c r="B1110" s="11">
        <v>2.0977999999999999</v>
      </c>
      <c r="C1110" s="11">
        <f t="shared" si="119"/>
        <v>4.7999999999999154E-3</v>
      </c>
      <c r="D1110" s="12">
        <f t="shared" si="120"/>
        <v>2.303999999999919E-5</v>
      </c>
      <c r="E1110" s="12">
        <f t="shared" si="121"/>
        <v>3.9999999999991189E-6</v>
      </c>
      <c r="F1110" s="12">
        <f t="shared" si="122"/>
        <v>5.2062153872491643E-5</v>
      </c>
      <c r="G1110" s="12">
        <f t="shared" si="123"/>
        <v>3.7913236224912605</v>
      </c>
      <c r="I1110" s="12">
        <f t="shared" si="124"/>
        <v>7.2154108595763027E-3</v>
      </c>
      <c r="J1110" s="12">
        <f t="shared" si="125"/>
        <v>5.4233926257759718E-3</v>
      </c>
    </row>
    <row r="1111" spans="1:10">
      <c r="A1111" s="15">
        <v>41390</v>
      </c>
      <c r="B1111" s="11">
        <v>2.1013000000000002</v>
      </c>
      <c r="C1111" s="11">
        <f t="shared" si="119"/>
        <v>3.5000000000002807E-3</v>
      </c>
      <c r="D1111" s="12">
        <f t="shared" si="120"/>
        <v>1.2250000000001965E-5</v>
      </c>
      <c r="E1111" s="12">
        <f t="shared" si="121"/>
        <v>2.303999999999919E-5</v>
      </c>
      <c r="F1111" s="12">
        <f t="shared" si="122"/>
        <v>4.9228302408894438E-5</v>
      </c>
      <c r="G1111" s="12">
        <f t="shared" si="123"/>
        <v>3.9161620863647664</v>
      </c>
      <c r="I1111" s="12">
        <f t="shared" si="124"/>
        <v>7.0162883641491274E-3</v>
      </c>
      <c r="J1111" s="12">
        <f t="shared" si="125"/>
        <v>5.4233926257759718E-3</v>
      </c>
    </row>
    <row r="1112" spans="1:10">
      <c r="A1112" s="15">
        <v>41391</v>
      </c>
      <c r="B1112" s="11">
        <v>2.0968</v>
      </c>
      <c r="C1112" s="11">
        <f t="shared" si="119"/>
        <v>-4.5000000000001705E-3</v>
      </c>
      <c r="D1112" s="12">
        <f t="shared" si="120"/>
        <v>2.0250000000001536E-5</v>
      </c>
      <c r="E1112" s="12">
        <f t="shared" si="121"/>
        <v>1.2250000000001965E-5</v>
      </c>
      <c r="F1112" s="12">
        <f t="shared" si="122"/>
        <v>4.6061458833539392E-5</v>
      </c>
      <c r="G1112" s="12">
        <f t="shared" si="123"/>
        <v>3.854013445955712</v>
      </c>
      <c r="I1112" s="12">
        <f t="shared" si="124"/>
        <v>6.7868592760966682E-3</v>
      </c>
      <c r="J1112" s="12">
        <f t="shared" si="125"/>
        <v>5.4233926257759718E-3</v>
      </c>
    </row>
    <row r="1113" spans="1:10">
      <c r="A1113" s="15">
        <v>41392</v>
      </c>
      <c r="B1113" s="11">
        <v>2.1008</v>
      </c>
      <c r="C1113" s="11">
        <f t="shared" si="119"/>
        <v>4.0000000000000036E-3</v>
      </c>
      <c r="D1113" s="12">
        <f t="shared" si="120"/>
        <v>1.600000000000003E-5</v>
      </c>
      <c r="E1113" s="12">
        <f t="shared" si="121"/>
        <v>2.0250000000001536E-5</v>
      </c>
      <c r="F1113" s="12">
        <f t="shared" si="122"/>
        <v>4.3711289304567541E-5</v>
      </c>
      <c r="G1113" s="12">
        <f t="shared" si="123"/>
        <v>3.916994454728107</v>
      </c>
      <c r="I1113" s="12">
        <f t="shared" si="124"/>
        <v>6.6114513765562506E-3</v>
      </c>
      <c r="J1113" s="12">
        <f t="shared" si="125"/>
        <v>5.4233926257759718E-3</v>
      </c>
    </row>
    <row r="1114" spans="1:10">
      <c r="A1114" s="15">
        <v>41393</v>
      </c>
      <c r="B1114" s="11">
        <v>2.1095999999999999</v>
      </c>
      <c r="C1114" s="11">
        <f t="shared" si="119"/>
        <v>8.799999999999919E-3</v>
      </c>
      <c r="D1114" s="12">
        <f t="shared" si="120"/>
        <v>7.7439999999998581E-5</v>
      </c>
      <c r="E1114" s="12">
        <f t="shared" si="121"/>
        <v>1.600000000000003E-5</v>
      </c>
      <c r="F1114" s="12">
        <f t="shared" si="122"/>
        <v>4.1363426239036298E-5</v>
      </c>
      <c r="G1114" s="12">
        <f t="shared" si="123"/>
        <v>3.1915255379107443</v>
      </c>
      <c r="I1114" s="12">
        <f t="shared" si="124"/>
        <v>6.431440448222801E-3</v>
      </c>
      <c r="J1114" s="12">
        <f t="shared" si="125"/>
        <v>5.4233926257759718E-3</v>
      </c>
    </row>
    <row r="1115" spans="1:10">
      <c r="A1115" s="15">
        <v>41394</v>
      </c>
      <c r="B1115" s="11">
        <v>2.1192000000000002</v>
      </c>
      <c r="C1115" s="11">
        <f t="shared" si="119"/>
        <v>9.600000000000275E-3</v>
      </c>
      <c r="D1115" s="12">
        <f t="shared" si="120"/>
        <v>9.2160000000005284E-5</v>
      </c>
      <c r="E1115" s="12">
        <f t="shared" si="121"/>
        <v>7.7439999999998581E-5</v>
      </c>
      <c r="F1115" s="12">
        <f t="shared" si="122"/>
        <v>4.2910948135103491E-5</v>
      </c>
      <c r="G1115" s="12">
        <f t="shared" si="123"/>
        <v>3.0354014153003095</v>
      </c>
      <c r="I1115" s="12">
        <f t="shared" si="124"/>
        <v>6.5506448640651775E-3</v>
      </c>
      <c r="J1115" s="12">
        <f t="shared" si="125"/>
        <v>5.4233926257759718E-3</v>
      </c>
    </row>
    <row r="1116" spans="1:10">
      <c r="A1116" s="15">
        <v>41395</v>
      </c>
      <c r="B1116" s="11">
        <v>2.1193</v>
      </c>
      <c r="C1116" s="11">
        <f t="shared" si="119"/>
        <v>9.9999999999766942E-5</v>
      </c>
      <c r="D1116" s="12">
        <f t="shared" si="120"/>
        <v>9.9999999999533886E-9</v>
      </c>
      <c r="E1116" s="12">
        <f t="shared" si="121"/>
        <v>9.2160000000005284E-5</v>
      </c>
      <c r="F1116" s="12">
        <f t="shared" si="122"/>
        <v>4.516351664848677E-5</v>
      </c>
      <c r="G1116" s="12">
        <f t="shared" si="123"/>
        <v>4.0835612260031597</v>
      </c>
      <c r="I1116" s="12">
        <f t="shared" si="124"/>
        <v>6.7203806922291817E-3</v>
      </c>
      <c r="J1116" s="12">
        <f t="shared" si="125"/>
        <v>5.4233926257759718E-3</v>
      </c>
    </row>
    <row r="1117" spans="1:10">
      <c r="A1117" s="15">
        <v>41396</v>
      </c>
      <c r="B1117" s="11">
        <v>2.1069</v>
      </c>
      <c r="C1117" s="11">
        <f t="shared" si="119"/>
        <v>-1.2399999999999967E-2</v>
      </c>
      <c r="D1117" s="12">
        <f t="shared" si="120"/>
        <v>1.5375999999999918E-4</v>
      </c>
      <c r="E1117" s="12">
        <f t="shared" si="121"/>
        <v>9.9999999999533886E-9</v>
      </c>
      <c r="F1117" s="12">
        <f t="shared" si="122"/>
        <v>4.1710880959423248E-5</v>
      </c>
      <c r="G1117" s="12">
        <f t="shared" si="123"/>
        <v>2.2802715846404351</v>
      </c>
      <c r="I1117" s="12">
        <f t="shared" si="124"/>
        <v>6.4583961599938454E-3</v>
      </c>
      <c r="J1117" s="12">
        <f t="shared" si="125"/>
        <v>5.4233926257759718E-3</v>
      </c>
    </row>
    <row r="1118" spans="1:10">
      <c r="A1118" s="15">
        <v>41397</v>
      </c>
      <c r="B1118" s="11">
        <v>2.1267</v>
      </c>
      <c r="C1118" s="11">
        <f t="shared" si="119"/>
        <v>1.980000000000004E-2</v>
      </c>
      <c r="D1118" s="12">
        <f t="shared" si="120"/>
        <v>3.9204000000000159E-4</v>
      </c>
      <c r="E1118" s="12">
        <f t="shared" si="121"/>
        <v>1.5375999999999918E-4</v>
      </c>
      <c r="F1118" s="12">
        <f t="shared" si="122"/>
        <v>4.7744170779971405E-5</v>
      </c>
      <c r="G1118" s="12">
        <f t="shared" si="123"/>
        <v>-4.9743849416136444E-2</v>
      </c>
      <c r="I1118" s="12">
        <f t="shared" si="124"/>
        <v>6.9097156801109696E-3</v>
      </c>
      <c r="J1118" s="12">
        <f t="shared" si="125"/>
        <v>5.4233926257759718E-3</v>
      </c>
    </row>
    <row r="1119" spans="1:10">
      <c r="A1119" s="15">
        <v>41398</v>
      </c>
      <c r="B1119" s="11">
        <v>2.1267999999999998</v>
      </c>
      <c r="C1119" s="11">
        <f t="shared" si="119"/>
        <v>9.9999999999766942E-5</v>
      </c>
      <c r="D1119" s="12">
        <f t="shared" si="120"/>
        <v>9.9999999999533886E-9</v>
      </c>
      <c r="E1119" s="12">
        <f t="shared" si="121"/>
        <v>3.9204000000000159E-4</v>
      </c>
      <c r="F1119" s="12">
        <f t="shared" si="122"/>
        <v>6.7247321279392564E-5</v>
      </c>
      <c r="G1119" s="12">
        <f t="shared" si="123"/>
        <v>3.8845537932810803</v>
      </c>
      <c r="I1119" s="12">
        <f t="shared" si="124"/>
        <v>8.2004464073239681E-3</v>
      </c>
      <c r="J1119" s="12">
        <f t="shared" si="125"/>
        <v>5.4233926257759718E-3</v>
      </c>
    </row>
    <row r="1120" spans="1:10">
      <c r="A1120" s="15">
        <v>41399</v>
      </c>
      <c r="B1120" s="11">
        <v>2.1261000000000001</v>
      </c>
      <c r="C1120" s="11">
        <f t="shared" si="119"/>
        <v>-6.9999999999970086E-4</v>
      </c>
      <c r="D1120" s="12">
        <f t="shared" si="120"/>
        <v>4.8999999999958122E-7</v>
      </c>
      <c r="E1120" s="12">
        <f t="shared" si="121"/>
        <v>9.9999999999533886E-9</v>
      </c>
      <c r="F1120" s="12">
        <f t="shared" si="122"/>
        <v>6.1406082757658963E-5</v>
      </c>
      <c r="G1120" s="12">
        <f t="shared" si="123"/>
        <v>3.9260724566613705</v>
      </c>
      <c r="I1120" s="12">
        <f t="shared" si="124"/>
        <v>7.836203338202688E-3</v>
      </c>
      <c r="J1120" s="12">
        <f t="shared" si="125"/>
        <v>5.4233926257759718E-3</v>
      </c>
    </row>
    <row r="1121" spans="1:10">
      <c r="A1121" s="15">
        <v>41400</v>
      </c>
      <c r="B1121" s="11">
        <v>2.1187</v>
      </c>
      <c r="C1121" s="11">
        <f t="shared" si="119"/>
        <v>-7.4000000000000732E-3</v>
      </c>
      <c r="D1121" s="12">
        <f t="shared" si="120"/>
        <v>5.4760000000001082E-5</v>
      </c>
      <c r="E1121" s="12">
        <f t="shared" si="121"/>
        <v>4.8999999999958122E-7</v>
      </c>
      <c r="F1121" s="12">
        <f t="shared" si="122"/>
        <v>5.6225086229375763E-5</v>
      </c>
      <c r="G1121" s="12">
        <f t="shared" si="123"/>
        <v>3.4871639819373828</v>
      </c>
      <c r="I1121" s="12">
        <f t="shared" si="124"/>
        <v>7.4983388980077292E-3</v>
      </c>
      <c r="J1121" s="12">
        <f t="shared" si="125"/>
        <v>5.4233926257759718E-3</v>
      </c>
    </row>
    <row r="1122" spans="1:10">
      <c r="A1122" s="15">
        <v>41401</v>
      </c>
      <c r="B1122" s="11">
        <v>2.1282999999999999</v>
      </c>
      <c r="C1122" s="11">
        <f t="shared" si="119"/>
        <v>9.5999999999998309E-3</v>
      </c>
      <c r="D1122" s="12">
        <f t="shared" si="120"/>
        <v>9.2159999999996759E-5</v>
      </c>
      <c r="E1122" s="12">
        <f t="shared" si="121"/>
        <v>5.4760000000001082E-5</v>
      </c>
      <c r="F1122" s="12">
        <f t="shared" si="122"/>
        <v>5.4820955770354537E-5</v>
      </c>
      <c r="G1122" s="12">
        <f t="shared" si="123"/>
        <v>3.1462259951435168</v>
      </c>
      <c r="I1122" s="12">
        <f t="shared" si="124"/>
        <v>7.4041174876115076E-3</v>
      </c>
      <c r="J1122" s="12">
        <f t="shared" si="125"/>
        <v>5.4233926257759718E-3</v>
      </c>
    </row>
    <row r="1123" spans="1:10">
      <c r="A1123" s="15">
        <v>41402</v>
      </c>
      <c r="B1123" s="11">
        <v>2.1453000000000002</v>
      </c>
      <c r="C1123" s="11">
        <f t="shared" si="119"/>
        <v>1.7000000000000348E-2</v>
      </c>
      <c r="D1123" s="12">
        <f t="shared" si="120"/>
        <v>2.8900000000001185E-4</v>
      </c>
      <c r="E1123" s="12">
        <f t="shared" si="121"/>
        <v>9.2159999999996759E-5</v>
      </c>
      <c r="F1123" s="12">
        <f t="shared" si="122"/>
        <v>5.5785327867850256E-5</v>
      </c>
      <c r="G1123" s="12">
        <f t="shared" si="123"/>
        <v>1.3877744631967428</v>
      </c>
      <c r="I1123" s="12">
        <f t="shared" si="124"/>
        <v>7.4689576158825707E-3</v>
      </c>
      <c r="J1123" s="12">
        <f t="shared" si="125"/>
        <v>5.4233926257759718E-3</v>
      </c>
    </row>
    <row r="1124" spans="1:10">
      <c r="A1124" s="15">
        <v>41403</v>
      </c>
      <c r="B1124" s="11">
        <v>2.1819999999999999</v>
      </c>
      <c r="C1124" s="11">
        <f t="shared" si="119"/>
        <v>3.6699999999999733E-2</v>
      </c>
      <c r="D1124" s="12">
        <f t="shared" si="120"/>
        <v>1.3468899999999804E-3</v>
      </c>
      <c r="E1124" s="12">
        <f t="shared" si="121"/>
        <v>2.8900000000001185E-4</v>
      </c>
      <c r="F1124" s="12">
        <f t="shared" si="122"/>
        <v>6.8311744886223575E-5</v>
      </c>
      <c r="G1124" s="12">
        <f t="shared" si="123"/>
        <v>-5.9816313523194218</v>
      </c>
      <c r="I1124" s="12">
        <f t="shared" si="124"/>
        <v>8.2650919466285173E-3</v>
      </c>
      <c r="J1124" s="12">
        <f t="shared" si="125"/>
        <v>5.4233926257759718E-3</v>
      </c>
    </row>
    <row r="1125" spans="1:10">
      <c r="A1125" s="15">
        <v>41404</v>
      </c>
      <c r="B1125" s="11">
        <v>2.1463999999999999</v>
      </c>
      <c r="C1125" s="11">
        <f t="shared" si="119"/>
        <v>-3.5600000000000076E-2</v>
      </c>
      <c r="D1125" s="12">
        <f t="shared" si="120"/>
        <v>1.2673600000000053E-3</v>
      </c>
      <c r="E1125" s="12">
        <f t="shared" si="121"/>
        <v>1.3468899999999804E-3</v>
      </c>
      <c r="F1125" s="12">
        <f t="shared" si="122"/>
        <v>1.4218252876816882E-4</v>
      </c>
      <c r="G1125" s="12">
        <f t="shared" si="123"/>
        <v>-0.94654545520719657</v>
      </c>
      <c r="I1125" s="12">
        <f t="shared" si="124"/>
        <v>1.1924031565211862E-2</v>
      </c>
      <c r="J1125" s="12">
        <f t="shared" si="125"/>
        <v>5.4233926257759718E-3</v>
      </c>
    </row>
    <row r="1126" spans="1:10">
      <c r="A1126" s="15">
        <v>41405</v>
      </c>
      <c r="B1126" s="11">
        <v>2.1383999999999999</v>
      </c>
      <c r="C1126" s="11">
        <f t="shared" si="119"/>
        <v>-8.0000000000000071E-3</v>
      </c>
      <c r="D1126" s="12">
        <f t="shared" si="120"/>
        <v>6.4000000000000119E-5</v>
      </c>
      <c r="E1126" s="12">
        <f t="shared" si="121"/>
        <v>1.2673600000000053E-3</v>
      </c>
      <c r="F1126" s="12">
        <f t="shared" si="122"/>
        <v>2.0334978686693551E-4</v>
      </c>
      <c r="G1126" s="12">
        <f t="shared" si="123"/>
        <v>3.1739886308549514</v>
      </c>
      <c r="I1126" s="12">
        <f t="shared" si="124"/>
        <v>1.4260076678157643E-2</v>
      </c>
      <c r="J1126" s="12">
        <f t="shared" si="125"/>
        <v>5.4233926257759718E-3</v>
      </c>
    </row>
    <row r="1127" spans="1:10">
      <c r="A1127" s="15">
        <v>41406</v>
      </c>
      <c r="B1127" s="11">
        <v>2.1412</v>
      </c>
      <c r="C1127" s="11">
        <f t="shared" si="119"/>
        <v>2.8000000000001357E-3</v>
      </c>
      <c r="D1127" s="12">
        <f t="shared" si="120"/>
        <v>7.8400000000007601E-6</v>
      </c>
      <c r="E1127" s="12">
        <f t="shared" si="121"/>
        <v>6.4000000000000119E-5</v>
      </c>
      <c r="F1127" s="12">
        <f t="shared" si="122"/>
        <v>1.8658016353467475E-4</v>
      </c>
      <c r="G1127" s="12">
        <f t="shared" si="123"/>
        <v>3.3533765132678974</v>
      </c>
      <c r="I1127" s="12">
        <f t="shared" si="124"/>
        <v>1.3659434963960798E-2</v>
      </c>
      <c r="J1127" s="12">
        <f t="shared" si="125"/>
        <v>5.4233926257759718E-3</v>
      </c>
    </row>
    <row r="1128" spans="1:10">
      <c r="A1128" s="15">
        <v>41407</v>
      </c>
      <c r="B1128" s="11">
        <v>2.1526000000000001</v>
      </c>
      <c r="C1128" s="11">
        <f t="shared" si="119"/>
        <v>1.1400000000000077E-2</v>
      </c>
      <c r="D1128" s="12">
        <f t="shared" si="120"/>
        <v>1.2996000000000174E-4</v>
      </c>
      <c r="E1128" s="12">
        <f t="shared" si="121"/>
        <v>7.8400000000007601E-6</v>
      </c>
      <c r="F1128" s="12">
        <f t="shared" si="122"/>
        <v>1.6829585469395821E-4</v>
      </c>
      <c r="G1128" s="12">
        <f t="shared" si="123"/>
        <v>3.0398492365269449</v>
      </c>
      <c r="I1128" s="12">
        <f t="shared" si="124"/>
        <v>1.2972889219212434E-2</v>
      </c>
      <c r="J1128" s="12">
        <f t="shared" si="125"/>
        <v>5.4233926257759718E-3</v>
      </c>
    </row>
    <row r="1129" spans="1:10">
      <c r="A1129" s="15">
        <v>41408</v>
      </c>
      <c r="B1129" s="11">
        <v>2.1551999999999998</v>
      </c>
      <c r="C1129" s="11">
        <f t="shared" si="119"/>
        <v>2.5999999999997137E-3</v>
      </c>
      <c r="D1129" s="12">
        <f t="shared" si="120"/>
        <v>6.7599999999985106E-6</v>
      </c>
      <c r="E1129" s="12">
        <f t="shared" si="121"/>
        <v>1.2996000000000174E-4</v>
      </c>
      <c r="F1129" s="12">
        <f t="shared" si="122"/>
        <v>1.5922702444940492E-4</v>
      </c>
      <c r="G1129" s="12">
        <f t="shared" si="123"/>
        <v>3.4324236807370658</v>
      </c>
      <c r="I1129" s="12">
        <f t="shared" si="124"/>
        <v>1.2618519106828856E-2</v>
      </c>
      <c r="J1129" s="12">
        <f t="shared" si="125"/>
        <v>5.4233926257759718E-3</v>
      </c>
    </row>
    <row r="1130" spans="1:10">
      <c r="A1130" s="15">
        <v>41409</v>
      </c>
      <c r="B1130" s="11">
        <v>2.1404000000000001</v>
      </c>
      <c r="C1130" s="11">
        <f t="shared" si="119"/>
        <v>-1.4799999999999702E-2</v>
      </c>
      <c r="D1130" s="12">
        <f t="shared" si="120"/>
        <v>2.1903999999999118E-4</v>
      </c>
      <c r="E1130" s="12">
        <f t="shared" si="121"/>
        <v>6.7599999999985106E-6</v>
      </c>
      <c r="F1130" s="12">
        <f t="shared" si="122"/>
        <v>1.4383724442132846E-4</v>
      </c>
      <c r="G1130" s="12">
        <f t="shared" si="123"/>
        <v>2.7430593878211873</v>
      </c>
      <c r="I1130" s="12">
        <f t="shared" si="124"/>
        <v>1.1993216600284032E-2</v>
      </c>
      <c r="J1130" s="12">
        <f t="shared" si="125"/>
        <v>5.4233926257759718E-3</v>
      </c>
    </row>
    <row r="1131" spans="1:10">
      <c r="A1131" s="15">
        <v>41410</v>
      </c>
      <c r="B1131" s="11">
        <v>2.1341999999999999</v>
      </c>
      <c r="C1131" s="11">
        <f t="shared" si="119"/>
        <v>-6.2000000000002053E-3</v>
      </c>
      <c r="D1131" s="12">
        <f t="shared" si="120"/>
        <v>3.8440000000002546E-5</v>
      </c>
      <c r="E1131" s="12">
        <f t="shared" si="121"/>
        <v>2.1903999999999118E-4</v>
      </c>
      <c r="F1131" s="12">
        <f t="shared" si="122"/>
        <v>1.4269348911246889E-4</v>
      </c>
      <c r="G1131" s="12">
        <f t="shared" si="123"/>
        <v>3.3737729872819493</v>
      </c>
      <c r="I1131" s="12">
        <f t="shared" si="124"/>
        <v>1.1945438004211854E-2</v>
      </c>
      <c r="J1131" s="12">
        <f t="shared" si="125"/>
        <v>5.4233926257759718E-3</v>
      </c>
    </row>
    <row r="1132" spans="1:10">
      <c r="A1132" s="15">
        <v>41411</v>
      </c>
      <c r="B1132" s="11">
        <v>2.1297999999999999</v>
      </c>
      <c r="C1132" s="11">
        <f t="shared" si="119"/>
        <v>-4.3999999999999595E-3</v>
      </c>
      <c r="D1132" s="12">
        <f t="shared" si="120"/>
        <v>1.9359999999999645E-5</v>
      </c>
      <c r="E1132" s="12">
        <f t="shared" si="121"/>
        <v>3.8440000000002546E-5</v>
      </c>
      <c r="F1132" s="12">
        <f t="shared" si="122"/>
        <v>1.3096960666688704E-4</v>
      </c>
      <c r="G1132" s="12">
        <f t="shared" si="123"/>
        <v>3.4774238176303922</v>
      </c>
      <c r="I1132" s="12">
        <f t="shared" si="124"/>
        <v>1.1444195326316615E-2</v>
      </c>
      <c r="J1132" s="12">
        <f t="shared" si="125"/>
        <v>5.4233926257759718E-3</v>
      </c>
    </row>
    <row r="1133" spans="1:10">
      <c r="A1133" s="15">
        <v>41412</v>
      </c>
      <c r="B1133" s="11">
        <v>2.1301999999999999</v>
      </c>
      <c r="C1133" s="11">
        <f t="shared" si="119"/>
        <v>3.9999999999995595E-4</v>
      </c>
      <c r="D1133" s="12">
        <f t="shared" si="120"/>
        <v>1.5999999999996475E-7</v>
      </c>
      <c r="E1133" s="12">
        <f t="shared" si="121"/>
        <v>1.9359999999999645E-5</v>
      </c>
      <c r="F1133" s="12">
        <f t="shared" si="122"/>
        <v>1.1938295195093621E-4</v>
      </c>
      <c r="G1133" s="12">
        <f t="shared" si="123"/>
        <v>3.5969784210693754</v>
      </c>
      <c r="I1133" s="12">
        <f t="shared" si="124"/>
        <v>1.0926250589792283E-2</v>
      </c>
      <c r="J1133" s="12">
        <f t="shared" si="125"/>
        <v>5.4233926257759718E-3</v>
      </c>
    </row>
    <row r="1134" spans="1:10">
      <c r="A1134" s="15">
        <v>41413</v>
      </c>
      <c r="B1134" s="11">
        <v>2.1334</v>
      </c>
      <c r="C1134" s="11">
        <f t="shared" si="119"/>
        <v>3.2000000000000917E-3</v>
      </c>
      <c r="D1134" s="12">
        <f t="shared" si="120"/>
        <v>1.0240000000000586E-5</v>
      </c>
      <c r="E1134" s="12">
        <f t="shared" si="121"/>
        <v>1.5999999999996475E-7</v>
      </c>
      <c r="F1134" s="12">
        <f t="shared" si="122"/>
        <v>1.0791157011443962E-4</v>
      </c>
      <c r="G1134" s="12">
        <f t="shared" si="123"/>
        <v>3.6007144339692672</v>
      </c>
      <c r="I1134" s="12">
        <f t="shared" si="124"/>
        <v>1.0388049389295356E-2</v>
      </c>
      <c r="J1134" s="12">
        <f t="shared" si="125"/>
        <v>5.4233926257759718E-3</v>
      </c>
    </row>
    <row r="1135" spans="1:10">
      <c r="A1135" s="15">
        <v>41414</v>
      </c>
      <c r="B1135" s="11">
        <v>2.1291000000000002</v>
      </c>
      <c r="C1135" s="11">
        <f t="shared" si="119"/>
        <v>-4.2999999999997485E-3</v>
      </c>
      <c r="D1135" s="12">
        <f t="shared" si="120"/>
        <v>1.8489999999997836E-5</v>
      </c>
      <c r="E1135" s="12">
        <f t="shared" si="121"/>
        <v>1.0240000000000586E-5</v>
      </c>
      <c r="F1135" s="12">
        <f t="shared" si="122"/>
        <v>9.827836600158315E-5</v>
      </c>
      <c r="G1135" s="12">
        <f t="shared" si="123"/>
        <v>3.6008452445455665</v>
      </c>
      <c r="I1135" s="12">
        <f t="shared" si="124"/>
        <v>9.9135445730365868E-3</v>
      </c>
      <c r="J1135" s="12">
        <f t="shared" si="125"/>
        <v>5.4233926257759718E-3</v>
      </c>
    </row>
    <row r="1136" spans="1:10">
      <c r="A1136" s="15">
        <v>41415</v>
      </c>
      <c r="B1136" s="11">
        <v>2.1284999999999998</v>
      </c>
      <c r="C1136" s="11">
        <f t="shared" si="119"/>
        <v>-6.0000000000037801E-4</v>
      </c>
      <c r="D1136" s="12">
        <f t="shared" si="120"/>
        <v>3.6000000000045363E-7</v>
      </c>
      <c r="E1136" s="12">
        <f t="shared" si="121"/>
        <v>1.8489999999997836E-5</v>
      </c>
      <c r="F1136" s="12">
        <f t="shared" si="122"/>
        <v>9.0176059964453012E-5</v>
      </c>
      <c r="G1136" s="12">
        <f t="shared" si="123"/>
        <v>3.735938652572385</v>
      </c>
      <c r="I1136" s="12">
        <f t="shared" si="124"/>
        <v>9.4961076217813054E-3</v>
      </c>
      <c r="J1136" s="12">
        <f t="shared" si="125"/>
        <v>5.4233926257759718E-3</v>
      </c>
    </row>
    <row r="1137" spans="1:10">
      <c r="A1137" s="15">
        <v>41416</v>
      </c>
      <c r="B1137" s="11">
        <v>2.1377999999999999</v>
      </c>
      <c r="C1137" s="11">
        <f t="shared" si="119"/>
        <v>9.300000000000086E-3</v>
      </c>
      <c r="D1137" s="12">
        <f t="shared" si="120"/>
        <v>8.6490000000001593E-5</v>
      </c>
      <c r="E1137" s="12">
        <f t="shared" si="121"/>
        <v>3.6000000000045363E-7</v>
      </c>
      <c r="F1137" s="12">
        <f t="shared" si="122"/>
        <v>8.1875573703541377E-5</v>
      </c>
      <c r="G1137" s="12">
        <f t="shared" si="123"/>
        <v>3.2580368827743937</v>
      </c>
      <c r="I1137" s="12">
        <f t="shared" si="124"/>
        <v>9.0485122370222489E-3</v>
      </c>
      <c r="J1137" s="12">
        <f t="shared" si="125"/>
        <v>5.4233926257759718E-3</v>
      </c>
    </row>
    <row r="1138" spans="1:10">
      <c r="A1138" s="15">
        <v>41417</v>
      </c>
      <c r="B1138" s="11">
        <v>2.1425000000000001</v>
      </c>
      <c r="C1138" s="11">
        <f t="shared" si="119"/>
        <v>4.7000000000001485E-3</v>
      </c>
      <c r="D1138" s="12">
        <f t="shared" si="120"/>
        <v>2.2090000000001396E-5</v>
      </c>
      <c r="E1138" s="12">
        <f t="shared" si="121"/>
        <v>8.6490000000001593E-5</v>
      </c>
      <c r="F1138" s="12">
        <f t="shared" si="122"/>
        <v>7.9577644945937043E-5</v>
      </c>
      <c r="G1138" s="12">
        <f t="shared" si="123"/>
        <v>3.6616548718820008</v>
      </c>
      <c r="I1138" s="12">
        <f t="shared" si="124"/>
        <v>8.9206302998127342E-3</v>
      </c>
      <c r="J1138" s="12">
        <f t="shared" si="125"/>
        <v>5.4233926257759718E-3</v>
      </c>
    </row>
    <row r="1139" spans="1:10">
      <c r="A1139" s="15">
        <v>41418</v>
      </c>
      <c r="B1139" s="11">
        <v>2.1438000000000001</v>
      </c>
      <c r="C1139" s="11">
        <f t="shared" si="119"/>
        <v>1.3000000000000789E-3</v>
      </c>
      <c r="D1139" s="12">
        <f t="shared" si="120"/>
        <v>1.6900000000002051E-6</v>
      </c>
      <c r="E1139" s="12">
        <f t="shared" si="121"/>
        <v>2.2090000000001396E-5</v>
      </c>
      <c r="F1139" s="12">
        <f t="shared" si="122"/>
        <v>7.3711390099285244E-5</v>
      </c>
      <c r="G1139" s="12">
        <f t="shared" si="123"/>
        <v>3.8272744427588834</v>
      </c>
      <c r="I1139" s="12">
        <f t="shared" si="124"/>
        <v>8.5855337690376159E-3</v>
      </c>
      <c r="J1139" s="12">
        <f t="shared" si="125"/>
        <v>5.4233926257759718E-3</v>
      </c>
    </row>
    <row r="1140" spans="1:10">
      <c r="A1140" s="15">
        <v>41419</v>
      </c>
      <c r="B1140" s="11">
        <v>2.1433</v>
      </c>
      <c r="C1140" s="11">
        <f t="shared" si="119"/>
        <v>-5.0000000000016698E-4</v>
      </c>
      <c r="D1140" s="12">
        <f t="shared" si="120"/>
        <v>2.5000000000016696E-7</v>
      </c>
      <c r="E1140" s="12">
        <f t="shared" si="121"/>
        <v>1.6900000000002051E-6</v>
      </c>
      <c r="F1140" s="12">
        <f t="shared" si="122"/>
        <v>6.7270563045638838E-5</v>
      </c>
      <c r="G1140" s="12">
        <f t="shared" si="123"/>
        <v>3.8825971995343562</v>
      </c>
      <c r="I1140" s="12">
        <f t="shared" si="124"/>
        <v>8.2018633886232727E-3</v>
      </c>
      <c r="J1140" s="12">
        <f t="shared" si="125"/>
        <v>5.4233926257759718E-3</v>
      </c>
    </row>
    <row r="1141" spans="1:10">
      <c r="A1141" s="15">
        <v>41420</v>
      </c>
      <c r="B1141" s="11">
        <v>2.1398000000000001</v>
      </c>
      <c r="C1141" s="11">
        <f t="shared" si="119"/>
        <v>-3.4999999999998366E-3</v>
      </c>
      <c r="D1141" s="12">
        <f t="shared" si="120"/>
        <v>1.2249999999998856E-5</v>
      </c>
      <c r="E1141" s="12">
        <f t="shared" si="121"/>
        <v>2.5000000000016696E-7</v>
      </c>
      <c r="F1141" s="12">
        <f t="shared" si="122"/>
        <v>6.1441035042641149E-5</v>
      </c>
      <c r="G1141" s="12">
        <f t="shared" si="123"/>
        <v>3.8300886950371535</v>
      </c>
      <c r="I1141" s="12">
        <f t="shared" si="124"/>
        <v>7.8384332007513553E-3</v>
      </c>
      <c r="J1141" s="12">
        <f t="shared" si="125"/>
        <v>5.4233926257759718E-3</v>
      </c>
    </row>
    <row r="1142" spans="1:10">
      <c r="A1142" s="15">
        <v>41421</v>
      </c>
      <c r="B1142" s="11">
        <v>2.1351</v>
      </c>
      <c r="C1142" s="11">
        <f t="shared" si="119"/>
        <v>-4.7000000000001485E-3</v>
      </c>
      <c r="D1142" s="12">
        <f t="shared" si="120"/>
        <v>2.2090000000001396E-5</v>
      </c>
      <c r="E1142" s="12">
        <f t="shared" si="121"/>
        <v>1.2249999999998856E-5</v>
      </c>
      <c r="F1142" s="12">
        <f t="shared" si="122"/>
        <v>5.6953252061637264E-5</v>
      </c>
      <c r="G1142" s="12">
        <f t="shared" si="123"/>
        <v>3.7737703621205969</v>
      </c>
      <c r="I1142" s="12">
        <f t="shared" si="124"/>
        <v>7.5467378423817837E-3</v>
      </c>
      <c r="J1142" s="12">
        <f t="shared" si="125"/>
        <v>5.4233926257759718E-3</v>
      </c>
    </row>
    <row r="1143" spans="1:10">
      <c r="A1143" s="15">
        <v>41422</v>
      </c>
      <c r="B1143" s="11">
        <v>2.1339999999999999</v>
      </c>
      <c r="C1143" s="11">
        <f t="shared" si="119"/>
        <v>-1.1000000000001009E-3</v>
      </c>
      <c r="D1143" s="12">
        <f t="shared" si="120"/>
        <v>1.210000000000222E-6</v>
      </c>
      <c r="E1143" s="12">
        <f t="shared" si="121"/>
        <v>2.2090000000001396E-5</v>
      </c>
      <c r="F1143" s="12">
        <f t="shared" si="122"/>
        <v>5.3534070526585527E-5</v>
      </c>
      <c r="G1143" s="12">
        <f t="shared" si="123"/>
        <v>3.9873563824125586</v>
      </c>
      <c r="I1143" s="12">
        <f t="shared" si="124"/>
        <v>7.3166980617342357E-3</v>
      </c>
      <c r="J1143" s="12">
        <f t="shared" si="125"/>
        <v>5.4233926257759718E-3</v>
      </c>
    </row>
    <row r="1144" spans="1:10">
      <c r="A1144" s="15">
        <v>41423</v>
      </c>
      <c r="B1144" s="11">
        <v>2.1326000000000001</v>
      </c>
      <c r="C1144" s="11">
        <f t="shared" si="119"/>
        <v>-1.3999999999998458E-3</v>
      </c>
      <c r="D1144" s="12">
        <f t="shared" si="120"/>
        <v>1.9599999999995683E-6</v>
      </c>
      <c r="E1144" s="12">
        <f t="shared" si="121"/>
        <v>1.210000000000222E-6</v>
      </c>
      <c r="F1144" s="12">
        <f t="shared" si="122"/>
        <v>4.9247190547226595E-5</v>
      </c>
      <c r="G1144" s="12">
        <f t="shared" si="123"/>
        <v>4.020490965433444</v>
      </c>
      <c r="I1144" s="12">
        <f t="shared" si="124"/>
        <v>7.0176342557322401E-3</v>
      </c>
      <c r="J1144" s="12">
        <f t="shared" si="125"/>
        <v>5.4233926257759718E-3</v>
      </c>
    </row>
    <row r="1145" spans="1:10">
      <c r="A1145" s="15">
        <v>41424</v>
      </c>
      <c r="B1145" s="11">
        <v>2.1379999999999999</v>
      </c>
      <c r="C1145" s="11">
        <f t="shared" si="119"/>
        <v>5.3999999999998494E-3</v>
      </c>
      <c r="D1145" s="12">
        <f t="shared" si="120"/>
        <v>2.9159999999998372E-5</v>
      </c>
      <c r="E1145" s="12">
        <f t="shared" si="121"/>
        <v>1.9599999999995683E-6</v>
      </c>
      <c r="F1145" s="12">
        <f t="shared" si="122"/>
        <v>4.5468434251212882E-5</v>
      </c>
      <c r="G1145" s="12">
        <f t="shared" si="123"/>
        <v>3.7596455515630662</v>
      </c>
      <c r="I1145" s="12">
        <f t="shared" si="124"/>
        <v>6.7430285666911487E-3</v>
      </c>
      <c r="J1145" s="12">
        <f t="shared" si="125"/>
        <v>5.4233926257759718E-3</v>
      </c>
    </row>
    <row r="1146" spans="1:10">
      <c r="A1146" s="15">
        <v>41425</v>
      </c>
      <c r="B1146" s="11">
        <v>2.1358000000000001</v>
      </c>
      <c r="C1146" s="11">
        <f t="shared" si="119"/>
        <v>-2.1999999999997577E-3</v>
      </c>
      <c r="D1146" s="12">
        <f t="shared" si="120"/>
        <v>4.8399999999989338E-6</v>
      </c>
      <c r="E1146" s="12">
        <f t="shared" si="121"/>
        <v>2.9159999999998372E-5</v>
      </c>
      <c r="F1146" s="12">
        <f t="shared" si="122"/>
        <v>4.3710486408172705E-5</v>
      </c>
      <c r="G1146" s="12">
        <f t="shared" si="123"/>
        <v>4.0446584309886715</v>
      </c>
      <c r="I1146" s="12">
        <f t="shared" si="124"/>
        <v>6.6113906561458538E-3</v>
      </c>
      <c r="J1146" s="12">
        <f t="shared" si="125"/>
        <v>5.4233926257759718E-3</v>
      </c>
    </row>
    <row r="1147" spans="1:10">
      <c r="A1147" s="15">
        <v>41426</v>
      </c>
      <c r="B1147" s="11">
        <v>2.1358000000000001</v>
      </c>
      <c r="C1147" s="11">
        <f t="shared" si="119"/>
        <v>0</v>
      </c>
      <c r="D1147" s="12">
        <f t="shared" si="120"/>
        <v>0</v>
      </c>
      <c r="E1147" s="12">
        <f t="shared" si="121"/>
        <v>4.8399999999989338E-6</v>
      </c>
      <c r="F1147" s="12">
        <f t="shared" si="122"/>
        <v>4.0701277088018541E-5</v>
      </c>
      <c r="G1147" s="12">
        <f t="shared" si="123"/>
        <v>4.1356870033709203</v>
      </c>
      <c r="I1147" s="12">
        <f t="shared" si="124"/>
        <v>6.3797552529872605E-3</v>
      </c>
      <c r="J1147" s="12">
        <f t="shared" si="125"/>
        <v>5.4233926257759718E-3</v>
      </c>
    </row>
    <row r="1148" spans="1:10">
      <c r="A1148" s="15">
        <v>41427</v>
      </c>
      <c r="B1148" s="11">
        <v>2.1339000000000001</v>
      </c>
      <c r="C1148" s="11">
        <f t="shared" si="119"/>
        <v>-1.9000000000000128E-3</v>
      </c>
      <c r="D1148" s="12">
        <f t="shared" si="120"/>
        <v>3.6100000000000484E-6</v>
      </c>
      <c r="E1148" s="12">
        <f t="shared" si="121"/>
        <v>0</v>
      </c>
      <c r="F1148" s="12">
        <f t="shared" si="122"/>
        <v>3.7730688290734615E-5</v>
      </c>
      <c r="G1148" s="12">
        <f t="shared" si="123"/>
        <v>4.1257408077385191</v>
      </c>
      <c r="I1148" s="12">
        <f t="shared" si="124"/>
        <v>6.1425310980681748E-3</v>
      </c>
      <c r="J1148" s="12">
        <f t="shared" si="125"/>
        <v>5.4233926257759718E-3</v>
      </c>
    </row>
    <row r="1149" spans="1:10">
      <c r="A1149" s="15">
        <v>41428</v>
      </c>
      <c r="B1149" s="11">
        <v>2.1395</v>
      </c>
      <c r="C1149" s="11">
        <f t="shared" si="119"/>
        <v>5.5999999999998273E-3</v>
      </c>
      <c r="D1149" s="12">
        <f t="shared" si="120"/>
        <v>3.1359999999998067E-5</v>
      </c>
      <c r="E1149" s="12">
        <f t="shared" si="121"/>
        <v>3.6100000000000484E-6</v>
      </c>
      <c r="F1149" s="12">
        <f t="shared" si="122"/>
        <v>3.5295359066489696E-5</v>
      </c>
      <c r="G1149" s="12">
        <f t="shared" si="123"/>
        <v>3.7626899555648987</v>
      </c>
      <c r="I1149" s="12">
        <f t="shared" si="124"/>
        <v>5.9409897379552592E-3</v>
      </c>
      <c r="J1149" s="12">
        <f t="shared" si="125"/>
        <v>5.4233926257759718E-3</v>
      </c>
    </row>
    <row r="1150" spans="1:10">
      <c r="A1150" s="15">
        <v>41429</v>
      </c>
      <c r="B1150" s="11">
        <v>2.1374</v>
      </c>
      <c r="C1150" s="11">
        <f t="shared" si="119"/>
        <v>-2.0999999999999908E-3</v>
      </c>
      <c r="D1150" s="12">
        <f t="shared" si="120"/>
        <v>4.4099999999999612E-6</v>
      </c>
      <c r="E1150" s="12">
        <f t="shared" si="121"/>
        <v>3.1359999999998067E-5</v>
      </c>
      <c r="F1150" s="12">
        <f t="shared" si="122"/>
        <v>3.4768129605515024E-5</v>
      </c>
      <c r="G1150" s="12">
        <f t="shared" si="123"/>
        <v>4.1510460126258604</v>
      </c>
      <c r="I1150" s="12">
        <f t="shared" si="124"/>
        <v>5.896450593833126E-3</v>
      </c>
      <c r="J1150" s="12">
        <f t="shared" si="125"/>
        <v>5.4233926257759718E-3</v>
      </c>
    </row>
    <row r="1151" spans="1:10">
      <c r="A1151" s="15">
        <v>41430</v>
      </c>
      <c r="B1151" s="11">
        <v>2.1381000000000001</v>
      </c>
      <c r="C1151" s="11">
        <f t="shared" si="119"/>
        <v>7.0000000000014495E-4</v>
      </c>
      <c r="D1151" s="12">
        <f t="shared" si="120"/>
        <v>4.9000000000020294E-7</v>
      </c>
      <c r="E1151" s="12">
        <f t="shared" si="121"/>
        <v>4.4099999999999612E-6</v>
      </c>
      <c r="F1151" s="12">
        <f t="shared" si="122"/>
        <v>3.2700647772537652E-5</v>
      </c>
      <c r="G1151" s="12">
        <f t="shared" si="123"/>
        <v>4.2376270884359162</v>
      </c>
      <c r="I1151" s="12">
        <f t="shared" si="124"/>
        <v>5.7184480213199147E-3</v>
      </c>
      <c r="J1151" s="12">
        <f t="shared" si="125"/>
        <v>5.4233926257759718E-3</v>
      </c>
    </row>
    <row r="1152" spans="1:10">
      <c r="A1152" s="15">
        <v>41431</v>
      </c>
      <c r="B1152" s="11">
        <v>2.1482000000000001</v>
      </c>
      <c r="C1152" s="11">
        <f t="shared" si="119"/>
        <v>1.0099999999999998E-2</v>
      </c>
      <c r="D1152" s="12">
        <f t="shared" si="120"/>
        <v>1.0200999999999995E-4</v>
      </c>
      <c r="E1152" s="12">
        <f t="shared" si="121"/>
        <v>4.9000000000020294E-7</v>
      </c>
      <c r="F1152" s="12">
        <f t="shared" si="122"/>
        <v>3.062445517022887E-5</v>
      </c>
      <c r="G1152" s="12">
        <f t="shared" si="123"/>
        <v>2.6124182816356738</v>
      </c>
      <c r="I1152" s="12">
        <f t="shared" si="124"/>
        <v>5.5339366792753301E-3</v>
      </c>
      <c r="J1152" s="12">
        <f t="shared" si="125"/>
        <v>5.4233926257759718E-3</v>
      </c>
    </row>
    <row r="1153" spans="1:10">
      <c r="A1153" s="15">
        <v>41432</v>
      </c>
      <c r="B1153" s="11">
        <v>2.1465999999999998</v>
      </c>
      <c r="C1153" s="11">
        <f t="shared" si="119"/>
        <v>-1.6000000000002679E-3</v>
      </c>
      <c r="D1153" s="12">
        <f t="shared" si="120"/>
        <v>2.5600000000008573E-6</v>
      </c>
      <c r="E1153" s="12">
        <f t="shared" si="121"/>
        <v>1.0200999999999995E-4</v>
      </c>
      <c r="F1153" s="12">
        <f t="shared" si="122"/>
        <v>3.4789732824926679E-5</v>
      </c>
      <c r="G1153" s="12">
        <f t="shared" si="123"/>
        <v>4.1773631194348759</v>
      </c>
      <c r="I1153" s="12">
        <f t="shared" si="124"/>
        <v>5.8982821927173572E-3</v>
      </c>
      <c r="J1153" s="12">
        <f t="shared" si="125"/>
        <v>5.4233926257759718E-3</v>
      </c>
    </row>
    <row r="1154" spans="1:10">
      <c r="A1154" s="15">
        <v>41433</v>
      </c>
      <c r="B1154" s="11">
        <v>2.1492</v>
      </c>
      <c r="C1154" s="11">
        <f t="shared" si="119"/>
        <v>2.6000000000001577E-3</v>
      </c>
      <c r="D1154" s="12">
        <f t="shared" si="120"/>
        <v>6.7600000000008204E-6</v>
      </c>
      <c r="E1154" s="12">
        <f t="shared" si="121"/>
        <v>2.5600000000008573E-6</v>
      </c>
      <c r="F1154" s="12">
        <f t="shared" si="122"/>
        <v>3.2610268202174893E-5</v>
      </c>
      <c r="G1154" s="12">
        <f t="shared" si="123"/>
        <v>4.1428547963322782</v>
      </c>
      <c r="I1154" s="12">
        <f t="shared" si="124"/>
        <v>5.7105400972390424E-3</v>
      </c>
      <c r="J1154" s="12">
        <f t="shared" si="125"/>
        <v>5.4233926257759718E-3</v>
      </c>
    </row>
    <row r="1155" spans="1:10">
      <c r="A1155" s="15">
        <v>41434</v>
      </c>
      <c r="B1155" s="11">
        <v>2.1459999999999999</v>
      </c>
      <c r="C1155" s="11">
        <f t="shared" si="119"/>
        <v>-3.2000000000000917E-3</v>
      </c>
      <c r="D1155" s="12">
        <f t="shared" si="120"/>
        <v>1.0240000000000586E-5</v>
      </c>
      <c r="E1155" s="12">
        <f t="shared" si="121"/>
        <v>6.7600000000008204E-6</v>
      </c>
      <c r="F1155" s="12">
        <f t="shared" si="122"/>
        <v>3.0915462735337757E-5</v>
      </c>
      <c r="G1155" s="12">
        <f t="shared" si="123"/>
        <v>4.1075755847836328</v>
      </c>
      <c r="I1155" s="12">
        <f t="shared" si="124"/>
        <v>5.5601675096473265E-3</v>
      </c>
      <c r="J1155" s="12">
        <f t="shared" si="125"/>
        <v>5.4233926257759718E-3</v>
      </c>
    </row>
    <row r="1156" spans="1:10">
      <c r="A1156" s="15">
        <v>41435</v>
      </c>
      <c r="B1156" s="11">
        <v>2.1539000000000001</v>
      </c>
      <c r="C1156" s="11">
        <f t="shared" si="119"/>
        <v>7.9000000000002402E-3</v>
      </c>
      <c r="D1156" s="12">
        <f t="shared" si="120"/>
        <v>6.2410000000003788E-5</v>
      </c>
      <c r="E1156" s="12">
        <f t="shared" si="121"/>
        <v>1.0240000000000586E-5</v>
      </c>
      <c r="F1156" s="12">
        <f t="shared" si="122"/>
        <v>2.9610222180577169E-5</v>
      </c>
      <c r="G1156" s="12">
        <f t="shared" si="123"/>
        <v>3.240897886420206</v>
      </c>
      <c r="I1156" s="12">
        <f t="shared" si="124"/>
        <v>5.4415275594797063E-3</v>
      </c>
      <c r="J1156" s="12">
        <f t="shared" si="125"/>
        <v>5.4233926257759718E-3</v>
      </c>
    </row>
    <row r="1157" spans="1:10">
      <c r="A1157" s="15">
        <v>41436</v>
      </c>
      <c r="B1157" s="11">
        <v>2.1610999999999998</v>
      </c>
      <c r="C1157" s="11">
        <f t="shared" si="119"/>
        <v>7.1999999999996511E-3</v>
      </c>
      <c r="D1157" s="12">
        <f t="shared" si="120"/>
        <v>5.1839999999994977E-5</v>
      </c>
      <c r="E1157" s="12">
        <f t="shared" si="121"/>
        <v>6.2410000000003788E-5</v>
      </c>
      <c r="F1157" s="12">
        <f t="shared" si="122"/>
        <v>3.1538179460920017E-5</v>
      </c>
      <c r="G1157" s="12">
        <f t="shared" si="123"/>
        <v>3.4413563000563583</v>
      </c>
      <c r="I1157" s="12">
        <f t="shared" si="124"/>
        <v>5.6158863468663625E-3</v>
      </c>
      <c r="J1157" s="12">
        <f t="shared" si="125"/>
        <v>5.4233926257759718E-3</v>
      </c>
    </row>
    <row r="1158" spans="1:10">
      <c r="A1158" s="15">
        <v>41437</v>
      </c>
      <c r="B1158" s="11">
        <v>2.1627999999999998</v>
      </c>
      <c r="C1158" s="11">
        <f t="shared" si="119"/>
        <v>1.7000000000000348E-3</v>
      </c>
      <c r="D1158" s="12">
        <f t="shared" si="120"/>
        <v>2.8900000000001184E-6</v>
      </c>
      <c r="E1158" s="12">
        <f t="shared" si="121"/>
        <v>5.1839999999994977E-5</v>
      </c>
      <c r="F1158" s="12">
        <f t="shared" si="122"/>
        <v>3.263114240527287E-5</v>
      </c>
      <c r="G1158" s="12">
        <f t="shared" si="123"/>
        <v>4.201900327474716</v>
      </c>
      <c r="I1158" s="12">
        <f t="shared" si="124"/>
        <v>5.7123674956424918E-3</v>
      </c>
      <c r="J1158" s="12">
        <f t="shared" si="125"/>
        <v>5.4233926257759718E-3</v>
      </c>
    </row>
    <row r="1159" spans="1:10">
      <c r="A1159" s="15">
        <v>41438</v>
      </c>
      <c r="B1159" s="11">
        <v>2.1644000000000001</v>
      </c>
      <c r="C1159" s="11">
        <f t="shared" si="119"/>
        <v>1.6000000000002679E-3</v>
      </c>
      <c r="D1159" s="12">
        <f t="shared" si="120"/>
        <v>2.5600000000008573E-6</v>
      </c>
      <c r="E1159" s="12">
        <f t="shared" si="121"/>
        <v>2.8900000000001184E-6</v>
      </c>
      <c r="F1159" s="12">
        <f t="shared" si="122"/>
        <v>3.0704711238470025E-5</v>
      </c>
      <c r="G1159" s="12">
        <f t="shared" si="123"/>
        <v>4.2349212730111043</v>
      </c>
      <c r="I1159" s="12">
        <f t="shared" si="124"/>
        <v>5.5411831984216176E-3</v>
      </c>
      <c r="J1159" s="12">
        <f t="shared" si="125"/>
        <v>5.4233926257759718E-3</v>
      </c>
    </row>
    <row r="1160" spans="1:10">
      <c r="A1160" s="15">
        <v>41439</v>
      </c>
      <c r="B1160" s="11">
        <v>2.1631999999999998</v>
      </c>
      <c r="C1160" s="11">
        <f t="shared" si="119"/>
        <v>-1.2000000000003119E-3</v>
      </c>
      <c r="D1160" s="12">
        <f t="shared" si="120"/>
        <v>1.4400000000007485E-6</v>
      </c>
      <c r="E1160" s="12">
        <f t="shared" si="121"/>
        <v>2.5600000000008573E-6</v>
      </c>
      <c r="F1160" s="12">
        <f t="shared" si="122"/>
        <v>2.8967085977006262E-5</v>
      </c>
      <c r="G1160" s="12">
        <f t="shared" si="123"/>
        <v>4.2808808321351099</v>
      </c>
      <c r="I1160" s="12">
        <f t="shared" si="124"/>
        <v>5.3821079492152755E-3</v>
      </c>
      <c r="J1160" s="12">
        <f t="shared" si="125"/>
        <v>5.4233926257759718E-3</v>
      </c>
    </row>
    <row r="1161" spans="1:10">
      <c r="A1161" s="15">
        <v>41440</v>
      </c>
      <c r="B1161" s="11">
        <v>2.1646000000000001</v>
      </c>
      <c r="C1161" s="11">
        <f t="shared" si="119"/>
        <v>1.4000000000002899E-3</v>
      </c>
      <c r="D1161" s="12">
        <f t="shared" si="120"/>
        <v>1.9600000000008118E-6</v>
      </c>
      <c r="E1161" s="12">
        <f t="shared" si="121"/>
        <v>1.4400000000007485E-6</v>
      </c>
      <c r="F1161" s="12">
        <f t="shared" si="122"/>
        <v>2.7351023338882787E-5</v>
      </c>
      <c r="G1161" s="12">
        <f t="shared" si="123"/>
        <v>4.298609296876351</v>
      </c>
      <c r="I1161" s="12">
        <f t="shared" si="124"/>
        <v>5.2298205838138259E-3</v>
      </c>
      <c r="J1161" s="12">
        <f t="shared" si="125"/>
        <v>5.4233926257759718E-3</v>
      </c>
    </row>
    <row r="1162" spans="1:10">
      <c r="A1162" s="15">
        <v>41441</v>
      </c>
      <c r="B1162" s="11">
        <v>2.1625999999999999</v>
      </c>
      <c r="C1162" s="11">
        <f t="shared" si="119"/>
        <v>-2.0000000000002238E-3</v>
      </c>
      <c r="D1162" s="12">
        <f t="shared" si="120"/>
        <v>4.0000000000008951E-6</v>
      </c>
      <c r="E1162" s="12">
        <f t="shared" si="121"/>
        <v>1.9600000000008118E-6</v>
      </c>
      <c r="F1162" s="12">
        <f t="shared" si="122"/>
        <v>2.5940574854525539E-5</v>
      </c>
      <c r="G1162" s="12">
        <f t="shared" si="123"/>
        <v>4.2838132748836584</v>
      </c>
      <c r="I1162" s="12">
        <f t="shared" si="124"/>
        <v>5.0931890652640751E-3</v>
      </c>
      <c r="J1162" s="12">
        <f t="shared" si="125"/>
        <v>5.4233926257759718E-3</v>
      </c>
    </row>
    <row r="1163" spans="1:10">
      <c r="A1163" s="15">
        <v>41442</v>
      </c>
      <c r="B1163" s="11">
        <v>2.1640000000000001</v>
      </c>
      <c r="C1163" s="11">
        <f t="shared" si="119"/>
        <v>1.4000000000002899E-3</v>
      </c>
      <c r="D1163" s="12">
        <f t="shared" si="120"/>
        <v>1.9600000000008118E-6</v>
      </c>
      <c r="E1163" s="12">
        <f t="shared" si="121"/>
        <v>4.0000000000008951E-6</v>
      </c>
      <c r="F1163" s="12">
        <f t="shared" si="122"/>
        <v>2.4803588786493454E-5</v>
      </c>
      <c r="G1163" s="12">
        <f t="shared" si="123"/>
        <v>4.3438121509589731</v>
      </c>
      <c r="I1163" s="12">
        <f t="shared" si="124"/>
        <v>4.9803201489957904E-3</v>
      </c>
      <c r="J1163" s="12">
        <f t="shared" si="125"/>
        <v>5.4233926257759718E-3</v>
      </c>
    </row>
    <row r="1164" spans="1:10">
      <c r="A1164" s="15">
        <v>41443</v>
      </c>
      <c r="B1164" s="11">
        <v>2.1678999999999999</v>
      </c>
      <c r="C1164" s="11">
        <f t="shared" si="119"/>
        <v>3.8999999999997925E-3</v>
      </c>
      <c r="D1164" s="12">
        <f t="shared" si="120"/>
        <v>1.5209999999998382E-5</v>
      </c>
      <c r="E1164" s="12">
        <f t="shared" si="121"/>
        <v>1.9600000000008118E-6</v>
      </c>
      <c r="F1164" s="12">
        <f t="shared" si="122"/>
        <v>2.366867296009874E-5</v>
      </c>
      <c r="G1164" s="12">
        <f t="shared" si="123"/>
        <v>4.0854297698183606</v>
      </c>
      <c r="I1164" s="12">
        <f t="shared" si="124"/>
        <v>4.8650460388467796E-3</v>
      </c>
      <c r="J1164" s="12">
        <f t="shared" si="125"/>
        <v>5.4233926257759718E-3</v>
      </c>
    </row>
    <row r="1165" spans="1:10">
      <c r="A1165" s="15">
        <v>41444</v>
      </c>
      <c r="B1165" s="11">
        <v>2.1602999999999999</v>
      </c>
      <c r="C1165" s="11">
        <f t="shared" si="119"/>
        <v>-7.6000000000000512E-3</v>
      </c>
      <c r="D1165" s="12">
        <f t="shared" si="120"/>
        <v>5.7760000000000775E-5</v>
      </c>
      <c r="E1165" s="12">
        <f t="shared" si="121"/>
        <v>1.5209999999998382E-5</v>
      </c>
      <c r="F1165" s="12">
        <f t="shared" si="122"/>
        <v>2.3441814213129574E-5</v>
      </c>
      <c r="G1165" s="12">
        <f t="shared" si="123"/>
        <v>3.17956950069218</v>
      </c>
      <c r="I1165" s="12">
        <f t="shared" si="124"/>
        <v>4.8416747322728706E-3</v>
      </c>
      <c r="J1165" s="12">
        <f t="shared" si="125"/>
        <v>5.4233926257759718E-3</v>
      </c>
    </row>
    <row r="1166" spans="1:10">
      <c r="A1166" s="15">
        <v>41445</v>
      </c>
      <c r="B1166" s="11">
        <v>2.1614</v>
      </c>
      <c r="C1166" s="11">
        <f t="shared" ref="C1166:C1229" si="126">B1166-B1165</f>
        <v>1.1000000000001009E-3</v>
      </c>
      <c r="D1166" s="12">
        <f t="shared" ref="D1166:D1229" si="127">C1166^2</f>
        <v>1.210000000000222E-6</v>
      </c>
      <c r="E1166" s="12">
        <f t="shared" si="121"/>
        <v>5.7760000000000775E-5</v>
      </c>
      <c r="F1166" s="12">
        <f t="shared" si="122"/>
        <v>2.5761354549691932E-5</v>
      </c>
      <c r="G1166" s="12">
        <f t="shared" si="123"/>
        <v>4.3408942068053884</v>
      </c>
      <c r="I1166" s="12">
        <f t="shared" si="124"/>
        <v>5.0755644562641439E-3</v>
      </c>
      <c r="J1166" s="12">
        <f t="shared" si="125"/>
        <v>5.4233926257759718E-3</v>
      </c>
    </row>
    <row r="1167" spans="1:10">
      <c r="A1167" s="15">
        <v>41446</v>
      </c>
      <c r="B1167" s="11">
        <v>2.1573000000000002</v>
      </c>
      <c r="C1167" s="11">
        <f t="shared" si="126"/>
        <v>-4.0999999999997705E-3</v>
      </c>
      <c r="D1167" s="12">
        <f t="shared" si="127"/>
        <v>1.680999999999812E-5</v>
      </c>
      <c r="E1167" s="12">
        <f t="shared" ref="E1167:E1230" si="128">D1166</f>
        <v>1.210000000000222E-6</v>
      </c>
      <c r="F1167" s="12">
        <f t="shared" ref="F1167:F1230" si="129">$B$5+$B$6*E1167+$B$7*F1166</f>
        <v>2.4478394826017162E-5</v>
      </c>
      <c r="G1167" s="12">
        <f t="shared" ref="G1167:G1230" si="130">LN((1/SQRT(2*3.1415927*F1167))*EXP(-0.5*D1167/F1167))</f>
        <v>4.0465572781277475</v>
      </c>
      <c r="I1167" s="12">
        <f t="shared" ref="I1167:I1230" si="131">SQRT(F1167)</f>
        <v>4.9475645348006489E-3</v>
      </c>
      <c r="J1167" s="12">
        <f t="shared" si="125"/>
        <v>5.4233926257759718E-3</v>
      </c>
    </row>
    <row r="1168" spans="1:10">
      <c r="A1168" s="15">
        <v>41447</v>
      </c>
      <c r="B1168" s="11">
        <v>2.1566999999999998</v>
      </c>
      <c r="C1168" s="11">
        <f t="shared" si="126"/>
        <v>-6.0000000000037801E-4</v>
      </c>
      <c r="D1168" s="12">
        <f t="shared" si="127"/>
        <v>3.6000000000045363E-7</v>
      </c>
      <c r="E1168" s="12">
        <f t="shared" si="128"/>
        <v>1.680999999999812E-5</v>
      </c>
      <c r="F1168" s="12">
        <f t="shared" si="129"/>
        <v>2.4258785000627229E-5</v>
      </c>
      <c r="G1168" s="12">
        <f t="shared" si="130"/>
        <v>4.3870073360812887</v>
      </c>
      <c r="I1168" s="12">
        <f t="shared" si="131"/>
        <v>4.9253208017983182E-3</v>
      </c>
      <c r="J1168" s="12">
        <f t="shared" ref="J1168:J1231" si="132">J1167</f>
        <v>5.4233926257759718E-3</v>
      </c>
    </row>
    <row r="1169" spans="1:10">
      <c r="A1169" s="15">
        <v>41448</v>
      </c>
      <c r="B1169" s="11">
        <v>2.1509999999999998</v>
      </c>
      <c r="C1169" s="11">
        <f t="shared" si="126"/>
        <v>-5.7000000000000384E-3</v>
      </c>
      <c r="D1169" s="12">
        <f t="shared" si="127"/>
        <v>3.2490000000000436E-5</v>
      </c>
      <c r="E1169" s="12">
        <f t="shared" si="128"/>
        <v>3.6000000000045363E-7</v>
      </c>
      <c r="F1169" s="12">
        <f t="shared" si="129"/>
        <v>2.3087966490902766E-5</v>
      </c>
      <c r="G1169" s="12">
        <f t="shared" si="130"/>
        <v>3.7155476757465031</v>
      </c>
      <c r="I1169" s="12">
        <f t="shared" si="131"/>
        <v>4.8049939116405517E-3</v>
      </c>
      <c r="J1169" s="12">
        <f t="shared" si="132"/>
        <v>5.4233926257759718E-3</v>
      </c>
    </row>
    <row r="1170" spans="1:10">
      <c r="A1170" s="15">
        <v>41449</v>
      </c>
      <c r="B1170" s="11">
        <v>2.1564999999999999</v>
      </c>
      <c r="C1170" s="11">
        <f t="shared" si="126"/>
        <v>5.5000000000000604E-3</v>
      </c>
      <c r="D1170" s="12">
        <f t="shared" si="127"/>
        <v>3.0250000000000664E-5</v>
      </c>
      <c r="E1170" s="12">
        <f t="shared" si="128"/>
        <v>3.2490000000000436E-5</v>
      </c>
      <c r="F1170" s="12">
        <f t="shared" si="129"/>
        <v>2.3948071914844798E-5</v>
      </c>
      <c r="G1170" s="12">
        <f t="shared" si="130"/>
        <v>3.7692979773513464</v>
      </c>
      <c r="I1170" s="12">
        <f t="shared" si="131"/>
        <v>4.8936767276603794E-3</v>
      </c>
      <c r="J1170" s="12">
        <f t="shared" si="132"/>
        <v>5.4233926257759718E-3</v>
      </c>
    </row>
    <row r="1171" spans="1:10">
      <c r="A1171" s="15">
        <v>41450</v>
      </c>
      <c r="B1171" s="11">
        <v>2.1555</v>
      </c>
      <c r="C1171" s="11">
        <f t="shared" si="126"/>
        <v>-9.9999999999988987E-4</v>
      </c>
      <c r="D1171" s="12">
        <f t="shared" si="127"/>
        <v>9.9999999999977973E-7</v>
      </c>
      <c r="E1171" s="12">
        <f t="shared" si="128"/>
        <v>3.0250000000000664E-5</v>
      </c>
      <c r="F1171" s="12">
        <f t="shared" si="129"/>
        <v>2.4582386849777878E-5</v>
      </c>
      <c r="G1171" s="12">
        <f t="shared" si="130"/>
        <v>4.367461869846017</v>
      </c>
      <c r="I1171" s="12">
        <f t="shared" si="131"/>
        <v>4.9580628122057793E-3</v>
      </c>
      <c r="J1171" s="12">
        <f t="shared" si="132"/>
        <v>5.4233926257759718E-3</v>
      </c>
    </row>
    <row r="1172" spans="1:10">
      <c r="A1172" s="15">
        <v>41451</v>
      </c>
      <c r="B1172" s="11">
        <v>2.1541000000000001</v>
      </c>
      <c r="C1172" s="11">
        <f t="shared" si="126"/>
        <v>-1.3999999999998458E-3</v>
      </c>
      <c r="D1172" s="12">
        <f t="shared" si="127"/>
        <v>1.9599999999995683E-6</v>
      </c>
      <c r="E1172" s="12">
        <f t="shared" si="128"/>
        <v>9.9999999999977973E-7</v>
      </c>
      <c r="F1172" s="12">
        <f t="shared" si="129"/>
        <v>2.3414498939728681E-5</v>
      </c>
      <c r="G1172" s="12">
        <f t="shared" si="130"/>
        <v>4.3702846083923355</v>
      </c>
      <c r="I1172" s="12">
        <f t="shared" si="131"/>
        <v>4.8388530603572458E-3</v>
      </c>
      <c r="J1172" s="12">
        <f t="shared" si="132"/>
        <v>5.4233926257759718E-3</v>
      </c>
    </row>
    <row r="1173" spans="1:10">
      <c r="A1173" s="15">
        <v>41452</v>
      </c>
      <c r="B1173" s="11">
        <v>2.1579999999999999</v>
      </c>
      <c r="C1173" s="11">
        <f t="shared" si="126"/>
        <v>3.8999999999997925E-3</v>
      </c>
      <c r="D1173" s="12">
        <f t="shared" si="127"/>
        <v>1.5209999999998382E-5</v>
      </c>
      <c r="E1173" s="12">
        <f t="shared" si="128"/>
        <v>1.9599999999995683E-6</v>
      </c>
      <c r="F1173" s="12">
        <f t="shared" si="129"/>
        <v>2.2429828236321992E-5</v>
      </c>
      <c r="G1173" s="12">
        <f t="shared" si="130"/>
        <v>4.0945634593285938</v>
      </c>
      <c r="I1173" s="12">
        <f t="shared" si="131"/>
        <v>4.7360139607397688E-3</v>
      </c>
      <c r="J1173" s="12">
        <f t="shared" si="132"/>
        <v>5.4233926257759718E-3</v>
      </c>
    </row>
    <row r="1174" spans="1:10">
      <c r="A1174" s="15">
        <v>41453</v>
      </c>
      <c r="B1174" s="11">
        <v>2.1535000000000002</v>
      </c>
      <c r="C1174" s="11">
        <f t="shared" si="126"/>
        <v>-4.4999999999997264E-3</v>
      </c>
      <c r="D1174" s="12">
        <f t="shared" si="127"/>
        <v>2.0249999999997538E-5</v>
      </c>
      <c r="E1174" s="12">
        <f t="shared" si="128"/>
        <v>1.5209999999998382E-5</v>
      </c>
      <c r="F1174" s="12">
        <f t="shared" si="129"/>
        <v>2.2336963973813639E-5</v>
      </c>
      <c r="G1174" s="12">
        <f t="shared" si="130"/>
        <v>3.9824107763323813</v>
      </c>
      <c r="I1174" s="12">
        <f t="shared" si="131"/>
        <v>4.7261997390941526E-3</v>
      </c>
      <c r="J1174" s="12">
        <f t="shared" si="132"/>
        <v>5.4233926257759718E-3</v>
      </c>
    </row>
    <row r="1175" spans="1:10">
      <c r="A1175" s="15">
        <v>41454</v>
      </c>
      <c r="B1175" s="11">
        <v>2.157</v>
      </c>
      <c r="C1175" s="11">
        <f t="shared" si="126"/>
        <v>3.4999999999998366E-3</v>
      </c>
      <c r="D1175" s="12">
        <f t="shared" si="127"/>
        <v>1.2249999999998856E-5</v>
      </c>
      <c r="E1175" s="12">
        <f t="shared" si="128"/>
        <v>2.0249999999997538E-5</v>
      </c>
      <c r="F1175" s="12">
        <f t="shared" si="129"/>
        <v>2.2552855708864034E-5</v>
      </c>
      <c r="G1175" s="12">
        <f t="shared" si="130"/>
        <v>4.1593016578100972</v>
      </c>
      <c r="I1175" s="12">
        <f t="shared" si="131"/>
        <v>4.7489847029511516E-3</v>
      </c>
      <c r="J1175" s="12">
        <f t="shared" si="132"/>
        <v>5.4233926257759718E-3</v>
      </c>
    </row>
    <row r="1176" spans="1:10">
      <c r="A1176" s="15">
        <v>41455</v>
      </c>
      <c r="B1176" s="11">
        <v>2.1602999999999999</v>
      </c>
      <c r="C1176" s="11">
        <f t="shared" si="126"/>
        <v>3.2999999999998586E-3</v>
      </c>
      <c r="D1176" s="12">
        <f t="shared" si="127"/>
        <v>1.0889999999999067E-5</v>
      </c>
      <c r="E1176" s="12">
        <f t="shared" si="128"/>
        <v>1.2249999999998856E-5</v>
      </c>
      <c r="F1176" s="12">
        <f t="shared" si="129"/>
        <v>2.2271250823823141E-5</v>
      </c>
      <c r="G1176" s="12">
        <f t="shared" si="130"/>
        <v>4.1926828207944871</v>
      </c>
      <c r="I1176" s="12">
        <f t="shared" si="131"/>
        <v>4.7192426112484557E-3</v>
      </c>
      <c r="J1176" s="12">
        <f t="shared" si="132"/>
        <v>5.4233926257759718E-3</v>
      </c>
    </row>
    <row r="1177" spans="1:10">
      <c r="A1177" s="15">
        <v>41456</v>
      </c>
      <c r="B1177" s="11">
        <v>2.1587999999999998</v>
      </c>
      <c r="C1177" s="11">
        <f t="shared" si="126"/>
        <v>-1.5000000000000568E-3</v>
      </c>
      <c r="D1177" s="12">
        <f t="shared" si="127"/>
        <v>2.2500000000001707E-6</v>
      </c>
      <c r="E1177" s="12">
        <f t="shared" si="128"/>
        <v>1.0889999999999067E-5</v>
      </c>
      <c r="F1177" s="12">
        <f t="shared" si="129"/>
        <v>2.1939499809237446E-5</v>
      </c>
      <c r="G1177" s="12">
        <f t="shared" si="130"/>
        <v>4.3933950332902914</v>
      </c>
      <c r="I1177" s="12">
        <f t="shared" si="131"/>
        <v>4.6839619777745258E-3</v>
      </c>
      <c r="J1177" s="12">
        <f t="shared" si="132"/>
        <v>5.4233926257759718E-3</v>
      </c>
    </row>
    <row r="1178" spans="1:10">
      <c r="A1178" s="15">
        <v>41457</v>
      </c>
      <c r="B1178" s="11">
        <v>2.1596000000000002</v>
      </c>
      <c r="C1178" s="11">
        <f t="shared" si="126"/>
        <v>8.0000000000035598E-4</v>
      </c>
      <c r="D1178" s="12">
        <f t="shared" si="127"/>
        <v>6.4000000000056954E-7</v>
      </c>
      <c r="E1178" s="12">
        <f t="shared" si="128"/>
        <v>2.2500000000001707E-6</v>
      </c>
      <c r="F1178" s="12">
        <f t="shared" si="129"/>
        <v>2.1131554026606098E-5</v>
      </c>
      <c r="G1178" s="12">
        <f t="shared" si="130"/>
        <v>4.4482898201280356</v>
      </c>
      <c r="I1178" s="12">
        <f t="shared" si="131"/>
        <v>4.5969070065214612E-3</v>
      </c>
      <c r="J1178" s="12">
        <f t="shared" si="132"/>
        <v>5.4233926257759718E-3</v>
      </c>
    </row>
    <row r="1179" spans="1:10">
      <c r="A1179" s="15">
        <v>41458</v>
      </c>
      <c r="B1179" s="11">
        <v>2.1650999999999998</v>
      </c>
      <c r="C1179" s="11">
        <f t="shared" si="126"/>
        <v>5.4999999999996163E-3</v>
      </c>
      <c r="D1179" s="12">
        <f t="shared" si="127"/>
        <v>3.0249999999995778E-5</v>
      </c>
      <c r="E1179" s="12">
        <f t="shared" si="128"/>
        <v>6.4000000000056954E-7</v>
      </c>
      <c r="F1179" s="12">
        <f t="shared" si="129"/>
        <v>2.0315574537751255E-5</v>
      </c>
      <c r="G1179" s="12">
        <f t="shared" si="130"/>
        <v>3.7386201378401922</v>
      </c>
      <c r="I1179" s="12">
        <f t="shared" si="131"/>
        <v>4.5072801707627692E-3</v>
      </c>
      <c r="J1179" s="12">
        <f t="shared" si="132"/>
        <v>5.4233926257759718E-3</v>
      </c>
    </row>
    <row r="1180" spans="1:10">
      <c r="A1180" s="15">
        <v>41459</v>
      </c>
      <c r="B1180" s="11">
        <v>2.1631999999999998</v>
      </c>
      <c r="C1180" s="11">
        <f t="shared" si="126"/>
        <v>-1.9000000000000128E-3</v>
      </c>
      <c r="D1180" s="12">
        <f t="shared" si="127"/>
        <v>3.6100000000000484E-6</v>
      </c>
      <c r="E1180" s="12">
        <f t="shared" si="128"/>
        <v>3.0249999999995778E-5</v>
      </c>
      <c r="F1180" s="12">
        <f t="shared" si="129"/>
        <v>2.1342783435912176E-5</v>
      </c>
      <c r="G1180" s="12">
        <f t="shared" si="130"/>
        <v>4.3738879914287319</v>
      </c>
      <c r="I1180" s="12">
        <f t="shared" si="131"/>
        <v>4.61982504386391E-3</v>
      </c>
      <c r="J1180" s="12">
        <f t="shared" si="132"/>
        <v>5.4233926257759718E-3</v>
      </c>
    </row>
    <row r="1181" spans="1:10">
      <c r="A1181" s="15">
        <v>41460</v>
      </c>
      <c r="B1181" s="11">
        <v>2.161</v>
      </c>
      <c r="C1181" s="11">
        <f t="shared" si="126"/>
        <v>-2.1999999999997577E-3</v>
      </c>
      <c r="D1181" s="12">
        <f t="shared" si="127"/>
        <v>4.8399999999989338E-6</v>
      </c>
      <c r="E1181" s="12">
        <f t="shared" si="128"/>
        <v>3.6100000000000484E-6</v>
      </c>
      <c r="F1181" s="12">
        <f t="shared" si="129"/>
        <v>2.0679983746862257E-5</v>
      </c>
      <c r="G1181" s="12">
        <f t="shared" si="130"/>
        <v>4.3572122379717184</v>
      </c>
      <c r="I1181" s="12">
        <f t="shared" si="131"/>
        <v>4.5475250133300265E-3</v>
      </c>
      <c r="J1181" s="12">
        <f t="shared" si="132"/>
        <v>5.4233926257759718E-3</v>
      </c>
    </row>
    <row r="1182" spans="1:10">
      <c r="A1182" s="15">
        <v>41461</v>
      </c>
      <c r="B1182" s="11">
        <v>2.1547999999999998</v>
      </c>
      <c r="C1182" s="11">
        <f t="shared" si="126"/>
        <v>-6.2000000000002053E-3</v>
      </c>
      <c r="D1182" s="12">
        <f t="shared" si="127"/>
        <v>3.8440000000002546E-5</v>
      </c>
      <c r="E1182" s="12">
        <f t="shared" si="128"/>
        <v>4.8399999999989338E-6</v>
      </c>
      <c r="F1182" s="12">
        <f t="shared" si="129"/>
        <v>2.0161772912432589E-5</v>
      </c>
      <c r="G1182" s="12">
        <f t="shared" si="130"/>
        <v>3.5336333660454446</v>
      </c>
      <c r="I1182" s="12">
        <f t="shared" si="131"/>
        <v>4.4901862892793871E-3</v>
      </c>
      <c r="J1182" s="12">
        <f t="shared" si="132"/>
        <v>5.4233926257759718E-3</v>
      </c>
    </row>
    <row r="1183" spans="1:10">
      <c r="A1183" s="15">
        <v>41462</v>
      </c>
      <c r="B1183" s="11">
        <v>2.1541999999999999</v>
      </c>
      <c r="C1183" s="11">
        <f t="shared" si="126"/>
        <v>-5.9999999999993392E-4</v>
      </c>
      <c r="D1183" s="12">
        <f t="shared" si="127"/>
        <v>3.5999999999992069E-7</v>
      </c>
      <c r="E1183" s="12">
        <f t="shared" si="128"/>
        <v>3.8440000000002546E-5</v>
      </c>
      <c r="F1183" s="12">
        <f t="shared" si="129"/>
        <v>2.1691023670073113E-5</v>
      </c>
      <c r="G1183" s="12">
        <f t="shared" si="130"/>
        <v>4.4420691152444887</v>
      </c>
      <c r="I1183" s="12">
        <f t="shared" si="131"/>
        <v>4.6573623082248085E-3</v>
      </c>
      <c r="J1183" s="12">
        <f t="shared" si="132"/>
        <v>5.4233926257759718E-3</v>
      </c>
    </row>
    <row r="1184" spans="1:10">
      <c r="A1184" s="15">
        <v>41463</v>
      </c>
      <c r="B1184" s="11">
        <v>2.1558999999999999</v>
      </c>
      <c r="C1184" s="11">
        <f t="shared" si="126"/>
        <v>1.7000000000000348E-3</v>
      </c>
      <c r="D1184" s="12">
        <f t="shared" si="127"/>
        <v>2.8900000000001184E-6</v>
      </c>
      <c r="E1184" s="12">
        <f t="shared" si="128"/>
        <v>3.5999999999992069E-7</v>
      </c>
      <c r="F1184" s="12">
        <f t="shared" si="129"/>
        <v>2.0797936379687463E-5</v>
      </c>
      <c r="G1184" s="12">
        <f t="shared" si="130"/>
        <v>4.4019118068179388</v>
      </c>
      <c r="I1184" s="12">
        <f t="shared" si="131"/>
        <v>4.560475455441841E-3</v>
      </c>
      <c r="J1184" s="12">
        <f t="shared" si="132"/>
        <v>5.4233926257759718E-3</v>
      </c>
    </row>
    <row r="1185" spans="1:10">
      <c r="A1185" s="15">
        <v>41464</v>
      </c>
      <c r="B1185" s="11">
        <v>2.1585000000000001</v>
      </c>
      <c r="C1185" s="11">
        <f t="shared" si="126"/>
        <v>2.6000000000001577E-3</v>
      </c>
      <c r="D1185" s="12">
        <f t="shared" si="127"/>
        <v>6.7600000000008204E-6</v>
      </c>
      <c r="E1185" s="12">
        <f t="shared" si="128"/>
        <v>2.8900000000001184E-6</v>
      </c>
      <c r="F1185" s="12">
        <f t="shared" si="129"/>
        <v>2.0151394702249418E-5</v>
      </c>
      <c r="G1185" s="12">
        <f t="shared" si="130"/>
        <v>4.3194496615331897</v>
      </c>
      <c r="I1185" s="12">
        <f t="shared" si="131"/>
        <v>4.4890304857785734E-3</v>
      </c>
      <c r="J1185" s="12">
        <f t="shared" si="132"/>
        <v>5.4233926257759718E-3</v>
      </c>
    </row>
    <row r="1186" spans="1:10">
      <c r="A1186" s="15">
        <v>41465</v>
      </c>
      <c r="B1186" s="11">
        <v>2.1642000000000001</v>
      </c>
      <c r="C1186" s="11">
        <f t="shared" si="126"/>
        <v>5.7000000000000384E-3</v>
      </c>
      <c r="D1186" s="12">
        <f t="shared" si="127"/>
        <v>3.2490000000000436E-5</v>
      </c>
      <c r="E1186" s="12">
        <f t="shared" si="128"/>
        <v>6.7600000000008204E-6</v>
      </c>
      <c r="F1186" s="12">
        <f t="shared" si="129"/>
        <v>1.9804151443608632E-5</v>
      </c>
      <c r="G1186" s="12">
        <f t="shared" si="130"/>
        <v>3.6755883883566529</v>
      </c>
      <c r="I1186" s="12">
        <f t="shared" si="131"/>
        <v>4.4501855515931728E-3</v>
      </c>
      <c r="J1186" s="12">
        <f t="shared" si="132"/>
        <v>5.4233926257759718E-3</v>
      </c>
    </row>
    <row r="1187" spans="1:10">
      <c r="A1187" s="15">
        <v>41466</v>
      </c>
      <c r="B1187" s="11">
        <v>2.1675</v>
      </c>
      <c r="C1187" s="11">
        <f t="shared" si="126"/>
        <v>3.2999999999998586E-3</v>
      </c>
      <c r="D1187" s="12">
        <f t="shared" si="127"/>
        <v>1.0889999999999067E-5</v>
      </c>
      <c r="E1187" s="12">
        <f t="shared" si="128"/>
        <v>3.2490000000000436E-5</v>
      </c>
      <c r="F1187" s="12">
        <f t="shared" si="129"/>
        <v>2.1019437057514596E-5</v>
      </c>
      <c r="G1187" s="12">
        <f t="shared" si="130"/>
        <v>4.2070469984374608</v>
      </c>
      <c r="I1187" s="12">
        <f t="shared" si="131"/>
        <v>4.5846959612949904E-3</v>
      </c>
      <c r="J1187" s="12">
        <f t="shared" si="132"/>
        <v>5.4233926257759718E-3</v>
      </c>
    </row>
    <row r="1188" spans="1:10">
      <c r="A1188" s="15">
        <v>41467</v>
      </c>
      <c r="B1188" s="11">
        <v>2.1709000000000001</v>
      </c>
      <c r="C1188" s="11">
        <f t="shared" si="126"/>
        <v>3.4000000000000696E-3</v>
      </c>
      <c r="D1188" s="12">
        <f t="shared" si="127"/>
        <v>1.1560000000000474E-5</v>
      </c>
      <c r="E1188" s="12">
        <f t="shared" si="128"/>
        <v>1.0889999999999067E-5</v>
      </c>
      <c r="F1188" s="12">
        <f t="shared" si="129"/>
        <v>2.0823083269908323E-5</v>
      </c>
      <c r="G1188" s="12">
        <f t="shared" si="130"/>
        <v>4.1932090978959575</v>
      </c>
      <c r="I1188" s="12">
        <f t="shared" si="131"/>
        <v>4.5632316695416991E-3</v>
      </c>
      <c r="J1188" s="12">
        <f t="shared" si="132"/>
        <v>5.4233926257759718E-3</v>
      </c>
    </row>
    <row r="1189" spans="1:10">
      <c r="A1189" s="15">
        <v>41468</v>
      </c>
      <c r="B1189" s="11">
        <v>2.1772999999999998</v>
      </c>
      <c r="C1189" s="11">
        <f t="shared" si="126"/>
        <v>6.3999999999997392E-3</v>
      </c>
      <c r="D1189" s="12">
        <f t="shared" si="127"/>
        <v>4.095999999999666E-5</v>
      </c>
      <c r="E1189" s="12">
        <f t="shared" si="128"/>
        <v>1.1560000000000474E-5</v>
      </c>
      <c r="F1189" s="12">
        <f t="shared" si="129"/>
        <v>2.068767696574393E-5</v>
      </c>
      <c r="G1189" s="12">
        <f t="shared" si="130"/>
        <v>3.4840863145655945</v>
      </c>
      <c r="I1189" s="12">
        <f t="shared" si="131"/>
        <v>4.5483708034574234E-3</v>
      </c>
      <c r="J1189" s="12">
        <f t="shared" si="132"/>
        <v>5.4233926257759718E-3</v>
      </c>
    </row>
    <row r="1190" spans="1:10">
      <c r="A1190" s="15">
        <v>41469</v>
      </c>
      <c r="B1190" s="11">
        <v>2.1762999999999999</v>
      </c>
      <c r="C1190" s="11">
        <f t="shared" si="126"/>
        <v>-9.9999999999988987E-4</v>
      </c>
      <c r="D1190" s="12">
        <f t="shared" si="127"/>
        <v>9.9999999999977973E-7</v>
      </c>
      <c r="E1190" s="12">
        <f t="shared" si="128"/>
        <v>4.095999999999666E-5</v>
      </c>
      <c r="F1190" s="12">
        <f t="shared" si="129"/>
        <v>2.2309401360368002E-5</v>
      </c>
      <c r="G1190" s="12">
        <f t="shared" si="130"/>
        <v>4.4139005746921383</v>
      </c>
      <c r="I1190" s="12">
        <f t="shared" si="131"/>
        <v>4.7232829007341917E-3</v>
      </c>
      <c r="J1190" s="12">
        <f t="shared" si="132"/>
        <v>5.4233926257759718E-3</v>
      </c>
    </row>
    <row r="1191" spans="1:10">
      <c r="A1191" s="15">
        <v>41470</v>
      </c>
      <c r="B1191" s="11">
        <v>2.1722000000000001</v>
      </c>
      <c r="C1191" s="11">
        <f t="shared" si="126"/>
        <v>-4.0999999999997705E-3</v>
      </c>
      <c r="D1191" s="12">
        <f t="shared" si="127"/>
        <v>1.680999999999812E-5</v>
      </c>
      <c r="E1191" s="12">
        <f t="shared" si="128"/>
        <v>9.9999999999977973E-7</v>
      </c>
      <c r="F1191" s="12">
        <f t="shared" si="129"/>
        <v>2.1387361467422899E-5</v>
      </c>
      <c r="G1191" s="12">
        <f t="shared" si="130"/>
        <v>4.0644275543620516</v>
      </c>
      <c r="I1191" s="12">
        <f t="shared" si="131"/>
        <v>4.6246471722092373E-3</v>
      </c>
      <c r="J1191" s="12">
        <f t="shared" si="132"/>
        <v>5.4233926257759718E-3</v>
      </c>
    </row>
    <row r="1192" spans="1:10">
      <c r="A1192" s="15">
        <v>41471</v>
      </c>
      <c r="B1192" s="11">
        <v>2.1814</v>
      </c>
      <c r="C1192" s="11">
        <f t="shared" si="126"/>
        <v>9.1999999999998749E-3</v>
      </c>
      <c r="D1192" s="12">
        <f t="shared" si="127"/>
        <v>8.4639999999997699E-5</v>
      </c>
      <c r="E1192" s="12">
        <f t="shared" si="128"/>
        <v>1.680999999999812E-5</v>
      </c>
      <c r="F1192" s="12">
        <f t="shared" si="129"/>
        <v>2.1502080402842741E-5</v>
      </c>
      <c r="G1192" s="12">
        <f t="shared" si="130"/>
        <v>2.4865602456890978</v>
      </c>
      <c r="I1192" s="12">
        <f t="shared" si="131"/>
        <v>4.637033577929185E-3</v>
      </c>
      <c r="J1192" s="12">
        <f t="shared" si="132"/>
        <v>5.4233926257759718E-3</v>
      </c>
    </row>
    <row r="1193" spans="1:10">
      <c r="A1193" s="15">
        <v>41472</v>
      </c>
      <c r="B1193" s="11">
        <v>2.1749000000000001</v>
      </c>
      <c r="C1193" s="11">
        <f t="shared" si="126"/>
        <v>-6.4999999999999503E-3</v>
      </c>
      <c r="D1193" s="12">
        <f t="shared" si="127"/>
        <v>4.2249999999999353E-5</v>
      </c>
      <c r="E1193" s="12">
        <f t="shared" si="128"/>
        <v>8.4639999999997699E-5</v>
      </c>
      <c r="F1193" s="12">
        <f t="shared" si="129"/>
        <v>2.5624553154201332E-5</v>
      </c>
      <c r="G1193" s="12">
        <f t="shared" si="130"/>
        <v>3.5426366189049623</v>
      </c>
      <c r="I1193" s="12">
        <f t="shared" si="131"/>
        <v>5.0620700463546858E-3</v>
      </c>
      <c r="J1193" s="12">
        <f t="shared" si="132"/>
        <v>5.4233926257759718E-3</v>
      </c>
    </row>
    <row r="1194" spans="1:10">
      <c r="A1194" s="15">
        <v>41473</v>
      </c>
      <c r="B1194" s="11">
        <v>2.1768999999999998</v>
      </c>
      <c r="C1194" s="11">
        <f t="shared" si="126"/>
        <v>1.9999999999997797E-3</v>
      </c>
      <c r="D1194" s="12">
        <f t="shared" si="127"/>
        <v>3.9999999999991189E-6</v>
      </c>
      <c r="E1194" s="12">
        <f t="shared" si="128"/>
        <v>4.2249999999999353E-5</v>
      </c>
      <c r="F1194" s="12">
        <f t="shared" si="129"/>
        <v>2.6788756855469985E-5</v>
      </c>
      <c r="G1194" s="12">
        <f t="shared" si="130"/>
        <v>4.2701674125057174</v>
      </c>
      <c r="I1194" s="12">
        <f t="shared" si="131"/>
        <v>5.1757856268850608E-3</v>
      </c>
      <c r="J1194" s="12">
        <f t="shared" si="132"/>
        <v>5.4233926257759718E-3</v>
      </c>
    </row>
    <row r="1195" spans="1:10">
      <c r="A1195" s="15">
        <v>41474</v>
      </c>
      <c r="B1195" s="11">
        <v>2.1812999999999998</v>
      </c>
      <c r="C1195" s="11">
        <f t="shared" si="126"/>
        <v>4.3999999999999595E-3</v>
      </c>
      <c r="D1195" s="12">
        <f t="shared" si="127"/>
        <v>1.9359999999999645E-5</v>
      </c>
      <c r="E1195" s="12">
        <f t="shared" si="128"/>
        <v>3.9999999999991189E-6</v>
      </c>
      <c r="F1195" s="12">
        <f t="shared" si="129"/>
        <v>2.5560030710764575E-5</v>
      </c>
      <c r="G1195" s="12">
        <f t="shared" si="130"/>
        <v>3.9895855329984311</v>
      </c>
      <c r="I1195" s="12">
        <f t="shared" si="131"/>
        <v>5.0556929011525784E-3</v>
      </c>
      <c r="J1195" s="12">
        <f t="shared" si="132"/>
        <v>5.4233926257759718E-3</v>
      </c>
    </row>
    <row r="1196" spans="1:10">
      <c r="A1196" s="15">
        <v>41475</v>
      </c>
      <c r="B1196" s="11">
        <v>2.1812999999999998</v>
      </c>
      <c r="C1196" s="11">
        <f t="shared" si="126"/>
        <v>0</v>
      </c>
      <c r="D1196" s="12">
        <f t="shared" si="127"/>
        <v>0</v>
      </c>
      <c r="E1196" s="12">
        <f t="shared" si="128"/>
        <v>1.9359999999999645E-5</v>
      </c>
      <c r="F1196" s="12">
        <f t="shared" si="129"/>
        <v>2.5374564147283784E-5</v>
      </c>
      <c r="G1196" s="12">
        <f t="shared" si="130"/>
        <v>4.3719431080146949</v>
      </c>
      <c r="I1196" s="12">
        <f t="shared" si="131"/>
        <v>5.037317157702479E-3</v>
      </c>
      <c r="J1196" s="12">
        <f t="shared" si="132"/>
        <v>5.4233926257759718E-3</v>
      </c>
    </row>
    <row r="1197" spans="1:10">
      <c r="A1197" s="15">
        <v>41476</v>
      </c>
      <c r="B1197" s="11">
        <v>2.1787999999999998</v>
      </c>
      <c r="C1197" s="11">
        <f t="shared" si="126"/>
        <v>-2.4999999999999467E-3</v>
      </c>
      <c r="D1197" s="12">
        <f t="shared" si="127"/>
        <v>6.2499999999997335E-6</v>
      </c>
      <c r="E1197" s="12">
        <f t="shared" si="128"/>
        <v>0</v>
      </c>
      <c r="F1197" s="12">
        <f t="shared" si="129"/>
        <v>2.4061725477644354E-5</v>
      </c>
      <c r="G1197" s="12">
        <f t="shared" si="130"/>
        <v>4.2686312163402</v>
      </c>
      <c r="I1197" s="12">
        <f t="shared" si="131"/>
        <v>4.9052752703232011E-3</v>
      </c>
      <c r="J1197" s="12">
        <f t="shared" si="132"/>
        <v>5.4233926257759718E-3</v>
      </c>
    </row>
    <row r="1198" spans="1:10">
      <c r="A1198" s="15">
        <v>41477</v>
      </c>
      <c r="B1198" s="11">
        <v>2.1854</v>
      </c>
      <c r="C1198" s="11">
        <f t="shared" si="126"/>
        <v>6.6000000000001613E-3</v>
      </c>
      <c r="D1198" s="12">
        <f t="shared" si="127"/>
        <v>4.3560000000002131E-5</v>
      </c>
      <c r="E1198" s="12">
        <f t="shared" si="128"/>
        <v>6.2499999999997335E-6</v>
      </c>
      <c r="F1198" s="12">
        <f t="shared" si="129"/>
        <v>2.3261310781074869E-5</v>
      </c>
      <c r="G1198" s="12">
        <f t="shared" si="130"/>
        <v>3.4791023005613679</v>
      </c>
      <c r="I1198" s="12">
        <f t="shared" si="131"/>
        <v>4.8229981112452103E-3</v>
      </c>
      <c r="J1198" s="12">
        <f t="shared" si="132"/>
        <v>5.4233926257759718E-3</v>
      </c>
    </row>
    <row r="1199" spans="1:10">
      <c r="A1199" s="15">
        <v>41478</v>
      </c>
      <c r="B1199" s="11">
        <v>2.1880999999999999</v>
      </c>
      <c r="C1199" s="11">
        <f t="shared" si="126"/>
        <v>2.6999999999999247E-3</v>
      </c>
      <c r="D1199" s="12">
        <f t="shared" si="127"/>
        <v>7.2899999999995931E-6</v>
      </c>
      <c r="E1199" s="12">
        <f t="shared" si="128"/>
        <v>4.3560000000002131E-5</v>
      </c>
      <c r="F1199" s="12">
        <f t="shared" si="129"/>
        <v>2.4758766099886436E-5</v>
      </c>
      <c r="G1199" s="12">
        <f t="shared" si="130"/>
        <v>4.2370063484866929</v>
      </c>
      <c r="I1199" s="12">
        <f t="shared" si="131"/>
        <v>4.9758181337229796E-3</v>
      </c>
      <c r="J1199" s="12">
        <f t="shared" si="132"/>
        <v>5.4233926257759718E-3</v>
      </c>
    </row>
    <row r="1200" spans="1:10">
      <c r="A1200" s="15">
        <v>41479</v>
      </c>
      <c r="B1200" s="11">
        <v>2.1863999999999999</v>
      </c>
      <c r="C1200" s="11">
        <f t="shared" si="126"/>
        <v>-1.7000000000000348E-3</v>
      </c>
      <c r="D1200" s="12">
        <f t="shared" si="127"/>
        <v>2.8900000000001184E-6</v>
      </c>
      <c r="E1200" s="12">
        <f t="shared" si="128"/>
        <v>7.2899999999995931E-6</v>
      </c>
      <c r="F1200" s="12">
        <f t="shared" si="129"/>
        <v>2.3944597831502964E-5</v>
      </c>
      <c r="G1200" s="12">
        <f t="shared" si="130"/>
        <v>4.3405977280616046</v>
      </c>
      <c r="I1200" s="12">
        <f t="shared" si="131"/>
        <v>4.8933217584278032E-3</v>
      </c>
      <c r="J1200" s="12">
        <f t="shared" si="132"/>
        <v>5.4233926257759718E-3</v>
      </c>
    </row>
    <row r="1201" spans="1:10">
      <c r="A1201" s="15">
        <v>41480</v>
      </c>
      <c r="B1201" s="11">
        <v>2.1924000000000001</v>
      </c>
      <c r="C1201" s="11">
        <f t="shared" si="126"/>
        <v>6.0000000000002274E-3</v>
      </c>
      <c r="D1201" s="12">
        <f t="shared" si="127"/>
        <v>3.6000000000002732E-5</v>
      </c>
      <c r="E1201" s="12">
        <f t="shared" si="128"/>
        <v>2.8900000000001184E-6</v>
      </c>
      <c r="F1201" s="12">
        <f t="shared" si="129"/>
        <v>2.2957710612031746E-5</v>
      </c>
      <c r="G1201" s="12">
        <f t="shared" si="130"/>
        <v>3.6379395064860298</v>
      </c>
      <c r="I1201" s="12">
        <f t="shared" si="131"/>
        <v>4.7914205213101203E-3</v>
      </c>
      <c r="J1201" s="12">
        <f t="shared" si="132"/>
        <v>5.4233926257759718E-3</v>
      </c>
    </row>
    <row r="1202" spans="1:10">
      <c r="A1202" s="15">
        <v>41481</v>
      </c>
      <c r="B1202" s="11">
        <v>2.1932</v>
      </c>
      <c r="C1202" s="11">
        <f t="shared" si="126"/>
        <v>7.9999999999991189E-4</v>
      </c>
      <c r="D1202" s="12">
        <f t="shared" si="127"/>
        <v>6.3999999999985898E-7</v>
      </c>
      <c r="E1202" s="12">
        <f t="shared" si="128"/>
        <v>3.6000000000002732E-5</v>
      </c>
      <c r="F1202" s="12">
        <f t="shared" si="129"/>
        <v>2.4039935998237763E-5</v>
      </c>
      <c r="G1202" s="12">
        <f t="shared" si="130"/>
        <v>4.3856473311858579</v>
      </c>
      <c r="I1202" s="12">
        <f t="shared" si="131"/>
        <v>4.9030537421323218E-3</v>
      </c>
      <c r="J1202" s="12">
        <f t="shared" si="132"/>
        <v>5.4233926257759718E-3</v>
      </c>
    </row>
    <row r="1203" spans="1:10">
      <c r="A1203" s="15">
        <v>41482</v>
      </c>
      <c r="B1203" s="11">
        <v>2.1932999999999998</v>
      </c>
      <c r="C1203" s="11">
        <f t="shared" si="126"/>
        <v>9.9999999999766942E-5</v>
      </c>
      <c r="D1203" s="12">
        <f t="shared" si="127"/>
        <v>9.9999999999533886E-9</v>
      </c>
      <c r="E1203" s="12">
        <f t="shared" si="128"/>
        <v>6.3999999999985898E-7</v>
      </c>
      <c r="F1203" s="12">
        <f t="shared" si="129"/>
        <v>2.2909383475794098E-5</v>
      </c>
      <c r="G1203" s="12">
        <f t="shared" si="130"/>
        <v>4.4228251945098842</v>
      </c>
      <c r="I1203" s="12">
        <f t="shared" si="131"/>
        <v>4.786374773854853E-3</v>
      </c>
      <c r="J1203" s="12">
        <f t="shared" si="132"/>
        <v>5.4233926257759718E-3</v>
      </c>
    </row>
    <row r="1204" spans="1:10">
      <c r="A1204" s="15">
        <v>41483</v>
      </c>
      <c r="B1204" s="11">
        <v>2.1920000000000002</v>
      </c>
      <c r="C1204" s="11">
        <f t="shared" si="126"/>
        <v>-1.2999999999996348E-3</v>
      </c>
      <c r="D1204" s="12">
        <f t="shared" si="127"/>
        <v>1.6899999999990504E-6</v>
      </c>
      <c r="E1204" s="12">
        <f t="shared" si="128"/>
        <v>9.9999999999533886E-9</v>
      </c>
      <c r="F1204" s="12">
        <f t="shared" si="129"/>
        <v>2.1863773497351104E-5</v>
      </c>
      <c r="G1204" s="12">
        <f t="shared" si="130"/>
        <v>4.407752787676098</v>
      </c>
      <c r="I1204" s="12">
        <f t="shared" si="131"/>
        <v>4.6758714158273325E-3</v>
      </c>
      <c r="J1204" s="12">
        <f t="shared" si="132"/>
        <v>5.4233926257759718E-3</v>
      </c>
    </row>
    <row r="1205" spans="1:10">
      <c r="A1205" s="15">
        <v>41484</v>
      </c>
      <c r="B1205" s="11">
        <v>2.1913999999999998</v>
      </c>
      <c r="C1205" s="11">
        <f t="shared" si="126"/>
        <v>-6.0000000000037801E-4</v>
      </c>
      <c r="D1205" s="12">
        <f t="shared" si="127"/>
        <v>3.6000000000045363E-7</v>
      </c>
      <c r="E1205" s="12">
        <f t="shared" si="128"/>
        <v>1.6899999999990504E-6</v>
      </c>
      <c r="F1205" s="12">
        <f t="shared" si="129"/>
        <v>2.1030828144906438E-5</v>
      </c>
      <c r="G1205" s="12">
        <f t="shared" si="130"/>
        <v>4.4572631902136788</v>
      </c>
      <c r="I1205" s="12">
        <f t="shared" si="131"/>
        <v>4.5859380877751104E-3</v>
      </c>
      <c r="J1205" s="12">
        <f t="shared" si="132"/>
        <v>5.4233926257759718E-3</v>
      </c>
    </row>
    <row r="1206" spans="1:10">
      <c r="A1206" s="15">
        <v>41485</v>
      </c>
      <c r="B1206" s="11">
        <v>2.1909000000000001</v>
      </c>
      <c r="C1206" s="11">
        <f t="shared" si="126"/>
        <v>-4.9999999999972289E-4</v>
      </c>
      <c r="D1206" s="12">
        <f t="shared" si="127"/>
        <v>2.499999999997229E-7</v>
      </c>
      <c r="E1206" s="12">
        <f t="shared" si="128"/>
        <v>3.6000000000045363E-7</v>
      </c>
      <c r="F1206" s="12">
        <f t="shared" si="129"/>
        <v>2.0209148156291742E-5</v>
      </c>
      <c r="G1206" s="12">
        <f t="shared" si="130"/>
        <v>4.4795637303234068</v>
      </c>
      <c r="I1206" s="12">
        <f t="shared" si="131"/>
        <v>4.4954586146790116E-3</v>
      </c>
      <c r="J1206" s="12">
        <f t="shared" si="132"/>
        <v>5.4233926257759718E-3</v>
      </c>
    </row>
    <row r="1207" spans="1:10">
      <c r="A1207" s="15">
        <v>41486</v>
      </c>
      <c r="B1207" s="11">
        <v>2.1917</v>
      </c>
      <c r="C1207" s="11">
        <f t="shared" si="126"/>
        <v>7.9999999999991189E-4</v>
      </c>
      <c r="D1207" s="12">
        <f t="shared" si="127"/>
        <v>6.3999999999985898E-7</v>
      </c>
      <c r="E1207" s="12">
        <f t="shared" si="128"/>
        <v>2.499999999997229E-7</v>
      </c>
      <c r="F1207" s="12">
        <f t="shared" si="129"/>
        <v>1.9469822262618955E-5</v>
      </c>
      <c r="G1207" s="12">
        <f t="shared" si="130"/>
        <v>4.4879482012136034</v>
      </c>
      <c r="I1207" s="12">
        <f t="shared" si="131"/>
        <v>4.4124621542421137E-3</v>
      </c>
      <c r="J1207" s="12">
        <f t="shared" si="132"/>
        <v>5.4233926257759718E-3</v>
      </c>
    </row>
    <row r="1208" spans="1:10">
      <c r="A1208" s="15">
        <v>41487</v>
      </c>
      <c r="B1208" s="11">
        <v>2.1896</v>
      </c>
      <c r="C1208" s="11">
        <f t="shared" si="126"/>
        <v>-2.0999999999999908E-3</v>
      </c>
      <c r="D1208" s="12">
        <f t="shared" si="127"/>
        <v>4.4099999999999612E-6</v>
      </c>
      <c r="E1208" s="12">
        <f t="shared" si="128"/>
        <v>6.3999999999985898E-7</v>
      </c>
      <c r="F1208" s="12">
        <f t="shared" si="129"/>
        <v>1.8833577075209694E-5</v>
      </c>
      <c r="G1208" s="12">
        <f t="shared" si="130"/>
        <v>4.4039179618804338</v>
      </c>
      <c r="I1208" s="12">
        <f t="shared" si="131"/>
        <v>4.3397669378907548E-3</v>
      </c>
      <c r="J1208" s="12">
        <f t="shared" si="132"/>
        <v>5.4233926257759718E-3</v>
      </c>
    </row>
    <row r="1209" spans="1:10">
      <c r="A1209" s="15">
        <v>41488</v>
      </c>
      <c r="B1209" s="11">
        <v>2.1922000000000001</v>
      </c>
      <c r="C1209" s="11">
        <f t="shared" si="126"/>
        <v>2.6000000000001577E-3</v>
      </c>
      <c r="D1209" s="12">
        <f t="shared" si="127"/>
        <v>6.7600000000008204E-6</v>
      </c>
      <c r="E1209" s="12">
        <f t="shared" si="128"/>
        <v>4.4099999999999612E-6</v>
      </c>
      <c r="F1209" s="12">
        <f t="shared" si="129"/>
        <v>1.8489589809737761E-5</v>
      </c>
      <c r="G1209" s="12">
        <f t="shared" si="130"/>
        <v>4.3474072382627131</v>
      </c>
      <c r="I1209" s="12">
        <f t="shared" si="131"/>
        <v>4.2999523031933464E-3</v>
      </c>
      <c r="J1209" s="12">
        <f t="shared" si="132"/>
        <v>5.4233926257759718E-3</v>
      </c>
    </row>
    <row r="1210" spans="1:10">
      <c r="A1210" s="15">
        <v>41489</v>
      </c>
      <c r="B1210" s="11">
        <v>2.1890000000000001</v>
      </c>
      <c r="C1210" s="11">
        <f t="shared" si="126"/>
        <v>-3.2000000000000917E-3</v>
      </c>
      <c r="D1210" s="12">
        <f t="shared" si="127"/>
        <v>1.0240000000000586E-5</v>
      </c>
      <c r="E1210" s="12">
        <f t="shared" si="128"/>
        <v>6.7600000000008204E-6</v>
      </c>
      <c r="F1210" s="12">
        <f t="shared" si="129"/>
        <v>1.8322088762185155E-5</v>
      </c>
      <c r="G1210" s="12">
        <f t="shared" si="130"/>
        <v>4.255318932717536</v>
      </c>
      <c r="I1210" s="12">
        <f t="shared" si="131"/>
        <v>4.2804309084699815E-3</v>
      </c>
      <c r="J1210" s="12">
        <f t="shared" si="132"/>
        <v>5.4233926257759718E-3</v>
      </c>
    </row>
    <row r="1211" spans="1:10">
      <c r="A1211" s="15">
        <v>41490</v>
      </c>
      <c r="B1211" s="11">
        <v>2.1922999999999999</v>
      </c>
      <c r="C1211" s="11">
        <f t="shared" si="126"/>
        <v>3.2999999999998586E-3</v>
      </c>
      <c r="D1211" s="12">
        <f t="shared" si="127"/>
        <v>1.0889999999999067E-5</v>
      </c>
      <c r="E1211" s="12">
        <f t="shared" si="128"/>
        <v>1.0240000000000586E-5</v>
      </c>
      <c r="F1211" s="12">
        <f t="shared" si="129"/>
        <v>1.8378958099623529E-5</v>
      </c>
      <c r="G1211" s="12">
        <f t="shared" si="130"/>
        <v>4.236950810434454</v>
      </c>
      <c r="I1211" s="12">
        <f t="shared" si="131"/>
        <v>4.287068707126529E-3</v>
      </c>
      <c r="J1211" s="12">
        <f t="shared" si="132"/>
        <v>5.4233926257759718E-3</v>
      </c>
    </row>
    <row r="1212" spans="1:10">
      <c r="A1212" s="15">
        <v>41491</v>
      </c>
      <c r="B1212" s="11">
        <v>2.1953</v>
      </c>
      <c r="C1212" s="11">
        <f t="shared" si="126"/>
        <v>3.0000000000001137E-3</v>
      </c>
      <c r="D1212" s="12">
        <f t="shared" si="127"/>
        <v>9.0000000000006829E-6</v>
      </c>
      <c r="E1212" s="12">
        <f t="shared" si="128"/>
        <v>1.0889999999999067E-5</v>
      </c>
      <c r="F1212" s="12">
        <f t="shared" si="129"/>
        <v>1.846820073092407E-5</v>
      </c>
      <c r="G1212" s="12">
        <f t="shared" si="130"/>
        <v>4.2871294825813129</v>
      </c>
      <c r="I1212" s="12">
        <f t="shared" si="131"/>
        <v>4.2974644537126854E-3</v>
      </c>
      <c r="J1212" s="12">
        <f t="shared" si="132"/>
        <v>5.4233926257759718E-3</v>
      </c>
    </row>
    <row r="1213" spans="1:10">
      <c r="A1213" s="15">
        <v>41492</v>
      </c>
      <c r="B1213" s="11">
        <v>2.1978</v>
      </c>
      <c r="C1213" s="11">
        <f t="shared" si="126"/>
        <v>2.4999999999999467E-3</v>
      </c>
      <c r="D1213" s="12">
        <f t="shared" si="127"/>
        <v>6.2499999999997335E-6</v>
      </c>
      <c r="E1213" s="12">
        <f t="shared" si="128"/>
        <v>9.0000000000006829E-6</v>
      </c>
      <c r="F1213" s="12">
        <f t="shared" si="129"/>
        <v>1.8435773908980021E-5</v>
      </c>
      <c r="G1213" s="12">
        <f t="shared" si="130"/>
        <v>4.3621628383292226</v>
      </c>
      <c r="I1213" s="12">
        <f t="shared" si="131"/>
        <v>4.2936900108158744E-3</v>
      </c>
      <c r="J1213" s="12">
        <f t="shared" si="132"/>
        <v>5.4233926257759718E-3</v>
      </c>
    </row>
    <row r="1214" spans="1:10">
      <c r="A1214" s="15">
        <v>41493</v>
      </c>
      <c r="B1214" s="11">
        <v>2.1989999999999998</v>
      </c>
      <c r="C1214" s="11">
        <f t="shared" si="126"/>
        <v>1.1999999999998678E-3</v>
      </c>
      <c r="D1214" s="12">
        <f t="shared" si="127"/>
        <v>1.4399999999996828E-6</v>
      </c>
      <c r="E1214" s="12">
        <f t="shared" si="128"/>
        <v>6.2499999999997335E-6</v>
      </c>
      <c r="F1214" s="12">
        <f t="shared" si="129"/>
        <v>1.8243866853098947E-5</v>
      </c>
      <c r="G1214" s="12">
        <f t="shared" si="130"/>
        <v>4.4974369404182459</v>
      </c>
      <c r="I1214" s="12">
        <f t="shared" si="131"/>
        <v>4.2712839817903641E-3</v>
      </c>
      <c r="J1214" s="12">
        <f t="shared" si="132"/>
        <v>5.4233926257759718E-3</v>
      </c>
    </row>
    <row r="1215" spans="1:10">
      <c r="A1215" s="15">
        <v>41494</v>
      </c>
      <c r="B1215" s="11">
        <v>2.2010999999999998</v>
      </c>
      <c r="C1215" s="11">
        <f t="shared" si="126"/>
        <v>2.0999999999999908E-3</v>
      </c>
      <c r="D1215" s="12">
        <f t="shared" si="127"/>
        <v>4.4099999999999612E-6</v>
      </c>
      <c r="E1215" s="12">
        <f t="shared" si="128"/>
        <v>1.4399999999996828E-6</v>
      </c>
      <c r="F1215" s="12">
        <f t="shared" si="129"/>
        <v>1.7787636590002921E-5</v>
      </c>
      <c r="G1215" s="12">
        <f t="shared" si="130"/>
        <v>4.4256024116261301</v>
      </c>
      <c r="I1215" s="12">
        <f t="shared" si="131"/>
        <v>4.2175391628297802E-3</v>
      </c>
      <c r="J1215" s="12">
        <f t="shared" si="132"/>
        <v>5.4233926257759718E-3</v>
      </c>
    </row>
    <row r="1216" spans="1:10">
      <c r="A1216" s="15">
        <v>41495</v>
      </c>
      <c r="B1216" s="11">
        <v>2.1995</v>
      </c>
      <c r="C1216" s="11">
        <f t="shared" si="126"/>
        <v>-1.5999999999998238E-3</v>
      </c>
      <c r="D1216" s="12">
        <f t="shared" si="127"/>
        <v>2.5599999999994359E-6</v>
      </c>
      <c r="E1216" s="12">
        <f t="shared" si="128"/>
        <v>4.4099999999999612E-6</v>
      </c>
      <c r="F1216" s="12">
        <f t="shared" si="129"/>
        <v>1.7556779124740906E-5</v>
      </c>
      <c r="G1216" s="12">
        <f t="shared" si="130"/>
        <v>4.4831903522151588</v>
      </c>
      <c r="I1216" s="12">
        <f t="shared" si="131"/>
        <v>4.1900810403548167E-3</v>
      </c>
      <c r="J1216" s="12">
        <f t="shared" si="132"/>
        <v>5.4233926257759718E-3</v>
      </c>
    </row>
    <row r="1217" spans="1:10">
      <c r="A1217" s="15">
        <v>41496</v>
      </c>
      <c r="B1217" s="11">
        <v>2.1993</v>
      </c>
      <c r="C1217" s="11">
        <f t="shared" si="126"/>
        <v>-1.9999999999997797E-4</v>
      </c>
      <c r="D1217" s="12">
        <f t="shared" si="127"/>
        <v>3.9999999999991186E-8</v>
      </c>
      <c r="E1217" s="12">
        <f t="shared" si="128"/>
        <v>2.5599999999994359E-6</v>
      </c>
      <c r="F1217" s="12">
        <f t="shared" si="129"/>
        <v>1.7241245229121531E-5</v>
      </c>
      <c r="G1217" s="12">
        <f t="shared" si="130"/>
        <v>4.5640044835227318</v>
      </c>
      <c r="I1217" s="12">
        <f t="shared" si="131"/>
        <v>4.152257847138293E-3</v>
      </c>
      <c r="J1217" s="12">
        <f t="shared" si="132"/>
        <v>5.4233926257759718E-3</v>
      </c>
    </row>
    <row r="1218" spans="1:10">
      <c r="A1218" s="15">
        <v>41497</v>
      </c>
      <c r="B1218" s="11">
        <v>2.1993</v>
      </c>
      <c r="C1218" s="11">
        <f t="shared" si="126"/>
        <v>0</v>
      </c>
      <c r="D1218" s="12">
        <f t="shared" si="127"/>
        <v>0</v>
      </c>
      <c r="E1218" s="12">
        <f t="shared" si="128"/>
        <v>3.9999999999991186E-8</v>
      </c>
      <c r="F1218" s="12">
        <f t="shared" si="129"/>
        <v>1.6810483883804831E-5</v>
      </c>
      <c r="G1218" s="12">
        <f t="shared" si="130"/>
        <v>4.5778153721513251</v>
      </c>
      <c r="I1218" s="12">
        <f t="shared" si="131"/>
        <v>4.100059009795448E-3</v>
      </c>
      <c r="J1218" s="12">
        <f t="shared" si="132"/>
        <v>5.4233926257759718E-3</v>
      </c>
    </row>
    <row r="1219" spans="1:10">
      <c r="A1219" s="15">
        <v>41498</v>
      </c>
      <c r="B1219" s="11">
        <v>2.1959</v>
      </c>
      <c r="C1219" s="11">
        <f t="shared" si="126"/>
        <v>-3.4000000000000696E-3</v>
      </c>
      <c r="D1219" s="12">
        <f t="shared" si="127"/>
        <v>1.1560000000000474E-5</v>
      </c>
      <c r="E1219" s="12">
        <f t="shared" si="128"/>
        <v>0</v>
      </c>
      <c r="F1219" s="12">
        <f t="shared" si="129"/>
        <v>1.6423943318973473E-5</v>
      </c>
      <c r="G1219" s="12">
        <f t="shared" si="130"/>
        <v>4.2375213959194085</v>
      </c>
      <c r="I1219" s="12">
        <f t="shared" si="131"/>
        <v>4.0526464586703682E-3</v>
      </c>
      <c r="J1219" s="12">
        <f t="shared" si="132"/>
        <v>5.4233926257759718E-3</v>
      </c>
    </row>
    <row r="1220" spans="1:10">
      <c r="A1220" s="15">
        <v>41499</v>
      </c>
      <c r="B1220" s="11">
        <v>2.1928000000000001</v>
      </c>
      <c r="C1220" s="11">
        <f t="shared" si="126"/>
        <v>-3.0999999999998806E-3</v>
      </c>
      <c r="D1220" s="12">
        <f t="shared" si="127"/>
        <v>9.6099999999992592E-6</v>
      </c>
      <c r="E1220" s="12">
        <f t="shared" si="128"/>
        <v>1.1560000000000474E-5</v>
      </c>
      <c r="F1220" s="12">
        <f t="shared" si="129"/>
        <v>1.6764351681880067E-5</v>
      </c>
      <c r="G1220" s="12">
        <f t="shared" si="130"/>
        <v>4.2925692935455793</v>
      </c>
      <c r="I1220" s="12">
        <f t="shared" si="131"/>
        <v>4.0944293475257409E-3</v>
      </c>
      <c r="J1220" s="12">
        <f t="shared" si="132"/>
        <v>5.4233926257759718E-3</v>
      </c>
    </row>
    <row r="1221" spans="1:10">
      <c r="A1221" s="15">
        <v>41500</v>
      </c>
      <c r="B1221" s="11">
        <v>2.1930000000000001</v>
      </c>
      <c r="C1221" s="11">
        <f t="shared" si="126"/>
        <v>1.9999999999997797E-4</v>
      </c>
      <c r="D1221" s="12">
        <f t="shared" si="127"/>
        <v>3.9999999999991186E-8</v>
      </c>
      <c r="E1221" s="12">
        <f t="shared" si="128"/>
        <v>9.6099999999992592E-6</v>
      </c>
      <c r="F1221" s="12">
        <f t="shared" si="129"/>
        <v>1.6952368203417713E-5</v>
      </c>
      <c r="G1221" s="12">
        <f t="shared" si="130"/>
        <v>4.5724331916815366</v>
      </c>
      <c r="I1221" s="12">
        <f t="shared" si="131"/>
        <v>4.1173253701180471E-3</v>
      </c>
      <c r="J1221" s="12">
        <f t="shared" si="132"/>
        <v>5.4233926257759718E-3</v>
      </c>
    </row>
    <row r="1222" spans="1:10">
      <c r="A1222" s="15">
        <v>41501</v>
      </c>
      <c r="B1222" s="11">
        <v>2.2048000000000001</v>
      </c>
      <c r="C1222" s="11">
        <f t="shared" si="126"/>
        <v>1.1800000000000033E-2</v>
      </c>
      <c r="D1222" s="12">
        <f t="shared" si="127"/>
        <v>1.3924000000000076E-4</v>
      </c>
      <c r="E1222" s="12">
        <f t="shared" si="128"/>
        <v>3.9999999999991186E-8</v>
      </c>
      <c r="F1222" s="12">
        <f t="shared" si="129"/>
        <v>1.6552852039509825E-5</v>
      </c>
      <c r="G1222" s="12">
        <f t="shared" si="130"/>
        <v>0.37961580578990312</v>
      </c>
      <c r="I1222" s="12">
        <f t="shared" si="131"/>
        <v>4.0685196373508913E-3</v>
      </c>
      <c r="J1222" s="12">
        <f t="shared" si="132"/>
        <v>5.4233926257759718E-3</v>
      </c>
    </row>
    <row r="1223" spans="1:10">
      <c r="A1223" s="15">
        <v>41502</v>
      </c>
      <c r="B1223" s="11">
        <v>2.2021999999999999</v>
      </c>
      <c r="C1223" s="11">
        <f t="shared" si="126"/>
        <v>-2.6000000000001577E-3</v>
      </c>
      <c r="D1223" s="12">
        <f t="shared" si="127"/>
        <v>6.7600000000008204E-6</v>
      </c>
      <c r="E1223" s="12">
        <f t="shared" si="128"/>
        <v>1.3924000000000076E-4</v>
      </c>
      <c r="F1223" s="12">
        <f t="shared" si="129"/>
        <v>2.4446681126547165E-5</v>
      </c>
      <c r="G1223" s="12">
        <f t="shared" si="130"/>
        <v>4.2523094292717589</v>
      </c>
      <c r="I1223" s="12">
        <f t="shared" si="131"/>
        <v>4.9443585151713225E-3</v>
      </c>
      <c r="J1223" s="12">
        <f t="shared" si="132"/>
        <v>5.4233926257759718E-3</v>
      </c>
    </row>
    <row r="1224" spans="1:10">
      <c r="A1224" s="15">
        <v>41503</v>
      </c>
      <c r="B1224" s="11">
        <v>2.2021000000000002</v>
      </c>
      <c r="C1224" s="11">
        <f t="shared" si="126"/>
        <v>-9.9999999999766942E-5</v>
      </c>
      <c r="D1224" s="12">
        <f t="shared" si="127"/>
        <v>9.9999999999533886E-9</v>
      </c>
      <c r="E1224" s="12">
        <f t="shared" si="128"/>
        <v>6.7600000000008204E-6</v>
      </c>
      <c r="F1224" s="12">
        <f t="shared" si="129"/>
        <v>2.3634856085388313E-5</v>
      </c>
      <c r="G1224" s="12">
        <f t="shared" si="130"/>
        <v>4.4072438988463869</v>
      </c>
      <c r="I1224" s="12">
        <f t="shared" si="131"/>
        <v>4.8615693027445686E-3</v>
      </c>
      <c r="J1224" s="12">
        <f t="shared" si="132"/>
        <v>5.4233926257759718E-3</v>
      </c>
    </row>
    <row r="1225" spans="1:10">
      <c r="A1225" s="15">
        <v>41505</v>
      </c>
      <c r="B1225" s="11">
        <v>2.1888000000000001</v>
      </c>
      <c r="C1225" s="11">
        <f t="shared" si="126"/>
        <v>-1.330000000000009E-2</v>
      </c>
      <c r="D1225" s="12">
        <f t="shared" si="127"/>
        <v>1.7689000000000238E-4</v>
      </c>
      <c r="E1225" s="12">
        <f t="shared" si="128"/>
        <v>9.9999999999533886E-9</v>
      </c>
      <c r="F1225" s="12">
        <f t="shared" si="129"/>
        <v>2.25107783809686E-5</v>
      </c>
      <c r="G1225" s="12">
        <f t="shared" si="130"/>
        <v>0.50281288073696728</v>
      </c>
      <c r="I1225" s="12">
        <f t="shared" si="131"/>
        <v>4.7445524953327895E-3</v>
      </c>
      <c r="J1225" s="12">
        <f t="shared" si="132"/>
        <v>5.4233926257759718E-3</v>
      </c>
    </row>
    <row r="1226" spans="1:10">
      <c r="A1226" s="15">
        <v>41506</v>
      </c>
      <c r="B1226" s="11">
        <v>2.1913</v>
      </c>
      <c r="C1226" s="11">
        <f t="shared" si="126"/>
        <v>2.4999999999999467E-3</v>
      </c>
      <c r="D1226" s="12">
        <f t="shared" si="127"/>
        <v>6.2499999999997335E-6</v>
      </c>
      <c r="E1226" s="12">
        <f t="shared" si="128"/>
        <v>1.7689000000000238E-4</v>
      </c>
      <c r="F1226" s="12">
        <f t="shared" si="129"/>
        <v>3.1991640835379099E-5</v>
      </c>
      <c r="G1226" s="12">
        <f t="shared" si="130"/>
        <v>4.1583976491893067</v>
      </c>
      <c r="I1226" s="12">
        <f t="shared" si="131"/>
        <v>5.6561153484860167E-3</v>
      </c>
      <c r="J1226" s="12">
        <f t="shared" si="132"/>
        <v>5.4233926257759718E-3</v>
      </c>
    </row>
    <row r="1227" spans="1:10">
      <c r="A1227" s="15">
        <v>41507</v>
      </c>
      <c r="B1227" s="11">
        <v>2.1892999999999998</v>
      </c>
      <c r="C1227" s="11">
        <f t="shared" si="126"/>
        <v>-2.0000000000002238E-3</v>
      </c>
      <c r="D1227" s="12">
        <f t="shared" si="127"/>
        <v>4.0000000000008951E-6</v>
      </c>
      <c r="E1227" s="12">
        <f t="shared" si="128"/>
        <v>6.2499999999997335E-6</v>
      </c>
      <c r="F1227" s="12">
        <f t="shared" si="129"/>
        <v>3.0333519842141371E-5</v>
      </c>
      <c r="G1227" s="12">
        <f t="shared" si="130"/>
        <v>4.2167563946235154</v>
      </c>
      <c r="I1227" s="12">
        <f t="shared" si="131"/>
        <v>5.5075874792999309E-3</v>
      </c>
      <c r="J1227" s="12">
        <f t="shared" si="132"/>
        <v>5.4233926257759718E-3</v>
      </c>
    </row>
    <row r="1228" spans="1:10">
      <c r="A1228" s="15">
        <v>41508</v>
      </c>
      <c r="B1228" s="11">
        <v>2.1913</v>
      </c>
      <c r="C1228" s="11">
        <f t="shared" si="126"/>
        <v>2.0000000000002238E-3</v>
      </c>
      <c r="D1228" s="12">
        <f t="shared" si="127"/>
        <v>4.0000000000008951E-6</v>
      </c>
      <c r="E1228" s="12">
        <f t="shared" si="128"/>
        <v>4.0000000000008951E-6</v>
      </c>
      <c r="F1228" s="12">
        <f t="shared" si="129"/>
        <v>2.8721389159467192E-5</v>
      </c>
      <c r="G1228" s="12">
        <f t="shared" si="130"/>
        <v>4.2403611675026074</v>
      </c>
      <c r="I1228" s="12">
        <f t="shared" si="131"/>
        <v>5.3592340086496678E-3</v>
      </c>
      <c r="J1228" s="12">
        <f t="shared" si="132"/>
        <v>5.4233926257759718E-3</v>
      </c>
    </row>
    <row r="1229" spans="1:10">
      <c r="A1229" s="15">
        <v>41509</v>
      </c>
      <c r="B1229" s="11">
        <v>2.1937000000000002</v>
      </c>
      <c r="C1229" s="11">
        <f t="shared" si="126"/>
        <v>2.4000000000001798E-3</v>
      </c>
      <c r="D1229" s="12">
        <f t="shared" si="127"/>
        <v>5.760000000000863E-6</v>
      </c>
      <c r="E1229" s="12">
        <f t="shared" si="128"/>
        <v>4.0000000000008951E-6</v>
      </c>
      <c r="F1229" s="12">
        <f t="shared" si="129"/>
        <v>2.7283627883678674E-5</v>
      </c>
      <c r="G1229" s="12">
        <f t="shared" si="130"/>
        <v>4.2301155231578109</v>
      </c>
      <c r="I1229" s="12">
        <f t="shared" si="131"/>
        <v>5.2233732284490903E-3</v>
      </c>
      <c r="J1229" s="12">
        <f t="shared" si="132"/>
        <v>5.4233926257759718E-3</v>
      </c>
    </row>
    <row r="1230" spans="1:10">
      <c r="A1230" s="15">
        <v>41510</v>
      </c>
      <c r="B1230" s="11">
        <v>2.1941000000000002</v>
      </c>
      <c r="C1230" s="11">
        <f t="shared" ref="C1230:C1293" si="133">B1230-B1229</f>
        <v>3.9999999999995595E-4</v>
      </c>
      <c r="D1230" s="12">
        <f t="shared" ref="D1230:D1293" si="134">C1230^2</f>
        <v>1.5999999999996475E-7</v>
      </c>
      <c r="E1230" s="12">
        <f t="shared" si="128"/>
        <v>5.760000000000863E-6</v>
      </c>
      <c r="F1230" s="12">
        <f t="shared" si="129"/>
        <v>2.6105688103033484E-5</v>
      </c>
      <c r="G1230" s="12">
        <f t="shared" si="130"/>
        <v>4.3546756593626332</v>
      </c>
      <c r="I1230" s="12">
        <f t="shared" si="131"/>
        <v>5.1093725743023947E-3</v>
      </c>
      <c r="J1230" s="12">
        <f t="shared" si="132"/>
        <v>5.4233926257759718E-3</v>
      </c>
    </row>
    <row r="1231" spans="1:10">
      <c r="A1231" s="15">
        <v>41511</v>
      </c>
      <c r="B1231" s="11">
        <v>2.194</v>
      </c>
      <c r="C1231" s="11">
        <f t="shared" si="133"/>
        <v>-1.0000000000021103E-4</v>
      </c>
      <c r="D1231" s="12">
        <f t="shared" si="134"/>
        <v>1.0000000000042206E-8</v>
      </c>
      <c r="E1231" s="12">
        <f t="shared" ref="E1231:E1294" si="135">D1230</f>
        <v>1.5999999999996475E-7</v>
      </c>
      <c r="F1231" s="12">
        <f t="shared" ref="F1231:F1294" si="136">$B$5+$B$6*E1231+$B$7*F1230</f>
        <v>2.4723253364855623E-5</v>
      </c>
      <c r="G1231" s="12">
        <f t="shared" ref="G1231:G1294" si="137">LN((1/SQRT(2*3.1415927*F1231))*EXP(-0.5*D1231/F1231))</f>
        <v>4.3847423833649923</v>
      </c>
      <c r="I1231" s="12">
        <f t="shared" ref="I1231:I1294" si="138">SQRT(F1231)</f>
        <v>4.9722483209163658E-3</v>
      </c>
      <c r="J1231" s="12">
        <f t="shared" si="132"/>
        <v>5.4233926257759718E-3</v>
      </c>
    </row>
    <row r="1232" spans="1:10">
      <c r="A1232" s="15">
        <v>41512</v>
      </c>
      <c r="B1232" s="11">
        <v>2.1985000000000001</v>
      </c>
      <c r="C1232" s="11">
        <f t="shared" si="133"/>
        <v>4.5000000000001705E-3</v>
      </c>
      <c r="D1232" s="12">
        <f t="shared" si="134"/>
        <v>2.0250000000001536E-5</v>
      </c>
      <c r="E1232" s="12">
        <f t="shared" si="135"/>
        <v>1.0000000000042206E-8</v>
      </c>
      <c r="F1232" s="12">
        <f t="shared" si="136"/>
        <v>2.348145369774622E-5</v>
      </c>
      <c r="G1232" s="12">
        <f t="shared" si="137"/>
        <v>3.9795199238555923</v>
      </c>
      <c r="I1232" s="12">
        <f t="shared" si="138"/>
        <v>4.8457665748306757E-3</v>
      </c>
      <c r="J1232" s="12">
        <f t="shared" ref="J1232:J1295" si="139">J1231</f>
        <v>5.4233926257759718E-3</v>
      </c>
    </row>
    <row r="1233" spans="1:10">
      <c r="A1233" s="15">
        <v>41513</v>
      </c>
      <c r="B1233" s="11">
        <v>2.1951000000000001</v>
      </c>
      <c r="C1233" s="11">
        <f t="shared" si="133"/>
        <v>-3.4000000000000696E-3</v>
      </c>
      <c r="D1233" s="12">
        <f t="shared" si="134"/>
        <v>1.1560000000000474E-5</v>
      </c>
      <c r="E1233" s="12">
        <f t="shared" si="135"/>
        <v>2.0250000000001536E-5</v>
      </c>
      <c r="F1233" s="12">
        <f t="shared" si="136"/>
        <v>2.3573556464263716E-5</v>
      </c>
      <c r="G1233" s="12">
        <f t="shared" si="137"/>
        <v>4.1635639540128633</v>
      </c>
      <c r="I1233" s="12">
        <f t="shared" si="138"/>
        <v>4.8552606999278337E-3</v>
      </c>
      <c r="J1233" s="12">
        <f t="shared" si="139"/>
        <v>5.4233926257759718E-3</v>
      </c>
    </row>
    <row r="1234" spans="1:10">
      <c r="A1234" s="15">
        <v>41514</v>
      </c>
      <c r="B1234" s="11">
        <v>2.1924000000000001</v>
      </c>
      <c r="C1234" s="11">
        <f t="shared" si="133"/>
        <v>-2.6999999999999247E-3</v>
      </c>
      <c r="D1234" s="12">
        <f t="shared" si="134"/>
        <v>7.2899999999995931E-6</v>
      </c>
      <c r="E1234" s="12">
        <f t="shared" si="135"/>
        <v>1.1560000000000474E-5</v>
      </c>
      <c r="F1234" s="12">
        <f t="shared" si="136"/>
        <v>2.3140656672313882E-5</v>
      </c>
      <c r="G1234" s="12">
        <f t="shared" si="137"/>
        <v>4.2605062117445121</v>
      </c>
      <c r="I1234" s="12">
        <f t="shared" si="138"/>
        <v>4.8104736432407445E-3</v>
      </c>
      <c r="J1234" s="12">
        <f t="shared" si="139"/>
        <v>5.4233926257759718E-3</v>
      </c>
    </row>
    <row r="1235" spans="1:10">
      <c r="A1235" s="15">
        <v>41515</v>
      </c>
      <c r="B1235" s="11">
        <v>2.1865999999999999</v>
      </c>
      <c r="C1235" s="11">
        <f t="shared" si="133"/>
        <v>-5.8000000000002494E-3</v>
      </c>
      <c r="D1235" s="12">
        <f t="shared" si="134"/>
        <v>3.364000000000289E-5</v>
      </c>
      <c r="E1235" s="12">
        <f t="shared" si="135"/>
        <v>7.2899999999995931E-6</v>
      </c>
      <c r="F1235" s="12">
        <f t="shared" si="136"/>
        <v>2.2501504476879223E-5</v>
      </c>
      <c r="G1235" s="12">
        <f t="shared" si="137"/>
        <v>3.6845200789662687</v>
      </c>
      <c r="I1235" s="12">
        <f t="shared" si="138"/>
        <v>4.7435750733891861E-3</v>
      </c>
      <c r="J1235" s="12">
        <f t="shared" si="139"/>
        <v>5.4233926257759718E-3</v>
      </c>
    </row>
    <row r="1236" spans="1:10">
      <c r="A1236" s="15">
        <v>41516</v>
      </c>
      <c r="B1236" s="11">
        <v>2.1880000000000002</v>
      </c>
      <c r="C1236" s="11">
        <f t="shared" si="133"/>
        <v>1.4000000000002899E-3</v>
      </c>
      <c r="D1236" s="12">
        <f t="shared" si="134"/>
        <v>1.9600000000008118E-6</v>
      </c>
      <c r="E1236" s="12">
        <f t="shared" si="135"/>
        <v>3.364000000000289E-5</v>
      </c>
      <c r="F1236" s="12">
        <f t="shared" si="136"/>
        <v>2.3493200552589798E-5</v>
      </c>
      <c r="G1236" s="12">
        <f t="shared" si="137"/>
        <v>4.3687470206732115</v>
      </c>
      <c r="I1236" s="12">
        <f t="shared" si="138"/>
        <v>4.8469784972279169E-3</v>
      </c>
      <c r="J1236" s="12">
        <f t="shared" si="139"/>
        <v>5.4233926257759718E-3</v>
      </c>
    </row>
    <row r="1237" spans="1:10">
      <c r="A1237" s="15">
        <v>41517</v>
      </c>
      <c r="B1237" s="11">
        <v>2.1871999999999998</v>
      </c>
      <c r="C1237" s="11">
        <f t="shared" si="133"/>
        <v>-8.0000000000035598E-4</v>
      </c>
      <c r="D1237" s="12">
        <f t="shared" si="134"/>
        <v>6.4000000000056954E-7</v>
      </c>
      <c r="E1237" s="12">
        <f t="shared" si="135"/>
        <v>1.9600000000008118E-6</v>
      </c>
      <c r="F1237" s="12">
        <f t="shared" si="136"/>
        <v>2.2500017416721583E-5</v>
      </c>
      <c r="G1237" s="12">
        <f t="shared" si="137"/>
        <v>4.4178364855346004</v>
      </c>
      <c r="I1237" s="12">
        <f t="shared" si="138"/>
        <v>4.7434183261358667E-3</v>
      </c>
      <c r="J1237" s="12">
        <f t="shared" si="139"/>
        <v>5.4233926257759718E-3</v>
      </c>
    </row>
    <row r="1238" spans="1:10">
      <c r="A1238" s="15">
        <v>41518</v>
      </c>
      <c r="B1238" s="11">
        <v>2.1871999999999998</v>
      </c>
      <c r="C1238" s="11">
        <f t="shared" si="133"/>
        <v>0</v>
      </c>
      <c r="D1238" s="12">
        <f t="shared" si="134"/>
        <v>0</v>
      </c>
      <c r="E1238" s="12">
        <f t="shared" si="135"/>
        <v>6.4000000000056954E-7</v>
      </c>
      <c r="F1238" s="12">
        <f t="shared" si="136"/>
        <v>2.1536023779731204E-5</v>
      </c>
      <c r="G1238" s="12">
        <f t="shared" si="137"/>
        <v>4.4539532095676257</v>
      </c>
      <c r="I1238" s="12">
        <f t="shared" si="138"/>
        <v>4.6406921660169624E-3</v>
      </c>
      <c r="J1238" s="12">
        <f t="shared" si="139"/>
        <v>5.4233926257759718E-3</v>
      </c>
    </row>
    <row r="1239" spans="1:10">
      <c r="A1239" s="15">
        <v>41519</v>
      </c>
      <c r="B1239" s="11">
        <v>2.1819999999999999</v>
      </c>
      <c r="C1239" s="11">
        <f t="shared" si="133"/>
        <v>-5.1999999999998714E-3</v>
      </c>
      <c r="D1239" s="12">
        <f t="shared" si="134"/>
        <v>2.7039999999998664E-5</v>
      </c>
      <c r="E1239" s="12">
        <f t="shared" si="135"/>
        <v>0</v>
      </c>
      <c r="F1239" s="12">
        <f t="shared" si="136"/>
        <v>2.0638364855995847E-5</v>
      </c>
      <c r="G1239" s="12">
        <f t="shared" si="137"/>
        <v>3.820150223357083</v>
      </c>
      <c r="I1239" s="12">
        <f t="shared" si="138"/>
        <v>4.5429467150733616E-3</v>
      </c>
      <c r="J1239" s="12">
        <f t="shared" si="139"/>
        <v>5.4233926257759718E-3</v>
      </c>
    </row>
    <row r="1240" spans="1:10">
      <c r="A1240" s="15">
        <v>41520</v>
      </c>
      <c r="B1240" s="11">
        <v>2.1812999999999998</v>
      </c>
      <c r="C1240" s="11">
        <f t="shared" si="133"/>
        <v>-7.0000000000014495E-4</v>
      </c>
      <c r="D1240" s="12">
        <f t="shared" si="134"/>
        <v>4.9000000000020294E-7</v>
      </c>
      <c r="E1240" s="12">
        <f t="shared" si="135"/>
        <v>2.7039999999998664E-5</v>
      </c>
      <c r="F1240" s="12">
        <f t="shared" si="136"/>
        <v>2.1440409565018694E-5</v>
      </c>
      <c r="G1240" s="12">
        <f t="shared" si="137"/>
        <v>4.4447509984406066</v>
      </c>
      <c r="I1240" s="12">
        <f t="shared" si="138"/>
        <v>4.6303789871908647E-3</v>
      </c>
      <c r="J1240" s="12">
        <f t="shared" si="139"/>
        <v>5.4233926257759718E-3</v>
      </c>
    </row>
    <row r="1241" spans="1:10">
      <c r="A1241" s="15">
        <v>41521</v>
      </c>
      <c r="B1241" s="11">
        <v>2.1947999999999999</v>
      </c>
      <c r="C1241" s="11">
        <f t="shared" si="133"/>
        <v>1.3500000000000068E-2</v>
      </c>
      <c r="D1241" s="12">
        <f t="shared" si="134"/>
        <v>1.8225000000000183E-4</v>
      </c>
      <c r="E1241" s="12">
        <f t="shared" si="135"/>
        <v>4.9000000000020294E-7</v>
      </c>
      <c r="F1241" s="12">
        <f t="shared" si="136"/>
        <v>2.0582133772269941E-5</v>
      </c>
      <c r="G1241" s="12">
        <f t="shared" si="137"/>
        <v>4.9221508628600662E-2</v>
      </c>
      <c r="I1241" s="12">
        <f t="shared" si="138"/>
        <v>4.5367536600822772E-3</v>
      </c>
      <c r="J1241" s="12">
        <f t="shared" si="139"/>
        <v>5.4233926257759718E-3</v>
      </c>
    </row>
    <row r="1242" spans="1:10">
      <c r="A1242" s="15">
        <v>41522</v>
      </c>
      <c r="B1242" s="11">
        <v>2.1821999999999999</v>
      </c>
      <c r="C1242" s="11">
        <f t="shared" si="133"/>
        <v>-1.2599999999999945E-2</v>
      </c>
      <c r="D1242" s="12">
        <f t="shared" si="134"/>
        <v>1.587599999999986E-4</v>
      </c>
      <c r="E1242" s="12">
        <f t="shared" si="135"/>
        <v>1.8225000000000183E-4</v>
      </c>
      <c r="F1242" s="12">
        <f t="shared" si="136"/>
        <v>3.0589277589884633E-5</v>
      </c>
      <c r="G1242" s="12">
        <f t="shared" si="137"/>
        <v>1.6834650084629224</v>
      </c>
      <c r="I1242" s="12">
        <f t="shared" si="138"/>
        <v>5.5307574155701884E-3</v>
      </c>
      <c r="J1242" s="12">
        <f t="shared" si="139"/>
        <v>5.4233926257759718E-3</v>
      </c>
    </row>
    <row r="1243" spans="1:10">
      <c r="A1243" s="15">
        <v>41523</v>
      </c>
      <c r="B1243" s="11">
        <v>2.1829000000000001</v>
      </c>
      <c r="C1243" s="11">
        <f t="shared" si="133"/>
        <v>7.0000000000014495E-4</v>
      </c>
      <c r="D1243" s="12">
        <f t="shared" si="134"/>
        <v>4.9000000000020294E-7</v>
      </c>
      <c r="E1243" s="12">
        <f t="shared" si="135"/>
        <v>1.587599999999986E-4</v>
      </c>
      <c r="F1243" s="12">
        <f t="shared" si="136"/>
        <v>3.8121830352717665E-5</v>
      </c>
      <c r="G1243" s="12">
        <f t="shared" si="137"/>
        <v>4.1619964279816895</v>
      </c>
      <c r="I1243" s="12">
        <f t="shared" si="138"/>
        <v>6.1742878417448003E-3</v>
      </c>
      <c r="J1243" s="12">
        <f t="shared" si="139"/>
        <v>5.4233926257759718E-3</v>
      </c>
    </row>
    <row r="1244" spans="1:10">
      <c r="A1244" s="15">
        <v>41524</v>
      </c>
      <c r="B1244" s="11">
        <v>2.1873999999999998</v>
      </c>
      <c r="C1244" s="11">
        <f t="shared" si="133"/>
        <v>4.4999999999997264E-3</v>
      </c>
      <c r="D1244" s="12">
        <f t="shared" si="134"/>
        <v>2.0249999999997538E-5</v>
      </c>
      <c r="E1244" s="12">
        <f t="shared" si="135"/>
        <v>4.9000000000020294E-7</v>
      </c>
      <c r="F1244" s="12">
        <f t="shared" si="136"/>
        <v>3.5459278095274206E-5</v>
      </c>
      <c r="G1244" s="12">
        <f t="shared" si="137"/>
        <v>3.9190854593095161</v>
      </c>
      <c r="I1244" s="12">
        <f t="shared" si="138"/>
        <v>5.9547693570174663E-3</v>
      </c>
      <c r="J1244" s="12">
        <f t="shared" si="139"/>
        <v>5.4233926257759718E-3</v>
      </c>
    </row>
    <row r="1245" spans="1:10">
      <c r="A1245" s="15">
        <v>41525</v>
      </c>
      <c r="B1245" s="11">
        <v>2.1873999999999998</v>
      </c>
      <c r="C1245" s="11">
        <f t="shared" si="133"/>
        <v>0</v>
      </c>
      <c r="D1245" s="12">
        <f t="shared" si="134"/>
        <v>0</v>
      </c>
      <c r="E1245" s="12">
        <f t="shared" si="135"/>
        <v>2.0249999999997538E-5</v>
      </c>
      <c r="F1245" s="12">
        <f t="shared" si="136"/>
        <v>3.4255849328012152E-5</v>
      </c>
      <c r="G1245" s="12">
        <f t="shared" si="137"/>
        <v>4.2218880716780243</v>
      </c>
      <c r="I1245" s="12">
        <f t="shared" si="138"/>
        <v>5.8528496758427128E-3</v>
      </c>
      <c r="J1245" s="12">
        <f t="shared" si="139"/>
        <v>5.4233926257759718E-3</v>
      </c>
    </row>
    <row r="1246" spans="1:10">
      <c r="A1246" s="15">
        <v>41526</v>
      </c>
      <c r="B1246" s="11">
        <v>2.1890000000000001</v>
      </c>
      <c r="C1246" s="11">
        <f t="shared" si="133"/>
        <v>1.6000000000002679E-3</v>
      </c>
      <c r="D1246" s="12">
        <f t="shared" si="134"/>
        <v>2.5600000000008573E-6</v>
      </c>
      <c r="E1246" s="12">
        <f t="shared" si="135"/>
        <v>0</v>
      </c>
      <c r="F1246" s="12">
        <f t="shared" si="136"/>
        <v>3.1982403403644961E-5</v>
      </c>
      <c r="G1246" s="12">
        <f t="shared" si="137"/>
        <v>4.2162018015852798</v>
      </c>
      <c r="I1246" s="12">
        <f t="shared" si="138"/>
        <v>5.6552987015404373E-3</v>
      </c>
      <c r="J1246" s="12">
        <f t="shared" si="139"/>
        <v>5.4233926257759718E-3</v>
      </c>
    </row>
    <row r="1247" spans="1:10">
      <c r="A1247" s="15">
        <v>41527</v>
      </c>
      <c r="B1247" s="11">
        <v>2.1913999999999998</v>
      </c>
      <c r="C1247" s="11">
        <f t="shared" si="133"/>
        <v>2.3999999999997357E-3</v>
      </c>
      <c r="D1247" s="12">
        <f t="shared" si="134"/>
        <v>5.7599999999987311E-6</v>
      </c>
      <c r="E1247" s="12">
        <f t="shared" si="135"/>
        <v>2.5600000000008573E-6</v>
      </c>
      <c r="F1247" s="12">
        <f t="shared" si="136"/>
        <v>3.0106581885873706E-5</v>
      </c>
      <c r="G1247" s="12">
        <f t="shared" si="137"/>
        <v>4.1907846854366149</v>
      </c>
      <c r="I1247" s="12">
        <f t="shared" si="138"/>
        <v>5.4869464992720407E-3</v>
      </c>
      <c r="J1247" s="12">
        <f t="shared" si="139"/>
        <v>5.4233926257759718E-3</v>
      </c>
    </row>
    <row r="1248" spans="1:10">
      <c r="A1248" s="15">
        <v>41528</v>
      </c>
      <c r="B1248" s="11">
        <v>2.1949999999999998</v>
      </c>
      <c r="C1248" s="11">
        <f t="shared" si="133"/>
        <v>3.6000000000000476E-3</v>
      </c>
      <c r="D1248" s="12">
        <f t="shared" si="134"/>
        <v>1.2960000000000343E-5</v>
      </c>
      <c r="E1248" s="12">
        <f t="shared" si="135"/>
        <v>5.7599999999987311E-6</v>
      </c>
      <c r="F1248" s="12">
        <f t="shared" si="136"/>
        <v>2.8623309032470455E-5</v>
      </c>
      <c r="G1248" s="12">
        <f t="shared" si="137"/>
        <v>4.0853171255298868</v>
      </c>
      <c r="I1248" s="12">
        <f t="shared" si="138"/>
        <v>5.350075609976971E-3</v>
      </c>
      <c r="J1248" s="12">
        <f t="shared" si="139"/>
        <v>5.4233926257759718E-3</v>
      </c>
    </row>
    <row r="1249" spans="1:10">
      <c r="A1249" s="15">
        <v>41529</v>
      </c>
      <c r="B1249" s="11">
        <v>2.1924000000000001</v>
      </c>
      <c r="C1249" s="11">
        <f t="shared" si="133"/>
        <v>-2.5999999999997137E-3</v>
      </c>
      <c r="D1249" s="12">
        <f t="shared" si="134"/>
        <v>6.7599999999985106E-6</v>
      </c>
      <c r="E1249" s="12">
        <f t="shared" si="135"/>
        <v>1.2960000000000343E-5</v>
      </c>
      <c r="F1249" s="12">
        <f t="shared" si="136"/>
        <v>2.7727199245099092E-5</v>
      </c>
      <c r="G1249" s="12">
        <f t="shared" si="137"/>
        <v>4.2057078491706807</v>
      </c>
      <c r="I1249" s="12">
        <f t="shared" si="138"/>
        <v>5.2656622798180949E-3</v>
      </c>
      <c r="J1249" s="12">
        <f t="shared" si="139"/>
        <v>5.4233926257759718E-3</v>
      </c>
    </row>
    <row r="1250" spans="1:10">
      <c r="A1250" s="15">
        <v>41530</v>
      </c>
      <c r="B1250" s="11">
        <v>2.2004999999999999</v>
      </c>
      <c r="C1250" s="11">
        <f t="shared" si="133"/>
        <v>8.099999999999774E-3</v>
      </c>
      <c r="D1250" s="12">
        <f t="shared" si="134"/>
        <v>6.5609999999996345E-5</v>
      </c>
      <c r="E1250" s="12">
        <f t="shared" si="135"/>
        <v>6.7599999999985106E-6</v>
      </c>
      <c r="F1250" s="12">
        <f t="shared" si="136"/>
        <v>2.6560550612554381E-5</v>
      </c>
      <c r="G1250" s="12">
        <f t="shared" si="137"/>
        <v>3.1140008034766051</v>
      </c>
      <c r="I1250" s="12">
        <f t="shared" si="138"/>
        <v>5.1536929101911357E-3</v>
      </c>
      <c r="J1250" s="12">
        <f t="shared" si="139"/>
        <v>5.4233926257759718E-3</v>
      </c>
    </row>
    <row r="1251" spans="1:10">
      <c r="A1251" s="15">
        <v>41531</v>
      </c>
      <c r="B1251" s="11">
        <v>2.1970000000000001</v>
      </c>
      <c r="C1251" s="11">
        <f t="shared" si="133"/>
        <v>-3.4999999999998366E-3</v>
      </c>
      <c r="D1251" s="12">
        <f t="shared" si="134"/>
        <v>1.2249999999998856E-5</v>
      </c>
      <c r="E1251" s="12">
        <f t="shared" si="135"/>
        <v>6.5609999999996345E-5</v>
      </c>
      <c r="F1251" s="12">
        <f t="shared" si="136"/>
        <v>2.9008021163320022E-5</v>
      </c>
      <c r="G1251" s="12">
        <f t="shared" si="137"/>
        <v>4.0938820519993779</v>
      </c>
      <c r="I1251" s="12">
        <f t="shared" si="138"/>
        <v>5.3859095019615786E-3</v>
      </c>
      <c r="J1251" s="12">
        <f t="shared" si="139"/>
        <v>5.4233926257759718E-3</v>
      </c>
    </row>
    <row r="1252" spans="1:10">
      <c r="A1252" s="15">
        <v>41532</v>
      </c>
      <c r="B1252" s="11">
        <v>2.2002999999999999</v>
      </c>
      <c r="C1252" s="11">
        <f t="shared" si="133"/>
        <v>3.2999999999998586E-3</v>
      </c>
      <c r="D1252" s="12">
        <f t="shared" si="134"/>
        <v>1.0889999999999067E-5</v>
      </c>
      <c r="E1252" s="12">
        <f t="shared" si="135"/>
        <v>1.2249999999998856E-5</v>
      </c>
      <c r="F1252" s="12">
        <f t="shared" si="136"/>
        <v>2.8028220168162791E-5</v>
      </c>
      <c r="G1252" s="12">
        <f t="shared" si="137"/>
        <v>4.1279423158430539</v>
      </c>
      <c r="I1252" s="12">
        <f t="shared" si="138"/>
        <v>5.2941685058338281E-3</v>
      </c>
      <c r="J1252" s="12">
        <f t="shared" si="139"/>
        <v>5.4233926257759718E-3</v>
      </c>
    </row>
    <row r="1253" spans="1:10">
      <c r="A1253" s="15">
        <v>41533</v>
      </c>
      <c r="B1253" s="11">
        <v>2.2025999999999999</v>
      </c>
      <c r="C1253" s="11">
        <f t="shared" si="133"/>
        <v>2.2999999999999687E-3</v>
      </c>
      <c r="D1253" s="12">
        <f t="shared" si="134"/>
        <v>5.2899999999998562E-6</v>
      </c>
      <c r="E1253" s="12">
        <f t="shared" si="135"/>
        <v>1.0889999999999067E-5</v>
      </c>
      <c r="F1253" s="12">
        <f t="shared" si="136"/>
        <v>2.707379052037455E-5</v>
      </c>
      <c r="G1253" s="12">
        <f t="shared" si="137"/>
        <v>4.2418377165383054</v>
      </c>
      <c r="I1253" s="12">
        <f t="shared" si="138"/>
        <v>5.2032480740758988E-3</v>
      </c>
      <c r="J1253" s="12">
        <f t="shared" si="139"/>
        <v>5.4233926257759718E-3</v>
      </c>
    </row>
    <row r="1254" spans="1:10">
      <c r="A1254" s="15">
        <v>41534</v>
      </c>
      <c r="B1254" s="11">
        <v>2.2040000000000002</v>
      </c>
      <c r="C1254" s="11">
        <f t="shared" si="133"/>
        <v>1.4000000000002899E-3</v>
      </c>
      <c r="D1254" s="12">
        <f t="shared" si="134"/>
        <v>1.9600000000008118E-6</v>
      </c>
      <c r="E1254" s="12">
        <f t="shared" si="135"/>
        <v>5.2899999999998562E-6</v>
      </c>
      <c r="F1254" s="12">
        <f t="shared" si="136"/>
        <v>2.589069087160468E-5</v>
      </c>
      <c r="G1254" s="12">
        <f t="shared" si="137"/>
        <v>4.3240235566230023</v>
      </c>
      <c r="I1254" s="12">
        <f t="shared" si="138"/>
        <v>5.0882895821292131E-3</v>
      </c>
      <c r="J1254" s="12">
        <f t="shared" si="139"/>
        <v>5.4233926257759718E-3</v>
      </c>
    </row>
    <row r="1255" spans="1:10">
      <c r="A1255" s="15">
        <v>41535</v>
      </c>
      <c r="B1255" s="11">
        <v>2.2126000000000001</v>
      </c>
      <c r="C1255" s="11">
        <f t="shared" si="133"/>
        <v>8.599999999999941E-3</v>
      </c>
      <c r="D1255" s="12">
        <f t="shared" si="134"/>
        <v>7.3959999999998987E-5</v>
      </c>
      <c r="E1255" s="12">
        <f t="shared" si="135"/>
        <v>1.9600000000008118E-6</v>
      </c>
      <c r="F1255" s="12">
        <f t="shared" si="136"/>
        <v>2.4638193171828228E-5</v>
      </c>
      <c r="G1255" s="12">
        <f t="shared" si="137"/>
        <v>2.8857460854346346</v>
      </c>
      <c r="I1255" s="12">
        <f t="shared" si="138"/>
        <v>4.9636874571056776E-3</v>
      </c>
      <c r="J1255" s="12">
        <f t="shared" si="139"/>
        <v>5.4233926257759718E-3</v>
      </c>
    </row>
    <row r="1256" spans="1:10">
      <c r="A1256" s="15">
        <v>41536</v>
      </c>
      <c r="B1256" s="11">
        <v>2.2149999999999999</v>
      </c>
      <c r="C1256" s="11">
        <f t="shared" si="133"/>
        <v>2.3999999999997357E-3</v>
      </c>
      <c r="D1256" s="12">
        <f t="shared" si="134"/>
        <v>5.7599999999987311E-6</v>
      </c>
      <c r="E1256" s="12">
        <f t="shared" si="135"/>
        <v>7.3959999999998987E-5</v>
      </c>
      <c r="F1256" s="12">
        <f t="shared" si="136"/>
        <v>2.7788476974302779E-5</v>
      </c>
      <c r="G1256" s="12">
        <f t="shared" si="137"/>
        <v>4.2228659388316174</v>
      </c>
      <c r="I1256" s="12">
        <f t="shared" si="138"/>
        <v>5.2714776841321052E-3</v>
      </c>
      <c r="J1256" s="12">
        <f t="shared" si="139"/>
        <v>5.4233926257759718E-3</v>
      </c>
    </row>
    <row r="1257" spans="1:10">
      <c r="A1257" s="15">
        <v>41537</v>
      </c>
      <c r="B1257" s="11">
        <v>2.2153</v>
      </c>
      <c r="C1257" s="11">
        <f t="shared" si="133"/>
        <v>3.00000000000189E-4</v>
      </c>
      <c r="D1257" s="12">
        <f t="shared" si="134"/>
        <v>9.0000000000113408E-8</v>
      </c>
      <c r="E1257" s="12">
        <f t="shared" si="135"/>
        <v>5.7599999999987311E-6</v>
      </c>
      <c r="F1257" s="12">
        <f t="shared" si="136"/>
        <v>2.6555932292550521E-5</v>
      </c>
      <c r="G1257" s="12">
        <f t="shared" si="137"/>
        <v>4.3474956211398457</v>
      </c>
      <c r="I1257" s="12">
        <f t="shared" si="138"/>
        <v>5.1532448314193765E-3</v>
      </c>
      <c r="J1257" s="12">
        <f t="shared" si="139"/>
        <v>5.4233926257759718E-3</v>
      </c>
    </row>
    <row r="1258" spans="1:10">
      <c r="A1258" s="15">
        <v>41538</v>
      </c>
      <c r="B1258" s="11">
        <v>2.2145000000000001</v>
      </c>
      <c r="C1258" s="11">
        <f t="shared" si="133"/>
        <v>-7.9999999999991189E-4</v>
      </c>
      <c r="D1258" s="12">
        <f t="shared" si="134"/>
        <v>6.3999999999985898E-7</v>
      </c>
      <c r="E1258" s="12">
        <f t="shared" si="135"/>
        <v>9.0000000000113408E-8</v>
      </c>
      <c r="F1258" s="12">
        <f t="shared" si="136"/>
        <v>2.5120649991268583E-5</v>
      </c>
      <c r="G1258" s="12">
        <f t="shared" si="137"/>
        <v>4.364233106145976</v>
      </c>
      <c r="I1258" s="12">
        <f t="shared" si="138"/>
        <v>5.0120504777255168E-3</v>
      </c>
      <c r="J1258" s="12">
        <f t="shared" si="139"/>
        <v>5.4233926257759718E-3</v>
      </c>
    </row>
    <row r="1259" spans="1:10">
      <c r="A1259" s="15">
        <v>41539</v>
      </c>
      <c r="B1259" s="11">
        <v>2.2147000000000001</v>
      </c>
      <c r="C1259" s="11">
        <f t="shared" si="133"/>
        <v>1.9999999999997797E-4</v>
      </c>
      <c r="D1259" s="12">
        <f t="shared" si="134"/>
        <v>3.9999999999991186E-8</v>
      </c>
      <c r="E1259" s="12">
        <f t="shared" si="135"/>
        <v>6.3999999999985898E-7</v>
      </c>
      <c r="F1259" s="12">
        <f t="shared" si="136"/>
        <v>2.3873206536840897E-5</v>
      </c>
      <c r="G1259" s="12">
        <f t="shared" si="137"/>
        <v>4.4016005967897103</v>
      </c>
      <c r="I1259" s="12">
        <f t="shared" si="138"/>
        <v>4.8860215448604909E-3</v>
      </c>
      <c r="J1259" s="12">
        <f t="shared" si="139"/>
        <v>5.4233926257759718E-3</v>
      </c>
    </row>
    <row r="1260" spans="1:10">
      <c r="A1260" s="15">
        <v>41540</v>
      </c>
      <c r="B1260" s="11">
        <v>2.2120000000000002</v>
      </c>
      <c r="C1260" s="11">
        <f t="shared" si="133"/>
        <v>-2.6999999999999247E-3</v>
      </c>
      <c r="D1260" s="12">
        <f t="shared" si="134"/>
        <v>7.2899999999995931E-6</v>
      </c>
      <c r="E1260" s="12">
        <f t="shared" si="135"/>
        <v>3.9999999999991186E-8</v>
      </c>
      <c r="F1260" s="12">
        <f t="shared" si="136"/>
        <v>2.2725126693623363E-5</v>
      </c>
      <c r="G1260" s="12">
        <f t="shared" si="137"/>
        <v>4.2666859854399064</v>
      </c>
      <c r="I1260" s="12">
        <f t="shared" si="138"/>
        <v>4.7670878630064455E-3</v>
      </c>
      <c r="J1260" s="12">
        <f t="shared" si="139"/>
        <v>5.4233926257759718E-3</v>
      </c>
    </row>
    <row r="1261" spans="1:10">
      <c r="A1261" s="15">
        <v>41541</v>
      </c>
      <c r="B1261" s="11">
        <v>2.2193999999999998</v>
      </c>
      <c r="C1261" s="11">
        <f t="shared" si="133"/>
        <v>7.3999999999996291E-3</v>
      </c>
      <c r="D1261" s="12">
        <f t="shared" si="134"/>
        <v>5.4759999999994509E-5</v>
      </c>
      <c r="E1261" s="12">
        <f t="shared" si="135"/>
        <v>7.2899999999995931E-6</v>
      </c>
      <c r="F1261" s="12">
        <f t="shared" si="136"/>
        <v>2.2130918569228459E-5</v>
      </c>
      <c r="G1261" s="12">
        <f t="shared" si="137"/>
        <v>3.2031457374242138</v>
      </c>
      <c r="I1261" s="12">
        <f t="shared" si="138"/>
        <v>4.7043510252986502E-3</v>
      </c>
      <c r="J1261" s="12">
        <f t="shared" si="139"/>
        <v>5.4233926257759718E-3</v>
      </c>
    </row>
    <row r="1262" spans="1:10">
      <c r="A1262" s="15">
        <v>41542</v>
      </c>
      <c r="B1262" s="11">
        <v>2.2267000000000001</v>
      </c>
      <c r="C1262" s="11">
        <f t="shared" si="133"/>
        <v>7.3000000000003062E-3</v>
      </c>
      <c r="D1262" s="12">
        <f t="shared" si="134"/>
        <v>5.3290000000004472E-5</v>
      </c>
      <c r="E1262" s="12">
        <f t="shared" si="135"/>
        <v>5.4759999999994509E-5</v>
      </c>
      <c r="F1262" s="12">
        <f t="shared" si="136"/>
        <v>2.4414441882355631E-5</v>
      </c>
      <c r="G1262" s="12">
        <f t="shared" si="137"/>
        <v>3.2998670788001863</v>
      </c>
      <c r="I1262" s="12">
        <f t="shared" si="138"/>
        <v>4.9410972346590823E-3</v>
      </c>
      <c r="J1262" s="12">
        <f t="shared" si="139"/>
        <v>5.4233926257759718E-3</v>
      </c>
    </row>
    <row r="1263" spans="1:10">
      <c r="A1263" s="15">
        <v>41543</v>
      </c>
      <c r="B1263" s="11">
        <v>2.2281</v>
      </c>
      <c r="C1263" s="11">
        <f t="shared" si="133"/>
        <v>1.3999999999998458E-3</v>
      </c>
      <c r="D1263" s="12">
        <f t="shared" si="134"/>
        <v>1.9599999999995683E-6</v>
      </c>
      <c r="E1263" s="12">
        <f t="shared" si="135"/>
        <v>5.3290000000004472E-5</v>
      </c>
      <c r="F1263" s="12">
        <f t="shared" si="136"/>
        <v>2.6363853146559351E-5</v>
      </c>
      <c r="G1263" s="12">
        <f t="shared" si="137"/>
        <v>4.3156476937823509</v>
      </c>
      <c r="I1263" s="12">
        <f t="shared" si="138"/>
        <v>5.1345742906846086E-3</v>
      </c>
      <c r="J1263" s="12">
        <f t="shared" si="139"/>
        <v>5.4233926257759718E-3</v>
      </c>
    </row>
    <row r="1264" spans="1:10">
      <c r="A1264" s="15">
        <v>41544</v>
      </c>
      <c r="B1264" s="11">
        <v>2.2317999999999998</v>
      </c>
      <c r="C1264" s="11">
        <f t="shared" si="133"/>
        <v>3.6999999999998145E-3</v>
      </c>
      <c r="D1264" s="12">
        <f t="shared" si="134"/>
        <v>1.3689999999998627E-5</v>
      </c>
      <c r="E1264" s="12">
        <f t="shared" si="135"/>
        <v>1.9599999999995683E-6</v>
      </c>
      <c r="F1264" s="12">
        <f t="shared" si="136"/>
        <v>2.506017781823744E-5</v>
      </c>
      <c r="G1264" s="12">
        <f t="shared" si="137"/>
        <v>4.1050342006450391</v>
      </c>
      <c r="I1264" s="12">
        <f t="shared" si="138"/>
        <v>5.0060141648059124E-3</v>
      </c>
      <c r="J1264" s="12">
        <f t="shared" si="139"/>
        <v>5.4233926257759718E-3</v>
      </c>
    </row>
    <row r="1265" spans="1:10">
      <c r="A1265" s="15">
        <v>41545</v>
      </c>
      <c r="B1265" s="11">
        <v>2.2298</v>
      </c>
      <c r="C1265" s="11">
        <f t="shared" si="133"/>
        <v>-1.9999999999997797E-3</v>
      </c>
      <c r="D1265" s="12">
        <f t="shared" si="134"/>
        <v>3.9999999999991189E-6</v>
      </c>
      <c r="E1265" s="12">
        <f t="shared" si="135"/>
        <v>1.3689999999998627E-5</v>
      </c>
      <c r="F1265" s="12">
        <f t="shared" si="136"/>
        <v>2.4592725076725814E-5</v>
      </c>
      <c r="G1265" s="12">
        <f t="shared" si="137"/>
        <v>4.306266539989168</v>
      </c>
      <c r="I1265" s="12">
        <f t="shared" si="138"/>
        <v>4.9591052697765771E-3</v>
      </c>
      <c r="J1265" s="12">
        <f t="shared" si="139"/>
        <v>5.4233926257759718E-3</v>
      </c>
    </row>
    <row r="1266" spans="1:10">
      <c r="A1266" s="15">
        <v>41546</v>
      </c>
      <c r="B1266" s="11">
        <v>2.2282999999999999</v>
      </c>
      <c r="C1266" s="11">
        <f t="shared" si="133"/>
        <v>-1.5000000000000568E-3</v>
      </c>
      <c r="D1266" s="12">
        <f t="shared" si="134"/>
        <v>2.2500000000001707E-6</v>
      </c>
      <c r="E1266" s="12">
        <f t="shared" si="135"/>
        <v>3.9999999999991189E-6</v>
      </c>
      <c r="F1266" s="12">
        <f t="shared" si="136"/>
        <v>2.3601523571230485E-5</v>
      </c>
      <c r="G1266" s="12">
        <f t="shared" si="137"/>
        <v>4.3604946900935211</v>
      </c>
      <c r="I1266" s="12">
        <f t="shared" si="138"/>
        <v>4.8581399291529759E-3</v>
      </c>
      <c r="J1266" s="12">
        <f t="shared" si="139"/>
        <v>5.4233926257759718E-3</v>
      </c>
    </row>
    <row r="1267" spans="1:10">
      <c r="A1267" s="15">
        <v>41547</v>
      </c>
      <c r="B1267" s="11">
        <v>2.2296999999999998</v>
      </c>
      <c r="C1267" s="11">
        <f t="shared" si="133"/>
        <v>1.3999999999998458E-3</v>
      </c>
      <c r="D1267" s="12">
        <f t="shared" si="134"/>
        <v>1.9599999999995683E-6</v>
      </c>
      <c r="E1267" s="12">
        <f t="shared" si="135"/>
        <v>2.2500000000001707E-6</v>
      </c>
      <c r="F1267" s="12">
        <f t="shared" si="136"/>
        <v>2.2613811904404268E-5</v>
      </c>
      <c r="G1267" s="12">
        <f t="shared" si="137"/>
        <v>4.3861999584684854</v>
      </c>
      <c r="I1267" s="12">
        <f t="shared" si="138"/>
        <v>4.7553981856837462E-3</v>
      </c>
      <c r="J1267" s="12">
        <f t="shared" si="139"/>
        <v>5.4233926257759718E-3</v>
      </c>
    </row>
    <row r="1268" spans="1:10">
      <c r="A1268" s="15">
        <v>41548</v>
      </c>
      <c r="B1268" s="11">
        <v>2.2294</v>
      </c>
      <c r="C1268" s="11">
        <f t="shared" si="133"/>
        <v>-2.9999999999974492E-4</v>
      </c>
      <c r="D1268" s="12">
        <f t="shared" si="134"/>
        <v>8.999999999984695E-8</v>
      </c>
      <c r="E1268" s="12">
        <f t="shared" si="135"/>
        <v>1.9599999999995683E-6</v>
      </c>
      <c r="F1268" s="12">
        <f t="shared" si="136"/>
        <v>2.1715744182350781E-5</v>
      </c>
      <c r="G1268" s="12">
        <f t="shared" si="137"/>
        <v>4.4477257412400171</v>
      </c>
      <c r="I1268" s="12">
        <f t="shared" si="138"/>
        <v>4.6600154701836325E-3</v>
      </c>
      <c r="J1268" s="12">
        <f t="shared" si="139"/>
        <v>5.4233926257759718E-3</v>
      </c>
    </row>
    <row r="1269" spans="1:10">
      <c r="A1269" s="15">
        <v>41549</v>
      </c>
      <c r="B1269" s="11">
        <v>2.2317</v>
      </c>
      <c r="C1269" s="11">
        <f t="shared" si="133"/>
        <v>2.2999999999999687E-3</v>
      </c>
      <c r="D1269" s="12">
        <f t="shared" si="134"/>
        <v>5.2899999999998562E-6</v>
      </c>
      <c r="E1269" s="12">
        <f t="shared" si="135"/>
        <v>8.999999999984695E-8</v>
      </c>
      <c r="F1269" s="12">
        <f t="shared" si="136"/>
        <v>2.0803980686995018E-5</v>
      </c>
      <c r="G1269" s="12">
        <f t="shared" si="137"/>
        <v>4.3441054348457699</v>
      </c>
      <c r="I1269" s="12">
        <f t="shared" si="138"/>
        <v>4.5611380911999384E-3</v>
      </c>
      <c r="J1269" s="12">
        <f t="shared" si="139"/>
        <v>5.4233926257759718E-3</v>
      </c>
    </row>
    <row r="1270" spans="1:10">
      <c r="A1270" s="15">
        <v>41550</v>
      </c>
      <c r="B1270" s="11">
        <v>2.2355999999999998</v>
      </c>
      <c r="C1270" s="11">
        <f t="shared" si="133"/>
        <v>3.8999999999997925E-3</v>
      </c>
      <c r="D1270" s="12">
        <f t="shared" si="134"/>
        <v>1.5209999999998382E-5</v>
      </c>
      <c r="E1270" s="12">
        <f t="shared" si="135"/>
        <v>5.2899999999998562E-6</v>
      </c>
      <c r="F1270" s="12">
        <f t="shared" si="136"/>
        <v>2.0299028928890438E-5</v>
      </c>
      <c r="G1270" s="12">
        <f t="shared" si="137"/>
        <v>4.1088817503853967</v>
      </c>
      <c r="I1270" s="12">
        <f t="shared" si="138"/>
        <v>4.505444365308536E-3</v>
      </c>
      <c r="J1270" s="12">
        <f t="shared" si="139"/>
        <v>5.4233926257759718E-3</v>
      </c>
    </row>
    <row r="1271" spans="1:10">
      <c r="A1271" s="15">
        <v>41551</v>
      </c>
      <c r="B1271" s="11">
        <v>2.2317999999999998</v>
      </c>
      <c r="C1271" s="11">
        <f t="shared" si="133"/>
        <v>-3.8000000000000256E-3</v>
      </c>
      <c r="D1271" s="12">
        <f t="shared" si="134"/>
        <v>1.4440000000000194E-5</v>
      </c>
      <c r="E1271" s="12">
        <f t="shared" si="135"/>
        <v>1.5209999999998382E-5</v>
      </c>
      <c r="F1271" s="12">
        <f t="shared" si="136"/>
        <v>2.0436633706778305E-5</v>
      </c>
      <c r="G1271" s="12">
        <f t="shared" si="137"/>
        <v>4.1268650620393634</v>
      </c>
      <c r="I1271" s="12">
        <f t="shared" si="138"/>
        <v>4.5206895167417003E-3</v>
      </c>
      <c r="J1271" s="12">
        <f t="shared" si="139"/>
        <v>5.4233926257759718E-3</v>
      </c>
    </row>
    <row r="1272" spans="1:10">
      <c r="A1272" s="15">
        <v>41552</v>
      </c>
      <c r="B1272" s="11">
        <v>2.2336999999999998</v>
      </c>
      <c r="C1272" s="11">
        <f t="shared" si="133"/>
        <v>1.9000000000000128E-3</v>
      </c>
      <c r="D1272" s="12">
        <f t="shared" si="134"/>
        <v>3.6100000000000484E-6</v>
      </c>
      <c r="E1272" s="12">
        <f t="shared" si="135"/>
        <v>1.4440000000000194E-5</v>
      </c>
      <c r="F1272" s="12">
        <f t="shared" si="136"/>
        <v>2.051371852353228E-5</v>
      </c>
      <c r="G1272" s="12">
        <f t="shared" si="137"/>
        <v>4.3902799111136313</v>
      </c>
      <c r="I1272" s="12">
        <f t="shared" si="138"/>
        <v>4.529207273191665E-3</v>
      </c>
      <c r="J1272" s="12">
        <f t="shared" si="139"/>
        <v>5.4233926257759718E-3</v>
      </c>
    </row>
    <row r="1273" spans="1:10">
      <c r="A1273" s="15">
        <v>41553</v>
      </c>
      <c r="B1273" s="11">
        <v>2.2313000000000001</v>
      </c>
      <c r="C1273" s="11">
        <f t="shared" si="133"/>
        <v>-2.3999999999997357E-3</v>
      </c>
      <c r="D1273" s="12">
        <f t="shared" si="134"/>
        <v>5.7599999999987311E-6</v>
      </c>
      <c r="E1273" s="12">
        <f t="shared" si="135"/>
        <v>3.6100000000000484E-6</v>
      </c>
      <c r="F1273" s="12">
        <f t="shared" si="136"/>
        <v>1.9940591190821113E-5</v>
      </c>
      <c r="G1273" s="12">
        <f t="shared" si="137"/>
        <v>4.3480090143028196</v>
      </c>
      <c r="I1273" s="12">
        <f t="shared" si="138"/>
        <v>4.4654889083751079E-3</v>
      </c>
      <c r="J1273" s="12">
        <f t="shared" si="139"/>
        <v>5.4233926257759718E-3</v>
      </c>
    </row>
    <row r="1274" spans="1:10">
      <c r="A1274" s="15">
        <v>41554</v>
      </c>
      <c r="B1274" s="11">
        <v>2.2370999999999999</v>
      </c>
      <c r="C1274" s="11">
        <f t="shared" si="133"/>
        <v>5.7999999999998053E-3</v>
      </c>
      <c r="D1274" s="12">
        <f t="shared" si="134"/>
        <v>3.363999999999774E-5</v>
      </c>
      <c r="E1274" s="12">
        <f t="shared" si="135"/>
        <v>5.7599999999987311E-6</v>
      </c>
      <c r="F1274" s="12">
        <f t="shared" si="136"/>
        <v>1.9556880418179866E-5</v>
      </c>
      <c r="G1274" s="12">
        <f t="shared" si="137"/>
        <v>3.642097787591577</v>
      </c>
      <c r="I1274" s="12">
        <f t="shared" si="138"/>
        <v>4.4223161825201812E-3</v>
      </c>
      <c r="J1274" s="12">
        <f t="shared" si="139"/>
        <v>5.4233926257759718E-3</v>
      </c>
    </row>
    <row r="1275" spans="1:10">
      <c r="A1275" s="15">
        <v>41555</v>
      </c>
      <c r="B1275" s="11">
        <v>2.2357999999999998</v>
      </c>
      <c r="C1275" s="11">
        <f t="shared" si="133"/>
        <v>-1.3000000000000789E-3</v>
      </c>
      <c r="D1275" s="12">
        <f t="shared" si="134"/>
        <v>1.6900000000002051E-6</v>
      </c>
      <c r="E1275" s="12">
        <f t="shared" si="135"/>
        <v>3.363999999999774E-5</v>
      </c>
      <c r="F1275" s="12">
        <f t="shared" si="136"/>
        <v>2.0867069502015846E-5</v>
      </c>
      <c r="G1275" s="12">
        <f t="shared" si="137"/>
        <v>4.4292361652466328</v>
      </c>
      <c r="I1275" s="12">
        <f t="shared" si="138"/>
        <v>4.5680487630952284E-3</v>
      </c>
      <c r="J1275" s="12">
        <f t="shared" si="139"/>
        <v>5.4233926257759718E-3</v>
      </c>
    </row>
    <row r="1276" spans="1:10">
      <c r="A1276" s="15">
        <v>41556</v>
      </c>
      <c r="B1276" s="11">
        <v>2.226</v>
      </c>
      <c r="C1276" s="11">
        <f t="shared" si="133"/>
        <v>-9.7999999999998089E-3</v>
      </c>
      <c r="D1276" s="12">
        <f t="shared" si="134"/>
        <v>9.6039999999996255E-5</v>
      </c>
      <c r="E1276" s="12">
        <f t="shared" si="135"/>
        <v>1.6900000000002051E-6</v>
      </c>
      <c r="F1276" s="12">
        <f t="shared" si="136"/>
        <v>2.0141928489737324E-5</v>
      </c>
      <c r="G1276" s="12">
        <f t="shared" si="137"/>
        <v>2.1033333745913563</v>
      </c>
      <c r="I1276" s="12">
        <f t="shared" si="138"/>
        <v>4.4879759903254076E-3</v>
      </c>
      <c r="J1276" s="12">
        <f t="shared" si="139"/>
        <v>5.4233926257759718E-3</v>
      </c>
    </row>
    <row r="1277" spans="1:10">
      <c r="A1277" s="15">
        <v>41557</v>
      </c>
      <c r="B1277" s="11">
        <v>2.2269000000000001</v>
      </c>
      <c r="C1277" s="11">
        <f t="shared" si="133"/>
        <v>9.0000000000012292E-4</v>
      </c>
      <c r="D1277" s="12">
        <f t="shared" si="134"/>
        <v>8.1000000000022126E-7</v>
      </c>
      <c r="E1277" s="12">
        <f t="shared" si="135"/>
        <v>9.6039999999996255E-5</v>
      </c>
      <c r="F1277" s="12">
        <f t="shared" si="136"/>
        <v>2.50871738771449E-5</v>
      </c>
      <c r="G1277" s="12">
        <f t="shared" si="137"/>
        <v>4.3614946734635653</v>
      </c>
      <c r="I1277" s="12">
        <f t="shared" si="138"/>
        <v>5.0087098016500121E-3</v>
      </c>
      <c r="J1277" s="12">
        <f t="shared" si="139"/>
        <v>5.4233926257759718E-3</v>
      </c>
    </row>
    <row r="1278" spans="1:10">
      <c r="A1278" s="15">
        <v>41558</v>
      </c>
      <c r="B1278" s="11">
        <v>2.2277999999999998</v>
      </c>
      <c r="C1278" s="11">
        <f t="shared" si="133"/>
        <v>8.9999999999967883E-4</v>
      </c>
      <c r="D1278" s="12">
        <f t="shared" si="134"/>
        <v>8.0999999999942187E-7</v>
      </c>
      <c r="E1278" s="12">
        <f t="shared" si="135"/>
        <v>8.1000000000022126E-7</v>
      </c>
      <c r="F1278" s="12">
        <f t="shared" si="136"/>
        <v>2.385342682106542E-5</v>
      </c>
      <c r="G1278" s="12">
        <f t="shared" si="137"/>
        <v>4.385874101232905</v>
      </c>
      <c r="I1278" s="12">
        <f t="shared" si="138"/>
        <v>4.8839970128026714E-3</v>
      </c>
      <c r="J1278" s="12">
        <f t="shared" si="139"/>
        <v>5.4233926257759718E-3</v>
      </c>
    </row>
    <row r="1279" spans="1:10">
      <c r="A1279" s="15">
        <v>41559</v>
      </c>
      <c r="B1279" s="11">
        <v>2.2290000000000001</v>
      </c>
      <c r="C1279" s="11">
        <f t="shared" si="133"/>
        <v>1.2000000000003119E-3</v>
      </c>
      <c r="D1279" s="12">
        <f t="shared" si="134"/>
        <v>1.4400000000007485E-6</v>
      </c>
      <c r="E1279" s="12">
        <f t="shared" si="135"/>
        <v>8.0999999999942187E-7</v>
      </c>
      <c r="F1279" s="12">
        <f t="shared" si="136"/>
        <v>2.2753122881432671E-5</v>
      </c>
      <c r="G1279" s="12">
        <f t="shared" si="137"/>
        <v>4.3948215277553091</v>
      </c>
      <c r="I1279" s="12">
        <f t="shared" si="138"/>
        <v>4.7700233627763992E-3</v>
      </c>
      <c r="J1279" s="12">
        <f t="shared" si="139"/>
        <v>5.4233926257759718E-3</v>
      </c>
    </row>
    <row r="1280" spans="1:10">
      <c r="A1280" s="15">
        <v>41560</v>
      </c>
      <c r="B1280" s="11">
        <v>2.2267999999999999</v>
      </c>
      <c r="C1280" s="11">
        <f t="shared" si="133"/>
        <v>-2.2000000000002018E-3</v>
      </c>
      <c r="D1280" s="12">
        <f t="shared" si="134"/>
        <v>4.8400000000008879E-6</v>
      </c>
      <c r="E1280" s="12">
        <f t="shared" si="135"/>
        <v>1.4400000000007485E-6</v>
      </c>
      <c r="F1280" s="12">
        <f t="shared" si="136"/>
        <v>2.1809167703969415E-5</v>
      </c>
      <c r="G1280" s="12">
        <f t="shared" si="137"/>
        <v>4.3366890187702234</v>
      </c>
      <c r="I1280" s="12">
        <f t="shared" si="138"/>
        <v>4.6700286620072707E-3</v>
      </c>
      <c r="J1280" s="12">
        <f t="shared" si="139"/>
        <v>5.4233926257759718E-3</v>
      </c>
    </row>
    <row r="1281" spans="1:10">
      <c r="A1281" s="15">
        <v>41561</v>
      </c>
      <c r="B1281" s="11">
        <v>2.2320000000000002</v>
      </c>
      <c r="C1281" s="11">
        <f t="shared" si="133"/>
        <v>5.2000000000003155E-3</v>
      </c>
      <c r="D1281" s="12">
        <f t="shared" si="134"/>
        <v>2.7040000000003282E-5</v>
      </c>
      <c r="E1281" s="12">
        <f t="shared" si="135"/>
        <v>4.8400000000008879E-6</v>
      </c>
      <c r="F1281" s="12">
        <f t="shared" si="136"/>
        <v>2.1168823385584972E-5</v>
      </c>
      <c r="G1281" s="12">
        <f t="shared" si="137"/>
        <v>3.8238769048043419</v>
      </c>
      <c r="I1281" s="12">
        <f t="shared" si="138"/>
        <v>4.6009589636927832E-3</v>
      </c>
      <c r="J1281" s="12">
        <f t="shared" si="139"/>
        <v>5.4233926257759718E-3</v>
      </c>
    </row>
    <row r="1282" spans="1:10">
      <c r="A1282" s="15">
        <v>41562</v>
      </c>
      <c r="B1282" s="11">
        <v>2.2305999999999999</v>
      </c>
      <c r="C1282" s="11">
        <f t="shared" si="133"/>
        <v>-1.4000000000002899E-3</v>
      </c>
      <c r="D1282" s="12">
        <f t="shared" si="134"/>
        <v>1.9600000000008118E-6</v>
      </c>
      <c r="E1282" s="12">
        <f t="shared" si="135"/>
        <v>2.7040000000003282E-5</v>
      </c>
      <c r="F1282" s="12">
        <f t="shared" si="136"/>
        <v>2.1913493255101618E-5</v>
      </c>
      <c r="G1282" s="12">
        <f t="shared" si="137"/>
        <v>4.4005441453662995</v>
      </c>
      <c r="I1282" s="12">
        <f t="shared" si="138"/>
        <v>4.6811850267962727E-3</v>
      </c>
      <c r="J1282" s="12">
        <f t="shared" si="139"/>
        <v>5.4233926257759718E-3</v>
      </c>
    </row>
    <row r="1283" spans="1:10">
      <c r="A1283" s="15">
        <v>41563</v>
      </c>
      <c r="B1283" s="11">
        <v>2.2286999999999999</v>
      </c>
      <c r="C1283" s="11">
        <f t="shared" si="133"/>
        <v>-1.9000000000000128E-3</v>
      </c>
      <c r="D1283" s="12">
        <f t="shared" si="134"/>
        <v>3.6100000000000484E-6</v>
      </c>
      <c r="E1283" s="12">
        <f t="shared" si="135"/>
        <v>1.9600000000008118E-6</v>
      </c>
      <c r="F1283" s="12">
        <f t="shared" si="136"/>
        <v>2.1091172585580764E-5</v>
      </c>
      <c r="G1283" s="12">
        <f t="shared" si="137"/>
        <v>4.3788086149888494</v>
      </c>
      <c r="I1283" s="12">
        <f t="shared" si="138"/>
        <v>4.592512665805154E-3</v>
      </c>
      <c r="J1283" s="12">
        <f t="shared" si="139"/>
        <v>5.4233926257759718E-3</v>
      </c>
    </row>
    <row r="1284" spans="1:10">
      <c r="A1284" s="15">
        <v>41564</v>
      </c>
      <c r="B1284" s="11">
        <v>2.2431999999999999</v>
      </c>
      <c r="C1284" s="11">
        <f t="shared" si="133"/>
        <v>1.4499999999999957E-2</v>
      </c>
      <c r="D1284" s="12">
        <f t="shared" si="134"/>
        <v>2.1024999999999877E-4</v>
      </c>
      <c r="E1284" s="12">
        <f t="shared" si="135"/>
        <v>3.6100000000000484E-6</v>
      </c>
      <c r="F1284" s="12">
        <f t="shared" si="136"/>
        <v>2.0455587337152685E-5</v>
      </c>
      <c r="G1284" s="12">
        <f t="shared" si="137"/>
        <v>-0.65949396645835101</v>
      </c>
      <c r="I1284" s="12">
        <f t="shared" si="138"/>
        <v>4.5227853516558447E-3</v>
      </c>
      <c r="J1284" s="12">
        <f t="shared" si="139"/>
        <v>5.4233926257759718E-3</v>
      </c>
    </row>
    <row r="1285" spans="1:10">
      <c r="A1285" s="15">
        <v>41565</v>
      </c>
      <c r="B1285" s="11">
        <v>2.2467000000000001</v>
      </c>
      <c r="C1285" s="11">
        <f t="shared" si="133"/>
        <v>3.5000000000002807E-3</v>
      </c>
      <c r="D1285" s="12">
        <f t="shared" si="134"/>
        <v>1.2250000000001965E-5</v>
      </c>
      <c r="E1285" s="12">
        <f t="shared" si="135"/>
        <v>2.1024999999999877E-4</v>
      </c>
      <c r="F1285" s="12">
        <f t="shared" si="136"/>
        <v>3.2135928084623743E-5</v>
      </c>
      <c r="G1285" s="12">
        <f t="shared" si="137"/>
        <v>4.0632327661787819</v>
      </c>
      <c r="I1285" s="12">
        <f t="shared" si="138"/>
        <v>5.6688559767049777E-3</v>
      </c>
      <c r="J1285" s="12">
        <f t="shared" si="139"/>
        <v>5.4233926257759718E-3</v>
      </c>
    </row>
    <row r="1286" spans="1:10">
      <c r="A1286" s="15">
        <v>41566</v>
      </c>
      <c r="B1286" s="11">
        <v>2.2452000000000001</v>
      </c>
      <c r="C1286" s="11">
        <f t="shared" si="133"/>
        <v>-1.5000000000000568E-3</v>
      </c>
      <c r="D1286" s="12">
        <f t="shared" si="134"/>
        <v>2.2500000000001707E-6</v>
      </c>
      <c r="E1286" s="12">
        <f t="shared" si="135"/>
        <v>1.2250000000001965E-5</v>
      </c>
      <c r="F1286" s="12">
        <f t="shared" si="136"/>
        <v>3.0817810053184889E-5</v>
      </c>
      <c r="G1286" s="12">
        <f t="shared" si="137"/>
        <v>4.2382654875786931</v>
      </c>
      <c r="I1286" s="12">
        <f t="shared" si="138"/>
        <v>5.5513791127236927E-3</v>
      </c>
      <c r="J1286" s="12">
        <f t="shared" si="139"/>
        <v>5.4233926257759718E-3</v>
      </c>
    </row>
    <row r="1287" spans="1:10">
      <c r="A1287" s="15">
        <v>41567</v>
      </c>
      <c r="B1287" s="11">
        <v>2.2448999999999999</v>
      </c>
      <c r="C1287" s="11">
        <f t="shared" si="133"/>
        <v>-3.00000000000189E-4</v>
      </c>
      <c r="D1287" s="12">
        <f t="shared" si="134"/>
        <v>9.0000000000113408E-8</v>
      </c>
      <c r="E1287" s="12">
        <f t="shared" si="135"/>
        <v>2.2500000000001707E-6</v>
      </c>
      <c r="F1287" s="12">
        <f t="shared" si="136"/>
        <v>2.904957878748337E-5</v>
      </c>
      <c r="G1287" s="12">
        <f t="shared" si="137"/>
        <v>4.3027656707625725</v>
      </c>
      <c r="I1287" s="12">
        <f t="shared" si="138"/>
        <v>5.3897661162135195E-3</v>
      </c>
      <c r="J1287" s="12">
        <f t="shared" si="139"/>
        <v>5.4233926257759718E-3</v>
      </c>
    </row>
    <row r="1288" spans="1:10">
      <c r="A1288" s="15">
        <v>41568</v>
      </c>
      <c r="B1288" s="11">
        <v>2.2440000000000002</v>
      </c>
      <c r="C1288" s="11">
        <f t="shared" si="133"/>
        <v>-8.9999999999967883E-4</v>
      </c>
      <c r="D1288" s="12">
        <f t="shared" si="134"/>
        <v>8.0999999999942187E-7</v>
      </c>
      <c r="E1288" s="12">
        <f t="shared" si="135"/>
        <v>9.0000000000113408E-8</v>
      </c>
      <c r="F1288" s="12">
        <f t="shared" si="136"/>
        <v>2.7344581589650558E-5</v>
      </c>
      <c r="G1288" s="12">
        <f t="shared" si="137"/>
        <v>4.31974656249887</v>
      </c>
      <c r="I1288" s="12">
        <f t="shared" si="138"/>
        <v>5.2292046804127447E-3</v>
      </c>
      <c r="J1288" s="12">
        <f t="shared" si="139"/>
        <v>5.4233926257759718E-3</v>
      </c>
    </row>
    <row r="1289" spans="1:10">
      <c r="A1289" s="15">
        <v>41569</v>
      </c>
      <c r="B1289" s="11">
        <v>2.2481</v>
      </c>
      <c r="C1289" s="11">
        <f t="shared" si="133"/>
        <v>4.0999999999997705E-3</v>
      </c>
      <c r="D1289" s="12">
        <f t="shared" si="134"/>
        <v>1.680999999999812E-5</v>
      </c>
      <c r="E1289" s="12">
        <f t="shared" si="135"/>
        <v>8.0999999999942187E-7</v>
      </c>
      <c r="F1289" s="12">
        <f t="shared" si="136"/>
        <v>2.5866671421883463E-5</v>
      </c>
      <c r="G1289" s="12">
        <f t="shared" si="137"/>
        <v>4.0374035699371502</v>
      </c>
      <c r="I1289" s="12">
        <f t="shared" si="138"/>
        <v>5.0859287668904157E-3</v>
      </c>
      <c r="J1289" s="12">
        <f t="shared" si="139"/>
        <v>5.4233926257759718E-3</v>
      </c>
    </row>
    <row r="1290" spans="1:10">
      <c r="A1290" s="15">
        <v>41570</v>
      </c>
      <c r="B1290" s="11">
        <v>2.2484000000000002</v>
      </c>
      <c r="C1290" s="11">
        <f t="shared" si="133"/>
        <v>3.00000000000189E-4</v>
      </c>
      <c r="D1290" s="12">
        <f t="shared" si="134"/>
        <v>9.0000000000113408E-8</v>
      </c>
      <c r="E1290" s="12">
        <f t="shared" si="135"/>
        <v>1.680999999999812E-5</v>
      </c>
      <c r="F1290" s="12">
        <f t="shared" si="136"/>
        <v>2.5496904435404758E-5</v>
      </c>
      <c r="G1290" s="12">
        <f t="shared" si="137"/>
        <v>4.367773293204043</v>
      </c>
      <c r="I1290" s="12">
        <f t="shared" si="138"/>
        <v>5.0494459533105968E-3</v>
      </c>
      <c r="J1290" s="12">
        <f t="shared" si="139"/>
        <v>5.4233926257759718E-3</v>
      </c>
    </row>
    <row r="1291" spans="1:10">
      <c r="A1291" s="15">
        <v>41571</v>
      </c>
      <c r="B1291" s="11">
        <v>2.2502</v>
      </c>
      <c r="C1291" s="11">
        <f t="shared" si="133"/>
        <v>1.7999999999998018E-3</v>
      </c>
      <c r="D1291" s="12">
        <f t="shared" si="134"/>
        <v>3.2399999999992863E-6</v>
      </c>
      <c r="E1291" s="12">
        <f t="shared" si="135"/>
        <v>9.0000000000113408E-8</v>
      </c>
      <c r="F1291" s="12">
        <f t="shared" si="136"/>
        <v>2.4176167475459282E-5</v>
      </c>
      <c r="G1291" s="12">
        <f t="shared" si="137"/>
        <v>4.329124932580676</v>
      </c>
      <c r="I1291" s="12">
        <f t="shared" si="138"/>
        <v>4.9169266290498255E-3</v>
      </c>
      <c r="J1291" s="12">
        <f t="shared" si="139"/>
        <v>5.4233926257759718E-3</v>
      </c>
    </row>
    <row r="1292" spans="1:10">
      <c r="A1292" s="15">
        <v>41572</v>
      </c>
      <c r="B1292" s="11">
        <v>2.2456</v>
      </c>
      <c r="C1292" s="11">
        <f t="shared" si="133"/>
        <v>-4.5999999999999375E-3</v>
      </c>
      <c r="D1292" s="12">
        <f t="shared" si="134"/>
        <v>2.1159999999999425E-5</v>
      </c>
      <c r="E1292" s="12">
        <f t="shared" si="135"/>
        <v>3.2399999999992863E-6</v>
      </c>
      <c r="F1292" s="12">
        <f t="shared" si="136"/>
        <v>2.3184977358574271E-5</v>
      </c>
      <c r="G1292" s="12">
        <f t="shared" si="137"/>
        <v>3.9607344987170237</v>
      </c>
      <c r="I1292" s="12">
        <f t="shared" si="138"/>
        <v>4.8150781259055676E-3</v>
      </c>
      <c r="J1292" s="12">
        <f t="shared" si="139"/>
        <v>5.4233926257759718E-3</v>
      </c>
    </row>
    <row r="1293" spans="1:10">
      <c r="A1293" s="15">
        <v>41573</v>
      </c>
      <c r="B1293" s="11">
        <v>2.2507000000000001</v>
      </c>
      <c r="C1293" s="11">
        <f t="shared" si="133"/>
        <v>5.1000000000001044E-3</v>
      </c>
      <c r="D1293" s="12">
        <f t="shared" si="134"/>
        <v>2.6010000000001064E-5</v>
      </c>
      <c r="E1293" s="12">
        <f t="shared" si="135"/>
        <v>2.1159999999999425E-5</v>
      </c>
      <c r="F1293" s="12">
        <f t="shared" si="136"/>
        <v>2.3363081315361284E-5</v>
      </c>
      <c r="G1293" s="12">
        <f t="shared" si="137"/>
        <v>3.8565907454686914</v>
      </c>
      <c r="I1293" s="12">
        <f t="shared" si="138"/>
        <v>4.8335371432690248E-3</v>
      </c>
      <c r="J1293" s="12">
        <f t="shared" si="139"/>
        <v>5.4233926257759718E-3</v>
      </c>
    </row>
    <row r="1294" spans="1:10">
      <c r="A1294" s="15">
        <v>41574</v>
      </c>
      <c r="B1294" s="11">
        <v>2.2486999999999999</v>
      </c>
      <c r="C1294" s="11">
        <f t="shared" ref="C1294:C1357" si="140">B1294-B1293</f>
        <v>-2.0000000000002238E-3</v>
      </c>
      <c r="D1294" s="12">
        <f t="shared" ref="D1294:D1357" si="141">C1294^2</f>
        <v>4.0000000000008951E-6</v>
      </c>
      <c r="E1294" s="12">
        <f t="shared" si="135"/>
        <v>2.6010000000001064E-5</v>
      </c>
      <c r="F1294" s="12">
        <f t="shared" si="136"/>
        <v>2.380937216208403E-5</v>
      </c>
      <c r="G1294" s="12">
        <f t="shared" si="137"/>
        <v>4.3197765576324496</v>
      </c>
      <c r="I1294" s="12">
        <f t="shared" si="138"/>
        <v>4.8794848254794304E-3</v>
      </c>
      <c r="J1294" s="12">
        <f t="shared" si="139"/>
        <v>5.4233926257759718E-3</v>
      </c>
    </row>
    <row r="1295" spans="1:10">
      <c r="A1295" s="15">
        <v>41575</v>
      </c>
      <c r="B1295" s="11">
        <v>2.2471999999999999</v>
      </c>
      <c r="C1295" s="11">
        <f t="shared" si="140"/>
        <v>-1.5000000000000568E-3</v>
      </c>
      <c r="D1295" s="12">
        <f t="shared" si="141"/>
        <v>2.2500000000001707E-6</v>
      </c>
      <c r="E1295" s="12">
        <f t="shared" ref="E1295:E1358" si="142">D1294</f>
        <v>4.0000000000008951E-6</v>
      </c>
      <c r="F1295" s="12">
        <f t="shared" ref="F1295:F1358" si="143">$B$5+$B$6*E1295+$B$7*F1294</f>
        <v>2.2902898764909198E-5</v>
      </c>
      <c r="G1295" s="12">
        <f t="shared" ref="G1295:G1358" si="144">LN((1/SQRT(2*3.1415927*F1295))*EXP(-0.5*D1295/F1295))</f>
        <v>4.374064575592203</v>
      </c>
      <c r="I1295" s="12">
        <f t="shared" ref="I1295:I1358" si="145">SQRT(F1295)</f>
        <v>4.7856973122951682E-3</v>
      </c>
      <c r="J1295" s="12">
        <f t="shared" si="139"/>
        <v>5.4233926257759718E-3</v>
      </c>
    </row>
    <row r="1296" spans="1:10">
      <c r="A1296" s="15">
        <v>41576</v>
      </c>
      <c r="B1296" s="11">
        <v>2.2437999999999998</v>
      </c>
      <c r="C1296" s="11">
        <f t="shared" si="140"/>
        <v>-3.4000000000000696E-3</v>
      </c>
      <c r="D1296" s="12">
        <f t="shared" si="141"/>
        <v>1.1560000000000474E-5</v>
      </c>
      <c r="E1296" s="12">
        <f t="shared" si="142"/>
        <v>2.2500000000001707E-6</v>
      </c>
      <c r="F1296" s="12">
        <f t="shared" si="143"/>
        <v>2.1990750943137888E-5</v>
      </c>
      <c r="G1296" s="12">
        <f t="shared" si="144"/>
        <v>4.1806679889528082</v>
      </c>
      <c r="I1296" s="12">
        <f t="shared" si="145"/>
        <v>4.6894297034008187E-3</v>
      </c>
      <c r="J1296" s="12">
        <f t="shared" ref="J1296:J1359" si="146">J1295</f>
        <v>5.4233926257759718E-3</v>
      </c>
    </row>
    <row r="1297" spans="1:10">
      <c r="A1297" s="15">
        <v>41577</v>
      </c>
      <c r="B1297" s="11">
        <v>2.2429999999999999</v>
      </c>
      <c r="C1297" s="11">
        <f t="shared" si="140"/>
        <v>-7.9999999999991189E-4</v>
      </c>
      <c r="D1297" s="12">
        <f t="shared" si="141"/>
        <v>6.3999999999985898E-7</v>
      </c>
      <c r="E1297" s="12">
        <f t="shared" si="142"/>
        <v>1.1560000000000474E-5</v>
      </c>
      <c r="F1297" s="12">
        <f t="shared" si="143"/>
        <v>2.1729048724002841E-5</v>
      </c>
      <c r="G1297" s="12">
        <f t="shared" si="144"/>
        <v>4.4347649005817953</v>
      </c>
      <c r="I1297" s="12">
        <f t="shared" si="145"/>
        <v>4.6614427727907203E-3</v>
      </c>
      <c r="J1297" s="12">
        <f t="shared" si="146"/>
        <v>5.4233926257759718E-3</v>
      </c>
    </row>
    <row r="1298" spans="1:10">
      <c r="A1298" s="15">
        <v>41578</v>
      </c>
      <c r="B1298" s="11">
        <v>2.2381000000000002</v>
      </c>
      <c r="C1298" s="11">
        <f t="shared" si="140"/>
        <v>-4.8999999999996824E-3</v>
      </c>
      <c r="D1298" s="12">
        <f t="shared" si="141"/>
        <v>2.4009999999996889E-5</v>
      </c>
      <c r="E1298" s="12">
        <f t="shared" si="142"/>
        <v>6.3999999999985898E-7</v>
      </c>
      <c r="F1298" s="12">
        <f t="shared" si="143"/>
        <v>2.0848443707501785E-5</v>
      </c>
      <c r="G1298" s="12">
        <f t="shared" si="144"/>
        <v>3.8943547296057481</v>
      </c>
      <c r="I1298" s="12">
        <f t="shared" si="145"/>
        <v>4.5660096044031475E-3</v>
      </c>
      <c r="J1298" s="12">
        <f t="shared" si="146"/>
        <v>5.4233926257759718E-3</v>
      </c>
    </row>
    <row r="1299" spans="1:10">
      <c r="A1299" s="15">
        <v>41579</v>
      </c>
      <c r="B1299" s="11">
        <v>2.234</v>
      </c>
      <c r="C1299" s="11">
        <f t="shared" si="140"/>
        <v>-4.1000000000002146E-3</v>
      </c>
      <c r="D1299" s="12">
        <f t="shared" si="141"/>
        <v>1.6810000000001758E-5</v>
      </c>
      <c r="E1299" s="12">
        <f t="shared" si="142"/>
        <v>2.4009999999996889E-5</v>
      </c>
      <c r="F1299" s="12">
        <f t="shared" si="143"/>
        <v>2.1448183469921715E-5</v>
      </c>
      <c r="G1299" s="12">
        <f t="shared" si="144"/>
        <v>4.0641220824340678</v>
      </c>
      <c r="I1299" s="12">
        <f t="shared" si="145"/>
        <v>4.6312183569684681E-3</v>
      </c>
      <c r="J1299" s="12">
        <f t="shared" si="146"/>
        <v>5.4233926257759718E-3</v>
      </c>
    </row>
    <row r="1300" spans="1:10">
      <c r="A1300" s="15">
        <v>41580</v>
      </c>
      <c r="B1300" s="11">
        <v>2.2328000000000001</v>
      </c>
      <c r="C1300" s="11">
        <f t="shared" si="140"/>
        <v>-1.1999999999998678E-3</v>
      </c>
      <c r="D1300" s="12">
        <f t="shared" si="141"/>
        <v>1.4399999999996828E-6</v>
      </c>
      <c r="E1300" s="12">
        <f t="shared" si="142"/>
        <v>1.6810000000001758E-5</v>
      </c>
      <c r="F1300" s="12">
        <f t="shared" si="143"/>
        <v>2.1556323846534294E-5</v>
      </c>
      <c r="G1300" s="12">
        <f t="shared" si="144"/>
        <v>4.4200812552929722</v>
      </c>
      <c r="I1300" s="12">
        <f t="shared" si="145"/>
        <v>4.6428788317739132E-3</v>
      </c>
      <c r="J1300" s="12">
        <f t="shared" si="146"/>
        <v>5.4233926257759718E-3</v>
      </c>
    </row>
    <row r="1301" spans="1:10">
      <c r="A1301" s="15">
        <v>41581</v>
      </c>
      <c r="B1301" s="11">
        <v>2.2370000000000001</v>
      </c>
      <c r="C1301" s="11">
        <f t="shared" si="140"/>
        <v>4.1999999999999815E-3</v>
      </c>
      <c r="D1301" s="12">
        <f t="shared" si="141"/>
        <v>1.7639999999999845E-5</v>
      </c>
      <c r="E1301" s="12">
        <f t="shared" si="142"/>
        <v>1.4399999999996828E-6</v>
      </c>
      <c r="F1301" s="12">
        <f t="shared" si="143"/>
        <v>2.0741815456554976E-5</v>
      </c>
      <c r="G1301" s="12">
        <f t="shared" si="144"/>
        <v>4.0475129057631314</v>
      </c>
      <c r="I1301" s="12">
        <f t="shared" si="145"/>
        <v>4.5543183306127142E-3</v>
      </c>
      <c r="J1301" s="12">
        <f t="shared" si="146"/>
        <v>5.4233926257759718E-3</v>
      </c>
    </row>
    <row r="1302" spans="1:10">
      <c r="A1302" s="15">
        <v>41582</v>
      </c>
      <c r="B1302" s="11">
        <v>2.2368000000000001</v>
      </c>
      <c r="C1302" s="11">
        <f t="shared" si="140"/>
        <v>-1.9999999999997797E-4</v>
      </c>
      <c r="D1302" s="12">
        <f t="shared" si="141"/>
        <v>3.9999999999991186E-8</v>
      </c>
      <c r="E1302" s="12">
        <f t="shared" si="142"/>
        <v>1.7639999999999845E-5</v>
      </c>
      <c r="F1302" s="12">
        <f t="shared" si="143"/>
        <v>2.0975549794843808E-5</v>
      </c>
      <c r="G1302" s="12">
        <f t="shared" si="144"/>
        <v>4.4661845153326665</v>
      </c>
      <c r="I1302" s="12">
        <f t="shared" si="145"/>
        <v>4.5799071819026867E-3</v>
      </c>
      <c r="J1302" s="12">
        <f t="shared" si="146"/>
        <v>5.4233926257759718E-3</v>
      </c>
    </row>
    <row r="1303" spans="1:10">
      <c r="A1303" s="15">
        <v>41583</v>
      </c>
      <c r="B1303" s="11">
        <v>2.2336</v>
      </c>
      <c r="C1303" s="11">
        <f t="shared" si="140"/>
        <v>-3.2000000000000917E-3</v>
      </c>
      <c r="D1303" s="12">
        <f t="shared" si="141"/>
        <v>1.0240000000000586E-5</v>
      </c>
      <c r="E1303" s="12">
        <f t="shared" si="142"/>
        <v>3.9999999999991186E-8</v>
      </c>
      <c r="F1303" s="12">
        <f t="shared" si="143"/>
        <v>2.0140882935381506E-5</v>
      </c>
      <c r="G1303" s="12">
        <f t="shared" si="144"/>
        <v>4.2332315629872399</v>
      </c>
      <c r="I1303" s="12">
        <f t="shared" si="145"/>
        <v>4.4878595048621463E-3</v>
      </c>
      <c r="J1303" s="12">
        <f t="shared" si="146"/>
        <v>5.4233926257759718E-3</v>
      </c>
    </row>
    <row r="1304" spans="1:10">
      <c r="A1304" s="15">
        <v>41584</v>
      </c>
      <c r="B1304" s="11">
        <v>2.2376</v>
      </c>
      <c r="C1304" s="11">
        <f t="shared" si="140"/>
        <v>4.0000000000000036E-3</v>
      </c>
      <c r="D1304" s="12">
        <f t="shared" si="141"/>
        <v>1.600000000000003E-5</v>
      </c>
      <c r="E1304" s="12">
        <f t="shared" si="142"/>
        <v>1.0240000000000586E-5</v>
      </c>
      <c r="F1304" s="12">
        <f t="shared" si="143"/>
        <v>2.0001029969450977E-5</v>
      </c>
      <c r="G1304" s="12">
        <f t="shared" si="144"/>
        <v>4.0909454513690173</v>
      </c>
      <c r="I1304" s="12">
        <f t="shared" si="145"/>
        <v>4.4722511076024096E-3</v>
      </c>
      <c r="J1304" s="12">
        <f t="shared" si="146"/>
        <v>5.4233926257759718E-3</v>
      </c>
    </row>
    <row r="1305" spans="1:10">
      <c r="A1305" s="15">
        <v>41585</v>
      </c>
      <c r="B1305" s="11">
        <v>2.2349000000000001</v>
      </c>
      <c r="C1305" s="11">
        <f t="shared" si="140"/>
        <v>-2.6999999999999247E-3</v>
      </c>
      <c r="D1305" s="12">
        <f t="shared" si="141"/>
        <v>7.2899999999995931E-6</v>
      </c>
      <c r="E1305" s="12">
        <f t="shared" si="142"/>
        <v>1.600000000000003E-5</v>
      </c>
      <c r="F1305" s="12">
        <f t="shared" si="143"/>
        <v>2.0217688441659799E-5</v>
      </c>
      <c r="G1305" s="12">
        <f t="shared" si="144"/>
        <v>4.3052501221866804</v>
      </c>
      <c r="I1305" s="12">
        <f t="shared" si="145"/>
        <v>4.4964083935581075E-3</v>
      </c>
      <c r="J1305" s="12">
        <f t="shared" si="146"/>
        <v>5.4233926257759718E-3</v>
      </c>
    </row>
    <row r="1306" spans="1:10">
      <c r="A1306" s="15">
        <v>41586</v>
      </c>
      <c r="B1306" s="11">
        <v>2.2368999999999999</v>
      </c>
      <c r="C1306" s="11">
        <f t="shared" si="140"/>
        <v>1.9999999999997797E-3</v>
      </c>
      <c r="D1306" s="12">
        <f t="shared" si="141"/>
        <v>3.9999999999991189E-6</v>
      </c>
      <c r="E1306" s="12">
        <f t="shared" si="142"/>
        <v>7.2899999999995931E-6</v>
      </c>
      <c r="F1306" s="12">
        <f t="shared" si="143"/>
        <v>1.9894686941824672E-5</v>
      </c>
      <c r="G1306" s="12">
        <f t="shared" si="144"/>
        <v>4.3930610315953054</v>
      </c>
      <c r="I1306" s="12">
        <f t="shared" si="145"/>
        <v>4.4603460562858428E-3</v>
      </c>
      <c r="J1306" s="12">
        <f t="shared" si="146"/>
        <v>5.4233926257759718E-3</v>
      </c>
    </row>
    <row r="1307" spans="1:10">
      <c r="A1307" s="15">
        <v>41587</v>
      </c>
      <c r="B1307" s="11">
        <v>2.238</v>
      </c>
      <c r="C1307" s="11">
        <f t="shared" si="140"/>
        <v>1.1000000000001009E-3</v>
      </c>
      <c r="D1307" s="12">
        <f t="shared" si="141"/>
        <v>1.210000000000222E-6</v>
      </c>
      <c r="E1307" s="12">
        <f t="shared" si="142"/>
        <v>3.9999999999991189E-6</v>
      </c>
      <c r="F1307" s="12">
        <f t="shared" si="143"/>
        <v>1.9411629181692513E-5</v>
      </c>
      <c r="G1307" s="12">
        <f t="shared" si="144"/>
        <v>4.4747136897158608</v>
      </c>
      <c r="I1307" s="12">
        <f t="shared" si="145"/>
        <v>4.4058630461797739E-3</v>
      </c>
      <c r="J1307" s="12">
        <f t="shared" si="146"/>
        <v>5.4233926257759718E-3</v>
      </c>
    </row>
    <row r="1308" spans="1:10">
      <c r="A1308" s="15">
        <v>41588</v>
      </c>
      <c r="B1308" s="11">
        <v>2.2397</v>
      </c>
      <c r="C1308" s="11">
        <f t="shared" si="140"/>
        <v>1.7000000000000348E-3</v>
      </c>
      <c r="D1308" s="12">
        <f t="shared" si="141"/>
        <v>2.8900000000001184E-6</v>
      </c>
      <c r="E1308" s="12">
        <f t="shared" si="142"/>
        <v>1.210000000000222E-6</v>
      </c>
      <c r="F1308" s="12">
        <f t="shared" si="143"/>
        <v>1.8815461079940289E-5</v>
      </c>
      <c r="G1308" s="12">
        <f t="shared" si="144"/>
        <v>4.4446787303610291</v>
      </c>
      <c r="I1308" s="12">
        <f t="shared" si="145"/>
        <v>4.3376792274141584E-3</v>
      </c>
      <c r="J1308" s="12">
        <f t="shared" si="146"/>
        <v>5.4233926257759718E-3</v>
      </c>
    </row>
    <row r="1309" spans="1:10">
      <c r="A1309" s="15">
        <v>41589</v>
      </c>
      <c r="B1309" s="11">
        <v>2.2370999999999999</v>
      </c>
      <c r="C1309" s="11">
        <f t="shared" si="140"/>
        <v>-2.6000000000001577E-3</v>
      </c>
      <c r="D1309" s="12">
        <f t="shared" si="141"/>
        <v>6.7600000000008204E-6</v>
      </c>
      <c r="E1309" s="12">
        <f t="shared" si="142"/>
        <v>2.8900000000001184E-6</v>
      </c>
      <c r="F1309" s="12">
        <f t="shared" si="143"/>
        <v>1.8383345593813841E-5</v>
      </c>
      <c r="G1309" s="12">
        <f t="shared" si="144"/>
        <v>4.3492321050158056</v>
      </c>
      <c r="I1309" s="12">
        <f t="shared" si="145"/>
        <v>4.2875803891955005E-3</v>
      </c>
      <c r="J1309" s="12">
        <f t="shared" si="146"/>
        <v>5.4233926257759718E-3</v>
      </c>
    </row>
    <row r="1310" spans="1:10">
      <c r="A1310" s="15">
        <v>41590</v>
      </c>
      <c r="B1310" s="11">
        <v>2.2364999999999999</v>
      </c>
      <c r="C1310" s="11">
        <f t="shared" si="140"/>
        <v>-5.9999999999993392E-4</v>
      </c>
      <c r="D1310" s="12">
        <f t="shared" si="141"/>
        <v>3.5999999999992069E-7</v>
      </c>
      <c r="E1310" s="12">
        <f t="shared" si="142"/>
        <v>6.7600000000008204E-6</v>
      </c>
      <c r="F1310" s="12">
        <f t="shared" si="143"/>
        <v>1.8227336009772713E-5</v>
      </c>
      <c r="G1310" s="12">
        <f t="shared" si="144"/>
        <v>4.5274802380558734</v>
      </c>
      <c r="I1310" s="12">
        <f t="shared" si="145"/>
        <v>4.2693484291836279E-3</v>
      </c>
      <c r="J1310" s="12">
        <f t="shared" si="146"/>
        <v>5.4233926257759718E-3</v>
      </c>
    </row>
    <row r="1311" spans="1:10">
      <c r="A1311" s="15">
        <v>41591</v>
      </c>
      <c r="B1311" s="11">
        <v>2.2406000000000001</v>
      </c>
      <c r="C1311" s="11">
        <f t="shared" si="140"/>
        <v>4.1000000000002146E-3</v>
      </c>
      <c r="D1311" s="12">
        <f t="shared" si="141"/>
        <v>1.6810000000001758E-5</v>
      </c>
      <c r="E1311" s="12">
        <f t="shared" si="142"/>
        <v>3.5999999999992069E-7</v>
      </c>
      <c r="F1311" s="12">
        <f t="shared" si="143"/>
        <v>1.7708884082050047E-5</v>
      </c>
      <c r="G1311" s="12">
        <f t="shared" si="144"/>
        <v>4.0771629858974867</v>
      </c>
      <c r="I1311" s="12">
        <f t="shared" si="145"/>
        <v>4.2081924958407083E-3</v>
      </c>
      <c r="J1311" s="12">
        <f t="shared" si="146"/>
        <v>5.4233926257759718E-3</v>
      </c>
    </row>
    <row r="1312" spans="1:10">
      <c r="A1312" s="15">
        <v>41592</v>
      </c>
      <c r="B1312" s="11">
        <v>2.2408999999999999</v>
      </c>
      <c r="C1312" s="11">
        <f t="shared" si="140"/>
        <v>2.9999999999974492E-4</v>
      </c>
      <c r="D1312" s="12">
        <f t="shared" si="141"/>
        <v>8.999999999984695E-8</v>
      </c>
      <c r="E1312" s="12">
        <f t="shared" si="142"/>
        <v>1.6810000000001758E-5</v>
      </c>
      <c r="F1312" s="12">
        <f t="shared" si="143"/>
        <v>1.8221470216961539E-5</v>
      </c>
      <c r="G1312" s="12">
        <f t="shared" si="144"/>
        <v>4.5350468337509477</v>
      </c>
      <c r="I1312" s="12">
        <f t="shared" si="145"/>
        <v>4.2686614080952286E-3</v>
      </c>
      <c r="J1312" s="12">
        <f t="shared" si="146"/>
        <v>5.4233926257759718E-3</v>
      </c>
    </row>
    <row r="1313" spans="1:10">
      <c r="A1313" s="15">
        <v>41593</v>
      </c>
      <c r="B1313" s="11">
        <v>2.2473000000000001</v>
      </c>
      <c r="C1313" s="11">
        <f t="shared" si="140"/>
        <v>6.4000000000001833E-3</v>
      </c>
      <c r="D1313" s="12">
        <f t="shared" si="141"/>
        <v>4.0960000000002345E-5</v>
      </c>
      <c r="E1313" s="12">
        <f t="shared" si="142"/>
        <v>8.999999999984695E-8</v>
      </c>
      <c r="F1313" s="12">
        <f t="shared" si="143"/>
        <v>1.7687650324682819E-5</v>
      </c>
      <c r="G1313" s="12">
        <f t="shared" si="144"/>
        <v>3.3945133832360375</v>
      </c>
      <c r="I1313" s="12">
        <f t="shared" si="145"/>
        <v>4.205668832026937E-3</v>
      </c>
      <c r="J1313" s="12">
        <f t="shared" si="146"/>
        <v>5.4233926257759718E-3</v>
      </c>
    </row>
    <row r="1314" spans="1:10">
      <c r="A1314" s="15">
        <v>41594</v>
      </c>
      <c r="B1314" s="11">
        <v>2.2480000000000002</v>
      </c>
      <c r="C1314" s="11">
        <f t="shared" si="140"/>
        <v>7.0000000000014495E-4</v>
      </c>
      <c r="D1314" s="12">
        <f t="shared" si="141"/>
        <v>4.9000000000020294E-7</v>
      </c>
      <c r="E1314" s="12">
        <f t="shared" si="142"/>
        <v>4.0960000000002345E-5</v>
      </c>
      <c r="F1314" s="12">
        <f t="shared" si="143"/>
        <v>1.9633860117212615E-5</v>
      </c>
      <c r="G1314" s="12">
        <f t="shared" si="144"/>
        <v>4.4877104792487748</v>
      </c>
      <c r="I1314" s="12">
        <f t="shared" si="145"/>
        <v>4.4310111845054755E-3</v>
      </c>
      <c r="J1314" s="12">
        <f t="shared" si="146"/>
        <v>5.4233926257759718E-3</v>
      </c>
    </row>
    <row r="1315" spans="1:10">
      <c r="A1315" s="15">
        <v>41595</v>
      </c>
      <c r="B1315" s="11">
        <v>2.2526999999999999</v>
      </c>
      <c r="C1315" s="11">
        <f t="shared" si="140"/>
        <v>4.6999999999997044E-3</v>
      </c>
      <c r="D1315" s="12">
        <f t="shared" si="141"/>
        <v>2.2089999999997222E-5</v>
      </c>
      <c r="E1315" s="12">
        <f t="shared" si="142"/>
        <v>4.9000000000020294E-7</v>
      </c>
      <c r="F1315" s="12">
        <f t="shared" si="143"/>
        <v>1.8970982228063735E-5</v>
      </c>
      <c r="G1315" s="12">
        <f t="shared" si="144"/>
        <v>3.9351564954284859</v>
      </c>
      <c r="I1315" s="12">
        <f t="shared" si="145"/>
        <v>4.3555691049578966E-3</v>
      </c>
      <c r="J1315" s="12">
        <f t="shared" si="146"/>
        <v>5.4233926257759718E-3</v>
      </c>
    </row>
    <row r="1316" spans="1:10">
      <c r="A1316" s="15">
        <v>41596</v>
      </c>
      <c r="B1316" s="11">
        <v>2.2492999999999999</v>
      </c>
      <c r="C1316" s="11">
        <f t="shared" si="140"/>
        <v>-3.4000000000000696E-3</v>
      </c>
      <c r="D1316" s="12">
        <f t="shared" si="141"/>
        <v>1.1560000000000474E-5</v>
      </c>
      <c r="E1316" s="12">
        <f t="shared" si="142"/>
        <v>2.2089999999997222E-5</v>
      </c>
      <c r="F1316" s="12">
        <f t="shared" si="143"/>
        <v>1.9659994857560108E-5</v>
      </c>
      <c r="G1316" s="12">
        <f t="shared" si="144"/>
        <v>4.2055257695031978</v>
      </c>
      <c r="I1316" s="12">
        <f t="shared" si="145"/>
        <v>4.4339592755865617E-3</v>
      </c>
      <c r="J1316" s="12">
        <f t="shared" si="146"/>
        <v>5.4233926257759718E-3</v>
      </c>
    </row>
    <row r="1317" spans="1:10">
      <c r="A1317" s="15">
        <v>41597</v>
      </c>
      <c r="B1317" s="11">
        <v>2.2637</v>
      </c>
      <c r="C1317" s="11">
        <f t="shared" si="140"/>
        <v>1.440000000000019E-2</v>
      </c>
      <c r="D1317" s="12">
        <f t="shared" si="141"/>
        <v>2.073600000000055E-4</v>
      </c>
      <c r="E1317" s="12">
        <f t="shared" si="142"/>
        <v>1.1560000000000474E-5</v>
      </c>
      <c r="F1317" s="12">
        <f t="shared" si="143"/>
        <v>1.9650389171668382E-5</v>
      </c>
      <c r="G1317" s="12">
        <f t="shared" si="144"/>
        <v>-0.77646321443786592</v>
      </c>
      <c r="I1317" s="12">
        <f t="shared" si="145"/>
        <v>4.4328759481479267E-3</v>
      </c>
      <c r="J1317" s="12">
        <f t="shared" si="146"/>
        <v>5.4233926257759718E-3</v>
      </c>
    </row>
    <row r="1318" spans="1:10">
      <c r="A1318" s="15">
        <v>41598</v>
      </c>
      <c r="B1318" s="11">
        <v>2.2623000000000002</v>
      </c>
      <c r="C1318" s="11">
        <f t="shared" si="140"/>
        <v>-1.3999999999998458E-3</v>
      </c>
      <c r="D1318" s="12">
        <f t="shared" si="141"/>
        <v>1.9599999999995683E-6</v>
      </c>
      <c r="E1318" s="12">
        <f t="shared" si="142"/>
        <v>2.073600000000055E-4</v>
      </c>
      <c r="F1318" s="12">
        <f t="shared" si="143"/>
        <v>3.1246535734110711E-5</v>
      </c>
      <c r="G1318" s="12">
        <f t="shared" si="144"/>
        <v>4.2364990047810629</v>
      </c>
      <c r="I1318" s="12">
        <f t="shared" si="145"/>
        <v>5.5898600818008598E-3</v>
      </c>
      <c r="J1318" s="12">
        <f t="shared" si="146"/>
        <v>5.4233926257759718E-3</v>
      </c>
    </row>
    <row r="1319" spans="1:10">
      <c r="A1319" s="15">
        <v>41599</v>
      </c>
      <c r="B1319" s="11">
        <v>2.2624</v>
      </c>
      <c r="C1319" s="11">
        <f t="shared" si="140"/>
        <v>9.9999999999766942E-5</v>
      </c>
      <c r="D1319" s="12">
        <f t="shared" si="141"/>
        <v>9.9999999999533886E-9</v>
      </c>
      <c r="E1319" s="12">
        <f t="shared" si="142"/>
        <v>1.9599999999995683E-6</v>
      </c>
      <c r="F1319" s="12">
        <f t="shared" si="143"/>
        <v>2.9414745361548087E-5</v>
      </c>
      <c r="G1319" s="12">
        <f t="shared" si="144"/>
        <v>4.2978987098555814</v>
      </c>
      <c r="I1319" s="12">
        <f t="shared" si="145"/>
        <v>5.4235362413786901E-3</v>
      </c>
      <c r="J1319" s="12">
        <f t="shared" si="146"/>
        <v>5.4233926257759718E-3</v>
      </c>
    </row>
    <row r="1320" spans="1:10">
      <c r="A1320" s="15">
        <v>41600</v>
      </c>
      <c r="B1320" s="11">
        <v>2.2625999999999999</v>
      </c>
      <c r="C1320" s="11">
        <f t="shared" si="140"/>
        <v>1.9999999999997797E-4</v>
      </c>
      <c r="D1320" s="12">
        <f t="shared" si="141"/>
        <v>3.9999999999991186E-8</v>
      </c>
      <c r="E1320" s="12">
        <f t="shared" si="142"/>
        <v>9.9999999999533886E-9</v>
      </c>
      <c r="F1320" s="12">
        <f t="shared" si="143"/>
        <v>2.7665509984875033E-5</v>
      </c>
      <c r="G1320" s="12">
        <f t="shared" si="144"/>
        <v>4.3280005613615744</v>
      </c>
      <c r="I1320" s="12">
        <f t="shared" si="145"/>
        <v>5.2598013256086994E-3</v>
      </c>
      <c r="J1320" s="12">
        <f t="shared" si="146"/>
        <v>5.4233926257759718E-3</v>
      </c>
    </row>
    <row r="1321" spans="1:10">
      <c r="A1321" s="15">
        <v>41601</v>
      </c>
      <c r="B1321" s="11">
        <v>2.2715999999999998</v>
      </c>
      <c r="C1321" s="11">
        <f t="shared" si="140"/>
        <v>8.999999999999897E-3</v>
      </c>
      <c r="D1321" s="12">
        <f t="shared" si="141"/>
        <v>8.0999999999998147E-5</v>
      </c>
      <c r="E1321" s="12">
        <f t="shared" si="142"/>
        <v>3.9999999999991186E-8</v>
      </c>
      <c r="F1321" s="12">
        <f t="shared" si="143"/>
        <v>2.6107251419751855E-5</v>
      </c>
      <c r="G1321" s="12">
        <f t="shared" si="144"/>
        <v>2.8064170456485145</v>
      </c>
      <c r="I1321" s="12">
        <f t="shared" si="145"/>
        <v>5.1095255572070342E-3</v>
      </c>
      <c r="J1321" s="12">
        <f t="shared" si="146"/>
        <v>5.4233926257759718E-3</v>
      </c>
    </row>
    <row r="1322" spans="1:10">
      <c r="A1322" s="15">
        <v>41602</v>
      </c>
      <c r="B1322" s="11">
        <v>2.2692999999999999</v>
      </c>
      <c r="C1322" s="11">
        <f t="shared" si="140"/>
        <v>-2.2999999999999687E-3</v>
      </c>
      <c r="D1322" s="12">
        <f t="shared" si="141"/>
        <v>5.2899999999998562E-6</v>
      </c>
      <c r="E1322" s="12">
        <f t="shared" si="142"/>
        <v>8.0999999999998147E-5</v>
      </c>
      <c r="F1322" s="12">
        <f t="shared" si="143"/>
        <v>2.9515888768158419E-5</v>
      </c>
      <c r="G1322" s="12">
        <f t="shared" si="144"/>
        <v>4.2067396267457715</v>
      </c>
      <c r="I1322" s="12">
        <f t="shared" si="145"/>
        <v>5.4328527283700979E-3</v>
      </c>
      <c r="J1322" s="12">
        <f t="shared" si="146"/>
        <v>5.4233926257759718E-3</v>
      </c>
    </row>
    <row r="1323" spans="1:10">
      <c r="A1323" s="15">
        <v>41603</v>
      </c>
      <c r="B1323" s="11">
        <v>2.2608999999999999</v>
      </c>
      <c r="C1323" s="11">
        <f t="shared" si="140"/>
        <v>-8.3999999999999631E-3</v>
      </c>
      <c r="D1323" s="12">
        <f t="shared" si="141"/>
        <v>7.0559999999999379E-5</v>
      </c>
      <c r="E1323" s="12">
        <f t="shared" si="142"/>
        <v>5.2899999999998562E-6</v>
      </c>
      <c r="F1323" s="12">
        <f t="shared" si="143"/>
        <v>2.8068649724487739E-5</v>
      </c>
      <c r="G1323" s="12">
        <f t="shared" si="144"/>
        <v>3.0645717777239136</v>
      </c>
      <c r="I1323" s="12">
        <f t="shared" si="145"/>
        <v>5.2979854401921248E-3</v>
      </c>
      <c r="J1323" s="12">
        <f t="shared" si="146"/>
        <v>5.4233926257759718E-3</v>
      </c>
    </row>
    <row r="1324" spans="1:10">
      <c r="A1324" s="15">
        <v>41604</v>
      </c>
      <c r="B1324" s="11">
        <v>2.2667999999999999</v>
      </c>
      <c r="C1324" s="11">
        <f t="shared" si="140"/>
        <v>5.9000000000000163E-3</v>
      </c>
      <c r="D1324" s="12">
        <f t="shared" si="141"/>
        <v>3.481000000000019E-5</v>
      </c>
      <c r="E1324" s="12">
        <f t="shared" si="142"/>
        <v>7.0559999999999379E-5</v>
      </c>
      <c r="F1324" s="12">
        <f t="shared" si="143"/>
        <v>3.0646380593476633E-5</v>
      </c>
      <c r="G1324" s="12">
        <f t="shared" si="144"/>
        <v>3.7096294199389046</v>
      </c>
      <c r="I1324" s="12">
        <f t="shared" si="145"/>
        <v>5.5359173217703166E-3</v>
      </c>
      <c r="J1324" s="12">
        <f t="shared" si="146"/>
        <v>5.4233926257759718E-3</v>
      </c>
    </row>
    <row r="1325" spans="1:10">
      <c r="A1325" s="15">
        <v>41605</v>
      </c>
      <c r="B1325" s="11">
        <v>2.2671000000000001</v>
      </c>
      <c r="C1325" s="11">
        <f t="shared" si="140"/>
        <v>3.00000000000189E-4</v>
      </c>
      <c r="D1325" s="12">
        <f t="shared" si="141"/>
        <v>9.0000000000113408E-8</v>
      </c>
      <c r="E1325" s="12">
        <f t="shared" si="142"/>
        <v>3.481000000000019E-5</v>
      </c>
      <c r="F1325" s="12">
        <f t="shared" si="143"/>
        <v>3.0826463828914525E-5</v>
      </c>
      <c r="G1325" s="12">
        <f t="shared" si="144"/>
        <v>4.2731701855542772</v>
      </c>
      <c r="I1325" s="12">
        <f t="shared" si="145"/>
        <v>5.5521584837713812E-3</v>
      </c>
      <c r="J1325" s="12">
        <f t="shared" si="146"/>
        <v>5.4233926257759718E-3</v>
      </c>
    </row>
    <row r="1326" spans="1:10">
      <c r="A1326" s="15">
        <v>41606</v>
      </c>
      <c r="B1326" s="11">
        <v>2.2700999999999998</v>
      </c>
      <c r="C1326" s="11">
        <f t="shared" si="140"/>
        <v>2.9999999999996696E-3</v>
      </c>
      <c r="D1326" s="12">
        <f t="shared" si="141"/>
        <v>8.9999999999980182E-6</v>
      </c>
      <c r="E1326" s="12">
        <f t="shared" si="142"/>
        <v>9.0000000000113408E-8</v>
      </c>
      <c r="F1326" s="12">
        <f t="shared" si="143"/>
        <v>2.8929277254557715E-5</v>
      </c>
      <c r="G1326" s="12">
        <f t="shared" si="144"/>
        <v>4.1508379100726405</v>
      </c>
      <c r="I1326" s="12">
        <f t="shared" si="145"/>
        <v>5.3785943567588096E-3</v>
      </c>
      <c r="J1326" s="12">
        <f t="shared" si="146"/>
        <v>5.4233926257759718E-3</v>
      </c>
    </row>
    <row r="1327" spans="1:10">
      <c r="A1327" s="15">
        <v>41607</v>
      </c>
      <c r="B1327" s="11">
        <v>2.2715000000000001</v>
      </c>
      <c r="C1327" s="11">
        <f t="shared" si="140"/>
        <v>1.4000000000002899E-3</v>
      </c>
      <c r="D1327" s="12">
        <f t="shared" si="141"/>
        <v>1.9600000000008118E-6</v>
      </c>
      <c r="E1327" s="12">
        <f t="shared" si="142"/>
        <v>8.9999999999980182E-6</v>
      </c>
      <c r="F1327" s="12">
        <f t="shared" si="143"/>
        <v>2.7765371621115573E-5</v>
      </c>
      <c r="G1327" s="12">
        <f t="shared" si="144"/>
        <v>4.2916261649785863</v>
      </c>
      <c r="I1327" s="12">
        <f t="shared" si="145"/>
        <v>5.2692856841431148E-3</v>
      </c>
      <c r="J1327" s="12">
        <f t="shared" si="146"/>
        <v>5.4233926257759718E-3</v>
      </c>
    </row>
    <row r="1328" spans="1:10">
      <c r="A1328" s="15">
        <v>41608</v>
      </c>
      <c r="B1328" s="11">
        <v>2.2681</v>
      </c>
      <c r="C1328" s="11">
        <f t="shared" si="140"/>
        <v>-3.4000000000000696E-3</v>
      </c>
      <c r="D1328" s="12">
        <f t="shared" si="141"/>
        <v>1.1560000000000474E-5</v>
      </c>
      <c r="E1328" s="12">
        <f t="shared" si="142"/>
        <v>1.9600000000008118E-6</v>
      </c>
      <c r="F1328" s="12">
        <f t="shared" si="143"/>
        <v>2.631010687899864E-5</v>
      </c>
      <c r="G1328" s="12">
        <f t="shared" si="144"/>
        <v>4.1341527207236535</v>
      </c>
      <c r="I1328" s="12">
        <f t="shared" si="145"/>
        <v>5.1293378597045683E-3</v>
      </c>
      <c r="J1328" s="12">
        <f t="shared" si="146"/>
        <v>5.4233926257759718E-3</v>
      </c>
    </row>
    <row r="1329" spans="1:10">
      <c r="A1329" s="15">
        <v>41609</v>
      </c>
      <c r="B1329" s="11">
        <v>2.2633999999999999</v>
      </c>
      <c r="C1329" s="11">
        <f t="shared" si="140"/>
        <v>-4.7000000000001485E-3</v>
      </c>
      <c r="D1329" s="12">
        <f t="shared" si="141"/>
        <v>2.2090000000001396E-5</v>
      </c>
      <c r="E1329" s="12">
        <f t="shared" si="142"/>
        <v>1.1560000000000474E-5</v>
      </c>
      <c r="F1329" s="12">
        <f t="shared" si="143"/>
        <v>2.5581219498785478E-5</v>
      </c>
      <c r="G1329" s="12">
        <f t="shared" si="144"/>
        <v>3.9361254450243464</v>
      </c>
      <c r="I1329" s="12">
        <f t="shared" si="145"/>
        <v>5.0577880045317714E-3</v>
      </c>
      <c r="J1329" s="12">
        <f t="shared" si="146"/>
        <v>5.4233926257759718E-3</v>
      </c>
    </row>
    <row r="1330" spans="1:10">
      <c r="A1330" s="15">
        <v>41610</v>
      </c>
      <c r="B1330" s="11">
        <v>2.2715999999999998</v>
      </c>
      <c r="C1330" s="11">
        <f t="shared" si="140"/>
        <v>8.1999999999999851E-3</v>
      </c>
      <c r="D1330" s="12">
        <f t="shared" si="141"/>
        <v>6.7239999999999756E-5</v>
      </c>
      <c r="E1330" s="12">
        <f t="shared" si="142"/>
        <v>2.2090000000001396E-5</v>
      </c>
      <c r="F1330" s="12">
        <f t="shared" si="143"/>
        <v>2.5555263320444945E-5</v>
      </c>
      <c r="G1330" s="12">
        <f t="shared" si="144"/>
        <v>3.0528148288446455</v>
      </c>
      <c r="I1330" s="12">
        <f t="shared" si="145"/>
        <v>5.0552213918328981E-3</v>
      </c>
      <c r="J1330" s="12">
        <f t="shared" si="146"/>
        <v>5.4233926257759718E-3</v>
      </c>
    </row>
    <row r="1331" spans="1:10">
      <c r="A1331" s="15">
        <v>41611</v>
      </c>
      <c r="B1331" s="11">
        <v>2.2713999999999999</v>
      </c>
      <c r="C1331" s="11">
        <f t="shared" si="140"/>
        <v>-1.9999999999997797E-4</v>
      </c>
      <c r="D1331" s="12">
        <f t="shared" si="141"/>
        <v>3.9999999999991186E-8</v>
      </c>
      <c r="E1331" s="12">
        <f t="shared" si="142"/>
        <v>6.7239999999999756E-5</v>
      </c>
      <c r="F1331" s="12">
        <f t="shared" si="143"/>
        <v>2.8208073751701982E-5</v>
      </c>
      <c r="G1331" s="12">
        <f t="shared" si="144"/>
        <v>4.3183036014172504</v>
      </c>
      <c r="I1331" s="12">
        <f t="shared" si="145"/>
        <v>5.3111273522390692E-3</v>
      </c>
      <c r="J1331" s="12">
        <f t="shared" si="146"/>
        <v>5.4233926257759718E-3</v>
      </c>
    </row>
    <row r="1332" spans="1:10">
      <c r="A1332" s="15">
        <v>41612</v>
      </c>
      <c r="B1332" s="11">
        <v>2.2723</v>
      </c>
      <c r="C1332" s="11">
        <f t="shared" si="140"/>
        <v>9.0000000000012292E-4</v>
      </c>
      <c r="D1332" s="12">
        <f t="shared" si="141"/>
        <v>8.1000000000022126E-7</v>
      </c>
      <c r="E1332" s="12">
        <f t="shared" si="142"/>
        <v>3.9999999999991186E-8</v>
      </c>
      <c r="F1332" s="12">
        <f t="shared" si="143"/>
        <v>2.6591131034458871E-5</v>
      </c>
      <c r="G1332" s="12">
        <f t="shared" si="144"/>
        <v>4.3332972260674074</v>
      </c>
      <c r="I1332" s="12">
        <f t="shared" si="145"/>
        <v>5.1566589022795442E-3</v>
      </c>
      <c r="J1332" s="12">
        <f t="shared" si="146"/>
        <v>5.4233926257759718E-3</v>
      </c>
    </row>
    <row r="1333" spans="1:10">
      <c r="A1333" s="15">
        <v>41613</v>
      </c>
      <c r="B1333" s="11">
        <v>2.2782</v>
      </c>
      <c r="C1333" s="11">
        <f t="shared" si="140"/>
        <v>5.9000000000000163E-3</v>
      </c>
      <c r="D1333" s="12">
        <f t="shared" si="141"/>
        <v>3.481000000000019E-5</v>
      </c>
      <c r="E1333" s="12">
        <f t="shared" si="142"/>
        <v>8.1000000000022126E-7</v>
      </c>
      <c r="F1333" s="12">
        <f t="shared" si="143"/>
        <v>2.5194714710732132E-5</v>
      </c>
      <c r="G1333" s="12">
        <f t="shared" si="144"/>
        <v>3.6846801276781949</v>
      </c>
      <c r="I1333" s="12">
        <f t="shared" si="145"/>
        <v>5.0194337041873692E-3</v>
      </c>
      <c r="J1333" s="12">
        <f t="shared" si="146"/>
        <v>5.4233926257759718E-3</v>
      </c>
    </row>
    <row r="1334" spans="1:10">
      <c r="A1334" s="15">
        <v>41614</v>
      </c>
      <c r="B1334" s="11">
        <v>2.2791999999999999</v>
      </c>
      <c r="C1334" s="11">
        <f t="shared" si="140"/>
        <v>9.9999999999988987E-4</v>
      </c>
      <c r="D1334" s="12">
        <f t="shared" si="141"/>
        <v>9.9999999999977973E-7</v>
      </c>
      <c r="E1334" s="12">
        <f t="shared" si="142"/>
        <v>3.481000000000019E-5</v>
      </c>
      <c r="F1334" s="12">
        <f t="shared" si="143"/>
        <v>2.5964454700879336E-5</v>
      </c>
      <c r="G1334" s="12">
        <f t="shared" si="144"/>
        <v>4.3411954043855401</v>
      </c>
      <c r="I1334" s="12">
        <f t="shared" si="145"/>
        <v>5.0955328181534988E-3</v>
      </c>
      <c r="J1334" s="12">
        <f t="shared" si="146"/>
        <v>5.4233926257759718E-3</v>
      </c>
    </row>
    <row r="1335" spans="1:10">
      <c r="A1335" s="15">
        <v>41615</v>
      </c>
      <c r="B1335" s="11">
        <v>2.2787999999999999</v>
      </c>
      <c r="C1335" s="11">
        <f t="shared" si="140"/>
        <v>-3.9999999999995595E-4</v>
      </c>
      <c r="D1335" s="12">
        <f t="shared" si="141"/>
        <v>1.5999999999996475E-7</v>
      </c>
      <c r="E1335" s="12">
        <f t="shared" si="142"/>
        <v>9.9999999999977973E-7</v>
      </c>
      <c r="F1335" s="12">
        <f t="shared" si="143"/>
        <v>2.4647081172783003E-5</v>
      </c>
      <c r="G1335" s="12">
        <f t="shared" si="144"/>
        <v>4.38324167662668</v>
      </c>
      <c r="I1335" s="12">
        <f t="shared" si="145"/>
        <v>4.9645826786128763E-3</v>
      </c>
      <c r="J1335" s="12">
        <f t="shared" si="146"/>
        <v>5.4233926257759718E-3</v>
      </c>
    </row>
    <row r="1336" spans="1:10">
      <c r="A1336" s="15">
        <v>41616</v>
      </c>
      <c r="B1336" s="11">
        <v>2.2753000000000001</v>
      </c>
      <c r="C1336" s="11">
        <f t="shared" si="140"/>
        <v>-3.4999999999998366E-3</v>
      </c>
      <c r="D1336" s="12">
        <f t="shared" si="141"/>
        <v>1.2249999999998856E-5</v>
      </c>
      <c r="E1336" s="12">
        <f t="shared" si="142"/>
        <v>1.5999999999996475E-7</v>
      </c>
      <c r="F1336" s="12">
        <f t="shared" si="143"/>
        <v>2.3422410583653655E-5</v>
      </c>
      <c r="G1336" s="12">
        <f t="shared" si="144"/>
        <v>4.150468405672755</v>
      </c>
      <c r="I1336" s="12">
        <f t="shared" si="145"/>
        <v>4.8396705036245656E-3</v>
      </c>
      <c r="J1336" s="12">
        <f t="shared" si="146"/>
        <v>5.4233926257759718E-3</v>
      </c>
    </row>
    <row r="1337" spans="1:10">
      <c r="A1337" s="15">
        <v>41617</v>
      </c>
      <c r="B1337" s="11">
        <v>2.2909999999999999</v>
      </c>
      <c r="C1337" s="11">
        <f t="shared" si="140"/>
        <v>1.5699999999999825E-2</v>
      </c>
      <c r="D1337" s="12">
        <f t="shared" si="141"/>
        <v>2.464899999999945E-4</v>
      </c>
      <c r="E1337" s="12">
        <f t="shared" si="142"/>
        <v>1.2249999999998856E-5</v>
      </c>
      <c r="F1337" s="12">
        <f t="shared" si="143"/>
        <v>2.3046753913976986E-5</v>
      </c>
      <c r="G1337" s="12">
        <f t="shared" si="144"/>
        <v>-0.92755348418216654</v>
      </c>
      <c r="I1337" s="12">
        <f t="shared" si="145"/>
        <v>4.8007034811553386E-3</v>
      </c>
      <c r="J1337" s="12">
        <f t="shared" si="146"/>
        <v>5.4233926257759718E-3</v>
      </c>
    </row>
    <row r="1338" spans="1:10">
      <c r="A1338" s="15">
        <v>41618</v>
      </c>
      <c r="B1338" s="11">
        <v>2.2936999999999999</v>
      </c>
      <c r="C1338" s="11">
        <f t="shared" si="140"/>
        <v>2.6999999999999247E-3</v>
      </c>
      <c r="D1338" s="12">
        <f t="shared" si="141"/>
        <v>7.2899999999995931E-6</v>
      </c>
      <c r="E1338" s="12">
        <f t="shared" si="142"/>
        <v>2.464899999999945E-4</v>
      </c>
      <c r="F1338" s="12">
        <f t="shared" si="143"/>
        <v>3.6594711428935391E-5</v>
      </c>
      <c r="G1338" s="12">
        <f t="shared" si="144"/>
        <v>4.0892603152043518</v>
      </c>
      <c r="I1338" s="12">
        <f t="shared" si="145"/>
        <v>6.0493562821952711E-3</v>
      </c>
      <c r="J1338" s="12">
        <f t="shared" si="146"/>
        <v>5.4233926257759718E-3</v>
      </c>
    </row>
    <row r="1339" spans="1:10">
      <c r="A1339" s="15">
        <v>41619</v>
      </c>
      <c r="B1339" s="11">
        <v>2.294</v>
      </c>
      <c r="C1339" s="11">
        <f t="shared" si="140"/>
        <v>3.00000000000189E-4</v>
      </c>
      <c r="D1339" s="12">
        <f t="shared" si="141"/>
        <v>9.0000000000113408E-8</v>
      </c>
      <c r="E1339" s="12">
        <f t="shared" si="142"/>
        <v>7.2899999999995931E-6</v>
      </c>
      <c r="F1339" s="12">
        <f t="shared" si="143"/>
        <v>3.4500357385826789E-5</v>
      </c>
      <c r="G1339" s="12">
        <f t="shared" si="144"/>
        <v>4.2170275625800073</v>
      </c>
      <c r="I1339" s="12">
        <f t="shared" si="145"/>
        <v>5.873700484858484E-3</v>
      </c>
      <c r="J1339" s="12">
        <f t="shared" si="146"/>
        <v>5.4233926257759718E-3</v>
      </c>
    </row>
    <row r="1340" spans="1:10">
      <c r="A1340" s="15">
        <v>41620</v>
      </c>
      <c r="B1340" s="11">
        <v>2.2968000000000002</v>
      </c>
      <c r="C1340" s="11">
        <f t="shared" si="140"/>
        <v>2.8000000000001357E-3</v>
      </c>
      <c r="D1340" s="12">
        <f t="shared" si="141"/>
        <v>7.8400000000007601E-6</v>
      </c>
      <c r="E1340" s="12">
        <f t="shared" si="142"/>
        <v>9.0000000000113408E-8</v>
      </c>
      <c r="F1340" s="12">
        <f t="shared" si="143"/>
        <v>3.2205799402709739E-5</v>
      </c>
      <c r="G1340" s="12">
        <f t="shared" si="144"/>
        <v>4.1310262589124029</v>
      </c>
      <c r="I1340" s="12">
        <f t="shared" si="145"/>
        <v>5.6750153658567072E-3</v>
      </c>
      <c r="J1340" s="12">
        <f t="shared" si="146"/>
        <v>5.4233926257759718E-3</v>
      </c>
    </row>
    <row r="1341" spans="1:10">
      <c r="A1341" s="15">
        <v>41621</v>
      </c>
      <c r="B1341" s="11">
        <v>2.2963</v>
      </c>
      <c r="C1341" s="11">
        <f t="shared" si="140"/>
        <v>-5.0000000000016698E-4</v>
      </c>
      <c r="D1341" s="12">
        <f t="shared" si="141"/>
        <v>2.5000000000016696E-7</v>
      </c>
      <c r="E1341" s="12">
        <f t="shared" si="142"/>
        <v>7.8400000000007601E-6</v>
      </c>
      <c r="F1341" s="12">
        <f t="shared" si="143"/>
        <v>3.0618751274996089E-5</v>
      </c>
      <c r="G1341" s="12">
        <f t="shared" si="144"/>
        <v>4.2739279687288114</v>
      </c>
      <c r="I1341" s="12">
        <f t="shared" si="145"/>
        <v>5.5334212992502289E-3</v>
      </c>
      <c r="J1341" s="12">
        <f t="shared" si="146"/>
        <v>5.4233926257759718E-3</v>
      </c>
    </row>
    <row r="1342" spans="1:10">
      <c r="A1342" s="15">
        <v>41622</v>
      </c>
      <c r="B1342" s="11">
        <v>2.3010000000000002</v>
      </c>
      <c r="C1342" s="11">
        <f t="shared" si="140"/>
        <v>4.7000000000001485E-3</v>
      </c>
      <c r="D1342" s="12">
        <f t="shared" si="141"/>
        <v>2.2090000000001396E-5</v>
      </c>
      <c r="E1342" s="12">
        <f t="shared" si="142"/>
        <v>2.5000000000016696E-7</v>
      </c>
      <c r="F1342" s="12">
        <f t="shared" si="143"/>
        <v>2.87535139764782E-5</v>
      </c>
      <c r="G1342" s="12">
        <f t="shared" si="144"/>
        <v>3.9253097828472261</v>
      </c>
      <c r="I1342" s="12">
        <f t="shared" si="145"/>
        <v>5.3622303173659182E-3</v>
      </c>
      <c r="J1342" s="12">
        <f t="shared" si="146"/>
        <v>5.4233926257759718E-3</v>
      </c>
    </row>
    <row r="1343" spans="1:10">
      <c r="A1343" s="15">
        <v>41623</v>
      </c>
      <c r="B1343" s="11">
        <v>2.3003</v>
      </c>
      <c r="C1343" s="11">
        <f t="shared" si="140"/>
        <v>-7.0000000000014495E-4</v>
      </c>
      <c r="D1343" s="12">
        <f t="shared" si="141"/>
        <v>4.9000000000020294E-7</v>
      </c>
      <c r="E1343" s="12">
        <f t="shared" si="142"/>
        <v>2.2090000000001396E-5</v>
      </c>
      <c r="F1343" s="12">
        <f t="shared" si="143"/>
        <v>2.8384439766524755E-5</v>
      </c>
      <c r="G1343" s="12">
        <f t="shared" si="144"/>
        <v>4.3072646989365806</v>
      </c>
      <c r="I1343" s="12">
        <f t="shared" si="145"/>
        <v>5.3277049248738198E-3</v>
      </c>
      <c r="J1343" s="12">
        <f t="shared" si="146"/>
        <v>5.4233926257759718E-3</v>
      </c>
    </row>
    <row r="1344" spans="1:10">
      <c r="A1344" s="15">
        <v>41624</v>
      </c>
      <c r="B1344" s="11">
        <v>2.2951999999999999</v>
      </c>
      <c r="C1344" s="11">
        <f t="shared" si="140"/>
        <v>-5.1000000000001044E-3</v>
      </c>
      <c r="D1344" s="12">
        <f t="shared" si="141"/>
        <v>2.6010000000001064E-5</v>
      </c>
      <c r="E1344" s="12">
        <f t="shared" si="142"/>
        <v>4.9000000000020294E-7</v>
      </c>
      <c r="F1344" s="12">
        <f t="shared" si="143"/>
        <v>2.677509184256128E-5</v>
      </c>
      <c r="G1344" s="12">
        <f t="shared" si="144"/>
        <v>3.8593680955047649</v>
      </c>
      <c r="I1344" s="12">
        <f t="shared" si="145"/>
        <v>5.1744653677999698E-3</v>
      </c>
      <c r="J1344" s="12">
        <f t="shared" si="146"/>
        <v>5.4233926257759718E-3</v>
      </c>
    </row>
    <row r="1345" spans="1:10">
      <c r="A1345" s="15">
        <v>41625</v>
      </c>
      <c r="B1345" s="11">
        <v>2.2858000000000001</v>
      </c>
      <c r="C1345" s="11">
        <f t="shared" si="140"/>
        <v>-9.3999999999998529E-3</v>
      </c>
      <c r="D1345" s="12">
        <f t="shared" si="141"/>
        <v>8.8359999999997236E-5</v>
      </c>
      <c r="E1345" s="12">
        <f t="shared" si="142"/>
        <v>2.6010000000001064E-5</v>
      </c>
      <c r="F1345" s="12">
        <f t="shared" si="143"/>
        <v>2.685233676868372E-5</v>
      </c>
      <c r="G1345" s="12">
        <f t="shared" si="144"/>
        <v>2.6983458889560108</v>
      </c>
      <c r="I1345" s="12">
        <f t="shared" si="145"/>
        <v>5.1819240411920091E-3</v>
      </c>
      <c r="J1345" s="12">
        <f t="shared" si="146"/>
        <v>5.4233926257759718E-3</v>
      </c>
    </row>
    <row r="1346" spans="1:10">
      <c r="A1346" s="15">
        <v>41626</v>
      </c>
      <c r="B1346" s="11">
        <v>2.2711000000000001</v>
      </c>
      <c r="C1346" s="11">
        <f t="shared" si="140"/>
        <v>-1.4699999999999935E-2</v>
      </c>
      <c r="D1346" s="12">
        <f t="shared" si="141"/>
        <v>2.160899999999981E-4</v>
      </c>
      <c r="E1346" s="12">
        <f t="shared" si="142"/>
        <v>8.8359999999997236E-5</v>
      </c>
      <c r="F1346" s="12">
        <f t="shared" si="143"/>
        <v>3.0616599002599881E-5</v>
      </c>
      <c r="G1346" s="12">
        <f t="shared" si="144"/>
        <v>0.74907752145875828</v>
      </c>
      <c r="I1346" s="12">
        <f t="shared" si="145"/>
        <v>5.5332268164787791E-3</v>
      </c>
      <c r="J1346" s="12">
        <f t="shared" si="146"/>
        <v>5.4233926257759718E-3</v>
      </c>
    </row>
    <row r="1347" spans="1:10">
      <c r="A1347" s="15">
        <v>41627</v>
      </c>
      <c r="B1347" s="11">
        <v>2.2549000000000001</v>
      </c>
      <c r="C1347" s="11">
        <f t="shared" si="140"/>
        <v>-1.6199999999999992E-2</v>
      </c>
      <c r="D1347" s="12">
        <f t="shared" si="141"/>
        <v>2.6243999999999974E-4</v>
      </c>
      <c r="E1347" s="12">
        <f t="shared" si="142"/>
        <v>2.160899999999981E-4</v>
      </c>
      <c r="F1347" s="12">
        <f t="shared" si="143"/>
        <v>4.1544042485253123E-5</v>
      </c>
      <c r="G1347" s="12">
        <f t="shared" si="144"/>
        <v>0.96686404777817281</v>
      </c>
      <c r="I1347" s="12">
        <f t="shared" si="145"/>
        <v>6.445466816705608E-3</v>
      </c>
      <c r="J1347" s="12">
        <f t="shared" si="146"/>
        <v>5.4233926257759718E-3</v>
      </c>
    </row>
    <row r="1348" spans="1:10">
      <c r="A1348" s="15">
        <v>41628</v>
      </c>
      <c r="B1348" s="11">
        <v>2.2584</v>
      </c>
      <c r="C1348" s="11">
        <f t="shared" si="140"/>
        <v>3.4999999999998366E-3</v>
      </c>
      <c r="D1348" s="12">
        <f t="shared" si="141"/>
        <v>1.2249999999998856E-5</v>
      </c>
      <c r="E1348" s="12">
        <f t="shared" si="142"/>
        <v>2.6243999999999974E-4</v>
      </c>
      <c r="F1348" s="12">
        <f t="shared" si="143"/>
        <v>5.4036645520851903E-5</v>
      </c>
      <c r="G1348" s="12">
        <f t="shared" si="144"/>
        <v>3.8806365148716937</v>
      </c>
      <c r="I1348" s="12">
        <f t="shared" si="145"/>
        <v>7.3509622173462364E-3</v>
      </c>
      <c r="J1348" s="12">
        <f t="shared" si="146"/>
        <v>5.4233926257759718E-3</v>
      </c>
    </row>
    <row r="1349" spans="1:10">
      <c r="A1349" s="15">
        <v>41629</v>
      </c>
      <c r="B1349" s="11">
        <v>2.2570999999999999</v>
      </c>
      <c r="C1349" s="11">
        <f t="shared" si="140"/>
        <v>-1.3000000000000789E-3</v>
      </c>
      <c r="D1349" s="12">
        <f t="shared" si="141"/>
        <v>1.6900000000002051E-6</v>
      </c>
      <c r="E1349" s="12">
        <f t="shared" si="142"/>
        <v>1.2249999999998856E-5</v>
      </c>
      <c r="F1349" s="12">
        <f t="shared" si="143"/>
        <v>5.0349727521291795E-5</v>
      </c>
      <c r="G1349" s="12">
        <f t="shared" si="144"/>
        <v>4.0125375214963102</v>
      </c>
      <c r="I1349" s="12">
        <f t="shared" si="145"/>
        <v>7.0957541897455692E-3</v>
      </c>
      <c r="J1349" s="12">
        <f t="shared" si="146"/>
        <v>5.4233926257759718E-3</v>
      </c>
    </row>
    <row r="1350" spans="1:10">
      <c r="A1350" s="15">
        <v>41630</v>
      </c>
      <c r="B1350" s="11">
        <v>2.2650999999999999</v>
      </c>
      <c r="C1350" s="11">
        <f t="shared" si="140"/>
        <v>8.0000000000000071E-3</v>
      </c>
      <c r="D1350" s="12">
        <f t="shared" si="141"/>
        <v>6.4000000000000119E-5</v>
      </c>
      <c r="E1350" s="12">
        <f t="shared" si="142"/>
        <v>1.6900000000002051E-6</v>
      </c>
      <c r="F1350" s="12">
        <f t="shared" si="143"/>
        <v>4.6435717487733707E-5</v>
      </c>
      <c r="G1350" s="12">
        <f t="shared" si="144"/>
        <v>3.3806575675962889</v>
      </c>
      <c r="I1350" s="12">
        <f t="shared" si="145"/>
        <v>6.8143757958989692E-3</v>
      </c>
      <c r="J1350" s="12">
        <f t="shared" si="146"/>
        <v>5.4233926257759718E-3</v>
      </c>
    </row>
    <row r="1351" spans="1:10">
      <c r="A1351" s="15">
        <v>41631</v>
      </c>
      <c r="B1351" s="11">
        <v>2.2605</v>
      </c>
      <c r="C1351" s="11">
        <f t="shared" si="140"/>
        <v>-4.5999999999999375E-3</v>
      </c>
      <c r="D1351" s="12">
        <f t="shared" si="141"/>
        <v>2.1159999999999425E-5</v>
      </c>
      <c r="E1351" s="12">
        <f t="shared" si="142"/>
        <v>6.4000000000000119E-5</v>
      </c>
      <c r="F1351" s="12">
        <f t="shared" si="143"/>
        <v>4.663805151830977E-5</v>
      </c>
      <c r="G1351" s="12">
        <f t="shared" si="144"/>
        <v>3.840754968260228</v>
      </c>
      <c r="I1351" s="12">
        <f t="shared" si="145"/>
        <v>6.8292057750744175E-3</v>
      </c>
      <c r="J1351" s="12">
        <f t="shared" si="146"/>
        <v>5.4233926257759718E-3</v>
      </c>
    </row>
    <row r="1352" spans="1:10">
      <c r="A1352" s="15">
        <v>41632</v>
      </c>
      <c r="B1352" s="11">
        <v>2.2621000000000002</v>
      </c>
      <c r="C1352" s="11">
        <f t="shared" si="140"/>
        <v>1.6000000000002679E-3</v>
      </c>
      <c r="D1352" s="12">
        <f t="shared" si="141"/>
        <v>2.5600000000008573E-6</v>
      </c>
      <c r="E1352" s="12">
        <f t="shared" si="142"/>
        <v>2.1159999999999425E-5</v>
      </c>
      <c r="F1352" s="12">
        <f t="shared" si="143"/>
        <v>4.4279451301651656E-5</v>
      </c>
      <c r="G1352" s="12">
        <f t="shared" si="144"/>
        <v>4.0646490663470329</v>
      </c>
      <c r="I1352" s="12">
        <f t="shared" si="145"/>
        <v>6.6542806749979866E-3</v>
      </c>
      <c r="J1352" s="12">
        <f t="shared" si="146"/>
        <v>5.4233926257759718E-3</v>
      </c>
    </row>
    <row r="1353" spans="1:10">
      <c r="A1353" s="15">
        <v>41633</v>
      </c>
      <c r="B1353" s="11">
        <v>2.2629999999999999</v>
      </c>
      <c r="C1353" s="11">
        <f t="shared" si="140"/>
        <v>8.9999999999967883E-4</v>
      </c>
      <c r="D1353" s="12">
        <f t="shared" si="141"/>
        <v>8.0999999999942187E-7</v>
      </c>
      <c r="E1353" s="12">
        <f t="shared" si="142"/>
        <v>2.5600000000008573E-6</v>
      </c>
      <c r="F1353" s="12">
        <f t="shared" si="143"/>
        <v>4.1073570768526136E-5</v>
      </c>
      <c r="G1353" s="12">
        <f t="shared" si="144"/>
        <v>4.1212739492885486</v>
      </c>
      <c r="I1353" s="12">
        <f t="shared" si="145"/>
        <v>6.4088665744050357E-3</v>
      </c>
      <c r="J1353" s="12">
        <f t="shared" si="146"/>
        <v>5.4233926257759718E-3</v>
      </c>
    </row>
    <row r="1354" spans="1:10">
      <c r="A1354" s="15">
        <v>41634</v>
      </c>
      <c r="B1354" s="11">
        <v>2.2664</v>
      </c>
      <c r="C1354" s="11">
        <f t="shared" si="140"/>
        <v>3.4000000000000696E-3</v>
      </c>
      <c r="D1354" s="12">
        <f t="shared" si="141"/>
        <v>1.1560000000000474E-5</v>
      </c>
      <c r="E1354" s="12">
        <f t="shared" si="142"/>
        <v>8.0999999999942187E-7</v>
      </c>
      <c r="F1354" s="12">
        <f t="shared" si="143"/>
        <v>3.8110721615360402E-5</v>
      </c>
      <c r="G1354" s="12">
        <f t="shared" si="144"/>
        <v>4.0169055559243905</v>
      </c>
      <c r="I1354" s="12">
        <f t="shared" si="145"/>
        <v>6.1733881795461723E-3</v>
      </c>
      <c r="J1354" s="12">
        <f t="shared" si="146"/>
        <v>5.4233926257759718E-3</v>
      </c>
    </row>
    <row r="1355" spans="1:10">
      <c r="A1355" s="15">
        <v>41635</v>
      </c>
      <c r="B1355" s="11">
        <v>2.2646000000000002</v>
      </c>
      <c r="C1355" s="11">
        <f t="shared" si="140"/>
        <v>-1.7999999999998018E-3</v>
      </c>
      <c r="D1355" s="12">
        <f t="shared" si="141"/>
        <v>3.2399999999992863E-6</v>
      </c>
      <c r="E1355" s="12">
        <f t="shared" si="142"/>
        <v>1.1560000000000474E-5</v>
      </c>
      <c r="F1355" s="12">
        <f t="shared" si="143"/>
        <v>3.6105469846962295E-5</v>
      </c>
      <c r="G1355" s="12">
        <f t="shared" si="144"/>
        <v>4.1507260039982281</v>
      </c>
      <c r="I1355" s="12">
        <f t="shared" si="145"/>
        <v>6.0087827258906851E-3</v>
      </c>
      <c r="J1355" s="12">
        <f t="shared" si="146"/>
        <v>5.4233926257759718E-3</v>
      </c>
    </row>
    <row r="1356" spans="1:10">
      <c r="A1356" s="15">
        <v>41636</v>
      </c>
      <c r="B1356" s="11">
        <v>2.2652999999999999</v>
      </c>
      <c r="C1356" s="11">
        <f t="shared" si="140"/>
        <v>6.9999999999970086E-4</v>
      </c>
      <c r="D1356" s="12">
        <f t="shared" si="141"/>
        <v>4.8999999999958122E-7</v>
      </c>
      <c r="E1356" s="12">
        <f t="shared" si="142"/>
        <v>3.2399999999992863E-6</v>
      </c>
      <c r="F1356" s="12">
        <f t="shared" si="143"/>
        <v>3.3823996379332873E-5</v>
      </c>
      <c r="G1356" s="12">
        <f t="shared" si="144"/>
        <v>4.2209881088105003</v>
      </c>
      <c r="I1356" s="12">
        <f t="shared" si="145"/>
        <v>5.8158401266999137E-3</v>
      </c>
      <c r="J1356" s="12">
        <f t="shared" si="146"/>
        <v>5.4233926257759718E-3</v>
      </c>
    </row>
    <row r="1357" spans="1:10">
      <c r="A1357" s="15">
        <v>41637</v>
      </c>
      <c r="B1357" s="11">
        <v>2.2614999999999998</v>
      </c>
      <c r="C1357" s="11">
        <f t="shared" si="140"/>
        <v>-3.8000000000000256E-3</v>
      </c>
      <c r="D1357" s="12">
        <f t="shared" si="141"/>
        <v>1.4440000000000194E-5</v>
      </c>
      <c r="E1357" s="12">
        <f t="shared" si="142"/>
        <v>4.8999999999958122E-7</v>
      </c>
      <c r="F1357" s="12">
        <f t="shared" si="143"/>
        <v>3.1626301449453566E-5</v>
      </c>
      <c r="G1357" s="12">
        <f t="shared" si="144"/>
        <v>4.0335311885149583</v>
      </c>
      <c r="I1357" s="12">
        <f t="shared" si="145"/>
        <v>5.623726651381054E-3</v>
      </c>
      <c r="J1357" s="12">
        <f t="shared" si="146"/>
        <v>5.4233926257759718E-3</v>
      </c>
    </row>
    <row r="1358" spans="1:10">
      <c r="A1358" s="15">
        <v>41638</v>
      </c>
      <c r="B1358" s="11">
        <v>2.2673999999999999</v>
      </c>
      <c r="C1358" s="11">
        <f t="shared" ref="C1358:C1421" si="147">B1358-B1357</f>
        <v>5.9000000000000163E-3</v>
      </c>
      <c r="D1358" s="12">
        <f t="shared" ref="D1358:D1421" si="148">C1358^2</f>
        <v>3.481000000000019E-5</v>
      </c>
      <c r="E1358" s="12">
        <f t="shared" si="142"/>
        <v>1.4440000000000194E-5</v>
      </c>
      <c r="F1358" s="12">
        <f t="shared" si="143"/>
        <v>3.0493102417319184E-5</v>
      </c>
      <c r="G1358" s="12">
        <f t="shared" si="144"/>
        <v>3.7092816636623009</v>
      </c>
      <c r="I1358" s="12">
        <f t="shared" si="145"/>
        <v>5.522055995489287E-3</v>
      </c>
      <c r="J1358" s="12">
        <f t="shared" si="146"/>
        <v>5.4233926257759718E-3</v>
      </c>
    </row>
    <row r="1359" spans="1:10">
      <c r="A1359" s="15">
        <v>41639</v>
      </c>
      <c r="B1359" s="11">
        <v>2.2650000000000001</v>
      </c>
      <c r="C1359" s="11">
        <f t="shared" si="147"/>
        <v>-2.3999999999997357E-3</v>
      </c>
      <c r="D1359" s="12">
        <f t="shared" si="148"/>
        <v>5.7599999999987311E-6</v>
      </c>
      <c r="E1359" s="12">
        <f t="shared" ref="E1359:E1422" si="149">D1358</f>
        <v>3.481000000000019E-5</v>
      </c>
      <c r="F1359" s="12">
        <f t="shared" ref="F1359:F1422" si="150">$B$5+$B$6*E1359+$B$7*F1358</f>
        <v>3.0689764348859275E-5</v>
      </c>
      <c r="G1359" s="12">
        <f t="shared" ref="G1359:G1422" si="151">LN((1/SQRT(2*3.1415927*F1359))*EXP(-0.5*D1359/F1359))</f>
        <v>4.183009780515877</v>
      </c>
      <c r="I1359" s="12">
        <f t="shared" ref="I1359:I1422" si="152">SQRT(F1359)</f>
        <v>5.539834325037101E-3</v>
      </c>
      <c r="J1359" s="12">
        <f t="shared" si="146"/>
        <v>5.4233926257759718E-3</v>
      </c>
    </row>
    <row r="1360" spans="1:10">
      <c r="A1360" s="15">
        <v>41640</v>
      </c>
      <c r="B1360" s="11">
        <v>2.2685</v>
      </c>
      <c r="C1360" s="11">
        <f t="shared" si="147"/>
        <v>3.4999999999998366E-3</v>
      </c>
      <c r="D1360" s="12">
        <f t="shared" si="148"/>
        <v>1.2249999999998856E-5</v>
      </c>
      <c r="E1360" s="12">
        <f t="shared" si="149"/>
        <v>5.7599999999987311E-6</v>
      </c>
      <c r="F1360" s="12">
        <f t="shared" si="150"/>
        <v>2.9143413991088801E-5</v>
      </c>
      <c r="G1360" s="12">
        <f t="shared" si="151"/>
        <v>4.0925347094761282</v>
      </c>
      <c r="I1360" s="12">
        <f t="shared" si="152"/>
        <v>5.3984640399921905E-3</v>
      </c>
      <c r="J1360" s="12">
        <f t="shared" ref="J1360:J1423" si="153">J1359</f>
        <v>5.4233926257759718E-3</v>
      </c>
    </row>
    <row r="1361" spans="1:10">
      <c r="A1361" s="15">
        <v>41641</v>
      </c>
      <c r="B1361" s="11">
        <v>2.2625999999999999</v>
      </c>
      <c r="C1361" s="11">
        <f t="shared" si="147"/>
        <v>-5.9000000000000163E-3</v>
      </c>
      <c r="D1361" s="12">
        <f t="shared" si="148"/>
        <v>3.481000000000019E-5</v>
      </c>
      <c r="E1361" s="12">
        <f t="shared" si="149"/>
        <v>1.2249999999998856E-5</v>
      </c>
      <c r="F1361" s="12">
        <f t="shared" si="150"/>
        <v>2.8148968794113232E-5</v>
      </c>
      <c r="G1361" s="12">
        <f t="shared" si="151"/>
        <v>3.7017438781405456</v>
      </c>
      <c r="I1361" s="12">
        <f t="shared" si="152"/>
        <v>5.3055601772209913E-3</v>
      </c>
      <c r="J1361" s="12">
        <f t="shared" si="153"/>
        <v>5.4233926257759718E-3</v>
      </c>
    </row>
    <row r="1362" spans="1:10">
      <c r="A1362" s="15">
        <v>41642</v>
      </c>
      <c r="B1362" s="11">
        <v>2.2530000000000001</v>
      </c>
      <c r="C1362" s="11">
        <f t="shared" si="147"/>
        <v>-9.5999999999998309E-3</v>
      </c>
      <c r="D1362" s="12">
        <f t="shared" si="148"/>
        <v>9.2159999999996759E-5</v>
      </c>
      <c r="E1362" s="12">
        <f t="shared" si="149"/>
        <v>3.481000000000019E-5</v>
      </c>
      <c r="F1362" s="12">
        <f t="shared" si="150"/>
        <v>2.8599174184587525E-5</v>
      </c>
      <c r="G1362" s="12">
        <f t="shared" si="151"/>
        <v>2.7008924819500502</v>
      </c>
      <c r="I1362" s="12">
        <f t="shared" si="152"/>
        <v>5.3478195729275988E-3</v>
      </c>
      <c r="J1362" s="12">
        <f t="shared" si="153"/>
        <v>5.4233926257759718E-3</v>
      </c>
    </row>
    <row r="1363" spans="1:10">
      <c r="A1363" s="15">
        <v>41643</v>
      </c>
      <c r="B1363" s="11">
        <v>2.2488000000000001</v>
      </c>
      <c r="C1363" s="11">
        <f t="shared" si="147"/>
        <v>-4.1999999999999815E-3</v>
      </c>
      <c r="D1363" s="12">
        <f t="shared" si="148"/>
        <v>1.7639999999999845E-5</v>
      </c>
      <c r="E1363" s="12">
        <f t="shared" si="149"/>
        <v>9.2159999999996759E-5</v>
      </c>
      <c r="F1363" s="12">
        <f t="shared" si="150"/>
        <v>3.2399716173106692E-5</v>
      </c>
      <c r="G1363" s="12">
        <f t="shared" si="151"/>
        <v>3.9775173001216575</v>
      </c>
      <c r="I1363" s="12">
        <f t="shared" si="152"/>
        <v>5.6920748565972576E-3</v>
      </c>
      <c r="J1363" s="12">
        <f t="shared" si="153"/>
        <v>5.4233926257759718E-3</v>
      </c>
    </row>
    <row r="1364" spans="1:10">
      <c r="A1364" s="15">
        <v>41644</v>
      </c>
      <c r="B1364" s="11">
        <v>2.2570000000000001</v>
      </c>
      <c r="C1364" s="11">
        <f t="shared" si="147"/>
        <v>8.1999999999999851E-3</v>
      </c>
      <c r="D1364" s="12">
        <f t="shared" si="148"/>
        <v>6.7239999999999756E-5</v>
      </c>
      <c r="E1364" s="12">
        <f t="shared" si="149"/>
        <v>1.7639999999999845E-5</v>
      </c>
      <c r="F1364" s="12">
        <f t="shared" si="150"/>
        <v>3.1372522191301075E-5</v>
      </c>
      <c r="G1364" s="12">
        <f t="shared" si="151"/>
        <v>3.1942121118015696</v>
      </c>
      <c r="I1364" s="12">
        <f t="shared" si="152"/>
        <v>5.6011179412061192E-3</v>
      </c>
      <c r="J1364" s="12">
        <f t="shared" si="153"/>
        <v>5.4233926257759718E-3</v>
      </c>
    </row>
    <row r="1365" spans="1:10">
      <c r="A1365" s="15">
        <v>41645</v>
      </c>
      <c r="B1365" s="11">
        <v>2.2545999999999999</v>
      </c>
      <c r="C1365" s="11">
        <f t="shared" si="147"/>
        <v>-2.4000000000001798E-3</v>
      </c>
      <c r="D1365" s="12">
        <f t="shared" si="148"/>
        <v>5.760000000000863E-6</v>
      </c>
      <c r="E1365" s="12">
        <f t="shared" si="149"/>
        <v>6.7239999999999756E-5</v>
      </c>
      <c r="F1365" s="12">
        <f t="shared" si="150"/>
        <v>3.339613302359697E-5</v>
      </c>
      <c r="G1365" s="12">
        <f t="shared" si="151"/>
        <v>4.148359151323266</v>
      </c>
      <c r="I1365" s="12">
        <f t="shared" si="152"/>
        <v>5.7789387454442679E-3</v>
      </c>
      <c r="J1365" s="12">
        <f t="shared" si="153"/>
        <v>5.4233926257759718E-3</v>
      </c>
    </row>
    <row r="1366" spans="1:10">
      <c r="A1366" s="15">
        <v>41646</v>
      </c>
      <c r="B1366" s="11">
        <v>2.2542</v>
      </c>
      <c r="C1366" s="11">
        <f t="shared" si="147"/>
        <v>-3.9999999999995595E-4</v>
      </c>
      <c r="D1366" s="12">
        <f t="shared" si="148"/>
        <v>1.5999999999996475E-7</v>
      </c>
      <c r="E1366" s="12">
        <f t="shared" si="149"/>
        <v>5.760000000000863E-6</v>
      </c>
      <c r="F1366" s="12">
        <f t="shared" si="150"/>
        <v>3.1557059559877697E-5</v>
      </c>
      <c r="G1366" s="12">
        <f t="shared" si="151"/>
        <v>4.2603829870522096</v>
      </c>
      <c r="I1366" s="12">
        <f t="shared" si="152"/>
        <v>5.6175670498782382E-3</v>
      </c>
      <c r="J1366" s="12">
        <f t="shared" si="153"/>
        <v>5.4233926257759718E-3</v>
      </c>
    </row>
    <row r="1367" spans="1:10">
      <c r="A1367" s="15">
        <v>41647</v>
      </c>
      <c r="B1367" s="11">
        <v>2.2536999999999998</v>
      </c>
      <c r="C1367" s="11">
        <f t="shared" si="147"/>
        <v>-5.0000000000016698E-4</v>
      </c>
      <c r="D1367" s="12">
        <f t="shared" si="148"/>
        <v>2.5000000000016696E-7</v>
      </c>
      <c r="E1367" s="12">
        <f t="shared" si="149"/>
        <v>1.5999999999996475E-7</v>
      </c>
      <c r="F1367" s="12">
        <f t="shared" si="150"/>
        <v>2.9584999912342863E-5</v>
      </c>
      <c r="G1367" s="12">
        <f t="shared" si="151"/>
        <v>4.2909578877175658</v>
      </c>
      <c r="I1367" s="12">
        <f t="shared" si="152"/>
        <v>5.4392094933310726E-3</v>
      </c>
      <c r="J1367" s="12">
        <f t="shared" si="153"/>
        <v>5.4233926257759718E-3</v>
      </c>
    </row>
    <row r="1368" spans="1:10">
      <c r="A1368" s="15">
        <v>41648</v>
      </c>
      <c r="B1368" s="11">
        <v>2.2576000000000001</v>
      </c>
      <c r="C1368" s="11">
        <f t="shared" si="147"/>
        <v>3.9000000000002366E-3</v>
      </c>
      <c r="D1368" s="12">
        <f t="shared" si="148"/>
        <v>1.5210000000001845E-5</v>
      </c>
      <c r="E1368" s="12">
        <f t="shared" si="149"/>
        <v>2.5000000000016696E-7</v>
      </c>
      <c r="F1368" s="12">
        <f t="shared" si="150"/>
        <v>2.7831574028315324E-5</v>
      </c>
      <c r="G1368" s="12">
        <f t="shared" si="151"/>
        <v>4.0524803673523211</v>
      </c>
      <c r="I1368" s="12">
        <f t="shared" si="152"/>
        <v>5.2755638588036563E-3</v>
      </c>
      <c r="J1368" s="12">
        <f t="shared" si="153"/>
        <v>5.4233926257759718E-3</v>
      </c>
    </row>
    <row r="1369" spans="1:10">
      <c r="A1369" s="15">
        <v>41649</v>
      </c>
      <c r="B1369" s="11">
        <v>2.2618</v>
      </c>
      <c r="C1369" s="11">
        <f t="shared" si="147"/>
        <v>4.1999999999999815E-3</v>
      </c>
      <c r="D1369" s="12">
        <f t="shared" si="148"/>
        <v>1.7639999999999845E-5</v>
      </c>
      <c r="E1369" s="12">
        <f t="shared" si="149"/>
        <v>1.5210000000001845E-5</v>
      </c>
      <c r="F1369" s="12">
        <f t="shared" si="150"/>
        <v>2.7154452409986252E-5</v>
      </c>
      <c r="G1369" s="12">
        <f t="shared" si="151"/>
        <v>4.0132376133092258</v>
      </c>
      <c r="I1369" s="12">
        <f t="shared" si="152"/>
        <v>5.2109934187241349E-3</v>
      </c>
      <c r="J1369" s="12">
        <f t="shared" si="153"/>
        <v>5.4233926257759718E-3</v>
      </c>
    </row>
    <row r="1370" spans="1:10">
      <c r="A1370" s="15">
        <v>41650</v>
      </c>
      <c r="B1370" s="11">
        <v>2.2658</v>
      </c>
      <c r="C1370" s="11">
        <f t="shared" si="147"/>
        <v>4.0000000000000036E-3</v>
      </c>
      <c r="D1370" s="12">
        <f t="shared" si="148"/>
        <v>1.600000000000003E-5</v>
      </c>
      <c r="E1370" s="12">
        <f t="shared" si="149"/>
        <v>1.7639999999999845E-5</v>
      </c>
      <c r="F1370" s="12">
        <f t="shared" si="150"/>
        <v>2.6694590556502282E-5</v>
      </c>
      <c r="G1370" s="12">
        <f t="shared" si="151"/>
        <v>4.0469000815415583</v>
      </c>
      <c r="I1370" s="12">
        <f t="shared" si="152"/>
        <v>5.1666808065238832E-3</v>
      </c>
      <c r="J1370" s="12">
        <f t="shared" si="153"/>
        <v>5.4233926257759718E-3</v>
      </c>
    </row>
    <row r="1371" spans="1:10">
      <c r="A1371" s="15">
        <v>41651</v>
      </c>
      <c r="B1371" s="11">
        <v>2.2589999999999999</v>
      </c>
      <c r="C1371" s="11">
        <f t="shared" si="147"/>
        <v>-6.8000000000001393E-3</v>
      </c>
      <c r="D1371" s="12">
        <f t="shared" si="148"/>
        <v>4.6240000000001895E-5</v>
      </c>
      <c r="E1371" s="12">
        <f t="shared" si="149"/>
        <v>1.600000000000003E-5</v>
      </c>
      <c r="F1371" s="12">
        <f t="shared" si="150"/>
        <v>2.6187267901088542E-5</v>
      </c>
      <c r="G1371" s="12">
        <f t="shared" si="151"/>
        <v>3.4733082843761598</v>
      </c>
      <c r="I1371" s="12">
        <f t="shared" si="152"/>
        <v>5.1173496950168004E-3</v>
      </c>
      <c r="J1371" s="12">
        <f t="shared" si="153"/>
        <v>5.4233926257759718E-3</v>
      </c>
    </row>
    <row r="1372" spans="1:10">
      <c r="A1372" s="15">
        <v>41652</v>
      </c>
      <c r="B1372" s="11">
        <v>2.2618</v>
      </c>
      <c r="C1372" s="11">
        <f t="shared" si="147"/>
        <v>2.8000000000001357E-3</v>
      </c>
      <c r="D1372" s="12">
        <f t="shared" si="148"/>
        <v>7.8400000000007601E-6</v>
      </c>
      <c r="E1372" s="12">
        <f t="shared" si="149"/>
        <v>4.6240000000001895E-5</v>
      </c>
      <c r="F1372" s="12">
        <f t="shared" si="150"/>
        <v>2.7527088015815047E-5</v>
      </c>
      <c r="G1372" s="12">
        <f t="shared" si="151"/>
        <v>4.188826286313291</v>
      </c>
      <c r="I1372" s="12">
        <f t="shared" si="152"/>
        <v>5.2466263461213858E-3</v>
      </c>
      <c r="J1372" s="12">
        <f t="shared" si="153"/>
        <v>5.4233926257759718E-3</v>
      </c>
    </row>
    <row r="1373" spans="1:10">
      <c r="A1373" s="15">
        <v>41653</v>
      </c>
      <c r="B1373" s="11">
        <v>2.2625000000000002</v>
      </c>
      <c r="C1373" s="11">
        <f t="shared" si="147"/>
        <v>7.0000000000014495E-4</v>
      </c>
      <c r="D1373" s="12">
        <f t="shared" si="148"/>
        <v>4.9000000000020294E-7</v>
      </c>
      <c r="E1373" s="12">
        <f t="shared" si="149"/>
        <v>7.8400000000007601E-6</v>
      </c>
      <c r="F1373" s="12">
        <f t="shared" si="150"/>
        <v>2.6446093236189E-5</v>
      </c>
      <c r="G1373" s="12">
        <f t="shared" si="151"/>
        <v>4.341998388290671</v>
      </c>
      <c r="I1373" s="12">
        <f t="shared" si="152"/>
        <v>5.1425765172906273E-3</v>
      </c>
      <c r="J1373" s="12">
        <f t="shared" si="153"/>
        <v>5.4233926257759718E-3</v>
      </c>
    </row>
    <row r="1374" spans="1:10">
      <c r="A1374" s="15">
        <v>41654</v>
      </c>
      <c r="B1374" s="11">
        <v>2.2541000000000002</v>
      </c>
      <c r="C1374" s="11">
        <f t="shared" si="147"/>
        <v>-8.3999999999999631E-3</v>
      </c>
      <c r="D1374" s="12">
        <f t="shared" si="148"/>
        <v>7.0559999999999379E-5</v>
      </c>
      <c r="E1374" s="12">
        <f t="shared" si="149"/>
        <v>4.9000000000020294E-7</v>
      </c>
      <c r="F1374" s="12">
        <f t="shared" si="150"/>
        <v>2.5046398498822581E-5</v>
      </c>
      <c r="G1374" s="12">
        <f t="shared" si="151"/>
        <v>2.9698659666142588</v>
      </c>
      <c r="I1374" s="12">
        <f t="shared" si="152"/>
        <v>5.0046376990570034E-3</v>
      </c>
      <c r="J1374" s="12">
        <f t="shared" si="153"/>
        <v>5.4233926257759718E-3</v>
      </c>
    </row>
    <row r="1375" spans="1:10">
      <c r="A1375" s="15">
        <v>41655</v>
      </c>
      <c r="B1375" s="11">
        <v>2.2490999999999999</v>
      </c>
      <c r="C1375" s="11">
        <f t="shared" si="147"/>
        <v>-5.0000000000003375E-3</v>
      </c>
      <c r="D1375" s="12">
        <f t="shared" si="148"/>
        <v>2.5000000000003376E-5</v>
      </c>
      <c r="E1375" s="12">
        <f t="shared" si="149"/>
        <v>7.0559999999999379E-5</v>
      </c>
      <c r="F1375" s="12">
        <f t="shared" si="150"/>
        <v>2.7951018595429515E-5</v>
      </c>
      <c r="G1375" s="12">
        <f t="shared" si="151"/>
        <v>3.8763790236901658</v>
      </c>
      <c r="I1375" s="12">
        <f t="shared" si="152"/>
        <v>5.286872288549206E-3</v>
      </c>
      <c r="J1375" s="12">
        <f t="shared" si="153"/>
        <v>5.4233926257759718E-3</v>
      </c>
    </row>
    <row r="1376" spans="1:10">
      <c r="A1376" s="15">
        <v>41656</v>
      </c>
      <c r="B1376" s="11">
        <v>2.2414000000000001</v>
      </c>
      <c r="C1376" s="11">
        <f t="shared" si="147"/>
        <v>-7.6999999999998181E-3</v>
      </c>
      <c r="D1376" s="12">
        <f t="shared" si="148"/>
        <v>5.9289999999997198E-5</v>
      </c>
      <c r="E1376" s="12">
        <f t="shared" si="149"/>
        <v>2.5000000000003376E-5</v>
      </c>
      <c r="F1376" s="12">
        <f t="shared" si="150"/>
        <v>2.7841213416996447E-5</v>
      </c>
      <c r="G1376" s="12">
        <f t="shared" si="151"/>
        <v>3.2607696675336362</v>
      </c>
      <c r="I1376" s="12">
        <f t="shared" si="152"/>
        <v>5.2764773681876478E-3</v>
      </c>
      <c r="J1376" s="12">
        <f t="shared" si="153"/>
        <v>5.4233926257759718E-3</v>
      </c>
    </row>
    <row r="1377" spans="1:10">
      <c r="A1377" s="15">
        <v>41657</v>
      </c>
      <c r="B1377" s="11">
        <v>2.2528000000000001</v>
      </c>
      <c r="C1377" s="11">
        <f t="shared" si="147"/>
        <v>1.1400000000000077E-2</v>
      </c>
      <c r="D1377" s="12">
        <f t="shared" si="148"/>
        <v>1.2996000000000174E-4</v>
      </c>
      <c r="E1377" s="12">
        <f t="shared" si="149"/>
        <v>5.9289999999997198E-5</v>
      </c>
      <c r="F1377" s="12">
        <f t="shared" si="150"/>
        <v>2.9775591389357673E-5</v>
      </c>
      <c r="G1377" s="12">
        <f t="shared" si="151"/>
        <v>2.1096478369144362</v>
      </c>
      <c r="I1377" s="12">
        <f t="shared" si="152"/>
        <v>5.4567015118437319E-3</v>
      </c>
      <c r="J1377" s="12">
        <f t="shared" si="153"/>
        <v>5.4233926257759718E-3</v>
      </c>
    </row>
    <row r="1378" spans="1:10">
      <c r="A1378" s="15">
        <v>41658</v>
      </c>
      <c r="B1378" s="11">
        <v>2.2387000000000001</v>
      </c>
      <c r="C1378" s="11">
        <f t="shared" si="147"/>
        <v>-1.4100000000000001E-2</v>
      </c>
      <c r="D1378" s="12">
        <f t="shared" si="148"/>
        <v>1.9881000000000003E-4</v>
      </c>
      <c r="E1378" s="12">
        <f t="shared" si="149"/>
        <v>1.2996000000000174E-4</v>
      </c>
      <c r="F1378" s="12">
        <f t="shared" si="150"/>
        <v>3.56892290139744E-5</v>
      </c>
      <c r="G1378" s="12">
        <f t="shared" si="151"/>
        <v>1.4160981430590933</v>
      </c>
      <c r="I1378" s="12">
        <f t="shared" si="152"/>
        <v>5.974046284887187E-3</v>
      </c>
      <c r="J1378" s="12">
        <f t="shared" si="153"/>
        <v>5.4233926257759718E-3</v>
      </c>
    </row>
    <row r="1379" spans="1:10">
      <c r="A1379" s="15">
        <v>41659</v>
      </c>
      <c r="B1379" s="11">
        <v>2.2435999999999998</v>
      </c>
      <c r="C1379" s="11">
        <f t="shared" si="147"/>
        <v>4.8999999999996824E-3</v>
      </c>
      <c r="D1379" s="12">
        <f t="shared" si="148"/>
        <v>2.4009999999996889E-5</v>
      </c>
      <c r="E1379" s="12">
        <f t="shared" si="149"/>
        <v>1.9881000000000003E-4</v>
      </c>
      <c r="F1379" s="12">
        <f t="shared" si="150"/>
        <v>4.5043858107590344E-5</v>
      </c>
      <c r="G1379" s="12">
        <f t="shared" si="151"/>
        <v>3.8184803957655014</v>
      </c>
      <c r="I1379" s="12">
        <f t="shared" si="152"/>
        <v>6.7114721267088895E-3</v>
      </c>
      <c r="J1379" s="12">
        <f t="shared" si="153"/>
        <v>5.4233926257759718E-3</v>
      </c>
    </row>
    <row r="1380" spans="1:10">
      <c r="A1380" s="15">
        <v>41660</v>
      </c>
      <c r="B1380" s="11">
        <v>2.2347000000000001</v>
      </c>
      <c r="C1380" s="11">
        <f t="shared" si="147"/>
        <v>-8.8999999999996859E-3</v>
      </c>
      <c r="D1380" s="12">
        <f t="shared" si="148"/>
        <v>7.9209999999994412E-5</v>
      </c>
      <c r="E1380" s="12">
        <f t="shared" si="149"/>
        <v>2.4009999999996889E-5</v>
      </c>
      <c r="F1380" s="12">
        <f t="shared" si="150"/>
        <v>4.3026601553497056E-5</v>
      </c>
      <c r="G1380" s="12">
        <f t="shared" si="151"/>
        <v>3.187430388816356</v>
      </c>
      <c r="I1380" s="12">
        <f t="shared" si="152"/>
        <v>6.5594665601325427E-3</v>
      </c>
      <c r="J1380" s="12">
        <f t="shared" si="153"/>
        <v>5.4233926257759718E-3</v>
      </c>
    </row>
    <row r="1381" spans="1:10">
      <c r="A1381" s="15">
        <v>41661</v>
      </c>
      <c r="B1381" s="11">
        <v>2.2229000000000001</v>
      </c>
      <c r="C1381" s="11">
        <f t="shared" si="147"/>
        <v>-1.1800000000000033E-2</v>
      </c>
      <c r="D1381" s="12">
        <f t="shared" si="148"/>
        <v>1.3924000000000076E-4</v>
      </c>
      <c r="E1381" s="12">
        <f t="shared" si="149"/>
        <v>7.9209999999994412E-5</v>
      </c>
      <c r="F1381" s="12">
        <f t="shared" si="150"/>
        <v>4.4499137724041138E-5</v>
      </c>
      <c r="G1381" s="12">
        <f t="shared" si="151"/>
        <v>2.5265571345942166</v>
      </c>
      <c r="I1381" s="12">
        <f t="shared" si="152"/>
        <v>6.6707674014344961E-3</v>
      </c>
      <c r="J1381" s="12">
        <f t="shared" si="153"/>
        <v>5.4233926257759718E-3</v>
      </c>
    </row>
    <row r="1382" spans="1:10">
      <c r="A1382" s="15">
        <v>41662</v>
      </c>
      <c r="B1382" s="11">
        <v>2.2265999999999999</v>
      </c>
      <c r="C1382" s="11">
        <f t="shared" si="147"/>
        <v>3.6999999999998145E-3</v>
      </c>
      <c r="D1382" s="12">
        <f t="shared" si="148"/>
        <v>1.3689999999998627E-5</v>
      </c>
      <c r="E1382" s="12">
        <f t="shared" si="149"/>
        <v>1.3924000000000076E-4</v>
      </c>
      <c r="F1382" s="12">
        <f t="shared" si="150"/>
        <v>4.9370273110226759E-5</v>
      </c>
      <c r="G1382" s="12">
        <f t="shared" si="151"/>
        <v>3.9004963116977538</v>
      </c>
      <c r="I1382" s="12">
        <f t="shared" si="152"/>
        <v>7.0263983028452607E-3</v>
      </c>
      <c r="J1382" s="12">
        <f t="shared" si="153"/>
        <v>5.4233926257759718E-3</v>
      </c>
    </row>
    <row r="1383" spans="1:10">
      <c r="A1383" s="15">
        <v>41663</v>
      </c>
      <c r="B1383" s="11">
        <v>2.2212999999999998</v>
      </c>
      <c r="C1383" s="11">
        <f t="shared" si="147"/>
        <v>-5.3000000000000824E-3</v>
      </c>
      <c r="D1383" s="12">
        <f t="shared" si="148"/>
        <v>2.8090000000000875E-5</v>
      </c>
      <c r="E1383" s="12">
        <f t="shared" si="149"/>
        <v>1.3689999999998627E-5</v>
      </c>
      <c r="F1383" s="12">
        <f t="shared" si="150"/>
        <v>4.6273420070740137E-5</v>
      </c>
      <c r="G1383" s="12">
        <f t="shared" si="151"/>
        <v>3.768010902297108</v>
      </c>
      <c r="I1383" s="12">
        <f t="shared" si="152"/>
        <v>6.8024569142876709E-3</v>
      </c>
      <c r="J1383" s="12">
        <f t="shared" si="153"/>
        <v>5.4233926257759718E-3</v>
      </c>
    </row>
    <row r="1384" spans="1:10">
      <c r="A1384" s="15">
        <v>41664</v>
      </c>
      <c r="B1384" s="11">
        <v>2.2216</v>
      </c>
      <c r="C1384" s="11">
        <f t="shared" si="147"/>
        <v>3.00000000000189E-4</v>
      </c>
      <c r="D1384" s="12">
        <f t="shared" si="148"/>
        <v>9.0000000000113408E-8</v>
      </c>
      <c r="E1384" s="12">
        <f t="shared" si="149"/>
        <v>2.8090000000000875E-5</v>
      </c>
      <c r="F1384" s="12">
        <f t="shared" si="150"/>
        <v>4.4364987313721086E-5</v>
      </c>
      <c r="G1384" s="12">
        <f t="shared" si="151"/>
        <v>4.0915771328489425</v>
      </c>
      <c r="I1384" s="12">
        <f t="shared" si="152"/>
        <v>6.660704715998232E-3</v>
      </c>
      <c r="J1384" s="12">
        <f t="shared" si="153"/>
        <v>5.4233926257759718E-3</v>
      </c>
    </row>
    <row r="1385" spans="1:10">
      <c r="A1385" s="15">
        <v>41665</v>
      </c>
      <c r="B1385" s="11">
        <v>2.2294</v>
      </c>
      <c r="C1385" s="11">
        <f t="shared" si="147"/>
        <v>7.8000000000000291E-3</v>
      </c>
      <c r="D1385" s="12">
        <f t="shared" si="148"/>
        <v>6.0840000000000454E-5</v>
      </c>
      <c r="E1385" s="12">
        <f t="shared" si="149"/>
        <v>9.0000000000113408E-8</v>
      </c>
      <c r="F1385" s="12">
        <f t="shared" si="150"/>
        <v>4.1003462683197867E-5</v>
      </c>
      <c r="G1385" s="12">
        <f t="shared" si="151"/>
        <v>3.3900999161747176</v>
      </c>
      <c r="I1385" s="12">
        <f t="shared" si="152"/>
        <v>6.4033946218547133E-3</v>
      </c>
      <c r="J1385" s="12">
        <f t="shared" si="153"/>
        <v>5.4233926257759718E-3</v>
      </c>
    </row>
    <row r="1386" spans="1:10">
      <c r="A1386" s="15">
        <v>41666</v>
      </c>
      <c r="B1386" s="11">
        <v>2.2164000000000001</v>
      </c>
      <c r="C1386" s="11">
        <f t="shared" si="147"/>
        <v>-1.2999999999999901E-2</v>
      </c>
      <c r="D1386" s="12">
        <f t="shared" si="148"/>
        <v>1.6899999999999741E-4</v>
      </c>
      <c r="E1386" s="12">
        <f t="shared" si="149"/>
        <v>6.0840000000000454E-5</v>
      </c>
      <c r="F1386" s="12">
        <f t="shared" si="150"/>
        <v>4.1606066442351249E-5</v>
      </c>
      <c r="G1386" s="12">
        <f t="shared" si="151"/>
        <v>2.0937399159184329</v>
      </c>
      <c r="I1386" s="12">
        <f t="shared" si="152"/>
        <v>6.4502764624743995E-3</v>
      </c>
      <c r="J1386" s="12">
        <f t="shared" si="153"/>
        <v>5.4233926257759718E-3</v>
      </c>
    </row>
    <row r="1387" spans="1:10">
      <c r="A1387" s="15">
        <v>41667</v>
      </c>
      <c r="B1387" s="11">
        <v>2.2107000000000001</v>
      </c>
      <c r="C1387" s="11">
        <f t="shared" si="147"/>
        <v>-5.7000000000000384E-3</v>
      </c>
      <c r="D1387" s="12">
        <f t="shared" si="148"/>
        <v>3.2490000000000436E-5</v>
      </c>
      <c r="E1387" s="12">
        <f t="shared" si="149"/>
        <v>1.6899999999999741E-4</v>
      </c>
      <c r="F1387" s="12">
        <f t="shared" si="150"/>
        <v>4.8553940435913193E-5</v>
      </c>
      <c r="G1387" s="12">
        <f t="shared" si="151"/>
        <v>3.7129027149388452</v>
      </c>
      <c r="I1387" s="12">
        <f t="shared" si="152"/>
        <v>6.9680657600164186E-3</v>
      </c>
      <c r="J1387" s="12">
        <f t="shared" si="153"/>
        <v>5.4233926257759718E-3</v>
      </c>
    </row>
    <row r="1388" spans="1:10">
      <c r="A1388" s="15">
        <v>41668</v>
      </c>
      <c r="B1388" s="11">
        <v>2.1962999999999999</v>
      </c>
      <c r="C1388" s="11">
        <f t="shared" si="147"/>
        <v>-1.440000000000019E-2</v>
      </c>
      <c r="D1388" s="12">
        <f t="shared" si="148"/>
        <v>2.073600000000055E-4</v>
      </c>
      <c r="E1388" s="12">
        <f t="shared" si="149"/>
        <v>3.2490000000000436E-5</v>
      </c>
      <c r="F1388" s="12">
        <f t="shared" si="150"/>
        <v>4.6659624757223896E-5</v>
      </c>
      <c r="G1388" s="12">
        <f t="shared" si="151"/>
        <v>1.845327537457963</v>
      </c>
      <c r="I1388" s="12">
        <f t="shared" si="152"/>
        <v>6.8307850761990668E-3</v>
      </c>
      <c r="J1388" s="12">
        <f t="shared" si="153"/>
        <v>5.4233926257759718E-3</v>
      </c>
    </row>
    <row r="1389" spans="1:10">
      <c r="A1389" s="15">
        <v>41669</v>
      </c>
      <c r="B1389" s="11">
        <v>2.1800999999999999</v>
      </c>
      <c r="C1389" s="11">
        <f t="shared" si="147"/>
        <v>-1.6199999999999992E-2</v>
      </c>
      <c r="D1389" s="12">
        <f t="shared" si="148"/>
        <v>2.6243999999999974E-4</v>
      </c>
      <c r="E1389" s="12">
        <f t="shared" si="149"/>
        <v>2.073600000000055E-4</v>
      </c>
      <c r="F1389" s="12">
        <f t="shared" si="150"/>
        <v>5.533442974351294E-5</v>
      </c>
      <c r="G1389" s="12">
        <f t="shared" si="151"/>
        <v>1.6107202866092423</v>
      </c>
      <c r="I1389" s="12">
        <f t="shared" si="152"/>
        <v>7.4387115647478186E-3</v>
      </c>
      <c r="J1389" s="12">
        <f t="shared" si="153"/>
        <v>5.4233926257759718E-3</v>
      </c>
    </row>
    <row r="1390" spans="1:10">
      <c r="A1390" s="15">
        <v>41670</v>
      </c>
      <c r="B1390" s="11">
        <v>2.1627999999999998</v>
      </c>
      <c r="C1390" s="11">
        <f t="shared" si="147"/>
        <v>-1.7300000000000093E-2</v>
      </c>
      <c r="D1390" s="12">
        <f t="shared" si="148"/>
        <v>2.9929000000000321E-4</v>
      </c>
      <c r="E1390" s="12">
        <f t="shared" si="149"/>
        <v>2.6243999999999974E-4</v>
      </c>
      <c r="F1390" s="12">
        <f t="shared" si="150"/>
        <v>6.6335452925946457E-5</v>
      </c>
      <c r="G1390" s="12">
        <f t="shared" si="151"/>
        <v>1.6355718036228064</v>
      </c>
      <c r="I1390" s="12">
        <f t="shared" si="152"/>
        <v>8.1446579379337025E-3</v>
      </c>
      <c r="J1390" s="12">
        <f t="shared" si="153"/>
        <v>5.4233926257759718E-3</v>
      </c>
    </row>
    <row r="1391" spans="1:10">
      <c r="A1391" s="15">
        <v>41671</v>
      </c>
      <c r="B1391" s="11">
        <v>2.1655000000000002</v>
      </c>
      <c r="C1391" s="11">
        <f t="shared" si="147"/>
        <v>2.7000000000003688E-3</v>
      </c>
      <c r="D1391" s="12">
        <f t="shared" si="148"/>
        <v>7.290000000001991E-6</v>
      </c>
      <c r="E1391" s="12">
        <f t="shared" si="149"/>
        <v>2.9929000000000321E-4</v>
      </c>
      <c r="F1391" s="12">
        <f t="shared" si="150"/>
        <v>7.8330629332413606E-5</v>
      </c>
      <c r="G1391" s="12">
        <f t="shared" si="151"/>
        <v>3.76181386433954</v>
      </c>
      <c r="I1391" s="12">
        <f t="shared" si="152"/>
        <v>8.8504592724001387E-3</v>
      </c>
      <c r="J1391" s="12">
        <f t="shared" si="153"/>
        <v>5.4233926257759718E-3</v>
      </c>
    </row>
    <row r="1392" spans="1:10">
      <c r="A1392" s="15">
        <v>41672</v>
      </c>
      <c r="B1392" s="11">
        <v>2.1688000000000001</v>
      </c>
      <c r="C1392" s="11">
        <f t="shared" si="147"/>
        <v>3.2999999999998586E-3</v>
      </c>
      <c r="D1392" s="12">
        <f t="shared" si="148"/>
        <v>1.0889999999999067E-5</v>
      </c>
      <c r="E1392" s="12">
        <f t="shared" si="149"/>
        <v>7.290000000001991E-6</v>
      </c>
      <c r="F1392" s="12">
        <f t="shared" si="150"/>
        <v>7.1722083400973575E-5</v>
      </c>
      <c r="G1392" s="12">
        <f t="shared" si="151"/>
        <v>3.7764993496383426</v>
      </c>
      <c r="I1392" s="12">
        <f t="shared" si="152"/>
        <v>8.468889147991817E-3</v>
      </c>
      <c r="J1392" s="12">
        <f t="shared" si="153"/>
        <v>5.4233926257759718E-3</v>
      </c>
    </row>
    <row r="1393" spans="1:10">
      <c r="A1393" s="15">
        <v>41673</v>
      </c>
      <c r="B1393" s="11">
        <v>2.1726000000000001</v>
      </c>
      <c r="C1393" s="11">
        <f t="shared" si="147"/>
        <v>3.8000000000000256E-3</v>
      </c>
      <c r="D1393" s="12">
        <f t="shared" si="148"/>
        <v>1.4440000000000194E-5</v>
      </c>
      <c r="E1393" s="12">
        <f t="shared" si="149"/>
        <v>1.0889999999999067E-5</v>
      </c>
      <c r="F1393" s="12">
        <f t="shared" si="150"/>
        <v>6.6041688855717829E-5</v>
      </c>
      <c r="G1393" s="12">
        <f t="shared" si="151"/>
        <v>3.784348758012487</v>
      </c>
      <c r="I1393" s="12">
        <f t="shared" si="152"/>
        <v>8.1266037713006428E-3</v>
      </c>
      <c r="J1393" s="12">
        <f t="shared" si="153"/>
        <v>5.4233926257759718E-3</v>
      </c>
    </row>
    <row r="1394" spans="1:10">
      <c r="A1394" s="15">
        <v>41674</v>
      </c>
      <c r="B1394" s="11">
        <v>2.1720000000000002</v>
      </c>
      <c r="C1394" s="11">
        <f t="shared" si="147"/>
        <v>-5.9999999999993392E-4</v>
      </c>
      <c r="D1394" s="12">
        <f t="shared" si="148"/>
        <v>3.5999999999992069E-7</v>
      </c>
      <c r="E1394" s="12">
        <f t="shared" si="149"/>
        <v>1.4440000000000194E-5</v>
      </c>
      <c r="F1394" s="12">
        <f t="shared" si="150"/>
        <v>6.1186092654257049E-5</v>
      </c>
      <c r="G1394" s="12">
        <f t="shared" si="151"/>
        <v>3.9289149336617606</v>
      </c>
      <c r="I1394" s="12">
        <f t="shared" si="152"/>
        <v>7.8221539651337109E-3</v>
      </c>
      <c r="J1394" s="12">
        <f t="shared" si="153"/>
        <v>5.4233926257759718E-3</v>
      </c>
    </row>
    <row r="1395" spans="1:10">
      <c r="A1395" s="15">
        <v>41675</v>
      </c>
      <c r="B1395" s="11">
        <v>2.1728000000000001</v>
      </c>
      <c r="C1395" s="11">
        <f t="shared" si="147"/>
        <v>7.9999999999991189E-4</v>
      </c>
      <c r="D1395" s="12">
        <f t="shared" si="148"/>
        <v>6.3999999999985898E-7</v>
      </c>
      <c r="E1395" s="12">
        <f t="shared" si="149"/>
        <v>3.5999999999992069E-7</v>
      </c>
      <c r="F1395" s="12">
        <f t="shared" si="150"/>
        <v>5.6021185574264219E-5</v>
      </c>
      <c r="G1395" s="12">
        <f t="shared" si="151"/>
        <v>3.9702396471431993</v>
      </c>
      <c r="I1395" s="12">
        <f t="shared" si="152"/>
        <v>7.4847301604175562E-3</v>
      </c>
      <c r="J1395" s="12">
        <f t="shared" si="153"/>
        <v>5.4233926257759718E-3</v>
      </c>
    </row>
    <row r="1396" spans="1:10">
      <c r="A1396" s="15">
        <v>41676</v>
      </c>
      <c r="B1396" s="11">
        <v>2.1762000000000001</v>
      </c>
      <c r="C1396" s="11">
        <f t="shared" si="147"/>
        <v>3.4000000000000696E-3</v>
      </c>
      <c r="D1396" s="12">
        <f t="shared" si="148"/>
        <v>1.1560000000000474E-5</v>
      </c>
      <c r="E1396" s="12">
        <f t="shared" si="149"/>
        <v>6.3999999999985898E-7</v>
      </c>
      <c r="F1396" s="12">
        <f t="shared" si="150"/>
        <v>5.1431514271956017E-5</v>
      </c>
      <c r="G1396" s="12">
        <f t="shared" si="151"/>
        <v>3.9063087288898717</v>
      </c>
      <c r="I1396" s="12">
        <f t="shared" si="152"/>
        <v>7.1715768330232656E-3</v>
      </c>
      <c r="J1396" s="12">
        <f t="shared" si="153"/>
        <v>5.4233926257759718E-3</v>
      </c>
    </row>
    <row r="1397" spans="1:10">
      <c r="A1397" s="15">
        <v>41677</v>
      </c>
      <c r="B1397" s="11">
        <v>2.1749000000000001</v>
      </c>
      <c r="C1397" s="11">
        <f t="shared" si="147"/>
        <v>-1.3000000000000789E-3</v>
      </c>
      <c r="D1397" s="12">
        <f t="shared" si="148"/>
        <v>1.6900000000002051E-6</v>
      </c>
      <c r="E1397" s="12">
        <f t="shared" si="149"/>
        <v>1.1560000000000474E-5</v>
      </c>
      <c r="F1397" s="12">
        <f t="shared" si="150"/>
        <v>4.7985474396402392E-5</v>
      </c>
      <c r="G1397" s="12">
        <f t="shared" si="151"/>
        <v>4.0357580686119094</v>
      </c>
      <c r="I1397" s="12">
        <f t="shared" si="152"/>
        <v>6.9271548558121889E-3</v>
      </c>
      <c r="J1397" s="12">
        <f t="shared" si="153"/>
        <v>5.4233926257759718E-3</v>
      </c>
    </row>
    <row r="1398" spans="1:10">
      <c r="A1398" s="15">
        <v>41678</v>
      </c>
      <c r="B1398" s="11">
        <v>2.1747000000000001</v>
      </c>
      <c r="C1398" s="11">
        <f t="shared" si="147"/>
        <v>-1.9999999999997797E-4</v>
      </c>
      <c r="D1398" s="12">
        <f t="shared" si="148"/>
        <v>3.9999999999991186E-8</v>
      </c>
      <c r="E1398" s="12">
        <f t="shared" si="149"/>
        <v>1.6900000000002051E-6</v>
      </c>
      <c r="F1398" s="12">
        <f t="shared" si="150"/>
        <v>4.432718396395673E-5</v>
      </c>
      <c r="G1398" s="12">
        <f t="shared" si="151"/>
        <v>4.0925664868115055</v>
      </c>
      <c r="I1398" s="12">
        <f t="shared" si="152"/>
        <v>6.6578663221753508E-3</v>
      </c>
      <c r="J1398" s="12">
        <f t="shared" si="153"/>
        <v>5.4233926257759718E-3</v>
      </c>
    </row>
    <row r="1399" spans="1:10">
      <c r="A1399" s="15">
        <v>41679</v>
      </c>
      <c r="B1399" s="11">
        <v>2.1825000000000001</v>
      </c>
      <c r="C1399" s="11">
        <f t="shared" si="147"/>
        <v>7.8000000000000291E-3</v>
      </c>
      <c r="D1399" s="12">
        <f t="shared" si="148"/>
        <v>6.0840000000000454E-5</v>
      </c>
      <c r="E1399" s="12">
        <f t="shared" si="149"/>
        <v>3.9999999999991186E-8</v>
      </c>
      <c r="F1399" s="12">
        <f t="shared" si="150"/>
        <v>4.0966784765522416E-5</v>
      </c>
      <c r="G1399" s="12">
        <f t="shared" si="151"/>
        <v>3.3898831509718423</v>
      </c>
      <c r="I1399" s="12">
        <f t="shared" si="152"/>
        <v>6.4005300378579908E-3</v>
      </c>
      <c r="J1399" s="12">
        <f t="shared" si="153"/>
        <v>5.4233926257759718E-3</v>
      </c>
    </row>
    <row r="1400" spans="1:10">
      <c r="A1400" s="15">
        <v>41680</v>
      </c>
      <c r="B1400" s="11">
        <v>2.1762000000000001</v>
      </c>
      <c r="C1400" s="11">
        <f t="shared" si="147"/>
        <v>-6.2999999999999723E-3</v>
      </c>
      <c r="D1400" s="12">
        <f t="shared" si="148"/>
        <v>3.9689999999999649E-5</v>
      </c>
      <c r="E1400" s="12">
        <f t="shared" si="149"/>
        <v>6.0840000000000454E-5</v>
      </c>
      <c r="F1400" s="12">
        <f t="shared" si="150"/>
        <v>4.1573355639016842E-5</v>
      </c>
      <c r="G1400" s="12">
        <f t="shared" si="151"/>
        <v>3.6477379958496376</v>
      </c>
      <c r="I1400" s="12">
        <f t="shared" si="152"/>
        <v>6.4477403513957384E-3</v>
      </c>
      <c r="J1400" s="12">
        <f t="shared" si="153"/>
        <v>5.4233926257759718E-3</v>
      </c>
    </row>
    <row r="1401" spans="1:10">
      <c r="A1401" s="15">
        <v>41681</v>
      </c>
      <c r="B1401" s="11">
        <v>2.1730999999999998</v>
      </c>
      <c r="C1401" s="11">
        <f t="shared" si="147"/>
        <v>-3.1000000000003247E-3</v>
      </c>
      <c r="D1401" s="12">
        <f t="shared" si="148"/>
        <v>9.6100000000020137E-6</v>
      </c>
      <c r="E1401" s="12">
        <f t="shared" si="149"/>
        <v>3.9689999999999649E-5</v>
      </c>
      <c r="F1401" s="12">
        <f t="shared" si="150"/>
        <v>4.0860796897286873E-5</v>
      </c>
      <c r="G1401" s="12">
        <f t="shared" si="151"/>
        <v>4.0161368141290552</v>
      </c>
      <c r="I1401" s="12">
        <f t="shared" si="152"/>
        <v>6.3922450592328569E-3</v>
      </c>
      <c r="J1401" s="12">
        <f t="shared" si="153"/>
        <v>5.4233926257759718E-3</v>
      </c>
    </row>
    <row r="1402" spans="1:10">
      <c r="A1402" s="15">
        <v>41682</v>
      </c>
      <c r="B1402" s="11">
        <v>2.1722999999999999</v>
      </c>
      <c r="C1402" s="11">
        <f t="shared" si="147"/>
        <v>-7.9999999999991189E-4</v>
      </c>
      <c r="D1402" s="12">
        <f t="shared" si="148"/>
        <v>6.3999999999985898E-7</v>
      </c>
      <c r="E1402" s="12">
        <f t="shared" si="149"/>
        <v>9.6100000000020137E-6</v>
      </c>
      <c r="F1402" s="12">
        <f t="shared" si="150"/>
        <v>3.8442521692341523E-5</v>
      </c>
      <c r="G1402" s="12">
        <f t="shared" si="151"/>
        <v>4.155910531304694</v>
      </c>
      <c r="I1402" s="12">
        <f t="shared" si="152"/>
        <v>6.2002033589505373E-3</v>
      </c>
      <c r="J1402" s="12">
        <f t="shared" si="153"/>
        <v>5.4233926257759718E-3</v>
      </c>
    </row>
    <row r="1403" spans="1:10">
      <c r="A1403" s="15">
        <v>41683</v>
      </c>
      <c r="B1403" s="11">
        <v>2.1698</v>
      </c>
      <c r="C1403" s="11">
        <f t="shared" si="147"/>
        <v>-2.4999999999999467E-3</v>
      </c>
      <c r="D1403" s="12">
        <f t="shared" si="148"/>
        <v>6.2499999999997335E-6</v>
      </c>
      <c r="E1403" s="12">
        <f t="shared" si="149"/>
        <v>6.3999999999985898E-7</v>
      </c>
      <c r="F1403" s="12">
        <f t="shared" si="150"/>
        <v>3.5754173420402547E-5</v>
      </c>
      <c r="G1403" s="12">
        <f t="shared" si="151"/>
        <v>4.1130808535688148</v>
      </c>
      <c r="I1403" s="12">
        <f t="shared" si="152"/>
        <v>5.9794793603124468E-3</v>
      </c>
      <c r="J1403" s="12">
        <f t="shared" si="153"/>
        <v>5.4233926257759718E-3</v>
      </c>
    </row>
    <row r="1404" spans="1:10">
      <c r="A1404" s="15">
        <v>41684</v>
      </c>
      <c r="B1404" s="11">
        <v>2.1661999999999999</v>
      </c>
      <c r="C1404" s="11">
        <f t="shared" si="147"/>
        <v>-3.6000000000000476E-3</v>
      </c>
      <c r="D1404" s="12">
        <f t="shared" si="148"/>
        <v>1.2960000000000343E-5</v>
      </c>
      <c r="E1404" s="12">
        <f t="shared" si="149"/>
        <v>6.2499999999997335E-6</v>
      </c>
      <c r="F1404" s="12">
        <f t="shared" si="150"/>
        <v>3.3689093746774072E-5</v>
      </c>
      <c r="G1404" s="12">
        <f t="shared" si="151"/>
        <v>4.0378825444254725</v>
      </c>
      <c r="I1404" s="12">
        <f t="shared" si="152"/>
        <v>5.8042306765646442E-3</v>
      </c>
      <c r="J1404" s="12">
        <f t="shared" si="153"/>
        <v>5.4233926257759718E-3</v>
      </c>
    </row>
    <row r="1405" spans="1:10">
      <c r="A1405" s="15">
        <v>41685</v>
      </c>
      <c r="B1405" s="11">
        <v>2.1659000000000002</v>
      </c>
      <c r="C1405" s="11">
        <f t="shared" si="147"/>
        <v>-2.9999999999974492E-4</v>
      </c>
      <c r="D1405" s="12">
        <f t="shared" si="148"/>
        <v>8.999999999984695E-8</v>
      </c>
      <c r="E1405" s="12">
        <f t="shared" si="149"/>
        <v>1.2960000000000343E-5</v>
      </c>
      <c r="F1405" s="12">
        <f t="shared" si="150"/>
        <v>3.2245064435547271E-5</v>
      </c>
      <c r="G1405" s="12">
        <f t="shared" si="151"/>
        <v>4.2507386805901008</v>
      </c>
      <c r="I1405" s="12">
        <f t="shared" si="152"/>
        <v>5.6784737769533878E-3</v>
      </c>
      <c r="J1405" s="12">
        <f t="shared" si="153"/>
        <v>5.4233926257759718E-3</v>
      </c>
    </row>
    <row r="1406" spans="1:10">
      <c r="A1406" s="15">
        <v>41686</v>
      </c>
      <c r="B1406" s="11">
        <v>2.1621000000000001</v>
      </c>
      <c r="C1406" s="11">
        <f t="shared" si="147"/>
        <v>-3.8000000000000256E-3</v>
      </c>
      <c r="D1406" s="12">
        <f t="shared" si="148"/>
        <v>1.4440000000000194E-5</v>
      </c>
      <c r="E1406" s="12">
        <f t="shared" si="149"/>
        <v>8.999999999984695E-8</v>
      </c>
      <c r="F1406" s="12">
        <f t="shared" si="150"/>
        <v>3.0194440829661541E-5</v>
      </c>
      <c r="G1406" s="12">
        <f t="shared" si="151"/>
        <v>4.0458709599640139</v>
      </c>
      <c r="I1406" s="12">
        <f t="shared" si="152"/>
        <v>5.4949468450260315E-3</v>
      </c>
      <c r="J1406" s="12">
        <f t="shared" si="153"/>
        <v>5.4233926257759718E-3</v>
      </c>
    </row>
    <row r="1407" spans="1:10">
      <c r="A1407" s="15">
        <v>41687</v>
      </c>
      <c r="B1407" s="11">
        <v>2.1675</v>
      </c>
      <c r="C1407" s="11">
        <f t="shared" si="147"/>
        <v>5.3999999999998494E-3</v>
      </c>
      <c r="D1407" s="12">
        <f t="shared" si="148"/>
        <v>2.9159999999998372E-5</v>
      </c>
      <c r="E1407" s="12">
        <f t="shared" si="149"/>
        <v>1.4440000000000194E-5</v>
      </c>
      <c r="F1407" s="12">
        <f t="shared" si="150"/>
        <v>2.9216113043201809E-5</v>
      </c>
      <c r="G1407" s="12">
        <f t="shared" si="151"/>
        <v>3.8024168614433171</v>
      </c>
      <c r="I1407" s="12">
        <f t="shared" si="152"/>
        <v>5.4051931550317244E-3</v>
      </c>
      <c r="J1407" s="12">
        <f t="shared" si="153"/>
        <v>5.4233926257759718E-3</v>
      </c>
    </row>
    <row r="1408" spans="1:10">
      <c r="A1408" s="15">
        <v>41688</v>
      </c>
      <c r="B1408" s="11">
        <v>2.1717</v>
      </c>
      <c r="C1408" s="11">
        <f t="shared" si="147"/>
        <v>4.1999999999999815E-3</v>
      </c>
      <c r="D1408" s="12">
        <f t="shared" si="148"/>
        <v>1.7639999999999845E-5</v>
      </c>
      <c r="E1408" s="12">
        <f t="shared" si="149"/>
        <v>2.9159999999998372E-5</v>
      </c>
      <c r="F1408" s="12">
        <f t="shared" si="150"/>
        <v>2.9216029894390592E-5</v>
      </c>
      <c r="G1408" s="12">
        <f t="shared" si="151"/>
        <v>3.9995689077894441</v>
      </c>
      <c r="I1408" s="12">
        <f t="shared" si="152"/>
        <v>5.4051854634591954E-3</v>
      </c>
      <c r="J1408" s="12">
        <f t="shared" si="153"/>
        <v>5.4233926257759718E-3</v>
      </c>
    </row>
    <row r="1409" spans="1:10">
      <c r="A1409" s="15">
        <v>41689</v>
      </c>
      <c r="B1409" s="11">
        <v>2.1715</v>
      </c>
      <c r="C1409" s="11">
        <f t="shared" si="147"/>
        <v>-1.9999999999997797E-4</v>
      </c>
      <c r="D1409" s="12">
        <f t="shared" si="148"/>
        <v>3.9999999999991186E-8</v>
      </c>
      <c r="E1409" s="12">
        <f t="shared" si="149"/>
        <v>1.7639999999999845E-5</v>
      </c>
      <c r="F1409" s="12">
        <f t="shared" si="150"/>
        <v>2.8533186090951967E-5</v>
      </c>
      <c r="G1409" s="12">
        <f t="shared" si="151"/>
        <v>4.312581883143296</v>
      </c>
      <c r="I1409" s="12">
        <f t="shared" si="152"/>
        <v>5.3416463839299549E-3</v>
      </c>
      <c r="J1409" s="12">
        <f t="shared" si="153"/>
        <v>5.4233926257759718E-3</v>
      </c>
    </row>
    <row r="1410" spans="1:10">
      <c r="A1410" s="15">
        <v>41690</v>
      </c>
      <c r="B1410" s="11">
        <v>2.1709000000000001</v>
      </c>
      <c r="C1410" s="11">
        <f t="shared" si="147"/>
        <v>-5.9999999999993392E-4</v>
      </c>
      <c r="D1410" s="12">
        <f t="shared" si="148"/>
        <v>3.5999999999992069E-7</v>
      </c>
      <c r="E1410" s="12">
        <f t="shared" si="149"/>
        <v>3.9999999999991186E-8</v>
      </c>
      <c r="F1410" s="12">
        <f t="shared" si="150"/>
        <v>2.6881078950392877E-5</v>
      </c>
      <c r="G1410" s="12">
        <f t="shared" si="151"/>
        <v>4.3364092514138246</v>
      </c>
      <c r="I1410" s="12">
        <f t="shared" si="152"/>
        <v>5.1846966112196842E-3</v>
      </c>
      <c r="J1410" s="12">
        <f t="shared" si="153"/>
        <v>5.4233926257759718E-3</v>
      </c>
    </row>
    <row r="1411" spans="1:10">
      <c r="A1411" s="15">
        <v>41691</v>
      </c>
      <c r="B1411" s="11">
        <v>2.1732999999999998</v>
      </c>
      <c r="C1411" s="11">
        <f t="shared" si="147"/>
        <v>2.3999999999997357E-3</v>
      </c>
      <c r="D1411" s="12">
        <f t="shared" si="148"/>
        <v>5.7599999999987311E-6</v>
      </c>
      <c r="E1411" s="12">
        <f t="shared" si="149"/>
        <v>3.5999999999992069E-7</v>
      </c>
      <c r="F1411" s="12">
        <f t="shared" si="150"/>
        <v>2.5426630927493915E-5</v>
      </c>
      <c r="G1411" s="12">
        <f t="shared" si="151"/>
        <v>4.2576511245638269</v>
      </c>
      <c r="I1411" s="12">
        <f t="shared" si="152"/>
        <v>5.0424826154875256E-3</v>
      </c>
      <c r="J1411" s="12">
        <f t="shared" si="153"/>
        <v>5.4233926257759718E-3</v>
      </c>
    </row>
    <row r="1412" spans="1:10">
      <c r="A1412" s="15">
        <v>41692</v>
      </c>
      <c r="B1412" s="11">
        <v>2.1734</v>
      </c>
      <c r="C1412" s="11">
        <f t="shared" si="147"/>
        <v>1.0000000000021103E-4</v>
      </c>
      <c r="D1412" s="12">
        <f t="shared" si="148"/>
        <v>1.0000000000042206E-8</v>
      </c>
      <c r="E1412" s="12">
        <f t="shared" si="149"/>
        <v>5.7599999999987311E-6</v>
      </c>
      <c r="F1412" s="12">
        <f t="shared" si="150"/>
        <v>2.4449545495269844E-5</v>
      </c>
      <c r="G1412" s="12">
        <f t="shared" si="151"/>
        <v>4.3903064223132198</v>
      </c>
      <c r="I1412" s="12">
        <f t="shared" si="152"/>
        <v>4.9446481669851742E-3</v>
      </c>
      <c r="J1412" s="12">
        <f t="shared" si="153"/>
        <v>5.4233926257759718E-3</v>
      </c>
    </row>
    <row r="1413" spans="1:10">
      <c r="A1413" s="15">
        <v>41693</v>
      </c>
      <c r="B1413" s="11">
        <v>2.1737000000000002</v>
      </c>
      <c r="C1413" s="11">
        <f t="shared" si="147"/>
        <v>3.00000000000189E-4</v>
      </c>
      <c r="D1413" s="12">
        <f t="shared" si="148"/>
        <v>9.0000000000113408E-8</v>
      </c>
      <c r="E1413" s="12">
        <f t="shared" si="149"/>
        <v>1.0000000000042206E-8</v>
      </c>
      <c r="F1413" s="12">
        <f t="shared" si="150"/>
        <v>2.3237350300919709E-5</v>
      </c>
      <c r="G1413" s="12">
        <f t="shared" si="151"/>
        <v>4.4139997454555777</v>
      </c>
      <c r="I1413" s="12">
        <f t="shared" si="152"/>
        <v>4.8205134893411208E-3</v>
      </c>
      <c r="J1413" s="12">
        <f t="shared" si="153"/>
        <v>5.4233926257759718E-3</v>
      </c>
    </row>
    <row r="1414" spans="1:10">
      <c r="A1414" s="15">
        <v>41694</v>
      </c>
      <c r="B1414" s="11">
        <v>2.1728000000000001</v>
      </c>
      <c r="C1414" s="11">
        <f t="shared" si="147"/>
        <v>-9.0000000000012292E-4</v>
      </c>
      <c r="D1414" s="12">
        <f t="shared" si="148"/>
        <v>8.1000000000022126E-7</v>
      </c>
      <c r="E1414" s="12">
        <f t="shared" si="149"/>
        <v>9.0000000000113408E-8</v>
      </c>
      <c r="F1414" s="12">
        <f t="shared" si="150"/>
        <v>2.2161008611463502E-5</v>
      </c>
      <c r="G1414" s="12">
        <f t="shared" si="151"/>
        <v>4.4213742090067187</v>
      </c>
      <c r="I1414" s="12">
        <f t="shared" si="152"/>
        <v>4.7075480466441874E-3</v>
      </c>
      <c r="J1414" s="12">
        <f t="shared" si="153"/>
        <v>5.4233926257759718E-3</v>
      </c>
    </row>
    <row r="1415" spans="1:10">
      <c r="A1415" s="15">
        <v>41695</v>
      </c>
      <c r="B1415" s="11">
        <v>2.1735000000000002</v>
      </c>
      <c r="C1415" s="11">
        <f t="shared" si="147"/>
        <v>7.0000000000014495E-4</v>
      </c>
      <c r="D1415" s="12">
        <f t="shared" si="148"/>
        <v>4.9000000000020294E-7</v>
      </c>
      <c r="E1415" s="12">
        <f t="shared" si="149"/>
        <v>8.1000000000022126E-7</v>
      </c>
      <c r="F1415" s="12">
        <f t="shared" si="150"/>
        <v>2.1243758044973767E-5</v>
      </c>
      <c r="G1415" s="12">
        <f t="shared" si="151"/>
        <v>4.4492523824123849</v>
      </c>
      <c r="I1415" s="12">
        <f t="shared" si="152"/>
        <v>4.6090951438404661E-3</v>
      </c>
      <c r="J1415" s="12">
        <f t="shared" si="153"/>
        <v>5.4233926257759718E-3</v>
      </c>
    </row>
    <row r="1416" spans="1:10">
      <c r="A1416" s="15">
        <v>41696</v>
      </c>
      <c r="B1416" s="11">
        <v>2.1714000000000002</v>
      </c>
      <c r="C1416" s="11">
        <f t="shared" si="147"/>
        <v>-2.0999999999999908E-3</v>
      </c>
      <c r="D1416" s="12">
        <f t="shared" si="148"/>
        <v>4.4099999999999612E-6</v>
      </c>
      <c r="E1416" s="12">
        <f t="shared" si="149"/>
        <v>4.9000000000020294E-7</v>
      </c>
      <c r="F1416" s="12">
        <f t="shared" si="150"/>
        <v>2.0406752245583442E-5</v>
      </c>
      <c r="G1416" s="12">
        <f t="shared" si="151"/>
        <v>4.3728313483894432</v>
      </c>
      <c r="I1416" s="12">
        <f t="shared" si="152"/>
        <v>4.5173833405615961E-3</v>
      </c>
      <c r="J1416" s="12">
        <f t="shared" si="153"/>
        <v>5.4233926257759718E-3</v>
      </c>
    </row>
    <row r="1417" spans="1:10">
      <c r="A1417" s="15">
        <v>41697</v>
      </c>
      <c r="B1417" s="11">
        <v>2.1720000000000002</v>
      </c>
      <c r="C1417" s="11">
        <f t="shared" si="147"/>
        <v>5.9999999999993392E-4</v>
      </c>
      <c r="D1417" s="12">
        <f t="shared" si="148"/>
        <v>3.5999999999992069E-7</v>
      </c>
      <c r="E1417" s="12">
        <f t="shared" si="149"/>
        <v>4.4099999999999612E-6</v>
      </c>
      <c r="F1417" s="12">
        <f t="shared" si="150"/>
        <v>1.9892609034111959E-5</v>
      </c>
      <c r="G1417" s="12">
        <f t="shared" si="151"/>
        <v>4.4845940228564043</v>
      </c>
      <c r="I1417" s="12">
        <f t="shared" si="152"/>
        <v>4.4601131189816205E-3</v>
      </c>
      <c r="J1417" s="12">
        <f t="shared" si="153"/>
        <v>5.4233926257759718E-3</v>
      </c>
    </row>
    <row r="1418" spans="1:10">
      <c r="A1418" s="15">
        <v>41698</v>
      </c>
      <c r="B1418" s="11">
        <v>2.1762000000000001</v>
      </c>
      <c r="C1418" s="11">
        <f t="shared" si="147"/>
        <v>4.1999999999999815E-3</v>
      </c>
      <c r="D1418" s="12">
        <f t="shared" si="148"/>
        <v>1.7639999999999845E-5</v>
      </c>
      <c r="E1418" s="12">
        <f t="shared" si="149"/>
        <v>3.5999999999992069E-7</v>
      </c>
      <c r="F1418" s="12">
        <f t="shared" si="150"/>
        <v>1.9194039779253594E-5</v>
      </c>
      <c r="G1418" s="12">
        <f t="shared" si="151"/>
        <v>4.0519991898330279</v>
      </c>
      <c r="I1418" s="12">
        <f t="shared" si="152"/>
        <v>4.3811002932201398E-3</v>
      </c>
      <c r="J1418" s="12">
        <f t="shared" si="153"/>
        <v>5.4233926257759718E-3</v>
      </c>
    </row>
    <row r="1419" spans="1:10">
      <c r="A1419" s="15">
        <v>41699</v>
      </c>
      <c r="B1419" s="11">
        <v>2.1739999999999999</v>
      </c>
      <c r="C1419" s="11">
        <f t="shared" si="147"/>
        <v>-2.2000000000002018E-3</v>
      </c>
      <c r="D1419" s="12">
        <f t="shared" si="148"/>
        <v>4.8400000000008879E-6</v>
      </c>
      <c r="E1419" s="12">
        <f t="shared" si="149"/>
        <v>1.7639999999999845E-5</v>
      </c>
      <c r="F1419" s="12">
        <f t="shared" si="150"/>
        <v>1.9595182833066291E-5</v>
      </c>
      <c r="G1419" s="12">
        <f t="shared" si="151"/>
        <v>4.3776751165294883</v>
      </c>
      <c r="I1419" s="12">
        <f t="shared" si="152"/>
        <v>4.4266446472544293E-3</v>
      </c>
      <c r="J1419" s="12">
        <f t="shared" si="153"/>
        <v>5.4233926257759718E-3</v>
      </c>
    </row>
    <row r="1420" spans="1:10">
      <c r="A1420" s="15">
        <v>41700</v>
      </c>
      <c r="B1420" s="11">
        <v>2.1762000000000001</v>
      </c>
      <c r="C1420" s="11">
        <f t="shared" si="147"/>
        <v>2.2000000000002018E-3</v>
      </c>
      <c r="D1420" s="12">
        <f t="shared" si="148"/>
        <v>4.8400000000008879E-6</v>
      </c>
      <c r="E1420" s="12">
        <f t="shared" si="149"/>
        <v>4.8400000000008879E-6</v>
      </c>
      <c r="F1420" s="12">
        <f t="shared" si="150"/>
        <v>1.9194304975398813E-5</v>
      </c>
      <c r="G1420" s="12">
        <f t="shared" si="151"/>
        <v>4.3854308650889102</v>
      </c>
      <c r="I1420" s="12">
        <f t="shared" si="152"/>
        <v>4.381130559045098E-3</v>
      </c>
      <c r="J1420" s="12">
        <f t="shared" si="153"/>
        <v>5.4233926257759718E-3</v>
      </c>
    </row>
    <row r="1421" spans="1:10">
      <c r="A1421" s="15">
        <v>41701</v>
      </c>
      <c r="B1421" s="11">
        <v>2.1737000000000002</v>
      </c>
      <c r="C1421" s="11">
        <f t="shared" si="147"/>
        <v>-2.4999999999999467E-3</v>
      </c>
      <c r="D1421" s="12">
        <f t="shared" si="148"/>
        <v>6.2499999999997335E-6</v>
      </c>
      <c r="E1421" s="12">
        <f t="shared" si="149"/>
        <v>4.8400000000008879E-6</v>
      </c>
      <c r="F1421" s="12">
        <f t="shared" si="150"/>
        <v>1.8836786403071108E-5</v>
      </c>
      <c r="G1421" s="12">
        <f t="shared" si="151"/>
        <v>4.3550121114437275</v>
      </c>
      <c r="I1421" s="12">
        <f t="shared" si="152"/>
        <v>4.340136680229219E-3</v>
      </c>
      <c r="J1421" s="12">
        <f t="shared" si="153"/>
        <v>5.4233926257759718E-3</v>
      </c>
    </row>
    <row r="1422" spans="1:10">
      <c r="A1422" s="15">
        <v>41702</v>
      </c>
      <c r="B1422" s="11">
        <v>2.1741000000000001</v>
      </c>
      <c r="C1422" s="11">
        <f t="shared" ref="C1422:C1485" si="154">B1422-B1421</f>
        <v>3.9999999999995595E-4</v>
      </c>
      <c r="D1422" s="12">
        <f t="shared" ref="D1422:D1485" si="155">C1422^2</f>
        <v>1.5999999999996475E-7</v>
      </c>
      <c r="E1422" s="12">
        <f t="shared" si="149"/>
        <v>6.2499999999997335E-6</v>
      </c>
      <c r="F1422" s="12">
        <f t="shared" si="150"/>
        <v>1.8601505499461751E-5</v>
      </c>
      <c r="G1422" s="12">
        <f t="shared" si="151"/>
        <v>4.5228947520892158</v>
      </c>
      <c r="I1422" s="12">
        <f t="shared" si="152"/>
        <v>4.3129462667023518E-3</v>
      </c>
      <c r="J1422" s="12">
        <f t="shared" si="153"/>
        <v>5.4233926257759718E-3</v>
      </c>
    </row>
    <row r="1423" spans="1:10">
      <c r="A1423" s="15">
        <v>41703</v>
      </c>
      <c r="B1423" s="11">
        <v>2.1737000000000002</v>
      </c>
      <c r="C1423" s="11">
        <f t="shared" si="154"/>
        <v>-3.9999999999995595E-4</v>
      </c>
      <c r="D1423" s="12">
        <f t="shared" si="155"/>
        <v>1.5999999999996475E-7</v>
      </c>
      <c r="E1423" s="12">
        <f t="shared" ref="E1423:E1486" si="156">D1422</f>
        <v>1.5999999999996475E-7</v>
      </c>
      <c r="F1423" s="12">
        <f t="shared" ref="F1423:F1486" si="157">$B$5+$B$6*E1423+$B$7*F1422</f>
        <v>1.8030729446159232E-5</v>
      </c>
      <c r="G1423" s="12">
        <f t="shared" ref="G1423:G1486" si="158">LN((1/SQRT(2*3.1415927*F1423))*EXP(-0.5*D1423/F1423))</f>
        <v>4.5383411216556366</v>
      </c>
      <c r="I1423" s="12">
        <f t="shared" ref="I1423:I1486" si="159">SQRT(F1423)</f>
        <v>4.2462606427490094E-3</v>
      </c>
      <c r="J1423" s="12">
        <f t="shared" si="153"/>
        <v>5.4233926257759718E-3</v>
      </c>
    </row>
    <row r="1424" spans="1:10">
      <c r="A1424" s="15">
        <v>41704</v>
      </c>
      <c r="B1424" s="11">
        <v>2.1776</v>
      </c>
      <c r="C1424" s="11">
        <f t="shared" si="154"/>
        <v>3.8999999999997925E-3</v>
      </c>
      <c r="D1424" s="12">
        <f t="shared" si="155"/>
        <v>1.5209999999998382E-5</v>
      </c>
      <c r="E1424" s="12">
        <f t="shared" si="156"/>
        <v>1.5999999999996475E-7</v>
      </c>
      <c r="F1424" s="12">
        <f t="shared" si="157"/>
        <v>1.7521689009546178E-5</v>
      </c>
      <c r="G1424" s="12">
        <f t="shared" si="158"/>
        <v>4.1230634960168597</v>
      </c>
      <c r="I1424" s="12">
        <f t="shared" si="159"/>
        <v>4.1858916624234526E-3</v>
      </c>
      <c r="J1424" s="12">
        <f t="shared" ref="J1424:J1487" si="160">J1423</f>
        <v>5.4233926257759718E-3</v>
      </c>
    </row>
    <row r="1425" spans="1:10">
      <c r="A1425" s="15">
        <v>41705</v>
      </c>
      <c r="B1425" s="11">
        <v>2.1797</v>
      </c>
      <c r="C1425" s="11">
        <f t="shared" si="154"/>
        <v>2.0999999999999908E-3</v>
      </c>
      <c r="D1425" s="12">
        <f t="shared" si="155"/>
        <v>4.4099999999999612E-6</v>
      </c>
      <c r="E1425" s="12">
        <f t="shared" si="156"/>
        <v>1.5209999999998382E-5</v>
      </c>
      <c r="F1425" s="12">
        <f t="shared" si="157"/>
        <v>1.7959693202729964E-5</v>
      </c>
      <c r="G1425" s="12">
        <f t="shared" si="158"/>
        <v>4.4219768223734661</v>
      </c>
      <c r="I1425" s="12">
        <f t="shared" si="159"/>
        <v>4.2378878232829575E-3</v>
      </c>
      <c r="J1425" s="12">
        <f t="shared" si="160"/>
        <v>5.4233926257759718E-3</v>
      </c>
    </row>
    <row r="1426" spans="1:10">
      <c r="A1426" s="15">
        <v>41706</v>
      </c>
      <c r="B1426" s="11">
        <v>2.1808999999999998</v>
      </c>
      <c r="C1426" s="11">
        <f t="shared" si="154"/>
        <v>1.1999999999998678E-3</v>
      </c>
      <c r="D1426" s="12">
        <f t="shared" si="155"/>
        <v>1.4399999999996828E-6</v>
      </c>
      <c r="E1426" s="12">
        <f t="shared" si="156"/>
        <v>4.4099999999999612E-6</v>
      </c>
      <c r="F1426" s="12">
        <f t="shared" si="157"/>
        <v>1.7710225949915114E-5</v>
      </c>
      <c r="G1426" s="12">
        <f t="shared" si="158"/>
        <v>4.5110911548787298</v>
      </c>
      <c r="I1426" s="12">
        <f t="shared" si="159"/>
        <v>4.208351928001639E-3</v>
      </c>
      <c r="J1426" s="12">
        <f t="shared" si="160"/>
        <v>5.4233926257759718E-3</v>
      </c>
    </row>
    <row r="1427" spans="1:10">
      <c r="A1427" s="15">
        <v>41707</v>
      </c>
      <c r="B1427" s="11">
        <v>2.1798999999999999</v>
      </c>
      <c r="C1427" s="11">
        <f t="shared" si="154"/>
        <v>-9.9999999999988987E-4</v>
      </c>
      <c r="D1427" s="12">
        <f t="shared" si="155"/>
        <v>9.9999999999977973E-7</v>
      </c>
      <c r="E1427" s="12">
        <f t="shared" si="156"/>
        <v>1.4399999999996828E-6</v>
      </c>
      <c r="F1427" s="12">
        <f t="shared" si="157"/>
        <v>1.7311714734522927E-5</v>
      </c>
      <c r="G1427" s="12">
        <f t="shared" si="158"/>
        <v>4.5342428496067253</v>
      </c>
      <c r="I1427" s="12">
        <f t="shared" si="159"/>
        <v>4.1607348791436981E-3</v>
      </c>
      <c r="J1427" s="12">
        <f t="shared" si="160"/>
        <v>5.4233926257759718E-3</v>
      </c>
    </row>
    <row r="1428" spans="1:10">
      <c r="A1428" s="15">
        <v>41708</v>
      </c>
      <c r="B1428" s="11">
        <v>2.1831999999999998</v>
      </c>
      <c r="C1428" s="11">
        <f t="shared" si="154"/>
        <v>3.2999999999998586E-3</v>
      </c>
      <c r="D1428" s="12">
        <f t="shared" si="155"/>
        <v>1.0889999999999067E-5</v>
      </c>
      <c r="E1428" s="12">
        <f t="shared" si="156"/>
        <v>9.9999999999977973E-7</v>
      </c>
      <c r="F1428" s="12">
        <f t="shared" si="157"/>
        <v>1.6930228819065233E-5</v>
      </c>
      <c r="G1428" s="12">
        <f t="shared" si="158"/>
        <v>4.2526523005473891</v>
      </c>
      <c r="I1428" s="12">
        <f t="shared" si="159"/>
        <v>4.1146359278878162E-3</v>
      </c>
      <c r="J1428" s="12">
        <f t="shared" si="160"/>
        <v>5.4233926257759718E-3</v>
      </c>
    </row>
    <row r="1429" spans="1:10">
      <c r="A1429" s="15">
        <v>41709</v>
      </c>
      <c r="B1429" s="11">
        <v>2.1802000000000001</v>
      </c>
      <c r="C1429" s="11">
        <f t="shared" si="154"/>
        <v>-2.9999999999996696E-3</v>
      </c>
      <c r="D1429" s="12">
        <f t="shared" si="155"/>
        <v>8.9999999999980182E-6</v>
      </c>
      <c r="E1429" s="12">
        <f t="shared" si="156"/>
        <v>1.0889999999999067E-5</v>
      </c>
      <c r="F1429" s="12">
        <f t="shared" si="157"/>
        <v>1.7176167224538253E-5</v>
      </c>
      <c r="G1429" s="12">
        <f t="shared" si="158"/>
        <v>4.3050644116106671</v>
      </c>
      <c r="I1429" s="12">
        <f t="shared" si="159"/>
        <v>4.1444139784218292E-3</v>
      </c>
      <c r="J1429" s="12">
        <f t="shared" si="160"/>
        <v>5.4233926257759718E-3</v>
      </c>
    </row>
    <row r="1430" spans="1:10">
      <c r="A1430" s="15">
        <v>41710</v>
      </c>
      <c r="B1430" s="11">
        <v>2.1812999999999998</v>
      </c>
      <c r="C1430" s="11">
        <f t="shared" si="154"/>
        <v>1.0999999999996568E-3</v>
      </c>
      <c r="D1430" s="12">
        <f t="shared" si="155"/>
        <v>1.2099999999992449E-6</v>
      </c>
      <c r="E1430" s="12">
        <f t="shared" si="156"/>
        <v>8.9999999999980182E-6</v>
      </c>
      <c r="F1430" s="12">
        <f t="shared" si="157"/>
        <v>1.7283487830396352E-5</v>
      </c>
      <c r="G1430" s="12">
        <f t="shared" si="158"/>
        <v>4.5289364371756449</v>
      </c>
      <c r="I1430" s="12">
        <f t="shared" si="159"/>
        <v>4.1573414377936713E-3</v>
      </c>
      <c r="J1430" s="12">
        <f t="shared" si="160"/>
        <v>5.4233926257759718E-3</v>
      </c>
    </row>
    <row r="1431" spans="1:10">
      <c r="A1431" s="15">
        <v>41711</v>
      </c>
      <c r="B1431" s="11">
        <v>2.1839</v>
      </c>
      <c r="C1431" s="11">
        <f t="shared" si="154"/>
        <v>2.6000000000001577E-3</v>
      </c>
      <c r="D1431" s="12">
        <f t="shared" si="155"/>
        <v>6.7600000000008204E-6</v>
      </c>
      <c r="E1431" s="12">
        <f t="shared" si="156"/>
        <v>1.2099999999992449E-6</v>
      </c>
      <c r="F1431" s="12">
        <f t="shared" si="157"/>
        <v>1.6917501282275208E-5</v>
      </c>
      <c r="G1431" s="12">
        <f t="shared" si="158"/>
        <v>4.3748493074347659</v>
      </c>
      <c r="I1431" s="12">
        <f t="shared" si="159"/>
        <v>4.1130890194931609E-3</v>
      </c>
      <c r="J1431" s="12">
        <f t="shared" si="160"/>
        <v>5.4233926257759718E-3</v>
      </c>
    </row>
    <row r="1432" spans="1:10">
      <c r="A1432" s="15">
        <v>41712</v>
      </c>
      <c r="B1432" s="11">
        <v>2.1863000000000001</v>
      </c>
      <c r="C1432" s="11">
        <f t="shared" si="154"/>
        <v>2.4000000000001798E-3</v>
      </c>
      <c r="D1432" s="12">
        <f t="shared" si="155"/>
        <v>5.760000000000863E-6</v>
      </c>
      <c r="E1432" s="12">
        <f t="shared" si="156"/>
        <v>6.7600000000008204E-6</v>
      </c>
      <c r="F1432" s="12">
        <f t="shared" si="157"/>
        <v>1.6920038648513403E-5</v>
      </c>
      <c r="G1432" s="12">
        <f t="shared" si="158"/>
        <v>4.4043550420478912</v>
      </c>
      <c r="I1432" s="12">
        <f t="shared" si="159"/>
        <v>4.1133974581255093E-3</v>
      </c>
      <c r="J1432" s="12">
        <f t="shared" si="160"/>
        <v>5.4233926257759718E-3</v>
      </c>
    </row>
    <row r="1433" spans="1:10">
      <c r="A1433" s="15">
        <v>41713</v>
      </c>
      <c r="B1433" s="11">
        <v>2.1924999999999999</v>
      </c>
      <c r="C1433" s="11">
        <f t="shared" si="154"/>
        <v>6.1999999999997613E-3</v>
      </c>
      <c r="D1433" s="12">
        <f t="shared" si="155"/>
        <v>3.8439999999997037E-5</v>
      </c>
      <c r="E1433" s="12">
        <f t="shared" si="156"/>
        <v>5.760000000000863E-6</v>
      </c>
      <c r="F1433" s="12">
        <f t="shared" si="157"/>
        <v>1.6863033372473528E-5</v>
      </c>
      <c r="G1433" s="12">
        <f t="shared" si="158"/>
        <v>3.4364835996373642</v>
      </c>
      <c r="I1433" s="12">
        <f t="shared" si="159"/>
        <v>4.1064623914597743E-3</v>
      </c>
      <c r="J1433" s="12">
        <f t="shared" si="160"/>
        <v>5.4233926257759718E-3</v>
      </c>
    </row>
    <row r="1434" spans="1:10">
      <c r="A1434" s="15">
        <v>41714</v>
      </c>
      <c r="B1434" s="11">
        <v>2.1842999999999999</v>
      </c>
      <c r="C1434" s="11">
        <f t="shared" si="154"/>
        <v>-8.1999999999999851E-3</v>
      </c>
      <c r="D1434" s="12">
        <f t="shared" si="155"/>
        <v>6.7239999999999756E-5</v>
      </c>
      <c r="E1434" s="12">
        <f t="shared" si="156"/>
        <v>3.8439999999997037E-5</v>
      </c>
      <c r="F1434" s="12">
        <f t="shared" si="157"/>
        <v>1.8749078565722887E-5</v>
      </c>
      <c r="G1434" s="12">
        <f t="shared" si="158"/>
        <v>2.7300896464054434</v>
      </c>
      <c r="I1434" s="12">
        <f t="shared" si="159"/>
        <v>4.3300206195493905E-3</v>
      </c>
      <c r="J1434" s="12">
        <f t="shared" si="160"/>
        <v>5.4233926257759718E-3</v>
      </c>
    </row>
    <row r="1435" spans="1:10">
      <c r="A1435" s="15">
        <v>41715</v>
      </c>
      <c r="B1435" s="11">
        <v>2.1858</v>
      </c>
      <c r="C1435" s="11">
        <f t="shared" si="154"/>
        <v>1.5000000000000568E-3</v>
      </c>
      <c r="D1435" s="12">
        <f t="shared" si="155"/>
        <v>2.2500000000001707E-6</v>
      </c>
      <c r="E1435" s="12">
        <f t="shared" si="156"/>
        <v>6.7239999999999756E-5</v>
      </c>
      <c r="F1435" s="12">
        <f t="shared" si="157"/>
        <v>2.2138051649046379E-5</v>
      </c>
      <c r="G1435" s="12">
        <f t="shared" si="158"/>
        <v>4.3893502972466383</v>
      </c>
      <c r="I1435" s="12">
        <f t="shared" si="159"/>
        <v>4.7051091006528618E-3</v>
      </c>
      <c r="J1435" s="12">
        <f t="shared" si="160"/>
        <v>5.4233926257759718E-3</v>
      </c>
    </row>
    <row r="1436" spans="1:10">
      <c r="A1436" s="15">
        <v>41716</v>
      </c>
      <c r="B1436" s="11">
        <v>2.1897000000000002</v>
      </c>
      <c r="C1436" s="11">
        <f t="shared" si="154"/>
        <v>3.9000000000002366E-3</v>
      </c>
      <c r="D1436" s="12">
        <f t="shared" si="155"/>
        <v>1.5210000000001845E-5</v>
      </c>
      <c r="E1436" s="12">
        <f t="shared" si="156"/>
        <v>2.2500000000001707E-6</v>
      </c>
      <c r="F1436" s="12">
        <f t="shared" si="157"/>
        <v>2.1308630332876948E-5</v>
      </c>
      <c r="G1436" s="12">
        <f t="shared" si="158"/>
        <v>4.1023630073394557</v>
      </c>
      <c r="I1436" s="12">
        <f t="shared" si="159"/>
        <v>4.6161272006820771E-3</v>
      </c>
      <c r="J1436" s="12">
        <f t="shared" si="160"/>
        <v>5.4233926257759718E-3</v>
      </c>
    </row>
    <row r="1437" spans="1:10">
      <c r="A1437" s="15">
        <v>41717</v>
      </c>
      <c r="B1437" s="11">
        <v>2.1865999999999999</v>
      </c>
      <c r="C1437" s="11">
        <f t="shared" si="154"/>
        <v>-3.1000000000003247E-3</v>
      </c>
      <c r="D1437" s="12">
        <f t="shared" si="155"/>
        <v>9.6100000000020137E-6</v>
      </c>
      <c r="E1437" s="12">
        <f t="shared" si="156"/>
        <v>1.5210000000001845E-5</v>
      </c>
      <c r="F1437" s="12">
        <f t="shared" si="157"/>
        <v>2.1337035776060939E-5</v>
      </c>
      <c r="G1437" s="12">
        <f t="shared" si="158"/>
        <v>4.2333992806669416</v>
      </c>
      <c r="I1437" s="12">
        <f t="shared" si="159"/>
        <v>4.6192029373108238E-3</v>
      </c>
      <c r="J1437" s="12">
        <f t="shared" si="160"/>
        <v>5.4233926257759718E-3</v>
      </c>
    </row>
    <row r="1438" spans="1:10">
      <c r="A1438" s="15">
        <v>41718</v>
      </c>
      <c r="B1438" s="11">
        <v>2.1852</v>
      </c>
      <c r="C1438" s="11">
        <f t="shared" si="154"/>
        <v>-1.3999999999998458E-3</v>
      </c>
      <c r="D1438" s="12">
        <f t="shared" si="155"/>
        <v>1.9599999999995683E-6</v>
      </c>
      <c r="E1438" s="12">
        <f t="shared" si="156"/>
        <v>9.6100000000020137E-6</v>
      </c>
      <c r="F1438" s="12">
        <f t="shared" si="157"/>
        <v>2.1030466950426266E-5</v>
      </c>
      <c r="G1438" s="12">
        <f t="shared" si="158"/>
        <v>4.4192315812337091</v>
      </c>
      <c r="I1438" s="12">
        <f t="shared" si="159"/>
        <v>4.5858987069522447E-3</v>
      </c>
      <c r="J1438" s="12">
        <f t="shared" si="160"/>
        <v>5.4233926257759718E-3</v>
      </c>
    </row>
    <row r="1439" spans="1:10">
      <c r="A1439" s="15">
        <v>41719</v>
      </c>
      <c r="B1439" s="11">
        <v>2.1812</v>
      </c>
      <c r="C1439" s="11">
        <f t="shared" si="154"/>
        <v>-4.0000000000000036E-3</v>
      </c>
      <c r="D1439" s="12">
        <f t="shared" si="155"/>
        <v>1.600000000000003E-5</v>
      </c>
      <c r="E1439" s="12">
        <f t="shared" si="156"/>
        <v>1.9599999999995683E-6</v>
      </c>
      <c r="F1439" s="12">
        <f t="shared" si="157"/>
        <v>2.0303655146697328E-5</v>
      </c>
      <c r="G1439" s="12">
        <f t="shared" si="158"/>
        <v>4.0893985507242832</v>
      </c>
      <c r="I1439" s="12">
        <f t="shared" si="159"/>
        <v>4.5059577391157726E-3</v>
      </c>
      <c r="J1439" s="12">
        <f t="shared" si="160"/>
        <v>5.4233926257759718E-3</v>
      </c>
    </row>
    <row r="1440" spans="1:10">
      <c r="A1440" s="15">
        <v>41720</v>
      </c>
      <c r="B1440" s="11">
        <v>2.1838000000000002</v>
      </c>
      <c r="C1440" s="11">
        <f t="shared" si="154"/>
        <v>2.6000000000001577E-3</v>
      </c>
      <c r="D1440" s="12">
        <f t="shared" si="155"/>
        <v>6.7600000000008204E-6</v>
      </c>
      <c r="E1440" s="12">
        <f t="shared" si="156"/>
        <v>1.600000000000003E-5</v>
      </c>
      <c r="F1440" s="12">
        <f t="shared" si="157"/>
        <v>2.0487581425894612E-5</v>
      </c>
      <c r="G1440" s="12">
        <f t="shared" si="158"/>
        <v>4.3139292893268442</v>
      </c>
      <c r="I1440" s="12">
        <f t="shared" si="159"/>
        <v>4.526320959222248E-3</v>
      </c>
      <c r="J1440" s="12">
        <f t="shared" si="160"/>
        <v>5.4233926257759718E-3</v>
      </c>
    </row>
    <row r="1441" spans="1:10">
      <c r="A1441" s="15">
        <v>41721</v>
      </c>
      <c r="B1441" s="11">
        <v>2.1812</v>
      </c>
      <c r="C1441" s="11">
        <f t="shared" si="154"/>
        <v>-2.6000000000001577E-3</v>
      </c>
      <c r="D1441" s="12">
        <f t="shared" si="155"/>
        <v>6.7600000000008204E-6</v>
      </c>
      <c r="E1441" s="12">
        <f t="shared" si="156"/>
        <v>6.7600000000008204E-6</v>
      </c>
      <c r="F1441" s="12">
        <f t="shared" si="157"/>
        <v>2.0103975929232522E-5</v>
      </c>
      <c r="G1441" s="12">
        <f t="shared" si="158"/>
        <v>4.3202319895074695</v>
      </c>
      <c r="I1441" s="12">
        <f t="shared" si="159"/>
        <v>4.4837457476124267E-3</v>
      </c>
      <c r="J1441" s="12">
        <f t="shared" si="160"/>
        <v>5.4233926257759718E-3</v>
      </c>
    </row>
    <row r="1442" spans="1:10">
      <c r="A1442" s="15">
        <v>41722</v>
      </c>
      <c r="B1442" s="11">
        <v>2.1821000000000002</v>
      </c>
      <c r="C1442" s="11">
        <f t="shared" si="154"/>
        <v>9.0000000000012292E-4</v>
      </c>
      <c r="D1442" s="12">
        <f t="shared" si="155"/>
        <v>8.1000000000022126E-7</v>
      </c>
      <c r="E1442" s="12">
        <f t="shared" si="156"/>
        <v>6.7600000000008204E-6</v>
      </c>
      <c r="F1442" s="12">
        <f t="shared" si="157"/>
        <v>1.9761861524855886E-5</v>
      </c>
      <c r="G1442" s="12">
        <f t="shared" si="158"/>
        <v>4.476445770345574</v>
      </c>
      <c r="I1442" s="12">
        <f t="shared" si="159"/>
        <v>4.4454315341545736E-3</v>
      </c>
      <c r="J1442" s="12">
        <f t="shared" si="160"/>
        <v>5.4233926257759718E-3</v>
      </c>
    </row>
    <row r="1443" spans="1:10">
      <c r="A1443" s="15">
        <v>41723</v>
      </c>
      <c r="B1443" s="11">
        <v>2.1819000000000002</v>
      </c>
      <c r="C1443" s="11">
        <f t="shared" si="154"/>
        <v>-1.9999999999997797E-4</v>
      </c>
      <c r="D1443" s="12">
        <f t="shared" si="155"/>
        <v>3.9999999999991186E-8</v>
      </c>
      <c r="E1443" s="12">
        <f t="shared" si="156"/>
        <v>8.1000000000022126E-7</v>
      </c>
      <c r="F1443" s="12">
        <f t="shared" si="157"/>
        <v>1.9104104719646907E-5</v>
      </c>
      <c r="G1443" s="12">
        <f t="shared" si="158"/>
        <v>4.512818233581525</v>
      </c>
      <c r="I1443" s="12">
        <f t="shared" si="159"/>
        <v>4.3708242608971257E-3</v>
      </c>
      <c r="J1443" s="12">
        <f t="shared" si="160"/>
        <v>5.4233926257759718E-3</v>
      </c>
    </row>
    <row r="1444" spans="1:10">
      <c r="A1444" s="15">
        <v>41724</v>
      </c>
      <c r="B1444" s="11">
        <v>2.1802000000000001</v>
      </c>
      <c r="C1444" s="11">
        <f t="shared" si="154"/>
        <v>-1.7000000000000348E-3</v>
      </c>
      <c r="D1444" s="12">
        <f t="shared" si="155"/>
        <v>2.8900000000001184E-6</v>
      </c>
      <c r="E1444" s="12">
        <f t="shared" si="156"/>
        <v>3.9999999999991186E-8</v>
      </c>
      <c r="F1444" s="12">
        <f t="shared" si="157"/>
        <v>1.8471854929277217E-5</v>
      </c>
      <c r="G1444" s="12">
        <f t="shared" si="158"/>
        <v>4.4524655098130594</v>
      </c>
      <c r="I1444" s="12">
        <f t="shared" si="159"/>
        <v>4.2978895901683205E-3</v>
      </c>
      <c r="J1444" s="12">
        <f t="shared" si="160"/>
        <v>5.4233926257759718E-3</v>
      </c>
    </row>
    <row r="1445" spans="1:10">
      <c r="A1445" s="15">
        <v>41725</v>
      </c>
      <c r="B1445" s="11">
        <v>2.1785999999999999</v>
      </c>
      <c r="C1445" s="11">
        <f t="shared" si="154"/>
        <v>-1.6000000000002679E-3</v>
      </c>
      <c r="D1445" s="12">
        <f t="shared" si="155"/>
        <v>2.5600000000008573E-6</v>
      </c>
      <c r="E1445" s="12">
        <f t="shared" si="156"/>
        <v>2.8900000000001184E-6</v>
      </c>
      <c r="F1445" s="12">
        <f t="shared" si="157"/>
        <v>1.8076904172621707E-5</v>
      </c>
      <c r="G1445" s="12">
        <f t="shared" si="158"/>
        <v>4.4706905982471392</v>
      </c>
      <c r="I1445" s="12">
        <f t="shared" si="159"/>
        <v>4.2516942708315363E-3</v>
      </c>
      <c r="J1445" s="12">
        <f t="shared" si="160"/>
        <v>5.4233926257759718E-3</v>
      </c>
    </row>
    <row r="1446" spans="1:10">
      <c r="A1446" s="15">
        <v>41726</v>
      </c>
      <c r="B1446" s="11">
        <v>2.1783999999999999</v>
      </c>
      <c r="C1446" s="11">
        <f t="shared" si="154"/>
        <v>-1.9999999999997797E-4</v>
      </c>
      <c r="D1446" s="12">
        <f t="shared" si="155"/>
        <v>3.9999999999991186E-8</v>
      </c>
      <c r="E1446" s="12">
        <f t="shared" si="156"/>
        <v>2.5600000000008573E-6</v>
      </c>
      <c r="F1446" s="12">
        <f t="shared" si="157"/>
        <v>1.7705113115545187E-5</v>
      </c>
      <c r="G1446" s="12">
        <f t="shared" si="158"/>
        <v>4.5507603839844544</v>
      </c>
      <c r="I1446" s="12">
        <f t="shared" si="159"/>
        <v>4.2077444213670092E-3</v>
      </c>
      <c r="J1446" s="12">
        <f t="shared" si="160"/>
        <v>5.4233926257759718E-3</v>
      </c>
    </row>
    <row r="1447" spans="1:10">
      <c r="A1447" s="15">
        <v>41727</v>
      </c>
      <c r="B1447" s="11">
        <v>2.1795</v>
      </c>
      <c r="C1447" s="11">
        <f t="shared" si="154"/>
        <v>1.1000000000001009E-3</v>
      </c>
      <c r="D1447" s="12">
        <f t="shared" si="155"/>
        <v>1.210000000000222E-6</v>
      </c>
      <c r="E1447" s="12">
        <f t="shared" si="156"/>
        <v>3.9999999999991186E-8</v>
      </c>
      <c r="F1447" s="12">
        <f t="shared" si="157"/>
        <v>1.7224179430542706E-5</v>
      </c>
      <c r="G1447" s="12">
        <f t="shared" si="158"/>
        <v>4.5305346091554748</v>
      </c>
      <c r="I1447" s="12">
        <f t="shared" si="159"/>
        <v>4.1502023360967238E-3</v>
      </c>
      <c r="J1447" s="12">
        <f t="shared" si="160"/>
        <v>5.4233926257759718E-3</v>
      </c>
    </row>
    <row r="1448" spans="1:10">
      <c r="A1448" s="15">
        <v>41728</v>
      </c>
      <c r="B1448" s="11">
        <v>2.1781999999999999</v>
      </c>
      <c r="C1448" s="11">
        <f t="shared" si="154"/>
        <v>-1.3000000000000789E-3</v>
      </c>
      <c r="D1448" s="12">
        <f t="shared" si="155"/>
        <v>1.6900000000002051E-6</v>
      </c>
      <c r="E1448" s="12">
        <f t="shared" si="156"/>
        <v>1.210000000000222E-6</v>
      </c>
      <c r="F1448" s="12">
        <f t="shared" si="157"/>
        <v>1.6864607728697396E-5</v>
      </c>
      <c r="G1448" s="12">
        <f t="shared" si="158"/>
        <v>4.5261032034052695</v>
      </c>
      <c r="I1448" s="12">
        <f t="shared" si="159"/>
        <v>4.1066540795028491E-3</v>
      </c>
      <c r="J1448" s="12">
        <f t="shared" si="160"/>
        <v>5.4233926257759718E-3</v>
      </c>
    </row>
    <row r="1449" spans="1:10">
      <c r="A1449" s="15">
        <v>41729</v>
      </c>
      <c r="B1449" s="11">
        <v>2.1791999999999998</v>
      </c>
      <c r="C1449" s="11">
        <f t="shared" si="154"/>
        <v>9.9999999999988987E-4</v>
      </c>
      <c r="D1449" s="12">
        <f t="shared" si="155"/>
        <v>9.9999999999977973E-7</v>
      </c>
      <c r="E1449" s="12">
        <f t="shared" si="156"/>
        <v>1.6900000000002051E-6</v>
      </c>
      <c r="F1449" s="12">
        <f t="shared" si="157"/>
        <v>1.6572376339067084E-5</v>
      </c>
      <c r="G1449" s="12">
        <f t="shared" si="158"/>
        <v>4.5547774335011777</v>
      </c>
      <c r="I1449" s="12">
        <f t="shared" si="159"/>
        <v>4.0709183655616432E-3</v>
      </c>
      <c r="J1449" s="12">
        <f t="shared" si="160"/>
        <v>5.4233926257759718E-3</v>
      </c>
    </row>
    <row r="1450" spans="1:10">
      <c r="A1450" s="15">
        <v>41730</v>
      </c>
      <c r="B1450" s="11">
        <v>2.1800000000000002</v>
      </c>
      <c r="C1450" s="11">
        <f t="shared" si="154"/>
        <v>8.0000000000035598E-4</v>
      </c>
      <c r="D1450" s="12">
        <f t="shared" si="155"/>
        <v>6.4000000000056954E-7</v>
      </c>
      <c r="E1450" s="12">
        <f t="shared" si="156"/>
        <v>9.9999999999977973E-7</v>
      </c>
      <c r="F1450" s="12">
        <f t="shared" si="157"/>
        <v>1.6270857884615456E-5</v>
      </c>
      <c r="G1450" s="12">
        <f t="shared" si="158"/>
        <v>4.574461850674882</v>
      </c>
      <c r="I1450" s="12">
        <f t="shared" si="159"/>
        <v>4.0337151466874124E-3</v>
      </c>
      <c r="J1450" s="12">
        <f t="shared" si="160"/>
        <v>5.4233926257759718E-3</v>
      </c>
    </row>
    <row r="1451" spans="1:10">
      <c r="A1451" s="15">
        <v>41731</v>
      </c>
      <c r="B1451" s="11">
        <v>2.1789999999999998</v>
      </c>
      <c r="C1451" s="11">
        <f t="shared" si="154"/>
        <v>-1.000000000000334E-3</v>
      </c>
      <c r="D1451" s="12">
        <f t="shared" si="155"/>
        <v>1.0000000000006678E-6</v>
      </c>
      <c r="E1451" s="12">
        <f t="shared" si="156"/>
        <v>6.4000000000056954E-7</v>
      </c>
      <c r="F1451" s="12">
        <f t="shared" si="157"/>
        <v>1.5980615367607351E-5</v>
      </c>
      <c r="G1451" s="12">
        <f t="shared" si="158"/>
        <v>4.5718406077516649</v>
      </c>
      <c r="I1451" s="12">
        <f t="shared" si="159"/>
        <v>3.9975761865919893E-3</v>
      </c>
      <c r="J1451" s="12">
        <f t="shared" si="160"/>
        <v>5.4233926257759718E-3</v>
      </c>
    </row>
    <row r="1452" spans="1:10">
      <c r="A1452" s="15">
        <v>41732</v>
      </c>
      <c r="B1452" s="11">
        <v>2.1764999999999999</v>
      </c>
      <c r="C1452" s="11">
        <f t="shared" si="154"/>
        <v>-2.4999999999999467E-3</v>
      </c>
      <c r="D1452" s="12">
        <f t="shared" si="155"/>
        <v>6.2499999999997335E-6</v>
      </c>
      <c r="E1452" s="12">
        <f t="shared" si="156"/>
        <v>1.0000000000006678E-6</v>
      </c>
      <c r="F1452" s="12">
        <f t="shared" si="157"/>
        <v>1.5743102276195178E-5</v>
      </c>
      <c r="G1452" s="12">
        <f t="shared" si="158"/>
        <v>4.4121159476095571</v>
      </c>
      <c r="I1452" s="12">
        <f t="shared" si="159"/>
        <v>3.9677578399135169E-3</v>
      </c>
      <c r="J1452" s="12">
        <f t="shared" si="160"/>
        <v>5.4233926257759718E-3</v>
      </c>
    </row>
    <row r="1453" spans="1:10">
      <c r="A1453" s="15">
        <v>41733</v>
      </c>
      <c r="B1453" s="11">
        <v>2.1787999999999998</v>
      </c>
      <c r="C1453" s="11">
        <f t="shared" si="154"/>
        <v>2.2999999999999687E-3</v>
      </c>
      <c r="D1453" s="12">
        <f t="shared" si="155"/>
        <v>5.2899999999998562E-6</v>
      </c>
      <c r="E1453" s="12">
        <f t="shared" si="156"/>
        <v>6.2499999999997335E-6</v>
      </c>
      <c r="F1453" s="12">
        <f t="shared" si="157"/>
        <v>1.5842436842716394E-5</v>
      </c>
      <c r="G1453" s="12">
        <f t="shared" si="158"/>
        <v>4.440513992131133</v>
      </c>
      <c r="I1453" s="12">
        <f t="shared" si="159"/>
        <v>3.9802558765381392E-3</v>
      </c>
      <c r="J1453" s="12">
        <f t="shared" si="160"/>
        <v>5.4233926257759718E-3</v>
      </c>
    </row>
    <row r="1454" spans="1:10">
      <c r="A1454" s="15">
        <v>41734</v>
      </c>
      <c r="B1454" s="11">
        <v>2.1812</v>
      </c>
      <c r="C1454" s="11">
        <f t="shared" si="154"/>
        <v>2.4000000000001798E-3</v>
      </c>
      <c r="D1454" s="12">
        <f t="shared" si="155"/>
        <v>5.760000000000863E-6</v>
      </c>
      <c r="E1454" s="12">
        <f t="shared" si="156"/>
        <v>5.2899999999998562E-6</v>
      </c>
      <c r="F1454" s="12">
        <f t="shared" si="157"/>
        <v>1.5874129828528598E-5</v>
      </c>
      <c r="G1454" s="12">
        <f t="shared" si="158"/>
        <v>4.4250441061483006</v>
      </c>
      <c r="I1454" s="12">
        <f t="shared" si="159"/>
        <v>3.9842351623026219E-3</v>
      </c>
      <c r="J1454" s="12">
        <f t="shared" si="160"/>
        <v>5.4233926257759718E-3</v>
      </c>
    </row>
    <row r="1455" spans="1:10">
      <c r="A1455" s="15">
        <v>41735</v>
      </c>
      <c r="B1455" s="11">
        <v>2.1812</v>
      </c>
      <c r="C1455" s="11">
        <f t="shared" si="154"/>
        <v>0</v>
      </c>
      <c r="D1455" s="12">
        <f t="shared" si="155"/>
        <v>0</v>
      </c>
      <c r="E1455" s="12">
        <f t="shared" si="156"/>
        <v>5.760000000000863E-6</v>
      </c>
      <c r="F1455" s="12">
        <f t="shared" si="157"/>
        <v>1.5930250927761671E-5</v>
      </c>
      <c r="G1455" s="12">
        <f t="shared" si="158"/>
        <v>4.6047068005422691</v>
      </c>
      <c r="I1455" s="12">
        <f t="shared" si="159"/>
        <v>3.9912718433804621E-3</v>
      </c>
      <c r="J1455" s="12">
        <f t="shared" si="160"/>
        <v>5.4233926257759718E-3</v>
      </c>
    </row>
    <row r="1456" spans="1:10">
      <c r="A1456" s="15">
        <v>41736</v>
      </c>
      <c r="B1456" s="11">
        <v>2.1825999999999999</v>
      </c>
      <c r="C1456" s="11">
        <f t="shared" si="154"/>
        <v>1.3999999999998458E-3</v>
      </c>
      <c r="D1456" s="12">
        <f t="shared" si="155"/>
        <v>1.9599999999995683E-6</v>
      </c>
      <c r="E1456" s="12">
        <f t="shared" si="156"/>
        <v>0</v>
      </c>
      <c r="F1456" s="12">
        <f t="shared" si="157"/>
        <v>1.5638917097791201E-5</v>
      </c>
      <c r="G1456" s="12">
        <f t="shared" si="158"/>
        <v>4.5512713062970187</v>
      </c>
      <c r="I1456" s="12">
        <f t="shared" si="159"/>
        <v>3.9546070724904136E-3</v>
      </c>
      <c r="J1456" s="12">
        <f t="shared" si="160"/>
        <v>5.4233926257759718E-3</v>
      </c>
    </row>
    <row r="1457" spans="1:10">
      <c r="A1457" s="15">
        <v>41737</v>
      </c>
      <c r="B1457" s="11">
        <v>2.1871</v>
      </c>
      <c r="C1457" s="11">
        <f t="shared" si="154"/>
        <v>4.5000000000001705E-3</v>
      </c>
      <c r="D1457" s="12">
        <f t="shared" si="155"/>
        <v>2.0250000000001536E-5</v>
      </c>
      <c r="E1457" s="12">
        <f t="shared" si="156"/>
        <v>1.9599999999995683E-6</v>
      </c>
      <c r="F1457" s="12">
        <f t="shared" si="157"/>
        <v>1.5495259848529897E-5</v>
      </c>
      <c r="G1457" s="12">
        <f t="shared" si="158"/>
        <v>3.9651240233142233</v>
      </c>
      <c r="I1457" s="12">
        <f t="shared" si="159"/>
        <v>3.9364018911348343E-3</v>
      </c>
      <c r="J1457" s="12">
        <f t="shared" si="160"/>
        <v>5.4233926257759718E-3</v>
      </c>
    </row>
    <row r="1458" spans="1:10">
      <c r="A1458" s="15">
        <v>41738</v>
      </c>
      <c r="B1458" s="11">
        <v>2.1943000000000001</v>
      </c>
      <c r="C1458" s="11">
        <f t="shared" si="154"/>
        <v>7.2000000000000952E-3</v>
      </c>
      <c r="D1458" s="12">
        <f t="shared" si="155"/>
        <v>5.1840000000001374E-5</v>
      </c>
      <c r="E1458" s="12">
        <f t="shared" si="156"/>
        <v>2.0250000000001536E-5</v>
      </c>
      <c r="F1458" s="12">
        <f t="shared" si="157"/>
        <v>1.6451156040560416E-5</v>
      </c>
      <c r="G1458" s="12">
        <f t="shared" si="158"/>
        <v>3.0130456974457811</v>
      </c>
      <c r="I1458" s="12">
        <f t="shared" si="159"/>
        <v>4.0560024704825335E-3</v>
      </c>
      <c r="J1458" s="12">
        <f t="shared" si="160"/>
        <v>5.4233926257759718E-3</v>
      </c>
    </row>
    <row r="1459" spans="1:10">
      <c r="A1459" s="15">
        <v>41739</v>
      </c>
      <c r="B1459" s="11">
        <v>2.1976</v>
      </c>
      <c r="C1459" s="11">
        <f t="shared" si="154"/>
        <v>3.2999999999998586E-3</v>
      </c>
      <c r="D1459" s="12">
        <f t="shared" si="155"/>
        <v>1.0889999999999067E-5</v>
      </c>
      <c r="E1459" s="12">
        <f t="shared" si="156"/>
        <v>5.1840000000001374E-5</v>
      </c>
      <c r="F1459" s="12">
        <f t="shared" si="157"/>
        <v>1.9175944092983924E-5</v>
      </c>
      <c r="G1459" s="12">
        <f t="shared" si="158"/>
        <v>4.2280389338581355</v>
      </c>
      <c r="I1459" s="12">
        <f t="shared" si="159"/>
        <v>4.3790346074202161E-3</v>
      </c>
      <c r="J1459" s="12">
        <f t="shared" si="160"/>
        <v>5.4233926257759718E-3</v>
      </c>
    </row>
    <row r="1460" spans="1:10">
      <c r="A1460" s="15">
        <v>41740</v>
      </c>
      <c r="B1460" s="11">
        <v>2.1977000000000002</v>
      </c>
      <c r="C1460" s="11">
        <f t="shared" si="154"/>
        <v>1.0000000000021103E-4</v>
      </c>
      <c r="D1460" s="12">
        <f t="shared" si="155"/>
        <v>1.0000000000042206E-8</v>
      </c>
      <c r="E1460" s="12">
        <f t="shared" si="156"/>
        <v>1.0889999999999067E-5</v>
      </c>
      <c r="F1460" s="12">
        <f t="shared" si="157"/>
        <v>1.9178984050734506E-5</v>
      </c>
      <c r="G1460" s="12">
        <f t="shared" si="158"/>
        <v>4.5116484869390394</v>
      </c>
      <c r="I1460" s="12">
        <f t="shared" si="159"/>
        <v>4.3793816973100785E-3</v>
      </c>
      <c r="J1460" s="12">
        <f t="shared" si="160"/>
        <v>5.4233926257759718E-3</v>
      </c>
    </row>
    <row r="1461" spans="1:10">
      <c r="A1461" s="15">
        <v>41741</v>
      </c>
      <c r="B1461" s="11">
        <v>2.1932</v>
      </c>
      <c r="C1461" s="11">
        <f t="shared" si="154"/>
        <v>-4.5000000000001705E-3</v>
      </c>
      <c r="D1461" s="12">
        <f t="shared" si="155"/>
        <v>2.0250000000001536E-5</v>
      </c>
      <c r="E1461" s="12">
        <f t="shared" si="156"/>
        <v>1.0000000000042206E-8</v>
      </c>
      <c r="F1461" s="12">
        <f t="shared" si="157"/>
        <v>1.853685720314743E-5</v>
      </c>
      <c r="G1461" s="12">
        <f t="shared" si="158"/>
        <v>3.9827271275456475</v>
      </c>
      <c r="I1461" s="12">
        <f t="shared" si="159"/>
        <v>4.3054450644674858E-3</v>
      </c>
      <c r="J1461" s="12">
        <f t="shared" si="160"/>
        <v>5.4233926257759718E-3</v>
      </c>
    </row>
    <row r="1462" spans="1:10">
      <c r="A1462" s="15">
        <v>41742</v>
      </c>
      <c r="B1462" s="11">
        <v>2.1951999999999998</v>
      </c>
      <c r="C1462" s="11">
        <f t="shared" si="154"/>
        <v>1.9999999999997797E-3</v>
      </c>
      <c r="D1462" s="12">
        <f t="shared" si="155"/>
        <v>3.9999999999991189E-6</v>
      </c>
      <c r="E1462" s="12">
        <f t="shared" si="156"/>
        <v>2.0250000000001536E-5</v>
      </c>
      <c r="F1462" s="12">
        <f t="shared" si="157"/>
        <v>1.9163771674024982E-5</v>
      </c>
      <c r="G1462" s="12">
        <f t="shared" si="158"/>
        <v>4.4079423465882792</v>
      </c>
      <c r="I1462" s="12">
        <f t="shared" si="159"/>
        <v>4.377644534909725E-3</v>
      </c>
      <c r="J1462" s="12">
        <f t="shared" si="160"/>
        <v>5.4233926257759718E-3</v>
      </c>
    </row>
    <row r="1463" spans="1:10">
      <c r="A1463" s="15">
        <v>41743</v>
      </c>
      <c r="B1463" s="11">
        <v>2.1947000000000001</v>
      </c>
      <c r="C1463" s="11">
        <f t="shared" si="154"/>
        <v>-4.9999999999972289E-4</v>
      </c>
      <c r="D1463" s="12">
        <f t="shared" si="155"/>
        <v>2.499999999997229E-7</v>
      </c>
      <c r="E1463" s="12">
        <f t="shared" si="156"/>
        <v>3.9999999999991189E-6</v>
      </c>
      <c r="F1463" s="12">
        <f t="shared" si="157"/>
        <v>1.8759770322346321E-5</v>
      </c>
      <c r="G1463" s="12">
        <f t="shared" si="158"/>
        <v>4.5162961935286141</v>
      </c>
      <c r="I1463" s="12">
        <f t="shared" si="159"/>
        <v>4.3312550516387653E-3</v>
      </c>
      <c r="J1463" s="12">
        <f t="shared" si="160"/>
        <v>5.4233926257759718E-3</v>
      </c>
    </row>
    <row r="1464" spans="1:10">
      <c r="A1464" s="15">
        <v>41744</v>
      </c>
      <c r="B1464" s="11">
        <v>2.1924000000000001</v>
      </c>
      <c r="C1464" s="11">
        <f t="shared" si="154"/>
        <v>-2.2999999999999687E-3</v>
      </c>
      <c r="D1464" s="12">
        <f t="shared" si="155"/>
        <v>5.2899999999998562E-6</v>
      </c>
      <c r="E1464" s="12">
        <f t="shared" si="156"/>
        <v>2.499999999997229E-7</v>
      </c>
      <c r="F1464" s="12">
        <f t="shared" si="157"/>
        <v>1.8177210350924371E-5</v>
      </c>
      <c r="G1464" s="12">
        <f t="shared" si="158"/>
        <v>4.3932205457485258</v>
      </c>
      <c r="I1464" s="12">
        <f t="shared" si="159"/>
        <v>4.2634739768086273E-3</v>
      </c>
      <c r="J1464" s="12">
        <f t="shared" si="160"/>
        <v>5.4233926257759718E-3</v>
      </c>
    </row>
    <row r="1465" spans="1:10">
      <c r="A1465" s="15">
        <v>41745</v>
      </c>
      <c r="B1465" s="11">
        <v>2.1941999999999999</v>
      </c>
      <c r="C1465" s="11">
        <f t="shared" si="154"/>
        <v>1.7999999999998018E-3</v>
      </c>
      <c r="D1465" s="12">
        <f t="shared" si="155"/>
        <v>3.2399999999992863E-6</v>
      </c>
      <c r="E1465" s="12">
        <f t="shared" si="156"/>
        <v>5.2899999999998562E-6</v>
      </c>
      <c r="F1465" s="12">
        <f t="shared" si="157"/>
        <v>1.7956372275691779E-5</v>
      </c>
      <c r="G1465" s="12">
        <f t="shared" si="158"/>
        <v>4.4546255430849877</v>
      </c>
      <c r="I1465" s="12">
        <f t="shared" si="159"/>
        <v>4.2374959912301717E-3</v>
      </c>
      <c r="J1465" s="12">
        <f t="shared" si="160"/>
        <v>5.4233926257759718E-3</v>
      </c>
    </row>
    <row r="1466" spans="1:10">
      <c r="A1466" s="15">
        <v>41746</v>
      </c>
      <c r="B1466" s="11">
        <v>2.1943000000000001</v>
      </c>
      <c r="C1466" s="11">
        <f t="shared" si="154"/>
        <v>1.0000000000021103E-4</v>
      </c>
      <c r="D1466" s="12">
        <f t="shared" si="155"/>
        <v>1.0000000000042206E-8</v>
      </c>
      <c r="E1466" s="12">
        <f t="shared" si="156"/>
        <v>3.2399999999992863E-6</v>
      </c>
      <c r="F1466" s="12">
        <f t="shared" si="157"/>
        <v>1.7637920424748538E-5</v>
      </c>
      <c r="G1466" s="12">
        <f t="shared" si="158"/>
        <v>4.5535076813218192</v>
      </c>
      <c r="I1466" s="12">
        <f t="shared" si="159"/>
        <v>4.1997524242208062E-3</v>
      </c>
      <c r="J1466" s="12">
        <f t="shared" si="160"/>
        <v>5.4233926257759718E-3</v>
      </c>
    </row>
    <row r="1467" spans="1:10">
      <c r="A1467" s="15">
        <v>41747</v>
      </c>
      <c r="B1467" s="11">
        <v>2.1957</v>
      </c>
      <c r="C1467" s="11">
        <f t="shared" si="154"/>
        <v>1.3999999999998458E-3</v>
      </c>
      <c r="D1467" s="12">
        <f t="shared" si="155"/>
        <v>1.9599999999995683E-6</v>
      </c>
      <c r="E1467" s="12">
        <f t="shared" si="156"/>
        <v>1.0000000000042206E-8</v>
      </c>
      <c r="F1467" s="12">
        <f t="shared" si="157"/>
        <v>1.7162476311585015E-5</v>
      </c>
      <c r="G1467" s="12">
        <f t="shared" si="158"/>
        <v>4.5103527259875564</v>
      </c>
      <c r="I1467" s="12">
        <f t="shared" si="159"/>
        <v>4.1427619182841068E-3</v>
      </c>
      <c r="J1467" s="12">
        <f t="shared" si="160"/>
        <v>5.4233926257759718E-3</v>
      </c>
    </row>
    <row r="1468" spans="1:10">
      <c r="A1468" s="15">
        <v>41748</v>
      </c>
      <c r="B1468" s="11">
        <v>2.1909999999999998</v>
      </c>
      <c r="C1468" s="11">
        <f t="shared" si="154"/>
        <v>-4.7000000000001485E-3</v>
      </c>
      <c r="D1468" s="12">
        <f t="shared" si="155"/>
        <v>2.2090000000001396E-5</v>
      </c>
      <c r="E1468" s="12">
        <f t="shared" si="156"/>
        <v>1.9599999999995683E-6</v>
      </c>
      <c r="F1468" s="12">
        <f t="shared" si="157"/>
        <v>1.6854029619805477E-5</v>
      </c>
      <c r="G1468" s="12">
        <f t="shared" si="158"/>
        <v>3.921188957373642</v>
      </c>
      <c r="I1468" s="12">
        <f t="shared" si="159"/>
        <v>4.1053659544315266E-3</v>
      </c>
      <c r="J1468" s="12">
        <f t="shared" si="160"/>
        <v>5.4233926257759718E-3</v>
      </c>
    </row>
    <row r="1469" spans="1:10">
      <c r="A1469" s="15">
        <v>41749</v>
      </c>
      <c r="B1469" s="11">
        <v>2.1924000000000001</v>
      </c>
      <c r="C1469" s="11">
        <f t="shared" si="154"/>
        <v>1.4000000000002899E-3</v>
      </c>
      <c r="D1469" s="12">
        <f t="shared" si="155"/>
        <v>1.9600000000008118E-6</v>
      </c>
      <c r="E1469" s="12">
        <f t="shared" si="156"/>
        <v>2.2090000000001396E-5</v>
      </c>
      <c r="F1469" s="12">
        <f t="shared" si="157"/>
        <v>1.7772013619101186E-5</v>
      </c>
      <c r="G1469" s="12">
        <f t="shared" si="158"/>
        <v>4.4948613835004076</v>
      </c>
      <c r="I1469" s="12">
        <f t="shared" si="159"/>
        <v>4.2156866130087503E-3</v>
      </c>
      <c r="J1469" s="12">
        <f t="shared" si="160"/>
        <v>5.4233926257759718E-3</v>
      </c>
    </row>
    <row r="1470" spans="1:10">
      <c r="A1470" s="15">
        <v>41750</v>
      </c>
      <c r="B1470" s="11">
        <v>2.1964000000000001</v>
      </c>
      <c r="C1470" s="11">
        <f t="shared" si="154"/>
        <v>4.0000000000000036E-3</v>
      </c>
      <c r="D1470" s="12">
        <f t="shared" si="155"/>
        <v>1.600000000000003E-5</v>
      </c>
      <c r="E1470" s="12">
        <f t="shared" si="156"/>
        <v>1.9600000000008118E-6</v>
      </c>
      <c r="F1470" s="12">
        <f t="shared" si="157"/>
        <v>1.7397638860863753E-5</v>
      </c>
      <c r="G1470" s="12">
        <f t="shared" si="158"/>
        <v>4.1008169755757935</v>
      </c>
      <c r="I1470" s="12">
        <f t="shared" si="159"/>
        <v>4.1710476934295245E-3</v>
      </c>
      <c r="J1470" s="12">
        <f t="shared" si="160"/>
        <v>5.4233926257759718E-3</v>
      </c>
    </row>
    <row r="1471" spans="1:10">
      <c r="A1471" s="15">
        <v>41751</v>
      </c>
      <c r="B1471" s="11">
        <v>2.1955</v>
      </c>
      <c r="C1471" s="11">
        <f t="shared" si="154"/>
        <v>-9.0000000000012292E-4</v>
      </c>
      <c r="D1471" s="12">
        <f t="shared" si="155"/>
        <v>8.1000000000022126E-7</v>
      </c>
      <c r="E1471" s="12">
        <f t="shared" si="156"/>
        <v>1.600000000000003E-5</v>
      </c>
      <c r="F1471" s="12">
        <f t="shared" si="157"/>
        <v>1.789588229908957E-5</v>
      </c>
      <c r="G1471" s="12">
        <f t="shared" si="158"/>
        <v>4.5239005104595522</v>
      </c>
      <c r="I1471" s="12">
        <f t="shared" si="159"/>
        <v>4.230352502935136E-3</v>
      </c>
      <c r="J1471" s="12">
        <f t="shared" si="160"/>
        <v>5.4233926257759718E-3</v>
      </c>
    </row>
    <row r="1472" spans="1:10">
      <c r="A1472" s="15">
        <v>41752</v>
      </c>
      <c r="B1472" s="11">
        <v>2.2004999999999999</v>
      </c>
      <c r="C1472" s="11">
        <f t="shared" si="154"/>
        <v>4.9999999999998934E-3</v>
      </c>
      <c r="D1472" s="12">
        <f t="shared" si="155"/>
        <v>2.4999999999998934E-5</v>
      </c>
      <c r="E1472" s="12">
        <f t="shared" si="156"/>
        <v>8.1000000000022126E-7</v>
      </c>
      <c r="F1472" s="12">
        <f t="shared" si="157"/>
        <v>1.7439951372114061E-5</v>
      </c>
      <c r="G1472" s="12">
        <f t="shared" si="158"/>
        <v>3.842689805536962</v>
      </c>
      <c r="I1472" s="12">
        <f t="shared" si="159"/>
        <v>4.1761167814267433E-3</v>
      </c>
      <c r="J1472" s="12">
        <f t="shared" si="160"/>
        <v>5.4233926257759718E-3</v>
      </c>
    </row>
    <row r="1473" spans="1:10">
      <c r="A1473" s="15">
        <v>41753</v>
      </c>
      <c r="B1473" s="11">
        <v>2.2012999999999998</v>
      </c>
      <c r="C1473" s="11">
        <f t="shared" si="154"/>
        <v>7.9999999999991189E-4</v>
      </c>
      <c r="D1473" s="12">
        <f t="shared" si="155"/>
        <v>6.3999999999985898E-7</v>
      </c>
      <c r="E1473" s="12">
        <f t="shared" si="156"/>
        <v>2.4999999999998934E-5</v>
      </c>
      <c r="F1473" s="12">
        <f t="shared" si="157"/>
        <v>1.8467032041188209E-5</v>
      </c>
      <c r="G1473" s="12">
        <f t="shared" si="158"/>
        <v>4.5134950161275995</v>
      </c>
      <c r="I1473" s="12">
        <f t="shared" si="159"/>
        <v>4.2973284772272425E-3</v>
      </c>
      <c r="J1473" s="12">
        <f t="shared" si="160"/>
        <v>5.4233926257759718E-3</v>
      </c>
    </row>
    <row r="1474" spans="1:10">
      <c r="A1474" s="15">
        <v>41754</v>
      </c>
      <c r="B1474" s="11">
        <v>2.2037</v>
      </c>
      <c r="C1474" s="11">
        <f t="shared" si="154"/>
        <v>2.4000000000001798E-3</v>
      </c>
      <c r="D1474" s="12">
        <f t="shared" si="155"/>
        <v>5.760000000000863E-6</v>
      </c>
      <c r="E1474" s="12">
        <f t="shared" si="156"/>
        <v>6.3999999999985898E-7</v>
      </c>
      <c r="F1474" s="12">
        <f t="shared" si="157"/>
        <v>1.7939249485264613E-5</v>
      </c>
      <c r="G1474" s="12">
        <f t="shared" si="158"/>
        <v>4.3847793945910736</v>
      </c>
      <c r="I1474" s="12">
        <f t="shared" si="159"/>
        <v>4.2354751191884732E-3</v>
      </c>
      <c r="J1474" s="12">
        <f t="shared" si="160"/>
        <v>5.4233926257759718E-3</v>
      </c>
    </row>
    <row r="1475" spans="1:10">
      <c r="A1475" s="15">
        <v>41755</v>
      </c>
      <c r="B1475" s="11">
        <v>2.2094999999999998</v>
      </c>
      <c r="C1475" s="11">
        <f t="shared" si="154"/>
        <v>5.7999999999998053E-3</v>
      </c>
      <c r="D1475" s="12">
        <f t="shared" si="155"/>
        <v>3.363999999999774E-5</v>
      </c>
      <c r="E1475" s="12">
        <f t="shared" si="156"/>
        <v>5.760000000000863E-6</v>
      </c>
      <c r="F1475" s="12">
        <f t="shared" si="157"/>
        <v>1.7772005510212477E-5</v>
      </c>
      <c r="G1475" s="12">
        <f t="shared" si="158"/>
        <v>3.6035721936787959</v>
      </c>
      <c r="I1475" s="12">
        <f t="shared" si="159"/>
        <v>4.2156856512568005E-3</v>
      </c>
      <c r="J1475" s="12">
        <f t="shared" si="160"/>
        <v>5.4233926257759718E-3</v>
      </c>
    </row>
    <row r="1476" spans="1:10">
      <c r="A1476" s="15">
        <v>41756</v>
      </c>
      <c r="B1476" s="11">
        <v>2.2046000000000001</v>
      </c>
      <c r="C1476" s="11">
        <f t="shared" si="154"/>
        <v>-4.8999999999996824E-3</v>
      </c>
      <c r="D1476" s="12">
        <f t="shared" si="155"/>
        <v>2.4009999999996889E-5</v>
      </c>
      <c r="E1476" s="12">
        <f t="shared" si="156"/>
        <v>3.363999999999774E-5</v>
      </c>
      <c r="F1476" s="12">
        <f t="shared" si="157"/>
        <v>1.9275248161238874E-5</v>
      </c>
      <c r="G1476" s="12">
        <f t="shared" si="158"/>
        <v>3.8865863632232487</v>
      </c>
      <c r="I1476" s="12">
        <f t="shared" si="159"/>
        <v>4.3903585458637514E-3</v>
      </c>
      <c r="J1476" s="12">
        <f t="shared" si="160"/>
        <v>5.4233926257759718E-3</v>
      </c>
    </row>
    <row r="1477" spans="1:10">
      <c r="A1477" s="15">
        <v>41757</v>
      </c>
      <c r="B1477" s="11">
        <v>2.2088000000000001</v>
      </c>
      <c r="C1477" s="11">
        <f t="shared" si="154"/>
        <v>4.1999999999999815E-3</v>
      </c>
      <c r="D1477" s="12">
        <f t="shared" si="155"/>
        <v>1.7639999999999845E-5</v>
      </c>
      <c r="E1477" s="12">
        <f t="shared" si="156"/>
        <v>2.4009999999996889E-5</v>
      </c>
      <c r="F1477" s="12">
        <f t="shared" si="157"/>
        <v>2.0045146073531616E-5</v>
      </c>
      <c r="G1477" s="12">
        <f t="shared" si="158"/>
        <v>4.0498164506191152</v>
      </c>
      <c r="I1477" s="12">
        <f t="shared" si="159"/>
        <v>4.4771805942503164E-3</v>
      </c>
      <c r="J1477" s="12">
        <f t="shared" si="160"/>
        <v>5.4233926257759718E-3</v>
      </c>
    </row>
    <row r="1478" spans="1:10">
      <c r="A1478" s="15">
        <v>41758</v>
      </c>
      <c r="B1478" s="11">
        <v>2.2168000000000001</v>
      </c>
      <c r="C1478" s="11">
        <f t="shared" si="154"/>
        <v>8.0000000000000071E-3</v>
      </c>
      <c r="D1478" s="12">
        <f t="shared" si="155"/>
        <v>6.4000000000000119E-5</v>
      </c>
      <c r="E1478" s="12">
        <f t="shared" si="156"/>
        <v>1.7639999999999845E-5</v>
      </c>
      <c r="F1478" s="12">
        <f t="shared" si="157"/>
        <v>2.0354232756651252E-5</v>
      </c>
      <c r="G1478" s="12">
        <f t="shared" si="158"/>
        <v>2.9100177266456693</v>
      </c>
      <c r="I1478" s="12">
        <f t="shared" si="159"/>
        <v>4.5115665523907823E-3</v>
      </c>
      <c r="J1478" s="12">
        <f t="shared" si="160"/>
        <v>5.4233926257759718E-3</v>
      </c>
    </row>
    <row r="1479" spans="1:10">
      <c r="A1479" s="15">
        <v>41759</v>
      </c>
      <c r="B1479" s="11">
        <v>2.2221000000000002</v>
      </c>
      <c r="C1479" s="11">
        <f t="shared" si="154"/>
        <v>5.3000000000000824E-3</v>
      </c>
      <c r="D1479" s="12">
        <f t="shared" si="155"/>
        <v>2.8090000000000875E-5</v>
      </c>
      <c r="E1479" s="12">
        <f t="shared" si="156"/>
        <v>6.4000000000000119E-5</v>
      </c>
      <c r="F1479" s="12">
        <f t="shared" si="157"/>
        <v>2.3377562052767741E-5</v>
      </c>
      <c r="G1479" s="12">
        <f t="shared" si="158"/>
        <v>3.8121386360504745</v>
      </c>
      <c r="I1479" s="12">
        <f t="shared" si="159"/>
        <v>4.835034855382921E-3</v>
      </c>
      <c r="J1479" s="12">
        <f t="shared" si="160"/>
        <v>5.4233926257759718E-3</v>
      </c>
    </row>
    <row r="1480" spans="1:10">
      <c r="A1480" s="15">
        <v>41760</v>
      </c>
      <c r="B1480" s="11">
        <v>2.2181000000000002</v>
      </c>
      <c r="C1480" s="11">
        <f t="shared" si="154"/>
        <v>-4.0000000000000036E-3</v>
      </c>
      <c r="D1480" s="12">
        <f t="shared" si="155"/>
        <v>1.600000000000003E-5</v>
      </c>
      <c r="E1480" s="12">
        <f t="shared" si="156"/>
        <v>2.8090000000000875E-5</v>
      </c>
      <c r="F1480" s="12">
        <f t="shared" si="157"/>
        <v>2.3945564503910449E-5</v>
      </c>
      <c r="G1480" s="12">
        <f t="shared" si="158"/>
        <v>4.0668340835048102</v>
      </c>
      <c r="I1480" s="12">
        <f t="shared" si="159"/>
        <v>4.8934205320931134E-3</v>
      </c>
      <c r="J1480" s="12">
        <f t="shared" si="160"/>
        <v>5.4233926257759718E-3</v>
      </c>
    </row>
    <row r="1481" spans="1:10">
      <c r="A1481" s="15">
        <v>41761</v>
      </c>
      <c r="B1481" s="11">
        <v>2.2248000000000001</v>
      </c>
      <c r="C1481" s="11">
        <f t="shared" si="154"/>
        <v>6.6999999999999282E-3</v>
      </c>
      <c r="D1481" s="12">
        <f t="shared" si="155"/>
        <v>4.4889999999999037E-5</v>
      </c>
      <c r="E1481" s="12">
        <f t="shared" si="156"/>
        <v>1.600000000000003E-5</v>
      </c>
      <c r="F1481" s="12">
        <f t="shared" si="157"/>
        <v>2.3735578812215146E-5</v>
      </c>
      <c r="G1481" s="12">
        <f t="shared" si="158"/>
        <v>3.4597023456537093</v>
      </c>
      <c r="I1481" s="12">
        <f t="shared" si="159"/>
        <v>4.8719173650848338E-3</v>
      </c>
      <c r="J1481" s="12">
        <f t="shared" si="160"/>
        <v>5.4233926257759718E-3</v>
      </c>
    </row>
    <row r="1482" spans="1:10">
      <c r="A1482" s="15">
        <v>41762</v>
      </c>
      <c r="B1482" s="11">
        <v>2.2235</v>
      </c>
      <c r="C1482" s="11">
        <f t="shared" si="154"/>
        <v>-1.3000000000000789E-3</v>
      </c>
      <c r="D1482" s="12">
        <f t="shared" si="155"/>
        <v>1.6900000000002051E-6</v>
      </c>
      <c r="E1482" s="12">
        <f t="shared" si="156"/>
        <v>4.4889999999999037E-5</v>
      </c>
      <c r="F1482" s="12">
        <f t="shared" si="157"/>
        <v>2.5260563607125772E-5</v>
      </c>
      <c r="G1482" s="12">
        <f t="shared" si="158"/>
        <v>4.3407431721310283</v>
      </c>
      <c r="I1482" s="12">
        <f t="shared" si="159"/>
        <v>5.025988818842096E-3</v>
      </c>
      <c r="J1482" s="12">
        <f t="shared" si="160"/>
        <v>5.4233926257759718E-3</v>
      </c>
    </row>
    <row r="1483" spans="1:10">
      <c r="A1483" s="15">
        <v>41763</v>
      </c>
      <c r="B1483" s="11">
        <v>2.2233999999999998</v>
      </c>
      <c r="C1483" s="11">
        <f t="shared" si="154"/>
        <v>-1.0000000000021103E-4</v>
      </c>
      <c r="D1483" s="12">
        <f t="shared" si="155"/>
        <v>1.0000000000042206E-8</v>
      </c>
      <c r="E1483" s="12">
        <f t="shared" si="156"/>
        <v>1.6900000000002051E-6</v>
      </c>
      <c r="F1483" s="12">
        <f t="shared" si="157"/>
        <v>2.4060218587196398E-5</v>
      </c>
      <c r="G1483" s="12">
        <f t="shared" si="158"/>
        <v>4.3983290286840049</v>
      </c>
      <c r="I1483" s="12">
        <f t="shared" si="159"/>
        <v>4.905121668949344E-3</v>
      </c>
      <c r="J1483" s="12">
        <f t="shared" si="160"/>
        <v>5.4233926257759718E-3</v>
      </c>
    </row>
    <row r="1484" spans="1:10">
      <c r="A1484" s="15">
        <v>41764</v>
      </c>
      <c r="B1484" s="11">
        <v>2.2252999999999998</v>
      </c>
      <c r="C1484" s="11">
        <f t="shared" si="154"/>
        <v>1.9000000000000128E-3</v>
      </c>
      <c r="D1484" s="12">
        <f t="shared" si="155"/>
        <v>3.6100000000000484E-6</v>
      </c>
      <c r="E1484" s="12">
        <f t="shared" si="156"/>
        <v>1.0000000000042206E-8</v>
      </c>
      <c r="F1484" s="12">
        <f t="shared" si="157"/>
        <v>2.2890133317789065E-5</v>
      </c>
      <c r="G1484" s="12">
        <f t="shared" si="158"/>
        <v>4.3446088231809972</v>
      </c>
      <c r="I1484" s="12">
        <f t="shared" si="159"/>
        <v>4.7843634182395747E-3</v>
      </c>
      <c r="J1484" s="12">
        <f t="shared" si="160"/>
        <v>5.4233926257759718E-3</v>
      </c>
    </row>
    <row r="1485" spans="1:10">
      <c r="A1485" s="15">
        <v>41765</v>
      </c>
      <c r="B1485" s="11">
        <v>2.2309999999999999</v>
      </c>
      <c r="C1485" s="11">
        <f t="shared" si="154"/>
        <v>5.7000000000000384E-3</v>
      </c>
      <c r="D1485" s="12">
        <f t="shared" si="155"/>
        <v>3.2490000000000436E-5</v>
      </c>
      <c r="E1485" s="12">
        <f t="shared" si="156"/>
        <v>3.6100000000000484E-6</v>
      </c>
      <c r="F1485" s="12">
        <f t="shared" si="157"/>
        <v>2.205997096760555E-5</v>
      </c>
      <c r="G1485" s="12">
        <f t="shared" si="158"/>
        <v>3.7055326950641425</v>
      </c>
      <c r="I1485" s="12">
        <f t="shared" si="159"/>
        <v>4.6968043356739432E-3</v>
      </c>
      <c r="J1485" s="12">
        <f t="shared" si="160"/>
        <v>5.4233926257759718E-3</v>
      </c>
    </row>
    <row r="1486" spans="1:10">
      <c r="A1486" s="15">
        <v>41766</v>
      </c>
      <c r="B1486" s="11">
        <v>2.2324999999999999</v>
      </c>
      <c r="C1486" s="11">
        <f t="shared" ref="C1486:C1549" si="161">B1486-B1485</f>
        <v>1.5000000000000568E-3</v>
      </c>
      <c r="D1486" s="12">
        <f t="shared" ref="D1486:D1549" si="162">C1486^2</f>
        <v>2.2500000000001707E-6</v>
      </c>
      <c r="E1486" s="12">
        <f t="shared" si="156"/>
        <v>3.2490000000000436E-5</v>
      </c>
      <c r="F1486" s="12">
        <f t="shared" si="157"/>
        <v>2.3031265249625212E-5</v>
      </c>
      <c r="G1486" s="12">
        <f t="shared" si="158"/>
        <v>4.371543769262936</v>
      </c>
      <c r="I1486" s="12">
        <f t="shared" si="159"/>
        <v>4.7990900439172021E-3</v>
      </c>
      <c r="J1486" s="12">
        <f t="shared" si="160"/>
        <v>5.4233926257759718E-3</v>
      </c>
    </row>
    <row r="1487" spans="1:10">
      <c r="A1487" s="15">
        <v>41767</v>
      </c>
      <c r="B1487" s="11">
        <v>2.2294</v>
      </c>
      <c r="C1487" s="11">
        <f t="shared" si="161"/>
        <v>-3.0999999999998806E-3</v>
      </c>
      <c r="D1487" s="12">
        <f t="shared" si="162"/>
        <v>9.6099999999992592E-6</v>
      </c>
      <c r="E1487" s="12">
        <f t="shared" ref="E1487:E1550" si="163">D1486</f>
        <v>2.2500000000001707E-6</v>
      </c>
      <c r="F1487" s="12">
        <f t="shared" ref="F1487:F1550" si="164">$B$5+$B$6*E1487+$B$7*F1486</f>
        <v>2.2105233201193815E-5</v>
      </c>
      <c r="G1487" s="12">
        <f t="shared" ref="G1487:G1550" si="165">LN((1/SQRT(2*3.1415927*F1487))*EXP(-0.5*D1487/F1487))</f>
        <v>4.2235402077335626</v>
      </c>
      <c r="I1487" s="12">
        <f t="shared" ref="I1487:I1550" si="166">SQRT(F1487)</f>
        <v>4.7016202740325398E-3</v>
      </c>
      <c r="J1487" s="12">
        <f t="shared" si="160"/>
        <v>5.4233926257759718E-3</v>
      </c>
    </row>
    <row r="1488" spans="1:10">
      <c r="A1488" s="15">
        <v>41768</v>
      </c>
      <c r="B1488" s="11">
        <v>2.2233999999999998</v>
      </c>
      <c r="C1488" s="11">
        <f t="shared" si="161"/>
        <v>-6.0000000000002274E-3</v>
      </c>
      <c r="D1488" s="12">
        <f t="shared" si="162"/>
        <v>3.6000000000002732E-5</v>
      </c>
      <c r="E1488" s="12">
        <f t="shared" si="163"/>
        <v>9.6099999999992592E-6</v>
      </c>
      <c r="F1488" s="12">
        <f t="shared" si="164"/>
        <v>2.1715575497696225E-5</v>
      </c>
      <c r="G1488" s="12">
        <f t="shared" si="165"/>
        <v>3.6209037208215471</v>
      </c>
      <c r="I1488" s="12">
        <f t="shared" si="166"/>
        <v>4.6599973709967072E-3</v>
      </c>
      <c r="J1488" s="12">
        <f t="shared" ref="J1488:J1551" si="167">J1487</f>
        <v>5.4233926257759718E-3</v>
      </c>
    </row>
    <row r="1489" spans="1:10">
      <c r="A1489" s="15">
        <v>41769</v>
      </c>
      <c r="B1489" s="11">
        <v>2.2263000000000002</v>
      </c>
      <c r="C1489" s="11">
        <f t="shared" si="161"/>
        <v>2.9000000000003467E-3</v>
      </c>
      <c r="D1489" s="12">
        <f t="shared" si="162"/>
        <v>8.4100000000020117E-6</v>
      </c>
      <c r="E1489" s="12">
        <f t="shared" si="163"/>
        <v>3.6000000000002732E-5</v>
      </c>
      <c r="F1489" s="12">
        <f t="shared" si="164"/>
        <v>2.2932151259765855E-5</v>
      </c>
      <c r="G1489" s="12">
        <f t="shared" si="165"/>
        <v>4.2391797732810481</v>
      </c>
      <c r="I1489" s="12">
        <f t="shared" si="166"/>
        <v>4.7887525786749364E-3</v>
      </c>
      <c r="J1489" s="12">
        <f t="shared" si="167"/>
        <v>5.4233926257759718E-3</v>
      </c>
    </row>
    <row r="1490" spans="1:10">
      <c r="A1490" s="15">
        <v>41770</v>
      </c>
      <c r="B1490" s="11">
        <v>2.2284000000000002</v>
      </c>
      <c r="C1490" s="11">
        <f t="shared" si="161"/>
        <v>2.0999999999999908E-3</v>
      </c>
      <c r="D1490" s="12">
        <f t="shared" si="162"/>
        <v>4.4099999999999612E-6</v>
      </c>
      <c r="E1490" s="12">
        <f t="shared" si="163"/>
        <v>8.4100000000020117E-6</v>
      </c>
      <c r="F1490" s="12">
        <f t="shared" si="164"/>
        <v>2.2381931567097399E-5</v>
      </c>
      <c r="G1490" s="12">
        <f t="shared" si="165"/>
        <v>4.3361727685513518</v>
      </c>
      <c r="I1490" s="12">
        <f t="shared" si="166"/>
        <v>4.7309546147788605E-3</v>
      </c>
      <c r="J1490" s="12">
        <f t="shared" si="167"/>
        <v>5.4233926257759718E-3</v>
      </c>
    </row>
    <row r="1491" spans="1:10">
      <c r="A1491" s="15">
        <v>41771</v>
      </c>
      <c r="B1491" s="11">
        <v>2.2231999999999998</v>
      </c>
      <c r="C1491" s="11">
        <f t="shared" si="161"/>
        <v>-5.2000000000003155E-3</v>
      </c>
      <c r="D1491" s="12">
        <f t="shared" si="162"/>
        <v>2.7040000000003282E-5</v>
      </c>
      <c r="E1491" s="12">
        <f t="shared" si="163"/>
        <v>4.4099999999999612E-6</v>
      </c>
      <c r="F1491" s="12">
        <f t="shared" si="164"/>
        <v>2.1654151303439856E-5</v>
      </c>
      <c r="G1491" s="12">
        <f t="shared" si="165"/>
        <v>3.8268574965141173</v>
      </c>
      <c r="I1491" s="12">
        <f t="shared" si="166"/>
        <v>4.6534021213989075E-3</v>
      </c>
      <c r="J1491" s="12">
        <f t="shared" si="167"/>
        <v>5.4233926257759718E-3</v>
      </c>
    </row>
    <row r="1492" spans="1:10">
      <c r="A1492" s="15">
        <v>41772</v>
      </c>
      <c r="B1492" s="11">
        <v>2.2195999999999998</v>
      </c>
      <c r="C1492" s="11">
        <f t="shared" si="161"/>
        <v>-3.6000000000000476E-3</v>
      </c>
      <c r="D1492" s="12">
        <f t="shared" si="162"/>
        <v>1.2960000000000343E-5</v>
      </c>
      <c r="E1492" s="12">
        <f t="shared" si="163"/>
        <v>2.7040000000003282E-5</v>
      </c>
      <c r="F1492" s="12">
        <f t="shared" si="164"/>
        <v>2.2346327698270543E-5</v>
      </c>
      <c r="G1492" s="12">
        <f t="shared" si="165"/>
        <v>4.1455052067524845</v>
      </c>
      <c r="I1492" s="12">
        <f t="shared" si="166"/>
        <v>4.7271902540801701E-3</v>
      </c>
      <c r="J1492" s="12">
        <f t="shared" si="167"/>
        <v>5.4233926257759718E-3</v>
      </c>
    </row>
    <row r="1493" spans="1:10">
      <c r="A1493" s="15">
        <v>41773</v>
      </c>
      <c r="B1493" s="11">
        <v>2.2250000000000001</v>
      </c>
      <c r="C1493" s="11">
        <f t="shared" si="161"/>
        <v>5.4000000000002935E-3</v>
      </c>
      <c r="D1493" s="12">
        <f t="shared" si="162"/>
        <v>2.916000000000317E-5</v>
      </c>
      <c r="E1493" s="12">
        <f t="shared" si="163"/>
        <v>1.2960000000000343E-5</v>
      </c>
      <c r="F1493" s="12">
        <f t="shared" si="164"/>
        <v>2.2129141477108621E-5</v>
      </c>
      <c r="G1493" s="12">
        <f t="shared" si="165"/>
        <v>3.7815093370765771</v>
      </c>
      <c r="I1493" s="12">
        <f t="shared" si="166"/>
        <v>4.704162144007009E-3</v>
      </c>
      <c r="J1493" s="12">
        <f t="shared" si="167"/>
        <v>5.4233926257759718E-3</v>
      </c>
    </row>
    <row r="1494" spans="1:10">
      <c r="A1494" s="15">
        <v>41774</v>
      </c>
      <c r="B1494" s="11">
        <v>2.2256</v>
      </c>
      <c r="C1494" s="11">
        <f t="shared" si="161"/>
        <v>5.9999999999993392E-4</v>
      </c>
      <c r="D1494" s="12">
        <f t="shared" si="162"/>
        <v>3.5999999999992069E-7</v>
      </c>
      <c r="E1494" s="12">
        <f t="shared" si="163"/>
        <v>2.916000000000317E-5</v>
      </c>
      <c r="F1494" s="12">
        <f t="shared" si="164"/>
        <v>2.2895591117404696E-5</v>
      </c>
      <c r="G1494" s="12">
        <f t="shared" si="165"/>
        <v>4.4154827805732753</v>
      </c>
      <c r="I1494" s="12">
        <f t="shared" si="166"/>
        <v>4.7849337631157129E-3</v>
      </c>
      <c r="J1494" s="12">
        <f t="shared" si="167"/>
        <v>5.4233926257759718E-3</v>
      </c>
    </row>
    <row r="1495" spans="1:10">
      <c r="A1495" s="15">
        <v>41775</v>
      </c>
      <c r="B1495" s="11">
        <v>2.2273999999999998</v>
      </c>
      <c r="C1495" s="11">
        <f t="shared" si="161"/>
        <v>1.7999999999998018E-3</v>
      </c>
      <c r="D1495" s="12">
        <f t="shared" si="162"/>
        <v>3.2399999999992863E-6</v>
      </c>
      <c r="E1495" s="12">
        <f t="shared" si="163"/>
        <v>3.5999999999992069E-7</v>
      </c>
      <c r="F1495" s="12">
        <f t="shared" si="164"/>
        <v>2.1872216801530159E-5</v>
      </c>
      <c r="G1495" s="12">
        <f t="shared" si="165"/>
        <v>4.3721415757922379</v>
      </c>
      <c r="I1495" s="12">
        <f t="shared" si="166"/>
        <v>4.676774187570976E-3</v>
      </c>
      <c r="J1495" s="12">
        <f t="shared" si="167"/>
        <v>5.4233926257759718E-3</v>
      </c>
    </row>
    <row r="1496" spans="1:10">
      <c r="A1496" s="15">
        <v>41776</v>
      </c>
      <c r="B1496" s="11">
        <v>2.2273000000000001</v>
      </c>
      <c r="C1496" s="11">
        <f t="shared" si="161"/>
        <v>-9.9999999999766942E-5</v>
      </c>
      <c r="D1496" s="12">
        <f t="shared" si="162"/>
        <v>9.9999999999533886E-9</v>
      </c>
      <c r="E1496" s="12">
        <f t="shared" si="163"/>
        <v>3.2399999999992863E-6</v>
      </c>
      <c r="F1496" s="12">
        <f t="shared" si="164"/>
        <v>2.1130223922080293E-5</v>
      </c>
      <c r="G1496" s="12">
        <f t="shared" si="165"/>
        <v>4.463227896052663</v>
      </c>
      <c r="I1496" s="12">
        <f t="shared" si="166"/>
        <v>4.596762330388672E-3</v>
      </c>
      <c r="J1496" s="12">
        <f t="shared" si="167"/>
        <v>5.4233926257759718E-3</v>
      </c>
    </row>
    <row r="1497" spans="1:10">
      <c r="A1497" s="15">
        <v>41778</v>
      </c>
      <c r="B1497" s="11">
        <v>2.2256</v>
      </c>
      <c r="C1497" s="11">
        <f t="shared" si="161"/>
        <v>-1.7000000000000348E-3</v>
      </c>
      <c r="D1497" s="12">
        <f t="shared" si="162"/>
        <v>2.8900000000001184E-6</v>
      </c>
      <c r="E1497" s="12">
        <f t="shared" si="163"/>
        <v>9.9999999999533886E-9</v>
      </c>
      <c r="F1497" s="12">
        <f t="shared" si="164"/>
        <v>2.0277049333317639E-5</v>
      </c>
      <c r="G1497" s="12">
        <f t="shared" si="165"/>
        <v>4.4128090685467924</v>
      </c>
      <c r="I1497" s="12">
        <f t="shared" si="166"/>
        <v>4.5030044784918483E-3</v>
      </c>
      <c r="J1497" s="12">
        <f t="shared" si="167"/>
        <v>5.4233926257759718E-3</v>
      </c>
    </row>
    <row r="1498" spans="1:10">
      <c r="A1498" s="15">
        <v>41779</v>
      </c>
      <c r="B1498" s="11">
        <v>2.2248000000000001</v>
      </c>
      <c r="C1498" s="11">
        <f t="shared" si="161"/>
        <v>-7.9999999999991189E-4</v>
      </c>
      <c r="D1498" s="12">
        <f t="shared" si="162"/>
        <v>6.3999999999985898E-7</v>
      </c>
      <c r="E1498" s="12">
        <f t="shared" si="163"/>
        <v>2.8900000000001184E-6</v>
      </c>
      <c r="F1498" s="12">
        <f t="shared" si="164"/>
        <v>1.9686847235732554E-5</v>
      </c>
      <c r="G1498" s="12">
        <f t="shared" si="165"/>
        <v>4.4825868513201304</v>
      </c>
      <c r="I1498" s="12">
        <f t="shared" si="166"/>
        <v>4.4369862785152443E-3</v>
      </c>
      <c r="J1498" s="12">
        <f t="shared" si="167"/>
        <v>5.4233926257759718E-3</v>
      </c>
    </row>
    <row r="1499" spans="1:10">
      <c r="A1499" s="15">
        <v>41780</v>
      </c>
      <c r="B1499" s="11">
        <v>2.2238000000000002</v>
      </c>
      <c r="C1499" s="11">
        <f t="shared" si="161"/>
        <v>-9.9999999999988987E-4</v>
      </c>
      <c r="D1499" s="12">
        <f t="shared" si="162"/>
        <v>9.9999999999977973E-7</v>
      </c>
      <c r="E1499" s="12">
        <f t="shared" si="163"/>
        <v>6.3999999999985898E-7</v>
      </c>
      <c r="F1499" s="12">
        <f t="shared" si="164"/>
        <v>1.9027128445191802E-5</v>
      </c>
      <c r="G1499" s="12">
        <f t="shared" si="165"/>
        <v>4.4896055825111691</v>
      </c>
      <c r="I1499" s="12">
        <f t="shared" si="166"/>
        <v>4.362009679630686E-3</v>
      </c>
      <c r="J1499" s="12">
        <f t="shared" si="167"/>
        <v>5.4233926257759718E-3</v>
      </c>
    </row>
    <row r="1500" spans="1:10">
      <c r="A1500" s="15">
        <v>41781</v>
      </c>
      <c r="B1500" s="11">
        <v>2.2240000000000002</v>
      </c>
      <c r="C1500" s="11">
        <f t="shared" si="161"/>
        <v>1.9999999999997797E-4</v>
      </c>
      <c r="D1500" s="12">
        <f t="shared" si="162"/>
        <v>3.9999999999991186E-8</v>
      </c>
      <c r="E1500" s="12">
        <f t="shared" si="163"/>
        <v>9.9999999999977973E-7</v>
      </c>
      <c r="F1500" s="12">
        <f t="shared" si="164"/>
        <v>1.8460101943907217E-5</v>
      </c>
      <c r="G1500" s="12">
        <f t="shared" si="165"/>
        <v>4.529927445014855</v>
      </c>
      <c r="I1500" s="12">
        <f t="shared" si="166"/>
        <v>4.2965220753427083E-3</v>
      </c>
      <c r="J1500" s="12">
        <f t="shared" si="167"/>
        <v>5.4233926257759718E-3</v>
      </c>
    </row>
    <row r="1501" spans="1:10">
      <c r="A1501" s="15">
        <v>41782</v>
      </c>
      <c r="B1501" s="11">
        <v>2.2214</v>
      </c>
      <c r="C1501" s="11">
        <f t="shared" si="161"/>
        <v>-2.6000000000001577E-3</v>
      </c>
      <c r="D1501" s="12">
        <f t="shared" si="162"/>
        <v>6.7600000000008204E-6</v>
      </c>
      <c r="E1501" s="12">
        <f t="shared" si="163"/>
        <v>3.9999999999991186E-8</v>
      </c>
      <c r="F1501" s="12">
        <f t="shared" si="164"/>
        <v>1.7897508033948025E-5</v>
      </c>
      <c r="G1501" s="12">
        <f t="shared" si="165"/>
        <v>4.3576328877907411</v>
      </c>
      <c r="I1501" s="12">
        <f t="shared" si="166"/>
        <v>4.2305446497996006E-3</v>
      </c>
      <c r="J1501" s="12">
        <f t="shared" si="167"/>
        <v>5.4233926257759718E-3</v>
      </c>
    </row>
    <row r="1502" spans="1:10">
      <c r="A1502" s="15">
        <v>41783</v>
      </c>
      <c r="B1502" s="11">
        <v>2.2242999999999999</v>
      </c>
      <c r="C1502" s="11">
        <f t="shared" si="161"/>
        <v>2.8999999999999027E-3</v>
      </c>
      <c r="D1502" s="12">
        <f t="shared" si="162"/>
        <v>8.409999999999435E-6</v>
      </c>
      <c r="E1502" s="12">
        <f t="shared" si="163"/>
        <v>6.7600000000008204E-6</v>
      </c>
      <c r="F1502" s="12">
        <f t="shared" si="164"/>
        <v>1.779404704790024E-5</v>
      </c>
      <c r="G1502" s="12">
        <f t="shared" si="165"/>
        <v>4.3130697682859447</v>
      </c>
      <c r="I1502" s="12">
        <f t="shared" si="166"/>
        <v>4.2182990704667019E-3</v>
      </c>
      <c r="J1502" s="12">
        <f t="shared" si="167"/>
        <v>5.4233926257759718E-3</v>
      </c>
    </row>
    <row r="1503" spans="1:10">
      <c r="A1503" s="15">
        <v>41784</v>
      </c>
      <c r="B1503" s="11">
        <v>2.2221000000000002</v>
      </c>
      <c r="C1503" s="11">
        <f t="shared" si="161"/>
        <v>-2.1999999999997577E-3</v>
      </c>
      <c r="D1503" s="12">
        <f t="shared" si="162"/>
        <v>4.8399999999989338E-6</v>
      </c>
      <c r="E1503" s="12">
        <f t="shared" si="163"/>
        <v>8.409999999999435E-6</v>
      </c>
      <c r="F1503" s="12">
        <f t="shared" si="164"/>
        <v>1.7799569016604631E-5</v>
      </c>
      <c r="G1503" s="12">
        <f t="shared" si="165"/>
        <v>4.4132712680856585</v>
      </c>
      <c r="I1503" s="12">
        <f t="shared" si="166"/>
        <v>4.2189535452058051E-3</v>
      </c>
      <c r="J1503" s="12">
        <f t="shared" si="167"/>
        <v>5.4233926257759718E-3</v>
      </c>
    </row>
    <row r="1504" spans="1:10">
      <c r="A1504" s="15">
        <v>41785</v>
      </c>
      <c r="B1504" s="11">
        <v>2.2229999999999999</v>
      </c>
      <c r="C1504" s="11">
        <f t="shared" si="161"/>
        <v>8.9999999999967883E-4</v>
      </c>
      <c r="D1504" s="12">
        <f t="shared" si="162"/>
        <v>8.0999999999942187E-7</v>
      </c>
      <c r="E1504" s="12">
        <f t="shared" si="163"/>
        <v>4.8399999999989338E-6</v>
      </c>
      <c r="F1504" s="12">
        <f t="shared" si="164"/>
        <v>1.7592906255477939E-5</v>
      </c>
      <c r="G1504" s="12">
        <f t="shared" si="165"/>
        <v>4.5320482126354147</v>
      </c>
      <c r="I1504" s="12">
        <f t="shared" si="166"/>
        <v>4.19438985497032E-3</v>
      </c>
      <c r="J1504" s="12">
        <f t="shared" si="167"/>
        <v>5.4233926257759718E-3</v>
      </c>
    </row>
    <row r="1505" spans="1:10">
      <c r="A1505" s="15">
        <v>41786</v>
      </c>
      <c r="B1505" s="11">
        <v>2.2256</v>
      </c>
      <c r="C1505" s="11">
        <f t="shared" si="161"/>
        <v>2.6000000000001577E-3</v>
      </c>
      <c r="D1505" s="12">
        <f t="shared" si="162"/>
        <v>6.7600000000008204E-6</v>
      </c>
      <c r="E1505" s="12">
        <f t="shared" si="163"/>
        <v>8.0999999999942187E-7</v>
      </c>
      <c r="F1505" s="12">
        <f t="shared" si="164"/>
        <v>1.7169745471514296E-5</v>
      </c>
      <c r="G1505" s="12">
        <f t="shared" si="165"/>
        <v>4.3703844151613493</v>
      </c>
      <c r="I1505" s="12">
        <f t="shared" si="166"/>
        <v>4.1436391579762703E-3</v>
      </c>
      <c r="J1505" s="12">
        <f t="shared" si="167"/>
        <v>5.4233926257759718E-3</v>
      </c>
    </row>
    <row r="1506" spans="1:10">
      <c r="A1506" s="15">
        <v>41787</v>
      </c>
      <c r="B1506" s="11">
        <v>2.2233000000000001</v>
      </c>
      <c r="C1506" s="11">
        <f t="shared" si="161"/>
        <v>-2.2999999999999687E-3</v>
      </c>
      <c r="D1506" s="12">
        <f t="shared" si="162"/>
        <v>5.2899999999998562E-6</v>
      </c>
      <c r="E1506" s="12">
        <f t="shared" si="163"/>
        <v>6.7600000000008204E-6</v>
      </c>
      <c r="F1506" s="12">
        <f t="shared" si="164"/>
        <v>1.7144999894663151E-5</v>
      </c>
      <c r="G1506" s="12">
        <f t="shared" si="165"/>
        <v>4.4136910649388827</v>
      </c>
      <c r="I1506" s="12">
        <f t="shared" si="166"/>
        <v>4.1406521098328406E-3</v>
      </c>
      <c r="J1506" s="12">
        <f t="shared" si="167"/>
        <v>5.4233926257759718E-3</v>
      </c>
    </row>
    <row r="1507" spans="1:10">
      <c r="A1507" s="15">
        <v>41788</v>
      </c>
      <c r="B1507" s="11">
        <v>2.2239</v>
      </c>
      <c r="C1507" s="11">
        <f t="shared" si="161"/>
        <v>5.9999999999993392E-4</v>
      </c>
      <c r="D1507" s="12">
        <f t="shared" si="162"/>
        <v>3.5999999999992069E-7</v>
      </c>
      <c r="E1507" s="12">
        <f t="shared" si="163"/>
        <v>5.2899999999998562E-6</v>
      </c>
      <c r="F1507" s="12">
        <f t="shared" si="164"/>
        <v>1.7035806568193042E-5</v>
      </c>
      <c r="G1507" s="12">
        <f t="shared" si="165"/>
        <v>4.5605920590414719</v>
      </c>
      <c r="I1507" s="12">
        <f t="shared" si="166"/>
        <v>4.1274455257693035E-3</v>
      </c>
      <c r="J1507" s="12">
        <f t="shared" si="167"/>
        <v>5.4233926257759718E-3</v>
      </c>
    </row>
    <row r="1508" spans="1:10">
      <c r="A1508" s="15">
        <v>41789</v>
      </c>
      <c r="B1508" s="11">
        <v>2.2248999999999999</v>
      </c>
      <c r="C1508" s="11">
        <f t="shared" si="161"/>
        <v>9.9999999999988987E-4</v>
      </c>
      <c r="D1508" s="12">
        <f t="shared" si="162"/>
        <v>9.9999999999977973E-7</v>
      </c>
      <c r="E1508" s="12">
        <f t="shared" si="163"/>
        <v>3.5999999999992069E-7</v>
      </c>
      <c r="F1508" s="12">
        <f t="shared" si="164"/>
        <v>1.6646231464320919E-5</v>
      </c>
      <c r="G1508" s="12">
        <f t="shared" si="165"/>
        <v>4.5526879837065346</v>
      </c>
      <c r="I1508" s="12">
        <f t="shared" si="166"/>
        <v>4.0799793460654819E-3</v>
      </c>
      <c r="J1508" s="12">
        <f t="shared" si="167"/>
        <v>5.4233926257759718E-3</v>
      </c>
    </row>
    <row r="1509" spans="1:10">
      <c r="A1509" s="15">
        <v>41790</v>
      </c>
      <c r="B1509" s="11">
        <v>2.2256</v>
      </c>
      <c r="C1509" s="11">
        <f t="shared" si="161"/>
        <v>7.0000000000014495E-4</v>
      </c>
      <c r="D1509" s="12">
        <f t="shared" si="162"/>
        <v>4.9000000000020294E-7</v>
      </c>
      <c r="E1509" s="12">
        <f t="shared" si="163"/>
        <v>9.9999999999977973E-7</v>
      </c>
      <c r="F1509" s="12">
        <f t="shared" si="164"/>
        <v>1.6336724777572506E-5</v>
      </c>
      <c r="G1509" s="12">
        <f t="shared" si="165"/>
        <v>4.5771120386702915</v>
      </c>
      <c r="I1509" s="12">
        <f t="shared" si="166"/>
        <v>4.0418714449586973E-3</v>
      </c>
      <c r="J1509" s="12">
        <f t="shared" si="167"/>
        <v>5.4233926257759718E-3</v>
      </c>
    </row>
    <row r="1510" spans="1:10">
      <c r="A1510" s="15">
        <v>41791</v>
      </c>
      <c r="B1510" s="11">
        <v>2.2256</v>
      </c>
      <c r="C1510" s="11">
        <f t="shared" si="161"/>
        <v>0</v>
      </c>
      <c r="D1510" s="12">
        <f t="shared" si="162"/>
        <v>0</v>
      </c>
      <c r="E1510" s="12">
        <f t="shared" si="163"/>
        <v>4.9000000000020294E-7</v>
      </c>
      <c r="F1510" s="12">
        <f t="shared" si="164"/>
        <v>1.6030467812380692E-5</v>
      </c>
      <c r="G1510" s="12">
        <f t="shared" si="165"/>
        <v>4.6015711635159215</v>
      </c>
      <c r="I1510" s="12">
        <f t="shared" si="166"/>
        <v>4.0038066652100836E-3</v>
      </c>
      <c r="J1510" s="12">
        <f t="shared" si="167"/>
        <v>5.4233926257759718E-3</v>
      </c>
    </row>
    <row r="1511" spans="1:10">
      <c r="A1511" s="15">
        <v>41792</v>
      </c>
      <c r="B1511" s="11">
        <v>2.2254999999999998</v>
      </c>
      <c r="C1511" s="11">
        <f t="shared" si="161"/>
        <v>-1.0000000000021103E-4</v>
      </c>
      <c r="D1511" s="12">
        <f t="shared" si="162"/>
        <v>1.0000000000042206E-8</v>
      </c>
      <c r="E1511" s="12">
        <f t="shared" si="163"/>
        <v>0</v>
      </c>
      <c r="F1511" s="12">
        <f t="shared" si="164"/>
        <v>1.5728294440108379E-5</v>
      </c>
      <c r="G1511" s="12">
        <f t="shared" si="165"/>
        <v>4.6107681979733508</v>
      </c>
      <c r="I1511" s="12">
        <f t="shared" si="166"/>
        <v>3.9658913802710707E-3</v>
      </c>
      <c r="J1511" s="12">
        <f t="shared" si="167"/>
        <v>5.4233926257759718E-3</v>
      </c>
    </row>
    <row r="1512" spans="1:10">
      <c r="A1512" s="15">
        <v>41793</v>
      </c>
      <c r="B1512" s="11">
        <v>2.2269999999999999</v>
      </c>
      <c r="C1512" s="11">
        <f t="shared" si="161"/>
        <v>1.5000000000000568E-3</v>
      </c>
      <c r="D1512" s="12">
        <f t="shared" si="162"/>
        <v>2.2500000000001707E-6</v>
      </c>
      <c r="E1512" s="12">
        <f t="shared" si="163"/>
        <v>1.0000000000042206E-8</v>
      </c>
      <c r="F1512" s="12">
        <f t="shared" si="164"/>
        <v>1.5459397075228816E-5</v>
      </c>
      <c r="G1512" s="12">
        <f t="shared" si="165"/>
        <v>4.5469369440210565</v>
      </c>
      <c r="I1512" s="12">
        <f t="shared" si="166"/>
        <v>3.9318439790038484E-3</v>
      </c>
      <c r="J1512" s="12">
        <f t="shared" si="167"/>
        <v>5.4233926257759718E-3</v>
      </c>
    </row>
    <row r="1513" spans="1:10">
      <c r="A1513" s="15">
        <v>41794</v>
      </c>
      <c r="B1513" s="11">
        <v>2.2299000000000002</v>
      </c>
      <c r="C1513" s="11">
        <f t="shared" si="161"/>
        <v>2.9000000000003467E-3</v>
      </c>
      <c r="D1513" s="12">
        <f t="shared" si="162"/>
        <v>8.4100000000020117E-6</v>
      </c>
      <c r="E1513" s="12">
        <f t="shared" si="163"/>
        <v>2.2500000000001707E-6</v>
      </c>
      <c r="F1513" s="12">
        <f t="shared" si="164"/>
        <v>1.5352344639787494E-5</v>
      </c>
      <c r="G1513" s="12">
        <f t="shared" si="165"/>
        <v>4.3492831033528168</v>
      </c>
      <c r="I1513" s="12">
        <f t="shared" si="166"/>
        <v>3.9182068143204865E-3</v>
      </c>
      <c r="J1513" s="12">
        <f t="shared" si="167"/>
        <v>5.4233926257759718E-3</v>
      </c>
    </row>
    <row r="1514" spans="1:10">
      <c r="A1514" s="15">
        <v>41795</v>
      </c>
      <c r="B1514" s="11">
        <v>2.2323</v>
      </c>
      <c r="C1514" s="11">
        <f t="shared" si="161"/>
        <v>2.3999999999997357E-3</v>
      </c>
      <c r="D1514" s="12">
        <f t="shared" si="162"/>
        <v>5.7599999999987311E-6</v>
      </c>
      <c r="E1514" s="12">
        <f t="shared" si="163"/>
        <v>8.4100000000020117E-6</v>
      </c>
      <c r="F1514" s="12">
        <f t="shared" si="164"/>
        <v>1.5621963189041992E-5</v>
      </c>
      <c r="G1514" s="12">
        <f t="shared" si="165"/>
        <v>4.4301219973316659</v>
      </c>
      <c r="I1514" s="12">
        <f t="shared" si="166"/>
        <v>3.9524629269661708E-3</v>
      </c>
      <c r="J1514" s="12">
        <f t="shared" si="167"/>
        <v>5.4233926257759718E-3</v>
      </c>
    </row>
    <row r="1515" spans="1:10">
      <c r="A1515" s="15">
        <v>41796</v>
      </c>
      <c r="B1515" s="11">
        <v>2.2359</v>
      </c>
      <c r="C1515" s="11">
        <f t="shared" si="161"/>
        <v>3.6000000000000476E-3</v>
      </c>
      <c r="D1515" s="12">
        <f t="shared" si="162"/>
        <v>1.2960000000000343E-5</v>
      </c>
      <c r="E1515" s="12">
        <f t="shared" si="163"/>
        <v>5.7599999999987311E-6</v>
      </c>
      <c r="F1515" s="12">
        <f t="shared" si="164"/>
        <v>1.5705358843518E-5</v>
      </c>
      <c r="G1515" s="12">
        <f t="shared" si="165"/>
        <v>4.1992177251218825</v>
      </c>
      <c r="I1515" s="12">
        <f t="shared" si="166"/>
        <v>3.9629987185864695E-3</v>
      </c>
      <c r="J1515" s="12">
        <f t="shared" si="167"/>
        <v>5.4233926257759718E-3</v>
      </c>
    </row>
    <row r="1516" spans="1:10">
      <c r="A1516" s="15">
        <v>41797</v>
      </c>
      <c r="B1516" s="11">
        <v>2.2374999999999998</v>
      </c>
      <c r="C1516" s="11">
        <f t="shared" si="161"/>
        <v>1.5999999999998238E-3</v>
      </c>
      <c r="D1516" s="12">
        <f t="shared" si="162"/>
        <v>2.5599999999994359E-6</v>
      </c>
      <c r="E1516" s="12">
        <f t="shared" si="163"/>
        <v>1.2960000000000343E-5</v>
      </c>
      <c r="F1516" s="12">
        <f t="shared" si="164"/>
        <v>1.6206465384099506E-5</v>
      </c>
      <c r="G1516" s="12">
        <f t="shared" si="165"/>
        <v>4.5171307835821679</v>
      </c>
      <c r="I1516" s="12">
        <f t="shared" si="166"/>
        <v>4.0257254481769504E-3</v>
      </c>
      <c r="J1516" s="12">
        <f t="shared" si="167"/>
        <v>5.4233926257759718E-3</v>
      </c>
    </row>
    <row r="1517" spans="1:10">
      <c r="A1517" s="15">
        <v>41798</v>
      </c>
      <c r="B1517" s="11">
        <v>2.2359</v>
      </c>
      <c r="C1517" s="11">
        <f t="shared" si="161"/>
        <v>-1.5999999999998238E-3</v>
      </c>
      <c r="D1517" s="12">
        <f t="shared" si="162"/>
        <v>2.5599999999994359E-6</v>
      </c>
      <c r="E1517" s="12">
        <f t="shared" si="163"/>
        <v>2.5599999999994359E-6</v>
      </c>
      <c r="F1517" s="12">
        <f t="shared" si="164"/>
        <v>1.603698255530471E-5</v>
      </c>
      <c r="G1517" s="12">
        <f t="shared" si="165"/>
        <v>4.521552492369989</v>
      </c>
      <c r="I1517" s="12">
        <f t="shared" si="166"/>
        <v>4.0046201511884632E-3</v>
      </c>
      <c r="J1517" s="12">
        <f t="shared" si="167"/>
        <v>5.4233926257759718E-3</v>
      </c>
    </row>
    <row r="1518" spans="1:10">
      <c r="A1518" s="15">
        <v>41799</v>
      </c>
      <c r="B1518" s="11">
        <v>2.2403</v>
      </c>
      <c r="C1518" s="11">
        <f t="shared" si="161"/>
        <v>4.3999999999999595E-3</v>
      </c>
      <c r="D1518" s="12">
        <f t="shared" si="162"/>
        <v>1.9359999999999645E-5</v>
      </c>
      <c r="E1518" s="12">
        <f t="shared" si="163"/>
        <v>2.5599999999994359E-6</v>
      </c>
      <c r="F1518" s="12">
        <f t="shared" si="164"/>
        <v>1.5885831131433758E-5</v>
      </c>
      <c r="G1518" s="12">
        <f t="shared" si="165"/>
        <v>3.9967549083364986</v>
      </c>
      <c r="I1518" s="12">
        <f t="shared" si="166"/>
        <v>3.9857033421259241E-3</v>
      </c>
      <c r="J1518" s="12">
        <f t="shared" si="167"/>
        <v>5.4233926257759718E-3</v>
      </c>
    </row>
    <row r="1519" spans="1:10">
      <c r="A1519" s="15">
        <v>41800</v>
      </c>
      <c r="B1519" s="11">
        <v>2.2399</v>
      </c>
      <c r="C1519" s="11">
        <f t="shared" si="161"/>
        <v>-3.9999999999995595E-4</v>
      </c>
      <c r="D1519" s="12">
        <f t="shared" si="162"/>
        <v>1.5999999999996475E-7</v>
      </c>
      <c r="E1519" s="12">
        <f t="shared" si="163"/>
        <v>1.9359999999999645E-5</v>
      </c>
      <c r="F1519" s="12">
        <f t="shared" si="164"/>
        <v>1.6746734109126429E-5</v>
      </c>
      <c r="G1519" s="12">
        <f t="shared" si="165"/>
        <v>4.5749380572152427</v>
      </c>
      <c r="I1519" s="12">
        <f t="shared" si="166"/>
        <v>4.0922773744122513E-3</v>
      </c>
      <c r="J1519" s="12">
        <f t="shared" si="167"/>
        <v>5.4233926257759718E-3</v>
      </c>
    </row>
    <row r="1520" spans="1:10">
      <c r="A1520" s="15">
        <v>41801</v>
      </c>
      <c r="B1520" s="11">
        <v>2.2410999999999999</v>
      </c>
      <c r="C1520" s="11">
        <f t="shared" si="161"/>
        <v>1.1999999999998678E-3</v>
      </c>
      <c r="D1520" s="12">
        <f t="shared" si="162"/>
        <v>1.4399999999996828E-6</v>
      </c>
      <c r="E1520" s="12">
        <f t="shared" si="163"/>
        <v>1.5999999999996475E-7</v>
      </c>
      <c r="F1520" s="12">
        <f t="shared" si="164"/>
        <v>1.6376571685176083E-5</v>
      </c>
      <c r="G1520" s="12">
        <f t="shared" si="165"/>
        <v>4.5469256137157501</v>
      </c>
      <c r="I1520" s="12">
        <f t="shared" si="166"/>
        <v>4.0467977074689666E-3</v>
      </c>
      <c r="J1520" s="12">
        <f t="shared" si="167"/>
        <v>5.4233926257759718E-3</v>
      </c>
    </row>
    <row r="1521" spans="1:10">
      <c r="A1521" s="15">
        <v>41802</v>
      </c>
      <c r="B1521" s="11">
        <v>2.2378999999999998</v>
      </c>
      <c r="C1521" s="11">
        <f t="shared" si="161"/>
        <v>-3.2000000000000917E-3</v>
      </c>
      <c r="D1521" s="12">
        <f t="shared" si="162"/>
        <v>1.0240000000000586E-5</v>
      </c>
      <c r="E1521" s="12">
        <f t="shared" si="163"/>
        <v>1.4399999999996828E-6</v>
      </c>
      <c r="F1521" s="12">
        <f t="shared" si="164"/>
        <v>1.6122309633720985E-5</v>
      </c>
      <c r="G1521" s="12">
        <f t="shared" si="165"/>
        <v>4.2811423711982162</v>
      </c>
      <c r="I1521" s="12">
        <f t="shared" si="166"/>
        <v>4.0152595973013978E-3</v>
      </c>
      <c r="J1521" s="12">
        <f t="shared" si="167"/>
        <v>5.4233926257759718E-3</v>
      </c>
    </row>
    <row r="1522" spans="1:10">
      <c r="A1522" s="15">
        <v>41803</v>
      </c>
      <c r="B1522" s="11">
        <v>2.2532000000000001</v>
      </c>
      <c r="C1522" s="11">
        <f t="shared" si="161"/>
        <v>1.5300000000000313E-2</v>
      </c>
      <c r="D1522" s="12">
        <f t="shared" si="162"/>
        <v>2.340900000000096E-4</v>
      </c>
      <c r="E1522" s="12">
        <f t="shared" si="163"/>
        <v>1.0240000000000586E-5</v>
      </c>
      <c r="F1522" s="12">
        <f t="shared" si="164"/>
        <v>1.6417108926858417E-5</v>
      </c>
      <c r="G1522" s="12">
        <f t="shared" si="165"/>
        <v>-2.5397978754420825</v>
      </c>
      <c r="I1522" s="12">
        <f t="shared" si="166"/>
        <v>4.0518031698070448E-3</v>
      </c>
      <c r="J1522" s="12">
        <f t="shared" si="167"/>
        <v>5.4233926257759718E-3</v>
      </c>
    </row>
    <row r="1523" spans="1:10">
      <c r="A1523" s="15">
        <v>41804</v>
      </c>
      <c r="B1523" s="11">
        <v>2.2547999999999999</v>
      </c>
      <c r="C1523" s="11">
        <f t="shared" si="161"/>
        <v>1.5999999999998238E-3</v>
      </c>
      <c r="D1523" s="12">
        <f t="shared" si="162"/>
        <v>2.5599999999994359E-6</v>
      </c>
      <c r="E1523" s="12">
        <f t="shared" si="163"/>
        <v>2.340900000000096E-4</v>
      </c>
      <c r="F1523" s="12">
        <f t="shared" si="164"/>
        <v>2.9947208741683467E-5</v>
      </c>
      <c r="G1523" s="12">
        <f t="shared" si="165"/>
        <v>4.2463567969974401</v>
      </c>
      <c r="I1523" s="12">
        <f t="shared" si="166"/>
        <v>5.4724042926015135E-3</v>
      </c>
      <c r="J1523" s="12">
        <f t="shared" si="167"/>
        <v>5.4233926257759718E-3</v>
      </c>
    </row>
    <row r="1524" spans="1:10">
      <c r="A1524" s="15">
        <v>41805</v>
      </c>
      <c r="B1524" s="11">
        <v>2.2564000000000002</v>
      </c>
      <c r="C1524" s="11">
        <f t="shared" si="161"/>
        <v>1.6000000000002679E-3</v>
      </c>
      <c r="D1524" s="12">
        <f t="shared" si="162"/>
        <v>2.5600000000008573E-6</v>
      </c>
      <c r="E1524" s="12">
        <f t="shared" si="163"/>
        <v>2.5599999999994359E-6</v>
      </c>
      <c r="F1524" s="12">
        <f t="shared" si="164"/>
        <v>2.8291515585661578E-5</v>
      </c>
      <c r="G1524" s="12">
        <f t="shared" si="165"/>
        <v>4.2722925138319336</v>
      </c>
      <c r="I1524" s="12">
        <f t="shared" si="166"/>
        <v>5.3189769303562109E-3</v>
      </c>
      <c r="J1524" s="12">
        <f t="shared" si="167"/>
        <v>5.4233926257759718E-3</v>
      </c>
    </row>
    <row r="1525" spans="1:10">
      <c r="A1525" s="15">
        <v>41806</v>
      </c>
      <c r="B1525" s="11">
        <v>2.2555000000000001</v>
      </c>
      <c r="C1525" s="11">
        <f t="shared" si="161"/>
        <v>-9.0000000000012292E-4</v>
      </c>
      <c r="D1525" s="12">
        <f t="shared" si="162"/>
        <v>8.1000000000022126E-7</v>
      </c>
      <c r="E1525" s="12">
        <f t="shared" si="163"/>
        <v>2.5600000000008573E-6</v>
      </c>
      <c r="F1525" s="12">
        <f t="shared" si="164"/>
        <v>2.6814903590182723E-5</v>
      </c>
      <c r="G1525" s="12">
        <f t="shared" si="165"/>
        <v>4.3292342787041127</v>
      </c>
      <c r="I1525" s="12">
        <f t="shared" si="166"/>
        <v>5.1783108819558835E-3</v>
      </c>
      <c r="J1525" s="12">
        <f t="shared" si="167"/>
        <v>5.4233926257759718E-3</v>
      </c>
    </row>
    <row r="1526" spans="1:10">
      <c r="A1526" s="15">
        <v>41807</v>
      </c>
      <c r="B1526" s="11">
        <v>2.2562000000000002</v>
      </c>
      <c r="C1526" s="11">
        <f t="shared" si="161"/>
        <v>7.0000000000014495E-4</v>
      </c>
      <c r="D1526" s="12">
        <f t="shared" si="162"/>
        <v>4.9000000000020294E-7</v>
      </c>
      <c r="E1526" s="12">
        <f t="shared" si="163"/>
        <v>8.1000000000022126E-7</v>
      </c>
      <c r="F1526" s="12">
        <f t="shared" si="164"/>
        <v>2.5394283839129529E-5</v>
      </c>
      <c r="G1526" s="12">
        <f t="shared" si="165"/>
        <v>4.3619068463974831</v>
      </c>
      <c r="I1526" s="12">
        <f t="shared" si="166"/>
        <v>5.0392741381204429E-3</v>
      </c>
      <c r="J1526" s="12">
        <f t="shared" si="167"/>
        <v>5.4233926257759718E-3</v>
      </c>
    </row>
    <row r="1527" spans="1:10">
      <c r="A1527" s="15">
        <v>41808</v>
      </c>
      <c r="B1527" s="11">
        <v>2.2633000000000001</v>
      </c>
      <c r="C1527" s="11">
        <f t="shared" si="161"/>
        <v>7.0999999999998842E-3</v>
      </c>
      <c r="D1527" s="12">
        <f t="shared" si="162"/>
        <v>5.0409999999998354E-5</v>
      </c>
      <c r="E1527" s="12">
        <f t="shared" si="163"/>
        <v>4.9000000000020294E-7</v>
      </c>
      <c r="F1527" s="12">
        <f t="shared" si="164"/>
        <v>2.4108353688401829E-5</v>
      </c>
      <c r="G1527" s="12">
        <f t="shared" si="165"/>
        <v>3.3520493062102332</v>
      </c>
      <c r="I1527" s="12">
        <f t="shared" si="166"/>
        <v>4.9100258337815119E-3</v>
      </c>
      <c r="J1527" s="12">
        <f t="shared" si="167"/>
        <v>5.4233926257759718E-3</v>
      </c>
    </row>
    <row r="1528" spans="1:10">
      <c r="A1528" s="15">
        <v>41809</v>
      </c>
      <c r="B1528" s="11">
        <v>2.2696000000000001</v>
      </c>
      <c r="C1528" s="11">
        <f t="shared" si="161"/>
        <v>6.2999999999999723E-3</v>
      </c>
      <c r="D1528" s="12">
        <f t="shared" si="162"/>
        <v>3.9689999999999649E-5</v>
      </c>
      <c r="E1528" s="12">
        <f t="shared" si="163"/>
        <v>5.0409999999998354E-5</v>
      </c>
      <c r="F1528" s="12">
        <f t="shared" si="164"/>
        <v>2.5920179296390403E-5</v>
      </c>
      <c r="G1528" s="12">
        <f t="shared" si="165"/>
        <v>3.5956861400318987</v>
      </c>
      <c r="I1528" s="12">
        <f t="shared" si="166"/>
        <v>5.0911864330812325E-3</v>
      </c>
      <c r="J1528" s="12">
        <f t="shared" si="167"/>
        <v>5.4233926257759718E-3</v>
      </c>
    </row>
    <row r="1529" spans="1:10">
      <c r="A1529" s="15">
        <v>41810</v>
      </c>
      <c r="B1529" s="11">
        <v>2.2753999999999999</v>
      </c>
      <c r="C1529" s="11">
        <f t="shared" si="161"/>
        <v>5.7999999999998053E-3</v>
      </c>
      <c r="D1529" s="12">
        <f t="shared" si="162"/>
        <v>3.363999999999774E-5</v>
      </c>
      <c r="E1529" s="12">
        <f t="shared" si="163"/>
        <v>3.9689999999999649E-5</v>
      </c>
      <c r="F1529" s="12">
        <f t="shared" si="164"/>
        <v>2.6900681237689496E-5</v>
      </c>
      <c r="G1529" s="12">
        <f t="shared" si="165"/>
        <v>3.7174779571010674</v>
      </c>
      <c r="I1529" s="12">
        <f t="shared" si="166"/>
        <v>5.1865866653984967E-3</v>
      </c>
      <c r="J1529" s="12">
        <f t="shared" si="167"/>
        <v>5.4233926257759718E-3</v>
      </c>
    </row>
    <row r="1530" spans="1:10">
      <c r="A1530" s="15">
        <v>41811</v>
      </c>
      <c r="B1530" s="11">
        <v>2.2722000000000002</v>
      </c>
      <c r="C1530" s="11">
        <f t="shared" si="161"/>
        <v>-3.1999999999996476E-3</v>
      </c>
      <c r="D1530" s="12">
        <f t="shared" si="162"/>
        <v>1.0239999999997744E-5</v>
      </c>
      <c r="E1530" s="12">
        <f t="shared" si="163"/>
        <v>3.363999999999774E-5</v>
      </c>
      <c r="F1530" s="12">
        <f t="shared" si="164"/>
        <v>2.7416558664941778E-5</v>
      </c>
      <c r="G1530" s="12">
        <f t="shared" si="165"/>
        <v>4.1464947015247802</v>
      </c>
      <c r="I1530" s="12">
        <f t="shared" si="166"/>
        <v>5.2360823775931733E-3</v>
      </c>
      <c r="J1530" s="12">
        <f t="shared" si="167"/>
        <v>5.4233926257759718E-3</v>
      </c>
    </row>
    <row r="1531" spans="1:10">
      <c r="A1531" s="15">
        <v>41812</v>
      </c>
      <c r="B1531" s="11">
        <v>2.2717000000000001</v>
      </c>
      <c r="C1531" s="11">
        <f t="shared" si="161"/>
        <v>-5.0000000000016698E-4</v>
      </c>
      <c r="D1531" s="12">
        <f t="shared" si="162"/>
        <v>2.5000000000016696E-7</v>
      </c>
      <c r="E1531" s="12">
        <f t="shared" si="163"/>
        <v>1.0239999999997744E-5</v>
      </c>
      <c r="F1531" s="12">
        <f t="shared" si="164"/>
        <v>2.648976250929931E-5</v>
      </c>
      <c r="G1531" s="12">
        <f t="shared" si="165"/>
        <v>4.3457187653149525</v>
      </c>
      <c r="I1531" s="12">
        <f t="shared" si="166"/>
        <v>5.1468206214418735E-3</v>
      </c>
      <c r="J1531" s="12">
        <f t="shared" si="167"/>
        <v>5.4233926257759718E-3</v>
      </c>
    </row>
    <row r="1532" spans="1:10">
      <c r="A1532" s="15">
        <v>41813</v>
      </c>
      <c r="B1532" s="11">
        <v>2.274</v>
      </c>
      <c r="C1532" s="11">
        <f t="shared" si="161"/>
        <v>2.2999999999999687E-3</v>
      </c>
      <c r="D1532" s="12">
        <f t="shared" si="162"/>
        <v>5.2899999999998562E-6</v>
      </c>
      <c r="E1532" s="12">
        <f t="shared" si="163"/>
        <v>2.5000000000016696E-7</v>
      </c>
      <c r="F1532" s="12">
        <f t="shared" si="164"/>
        <v>2.5071120099055515E-5</v>
      </c>
      <c r="G1532" s="12">
        <f t="shared" si="165"/>
        <v>4.2724585698325486</v>
      </c>
      <c r="I1532" s="12">
        <f t="shared" si="166"/>
        <v>5.0071069590189015E-3</v>
      </c>
      <c r="J1532" s="12">
        <f t="shared" si="167"/>
        <v>5.4233926257759718E-3</v>
      </c>
    </row>
    <row r="1533" spans="1:10">
      <c r="A1533" s="15">
        <v>41814</v>
      </c>
      <c r="B1533" s="11">
        <v>2.2942</v>
      </c>
      <c r="C1533" s="11">
        <f t="shared" si="161"/>
        <v>2.0199999999999996E-2</v>
      </c>
      <c r="D1533" s="12">
        <f t="shared" si="162"/>
        <v>4.0803999999999981E-4</v>
      </c>
      <c r="E1533" s="12">
        <f t="shared" si="163"/>
        <v>5.2899999999998562E-6</v>
      </c>
      <c r="F1533" s="12">
        <f t="shared" si="164"/>
        <v>2.4104630962886029E-5</v>
      </c>
      <c r="G1533" s="12">
        <f t="shared" si="165"/>
        <v>-4.0663190198593133</v>
      </c>
      <c r="I1533" s="12">
        <f t="shared" si="166"/>
        <v>4.9096467248556722E-3</v>
      </c>
      <c r="J1533" s="12">
        <f t="shared" si="167"/>
        <v>5.4233926257759718E-3</v>
      </c>
    </row>
    <row r="1534" spans="1:10">
      <c r="A1534" s="15">
        <v>41815</v>
      </c>
      <c r="B1534" s="11">
        <v>2.2980999999999998</v>
      </c>
      <c r="C1534" s="11">
        <f t="shared" si="161"/>
        <v>3.8999999999997925E-3</v>
      </c>
      <c r="D1534" s="12">
        <f t="shared" si="162"/>
        <v>1.5209999999998382E-5</v>
      </c>
      <c r="E1534" s="12">
        <f t="shared" si="163"/>
        <v>4.0803999999999981E-4</v>
      </c>
      <c r="F1534" s="12">
        <f t="shared" si="164"/>
        <v>4.7112945095536389E-5</v>
      </c>
      <c r="G1534" s="12">
        <f t="shared" si="165"/>
        <v>3.9011222325011348</v>
      </c>
      <c r="I1534" s="12">
        <f t="shared" si="166"/>
        <v>6.8638870252602782E-3</v>
      </c>
      <c r="J1534" s="12">
        <f t="shared" si="167"/>
        <v>5.4233926257759718E-3</v>
      </c>
    </row>
    <row r="1535" spans="1:10">
      <c r="A1535" s="15">
        <v>41816</v>
      </c>
      <c r="B1535" s="11">
        <v>2.2942999999999998</v>
      </c>
      <c r="C1535" s="11">
        <f t="shared" si="161"/>
        <v>-3.8000000000000256E-3</v>
      </c>
      <c r="D1535" s="12">
        <f t="shared" si="162"/>
        <v>1.4440000000000194E-5</v>
      </c>
      <c r="E1535" s="12">
        <f t="shared" si="163"/>
        <v>1.5209999999998382E-5</v>
      </c>
      <c r="F1535" s="12">
        <f t="shared" si="164"/>
        <v>4.4350334209453244E-5</v>
      </c>
      <c r="G1535" s="12">
        <f t="shared" si="165"/>
        <v>3.9299619015653522</v>
      </c>
      <c r="I1535" s="12">
        <f t="shared" si="166"/>
        <v>6.65960465864553E-3</v>
      </c>
      <c r="J1535" s="12">
        <f t="shared" si="167"/>
        <v>5.4233926257759718E-3</v>
      </c>
    </row>
    <row r="1536" spans="1:10">
      <c r="A1536" s="15">
        <v>41817</v>
      </c>
      <c r="B1536" s="11">
        <v>2.2987000000000002</v>
      </c>
      <c r="C1536" s="11">
        <f t="shared" si="161"/>
        <v>4.4000000000004036E-3</v>
      </c>
      <c r="D1536" s="12">
        <f t="shared" si="162"/>
        <v>1.9360000000003552E-5</v>
      </c>
      <c r="E1536" s="12">
        <f t="shared" si="163"/>
        <v>1.4440000000000194E-5</v>
      </c>
      <c r="F1536" s="12">
        <f t="shared" si="164"/>
        <v>4.1840893121138541E-5</v>
      </c>
      <c r="G1536" s="12">
        <f t="shared" si="165"/>
        <v>3.8905270414693414</v>
      </c>
      <c r="I1536" s="12">
        <f t="shared" si="166"/>
        <v>6.4684536885671945E-3</v>
      </c>
      <c r="J1536" s="12">
        <f t="shared" si="167"/>
        <v>5.4233926257759718E-3</v>
      </c>
    </row>
    <row r="1537" spans="1:10">
      <c r="A1537" s="15">
        <v>41818</v>
      </c>
      <c r="B1537" s="11">
        <v>2.2938999999999998</v>
      </c>
      <c r="C1537" s="11">
        <f t="shared" si="161"/>
        <v>-4.8000000000003595E-3</v>
      </c>
      <c r="D1537" s="12">
        <f t="shared" si="162"/>
        <v>2.3040000000003452E-5</v>
      </c>
      <c r="E1537" s="12">
        <f t="shared" si="163"/>
        <v>1.9360000000003552E-5</v>
      </c>
      <c r="F1537" s="12">
        <f t="shared" si="164"/>
        <v>3.9894474823041218E-5</v>
      </c>
      <c r="G1537" s="12">
        <f t="shared" si="165"/>
        <v>3.8569360280666203</v>
      </c>
      <c r="I1537" s="12">
        <f t="shared" si="166"/>
        <v>6.3162073131778395E-3</v>
      </c>
      <c r="J1537" s="12">
        <f t="shared" si="167"/>
        <v>5.4233926257759718E-3</v>
      </c>
    </row>
    <row r="1538" spans="1:10">
      <c r="A1538" s="15">
        <v>41819</v>
      </c>
      <c r="B1538" s="11">
        <v>2.2988</v>
      </c>
      <c r="C1538" s="11">
        <f t="shared" si="161"/>
        <v>4.9000000000001265E-3</v>
      </c>
      <c r="D1538" s="12">
        <f t="shared" si="162"/>
        <v>2.4010000000001239E-5</v>
      </c>
      <c r="E1538" s="12">
        <f t="shared" si="163"/>
        <v>2.3040000000003452E-5</v>
      </c>
      <c r="F1538" s="12">
        <f t="shared" si="164"/>
        <v>3.8376689731624706E-5</v>
      </c>
      <c r="G1538" s="12">
        <f t="shared" si="165"/>
        <v>3.852271517777603</v>
      </c>
      <c r="I1538" s="12">
        <f t="shared" si="166"/>
        <v>6.1948922292179307E-3</v>
      </c>
      <c r="J1538" s="12">
        <f t="shared" si="167"/>
        <v>5.4233926257759718E-3</v>
      </c>
    </row>
    <row r="1539" spans="1:10">
      <c r="A1539" s="15">
        <v>41820</v>
      </c>
      <c r="B1539" s="11">
        <v>2.3043999999999998</v>
      </c>
      <c r="C1539" s="11">
        <f t="shared" si="161"/>
        <v>5.5999999999998273E-3</v>
      </c>
      <c r="D1539" s="12">
        <f t="shared" si="162"/>
        <v>3.1359999999998067E-5</v>
      </c>
      <c r="E1539" s="12">
        <f t="shared" si="163"/>
        <v>2.4010000000001239E-5</v>
      </c>
      <c r="F1539" s="12">
        <f t="shared" si="164"/>
        <v>3.7080559701465544E-5</v>
      </c>
      <c r="G1539" s="12">
        <f t="shared" si="165"/>
        <v>3.7594072323483356</v>
      </c>
      <c r="I1539" s="12">
        <f t="shared" si="166"/>
        <v>6.0893808964019936E-3</v>
      </c>
      <c r="J1539" s="12">
        <f t="shared" si="167"/>
        <v>5.4233926257759718E-3</v>
      </c>
    </row>
    <row r="1540" spans="1:10">
      <c r="A1540" s="15">
        <v>41821</v>
      </c>
      <c r="B1540" s="11">
        <v>2.3022999999999998</v>
      </c>
      <c r="C1540" s="11">
        <f t="shared" si="161"/>
        <v>-2.0999999999999908E-3</v>
      </c>
      <c r="D1540" s="12">
        <f t="shared" si="162"/>
        <v>4.4099999999999612E-6</v>
      </c>
      <c r="E1540" s="12">
        <f t="shared" si="163"/>
        <v>3.1359999999998067E-5</v>
      </c>
      <c r="F1540" s="12">
        <f t="shared" si="164"/>
        <v>3.6360241442394002E-5</v>
      </c>
      <c r="G1540" s="12">
        <f t="shared" si="165"/>
        <v>4.1314356219166637</v>
      </c>
      <c r="I1540" s="12">
        <f t="shared" si="166"/>
        <v>6.0299453929860761E-3</v>
      </c>
      <c r="J1540" s="12">
        <f t="shared" si="167"/>
        <v>5.4233926257759718E-3</v>
      </c>
    </row>
    <row r="1541" spans="1:10">
      <c r="A1541" s="15">
        <v>41822</v>
      </c>
      <c r="B1541" s="11">
        <v>2.302</v>
      </c>
      <c r="C1541" s="11">
        <f t="shared" si="161"/>
        <v>-2.9999999999974492E-4</v>
      </c>
      <c r="D1541" s="12">
        <f t="shared" si="162"/>
        <v>8.999999999984695E-8</v>
      </c>
      <c r="E1541" s="12">
        <f t="shared" si="163"/>
        <v>4.4099999999999612E-6</v>
      </c>
      <c r="F1541" s="12">
        <f t="shared" si="164"/>
        <v>3.4120555457683896E-5</v>
      </c>
      <c r="G1541" s="12">
        <f t="shared" si="165"/>
        <v>4.2225478842887441</v>
      </c>
      <c r="I1541" s="12">
        <f t="shared" si="166"/>
        <v>5.8412802926827521E-3</v>
      </c>
      <c r="J1541" s="12">
        <f t="shared" si="167"/>
        <v>5.4233926257759718E-3</v>
      </c>
    </row>
    <row r="1542" spans="1:10">
      <c r="A1542" s="15">
        <v>41823</v>
      </c>
      <c r="B1542" s="11">
        <v>2.3022999999999998</v>
      </c>
      <c r="C1542" s="11">
        <f t="shared" si="161"/>
        <v>2.9999999999974492E-4</v>
      </c>
      <c r="D1542" s="12">
        <f t="shared" si="162"/>
        <v>8.999999999984695E-8</v>
      </c>
      <c r="E1542" s="12">
        <f t="shared" si="163"/>
        <v>8.999999999984695E-8</v>
      </c>
      <c r="F1542" s="12">
        <f t="shared" si="164"/>
        <v>3.1867077169690836E-5</v>
      </c>
      <c r="G1542" s="12">
        <f t="shared" si="165"/>
        <v>4.256617916090395</v>
      </c>
      <c r="I1542" s="12">
        <f t="shared" si="166"/>
        <v>5.64509319406605E-3</v>
      </c>
      <c r="J1542" s="12">
        <f t="shared" si="167"/>
        <v>5.4233926257759718E-3</v>
      </c>
    </row>
    <row r="1543" spans="1:10">
      <c r="A1543" s="15">
        <v>41824</v>
      </c>
      <c r="B1543" s="11">
        <v>2.3029000000000002</v>
      </c>
      <c r="C1543" s="11">
        <f t="shared" si="161"/>
        <v>6.0000000000037801E-4</v>
      </c>
      <c r="D1543" s="12">
        <f t="shared" si="162"/>
        <v>3.6000000000045363E-7</v>
      </c>
      <c r="E1543" s="12">
        <f t="shared" si="163"/>
        <v>8.999999999984695E-8</v>
      </c>
      <c r="F1543" s="12">
        <f t="shared" si="164"/>
        <v>2.9857336983534073E-5</v>
      </c>
      <c r="G1543" s="12">
        <f t="shared" si="165"/>
        <v>4.2845727670899105</v>
      </c>
      <c r="I1543" s="12">
        <f t="shared" si="166"/>
        <v>5.464186763236966E-3</v>
      </c>
      <c r="J1543" s="12">
        <f t="shared" si="167"/>
        <v>5.4233926257759718E-3</v>
      </c>
    </row>
    <row r="1544" spans="1:10">
      <c r="A1544" s="15">
        <v>41825</v>
      </c>
      <c r="B1544" s="11">
        <v>2.3031000000000001</v>
      </c>
      <c r="C1544" s="11">
        <f t="shared" si="161"/>
        <v>1.9999999999997797E-4</v>
      </c>
      <c r="D1544" s="12">
        <f t="shared" si="162"/>
        <v>3.9999999999991186E-8</v>
      </c>
      <c r="E1544" s="12">
        <f t="shared" si="163"/>
        <v>3.6000000000045363E-7</v>
      </c>
      <c r="F1544" s="12">
        <f t="shared" si="164"/>
        <v>2.808097439529937E-5</v>
      </c>
      <c r="G1544" s="12">
        <f t="shared" si="165"/>
        <v>4.320558372772104</v>
      </c>
      <c r="I1544" s="12">
        <f t="shared" si="166"/>
        <v>5.2991484594507605E-3</v>
      </c>
      <c r="J1544" s="12">
        <f t="shared" si="167"/>
        <v>5.4233926257759718E-3</v>
      </c>
    </row>
    <row r="1545" spans="1:10">
      <c r="A1545" s="15">
        <v>41826</v>
      </c>
      <c r="B1545" s="11">
        <v>2.3028</v>
      </c>
      <c r="C1545" s="11">
        <f t="shared" si="161"/>
        <v>-3.00000000000189E-4</v>
      </c>
      <c r="D1545" s="12">
        <f t="shared" si="162"/>
        <v>9.0000000000113408E-8</v>
      </c>
      <c r="E1545" s="12">
        <f t="shared" si="163"/>
        <v>3.9999999999991186E-8</v>
      </c>
      <c r="F1545" s="12">
        <f t="shared" si="164"/>
        <v>2.6477778851055106E-5</v>
      </c>
      <c r="G1545" s="12">
        <f t="shared" si="165"/>
        <v>4.3489642764112109</v>
      </c>
      <c r="I1545" s="12">
        <f t="shared" si="166"/>
        <v>5.1456563090683683E-3</v>
      </c>
      <c r="J1545" s="12">
        <f t="shared" si="167"/>
        <v>5.4233926257759718E-3</v>
      </c>
    </row>
    <row r="1546" spans="1:10">
      <c r="A1546" s="15">
        <v>41827</v>
      </c>
      <c r="B1546" s="11">
        <v>2.3035999999999999</v>
      </c>
      <c r="C1546" s="11">
        <f t="shared" si="161"/>
        <v>7.9999999999991189E-4</v>
      </c>
      <c r="D1546" s="12">
        <f t="shared" si="162"/>
        <v>6.3999999999985898E-7</v>
      </c>
      <c r="E1546" s="12">
        <f t="shared" si="163"/>
        <v>9.0000000000113408E-8</v>
      </c>
      <c r="F1546" s="12">
        <f t="shared" si="164"/>
        <v>2.5050949691560048E-5</v>
      </c>
      <c r="G1546" s="12">
        <f t="shared" si="165"/>
        <v>4.3655869022523373</v>
      </c>
      <c r="I1546" s="12">
        <f t="shared" si="166"/>
        <v>5.0050923759267472E-3</v>
      </c>
      <c r="J1546" s="12">
        <f t="shared" si="167"/>
        <v>5.4233926257759718E-3</v>
      </c>
    </row>
    <row r="1547" spans="1:10">
      <c r="A1547" s="15">
        <v>41828</v>
      </c>
      <c r="B1547" s="11">
        <v>2.3096000000000001</v>
      </c>
      <c r="C1547" s="11">
        <f t="shared" si="161"/>
        <v>6.0000000000002274E-3</v>
      </c>
      <c r="D1547" s="12">
        <f t="shared" si="162"/>
        <v>3.6000000000002732E-5</v>
      </c>
      <c r="E1547" s="12">
        <f t="shared" si="163"/>
        <v>6.3999999999985898E-7</v>
      </c>
      <c r="F1547" s="12">
        <f t="shared" si="164"/>
        <v>2.381104508001312E-5</v>
      </c>
      <c r="G1547" s="12">
        <f t="shared" si="165"/>
        <v>3.6477902626763887</v>
      </c>
      <c r="I1547" s="12">
        <f t="shared" si="166"/>
        <v>4.8796562460908166E-3</v>
      </c>
      <c r="J1547" s="12">
        <f t="shared" si="167"/>
        <v>5.4233926257759718E-3</v>
      </c>
    </row>
    <row r="1548" spans="1:10">
      <c r="A1548" s="15">
        <v>41829</v>
      </c>
      <c r="B1548" s="11">
        <v>2.3193999999999999</v>
      </c>
      <c r="C1548" s="11">
        <f t="shared" si="161"/>
        <v>9.7999999999998089E-3</v>
      </c>
      <c r="D1548" s="12">
        <f t="shared" si="162"/>
        <v>9.6039999999996255E-5</v>
      </c>
      <c r="E1548" s="12">
        <f t="shared" si="163"/>
        <v>3.6000000000002732E-5</v>
      </c>
      <c r="F1548" s="12">
        <f t="shared" si="164"/>
        <v>2.4800973094389338E-5</v>
      </c>
      <c r="G1548" s="12">
        <f t="shared" si="165"/>
        <v>2.4471609433246551</v>
      </c>
      <c r="I1548" s="12">
        <f t="shared" si="166"/>
        <v>4.980057539264917E-3</v>
      </c>
      <c r="J1548" s="12">
        <f t="shared" si="167"/>
        <v>5.4233926257759718E-3</v>
      </c>
    </row>
    <row r="1549" spans="1:10">
      <c r="A1549" s="15">
        <v>41830</v>
      </c>
      <c r="B1549" s="11">
        <v>2.3212999999999999</v>
      </c>
      <c r="C1549" s="11">
        <f t="shared" si="161"/>
        <v>1.9000000000000128E-3</v>
      </c>
      <c r="D1549" s="12">
        <f t="shared" si="162"/>
        <v>3.6100000000000484E-6</v>
      </c>
      <c r="E1549" s="12">
        <f t="shared" si="163"/>
        <v>9.6039999999996255E-5</v>
      </c>
      <c r="F1549" s="12">
        <f t="shared" si="164"/>
        <v>2.9242292309373079E-5</v>
      </c>
      <c r="G1549" s="12">
        <f t="shared" si="165"/>
        <v>4.2392830572212432</v>
      </c>
      <c r="I1549" s="12">
        <f t="shared" si="166"/>
        <v>5.4076142899963826E-3</v>
      </c>
      <c r="J1549" s="12">
        <f t="shared" si="167"/>
        <v>5.4233926257759718E-3</v>
      </c>
    </row>
    <row r="1550" spans="1:10">
      <c r="A1550" s="15">
        <v>41831</v>
      </c>
      <c r="B1550" s="11">
        <v>2.3212999999999999</v>
      </c>
      <c r="C1550" s="11">
        <f t="shared" ref="C1550:C1613" si="168">B1550-B1549</f>
        <v>0</v>
      </c>
      <c r="D1550" s="12">
        <f t="shared" ref="D1550:D1613" si="169">C1550^2</f>
        <v>0</v>
      </c>
      <c r="E1550" s="12">
        <f t="shared" si="163"/>
        <v>3.6100000000000484E-6</v>
      </c>
      <c r="F1550" s="12">
        <f t="shared" si="164"/>
        <v>2.7725075114498791E-5</v>
      </c>
      <c r="G1550" s="12">
        <f t="shared" si="165"/>
        <v>4.3276481171398862</v>
      </c>
      <c r="I1550" s="12">
        <f t="shared" si="166"/>
        <v>5.2654605795218702E-3</v>
      </c>
      <c r="J1550" s="12">
        <f t="shared" si="167"/>
        <v>5.4233926257759718E-3</v>
      </c>
    </row>
    <row r="1551" spans="1:10">
      <c r="A1551" s="15">
        <v>41832</v>
      </c>
      <c r="B1551" s="11">
        <v>2.3199000000000001</v>
      </c>
      <c r="C1551" s="11">
        <f t="shared" si="168"/>
        <v>-1.3999999999998458E-3</v>
      </c>
      <c r="D1551" s="12">
        <f t="shared" si="169"/>
        <v>1.9599999999995683E-6</v>
      </c>
      <c r="E1551" s="12">
        <f t="shared" ref="E1551:E1614" si="170">D1550</f>
        <v>0</v>
      </c>
      <c r="F1551" s="12">
        <f t="shared" ref="F1551:F1614" si="171">$B$5+$B$6*E1551+$B$7*F1550</f>
        <v>2.6158003207047857E-5</v>
      </c>
      <c r="G1551" s="12">
        <f t="shared" ref="G1551:G1614" si="172">LN((1/SQRT(2*3.1415927*F1551))*EXP(-0.5*D1551/F1551))</f>
        <v>4.3192745081801203</v>
      </c>
      <c r="I1551" s="12">
        <f t="shared" ref="I1551:I1614" si="173">SQRT(F1551)</f>
        <v>5.1144895353346705E-3</v>
      </c>
      <c r="J1551" s="12">
        <f t="shared" si="167"/>
        <v>5.4233926257759718E-3</v>
      </c>
    </row>
    <row r="1552" spans="1:10">
      <c r="A1552" s="15">
        <v>41833</v>
      </c>
      <c r="B1552" s="11">
        <v>2.3191000000000002</v>
      </c>
      <c r="C1552" s="11">
        <f t="shared" si="168"/>
        <v>-7.9999999999991189E-4</v>
      </c>
      <c r="D1552" s="12">
        <f t="shared" si="169"/>
        <v>6.3999999999985898E-7</v>
      </c>
      <c r="E1552" s="12">
        <f t="shared" si="170"/>
        <v>1.9599999999995683E-6</v>
      </c>
      <c r="F1552" s="12">
        <f t="shared" si="171"/>
        <v>2.4876592780849469E-5</v>
      </c>
      <c r="G1552" s="12">
        <f t="shared" si="172"/>
        <v>4.3689895842578448</v>
      </c>
      <c r="I1552" s="12">
        <f t="shared" si="173"/>
        <v>4.9876440110386252E-3</v>
      </c>
      <c r="J1552" s="12">
        <f t="shared" ref="J1552:J1615" si="174">J1551</f>
        <v>5.4233926257759718E-3</v>
      </c>
    </row>
    <row r="1553" spans="1:10">
      <c r="A1553" s="15">
        <v>41834</v>
      </c>
      <c r="B1553" s="11">
        <v>2.3273999999999999</v>
      </c>
      <c r="C1553" s="11">
        <f t="shared" si="168"/>
        <v>8.299999999999752E-3</v>
      </c>
      <c r="D1553" s="12">
        <f t="shared" si="169"/>
        <v>6.8889999999995879E-5</v>
      </c>
      <c r="E1553" s="12">
        <f t="shared" si="170"/>
        <v>6.3999999999985898E-7</v>
      </c>
      <c r="F1553" s="12">
        <f t="shared" si="171"/>
        <v>2.3655546759014752E-5</v>
      </c>
      <c r="G1553" s="12">
        <f t="shared" si="172"/>
        <v>2.950911232448767</v>
      </c>
      <c r="I1553" s="12">
        <f t="shared" si="173"/>
        <v>4.8636968202196516E-3</v>
      </c>
      <c r="J1553" s="12">
        <f t="shared" si="174"/>
        <v>5.4233926257759718E-3</v>
      </c>
    </row>
    <row r="1554" spans="1:10">
      <c r="A1554" s="15">
        <v>41835</v>
      </c>
      <c r="B1554" s="11">
        <v>2.3256000000000001</v>
      </c>
      <c r="C1554" s="11">
        <f t="shared" si="168"/>
        <v>-1.7999999999998018E-3</v>
      </c>
      <c r="D1554" s="12">
        <f t="shared" si="169"/>
        <v>3.2399999999992863E-6</v>
      </c>
      <c r="E1554" s="12">
        <f t="shared" si="170"/>
        <v>6.8889999999995879E-5</v>
      </c>
      <c r="F1554" s="12">
        <f t="shared" si="171"/>
        <v>2.6611624654747893E-5</v>
      </c>
      <c r="G1554" s="12">
        <f t="shared" si="172"/>
        <v>4.2872670177429404</v>
      </c>
      <c r="I1554" s="12">
        <f t="shared" si="173"/>
        <v>5.1586456221326049E-3</v>
      </c>
      <c r="J1554" s="12">
        <f t="shared" si="174"/>
        <v>5.4233926257759718E-3</v>
      </c>
    </row>
    <row r="1555" spans="1:10">
      <c r="A1555" s="15">
        <v>41836</v>
      </c>
      <c r="B1555" s="11">
        <v>2.3283999999999998</v>
      </c>
      <c r="C1555" s="11">
        <f t="shared" si="168"/>
        <v>2.7999999999996916E-3</v>
      </c>
      <c r="D1555" s="12">
        <f t="shared" si="169"/>
        <v>7.8399999999982732E-6</v>
      </c>
      <c r="E1555" s="12">
        <f t="shared" si="170"/>
        <v>3.2399999999992863E-6</v>
      </c>
      <c r="F1555" s="12">
        <f t="shared" si="171"/>
        <v>2.5357013446501014E-5</v>
      </c>
      <c r="G1555" s="12">
        <f t="shared" si="172"/>
        <v>4.2176967219660551</v>
      </c>
      <c r="I1555" s="12">
        <f t="shared" si="173"/>
        <v>5.0355747880952992E-3</v>
      </c>
      <c r="J1555" s="12">
        <f t="shared" si="174"/>
        <v>5.4233926257759718E-3</v>
      </c>
    </row>
    <row r="1556" spans="1:10">
      <c r="A1556" s="15">
        <v>41837</v>
      </c>
      <c r="B1556" s="11">
        <v>2.3321999999999998</v>
      </c>
      <c r="C1556" s="11">
        <f t="shared" si="168"/>
        <v>3.8000000000000256E-3</v>
      </c>
      <c r="D1556" s="12">
        <f t="shared" si="169"/>
        <v>1.4440000000000194E-5</v>
      </c>
      <c r="E1556" s="12">
        <f t="shared" si="170"/>
        <v>7.8399999999982732E-6</v>
      </c>
      <c r="F1556" s="12">
        <f t="shared" si="171"/>
        <v>2.4510735752540152E-5</v>
      </c>
      <c r="G1556" s="12">
        <f t="shared" si="172"/>
        <v>4.0946963295864363</v>
      </c>
      <c r="I1556" s="12">
        <f t="shared" si="173"/>
        <v>4.9508318243038866E-3</v>
      </c>
      <c r="J1556" s="12">
        <f t="shared" si="174"/>
        <v>5.4233926257759718E-3</v>
      </c>
    </row>
    <row r="1557" spans="1:10">
      <c r="A1557" s="15">
        <v>41838</v>
      </c>
      <c r="B1557" s="11">
        <v>2.3336000000000001</v>
      </c>
      <c r="C1557" s="11">
        <f t="shared" si="168"/>
        <v>1.4000000000002899E-3</v>
      </c>
      <c r="D1557" s="12">
        <f t="shared" si="169"/>
        <v>1.9600000000008118E-6</v>
      </c>
      <c r="E1557" s="12">
        <f t="shared" si="170"/>
        <v>1.4440000000000194E-5</v>
      </c>
      <c r="F1557" s="12">
        <f t="shared" si="171"/>
        <v>2.4147162274686917E-5</v>
      </c>
      <c r="G1557" s="12">
        <f t="shared" si="172"/>
        <v>4.3561488248809086</v>
      </c>
      <c r="I1557" s="12">
        <f t="shared" si="173"/>
        <v>4.9139762183680663E-3</v>
      </c>
      <c r="J1557" s="12">
        <f t="shared" si="174"/>
        <v>5.4233926257759718E-3</v>
      </c>
    </row>
    <row r="1558" spans="1:10">
      <c r="A1558" s="15">
        <v>41839</v>
      </c>
      <c r="B1558" s="11">
        <v>2.3273999999999999</v>
      </c>
      <c r="C1558" s="11">
        <f t="shared" si="168"/>
        <v>-6.2000000000002053E-3</v>
      </c>
      <c r="D1558" s="12">
        <f t="shared" si="169"/>
        <v>3.8440000000002546E-5</v>
      </c>
      <c r="E1558" s="12">
        <f t="shared" si="170"/>
        <v>1.9600000000008118E-6</v>
      </c>
      <c r="F1558" s="12">
        <f t="shared" si="171"/>
        <v>2.3083246090416666E-5</v>
      </c>
      <c r="G1558" s="12">
        <f t="shared" si="172"/>
        <v>3.5866246739340224</v>
      </c>
      <c r="I1558" s="12">
        <f t="shared" si="173"/>
        <v>4.8045026891882017E-3</v>
      </c>
      <c r="J1558" s="12">
        <f t="shared" si="174"/>
        <v>5.4233926257759718E-3</v>
      </c>
    </row>
    <row r="1559" spans="1:10">
      <c r="A1559" s="15">
        <v>41840</v>
      </c>
      <c r="B1559" s="11">
        <v>2.3256000000000001</v>
      </c>
      <c r="C1559" s="11">
        <f t="shared" si="168"/>
        <v>-1.7999999999998018E-3</v>
      </c>
      <c r="D1559" s="12">
        <f t="shared" si="169"/>
        <v>3.2399999999992863E-6</v>
      </c>
      <c r="E1559" s="12">
        <f t="shared" si="170"/>
        <v>3.8440000000002546E-5</v>
      </c>
      <c r="F1559" s="12">
        <f t="shared" si="171"/>
        <v>2.4296507858608492E-5</v>
      </c>
      <c r="G1559" s="12">
        <f t="shared" si="172"/>
        <v>4.3269741744640458</v>
      </c>
      <c r="I1559" s="12">
        <f t="shared" si="173"/>
        <v>4.9291487965579302E-3</v>
      </c>
      <c r="J1559" s="12">
        <f t="shared" si="174"/>
        <v>5.4233926257759718E-3</v>
      </c>
    </row>
    <row r="1560" spans="1:10">
      <c r="A1560" s="15">
        <v>41841</v>
      </c>
      <c r="B1560" s="11">
        <v>2.3332999999999999</v>
      </c>
      <c r="C1560" s="11">
        <f t="shared" si="168"/>
        <v>7.6999999999998181E-3</v>
      </c>
      <c r="D1560" s="12">
        <f t="shared" si="169"/>
        <v>5.9289999999997198E-5</v>
      </c>
      <c r="E1560" s="12">
        <f t="shared" si="170"/>
        <v>3.2399999999992863E-6</v>
      </c>
      <c r="F1560" s="12">
        <f t="shared" si="171"/>
        <v>2.3292301624941115E-5</v>
      </c>
      <c r="G1560" s="12">
        <f t="shared" si="172"/>
        <v>3.1420171743379042</v>
      </c>
      <c r="I1560" s="12">
        <f t="shared" si="173"/>
        <v>4.8262098612618489E-3</v>
      </c>
      <c r="J1560" s="12">
        <f t="shared" si="174"/>
        <v>5.4233926257759718E-3</v>
      </c>
    </row>
    <row r="1561" spans="1:10">
      <c r="A1561" s="15">
        <v>41842</v>
      </c>
      <c r="B1561" s="11">
        <v>2.3249</v>
      </c>
      <c r="C1561" s="11">
        <f t="shared" si="168"/>
        <v>-8.3999999999999631E-3</v>
      </c>
      <c r="D1561" s="12">
        <f t="shared" si="169"/>
        <v>7.0559999999999379E-5</v>
      </c>
      <c r="E1561" s="12">
        <f t="shared" si="170"/>
        <v>5.9289999999997198E-5</v>
      </c>
      <c r="F1561" s="12">
        <f t="shared" si="171"/>
        <v>2.5718693712336832E-5</v>
      </c>
      <c r="G1561" s="12">
        <f t="shared" si="172"/>
        <v>2.993442834620784</v>
      </c>
      <c r="I1561" s="12">
        <f t="shared" si="173"/>
        <v>5.0713601442154387E-3</v>
      </c>
      <c r="J1561" s="12">
        <f t="shared" si="174"/>
        <v>5.4233926257759718E-3</v>
      </c>
    </row>
    <row r="1562" spans="1:10">
      <c r="A1562" s="15">
        <v>41843</v>
      </c>
      <c r="B1562" s="11">
        <v>2.3210000000000002</v>
      </c>
      <c r="C1562" s="11">
        <f t="shared" si="168"/>
        <v>-3.8999999999997925E-3</v>
      </c>
      <c r="D1562" s="12">
        <f t="shared" si="169"/>
        <v>1.5209999999998382E-5</v>
      </c>
      <c r="E1562" s="12">
        <f t="shared" si="170"/>
        <v>7.0559999999999379E-5</v>
      </c>
      <c r="F1562" s="12">
        <f t="shared" si="171"/>
        <v>2.8550597794732006E-5</v>
      </c>
      <c r="G1562" s="12">
        <f t="shared" si="172"/>
        <v>4.0466085974808728</v>
      </c>
      <c r="I1562" s="12">
        <f t="shared" si="173"/>
        <v>5.3432759422223372E-3</v>
      </c>
      <c r="J1562" s="12">
        <f t="shared" si="174"/>
        <v>5.4233926257759718E-3</v>
      </c>
    </row>
    <row r="1563" spans="1:10">
      <c r="A1563" s="15">
        <v>41844</v>
      </c>
      <c r="B1563" s="11">
        <v>2.3186</v>
      </c>
      <c r="C1563" s="11">
        <f t="shared" si="168"/>
        <v>-2.4000000000001798E-3</v>
      </c>
      <c r="D1563" s="12">
        <f t="shared" si="169"/>
        <v>5.760000000000863E-6</v>
      </c>
      <c r="E1563" s="12">
        <f t="shared" si="170"/>
        <v>1.5209999999998382E-5</v>
      </c>
      <c r="F1563" s="12">
        <f t="shared" si="171"/>
        <v>2.7795705962713351E-5</v>
      </c>
      <c r="G1563" s="12">
        <f t="shared" si="172"/>
        <v>4.2227628383250302</v>
      </c>
      <c r="I1563" s="12">
        <f t="shared" si="173"/>
        <v>5.2721633095640496E-3</v>
      </c>
      <c r="J1563" s="12">
        <f t="shared" si="174"/>
        <v>5.4233926257759718E-3</v>
      </c>
    </row>
    <row r="1564" spans="1:10">
      <c r="A1564" s="15">
        <v>41845</v>
      </c>
      <c r="B1564" s="11">
        <v>2.3180999999999998</v>
      </c>
      <c r="C1564" s="11">
        <f t="shared" si="168"/>
        <v>-5.0000000000016698E-4</v>
      </c>
      <c r="D1564" s="12">
        <f t="shared" si="169"/>
        <v>2.5000000000016696E-7</v>
      </c>
      <c r="E1564" s="12">
        <f t="shared" si="170"/>
        <v>5.760000000000863E-6</v>
      </c>
      <c r="F1564" s="12">
        <f t="shared" si="171"/>
        <v>2.6562379387511089E-5</v>
      </c>
      <c r="G1564" s="12">
        <f t="shared" si="172"/>
        <v>4.3443628816855524</v>
      </c>
      <c r="I1564" s="12">
        <f t="shared" si="173"/>
        <v>5.1538703308786384E-3</v>
      </c>
      <c r="J1564" s="12">
        <f t="shared" si="174"/>
        <v>5.4233926257759718E-3</v>
      </c>
    </row>
    <row r="1565" spans="1:10">
      <c r="A1565" s="15">
        <v>41846</v>
      </c>
      <c r="B1565" s="11">
        <v>2.3147000000000002</v>
      </c>
      <c r="C1565" s="11">
        <f t="shared" si="168"/>
        <v>-3.3999999999996255E-3</v>
      </c>
      <c r="D1565" s="12">
        <f t="shared" si="169"/>
        <v>1.1559999999997453E-5</v>
      </c>
      <c r="E1565" s="12">
        <f t="shared" si="170"/>
        <v>2.5000000000016696E-7</v>
      </c>
      <c r="F1565" s="12">
        <f t="shared" si="171"/>
        <v>2.5135882674809213E-5</v>
      </c>
      <c r="G1565" s="12">
        <f t="shared" si="172"/>
        <v>4.1467183811078554</v>
      </c>
      <c r="I1565" s="12">
        <f t="shared" si="173"/>
        <v>5.0135698533888221E-3</v>
      </c>
      <c r="J1565" s="12">
        <f t="shared" si="174"/>
        <v>5.4233926257759718E-3</v>
      </c>
    </row>
    <row r="1566" spans="1:10">
      <c r="A1566" s="15">
        <v>41847</v>
      </c>
      <c r="B1566" s="11">
        <v>2.3180999999999998</v>
      </c>
      <c r="C1566" s="11">
        <f t="shared" si="168"/>
        <v>3.3999999999996255E-3</v>
      </c>
      <c r="D1566" s="12">
        <f t="shared" si="169"/>
        <v>1.1559999999997453E-5</v>
      </c>
      <c r="E1566" s="12">
        <f t="shared" si="170"/>
        <v>1.1559999999997453E-5</v>
      </c>
      <c r="F1566" s="12">
        <f t="shared" si="171"/>
        <v>2.4534000369454737E-5</v>
      </c>
      <c r="G1566" s="12">
        <f t="shared" si="172"/>
        <v>4.15319535495804</v>
      </c>
      <c r="I1566" s="12">
        <f t="shared" si="173"/>
        <v>4.9531808335103959E-3</v>
      </c>
      <c r="J1566" s="12">
        <f t="shared" si="174"/>
        <v>5.4233926257759718E-3</v>
      </c>
    </row>
    <row r="1567" spans="1:10">
      <c r="A1567" s="15">
        <v>41848</v>
      </c>
      <c r="B1567" s="11">
        <v>2.3176999999999999</v>
      </c>
      <c r="C1567" s="11">
        <f t="shared" si="168"/>
        <v>-3.9999999999995595E-4</v>
      </c>
      <c r="D1567" s="12">
        <f t="shared" si="169"/>
        <v>1.5999999999996475E-7</v>
      </c>
      <c r="E1567" s="12">
        <f t="shared" si="170"/>
        <v>1.1559999999997453E-5</v>
      </c>
      <c r="F1567" s="12">
        <f t="shared" si="171"/>
        <v>2.399721815910344E-5</v>
      </c>
      <c r="G1567" s="12">
        <f t="shared" si="172"/>
        <v>4.3965140618498868</v>
      </c>
      <c r="I1567" s="12">
        <f t="shared" si="173"/>
        <v>4.898695556890981E-3</v>
      </c>
      <c r="J1567" s="12">
        <f t="shared" si="174"/>
        <v>5.4233926257759718E-3</v>
      </c>
    </row>
    <row r="1568" spans="1:10">
      <c r="A1568" s="15">
        <v>41849</v>
      </c>
      <c r="B1568" s="11">
        <v>2.306</v>
      </c>
      <c r="C1568" s="11">
        <f t="shared" si="168"/>
        <v>-1.1699999999999822E-2</v>
      </c>
      <c r="D1568" s="12">
        <f t="shared" si="169"/>
        <v>1.3688999999999582E-4</v>
      </c>
      <c r="E1568" s="12">
        <f t="shared" si="170"/>
        <v>1.5999999999996475E-7</v>
      </c>
      <c r="F1568" s="12">
        <f t="shared" si="171"/>
        <v>2.2842837298635711E-5</v>
      </c>
      <c r="G1568" s="12">
        <f t="shared" si="172"/>
        <v>1.4281538709413033</v>
      </c>
      <c r="I1568" s="12">
        <f t="shared" si="173"/>
        <v>4.7794180920521815E-3</v>
      </c>
      <c r="J1568" s="12">
        <f t="shared" si="174"/>
        <v>5.4233926257759718E-3</v>
      </c>
    </row>
    <row r="1569" spans="1:10">
      <c r="A1569" s="15">
        <v>41850</v>
      </c>
      <c r="B1569" s="11">
        <v>2.3068</v>
      </c>
      <c r="C1569" s="11">
        <f t="shared" si="168"/>
        <v>7.9999999999991189E-4</v>
      </c>
      <c r="D1569" s="12">
        <f t="shared" si="169"/>
        <v>6.3999999999985898E-7</v>
      </c>
      <c r="E1569" s="12">
        <f t="shared" si="170"/>
        <v>1.3688999999999582E-4</v>
      </c>
      <c r="F1569" s="12">
        <f t="shared" si="171"/>
        <v>2.9917056037284762E-5</v>
      </c>
      <c r="G1569" s="12">
        <f t="shared" si="172"/>
        <v>4.2789061218796647</v>
      </c>
      <c r="I1569" s="12">
        <f t="shared" si="173"/>
        <v>5.4696486210070901E-3</v>
      </c>
      <c r="J1569" s="12">
        <f t="shared" si="174"/>
        <v>5.4233926257759718E-3</v>
      </c>
    </row>
    <row r="1570" spans="1:10">
      <c r="A1570" s="15">
        <v>41851</v>
      </c>
      <c r="B1570" s="11">
        <v>2.3035999999999999</v>
      </c>
      <c r="C1570" s="11">
        <f t="shared" si="168"/>
        <v>-3.2000000000000917E-3</v>
      </c>
      <c r="D1570" s="12">
        <f t="shared" si="169"/>
        <v>1.0240000000000586E-5</v>
      </c>
      <c r="E1570" s="12">
        <f t="shared" si="170"/>
        <v>6.3999999999985898E-7</v>
      </c>
      <c r="F1570" s="12">
        <f t="shared" si="171"/>
        <v>2.8150829281717166E-5</v>
      </c>
      <c r="G1570" s="12">
        <f t="shared" si="172"/>
        <v>4.1381509187487087</v>
      </c>
      <c r="I1570" s="12">
        <f t="shared" si="173"/>
        <v>5.3057355080815298E-3</v>
      </c>
      <c r="J1570" s="12">
        <f t="shared" si="174"/>
        <v>5.4233926257759718E-3</v>
      </c>
    </row>
    <row r="1571" spans="1:10">
      <c r="A1571" s="15">
        <v>41852</v>
      </c>
      <c r="B1571" s="11">
        <v>2.2949999999999999</v>
      </c>
      <c r="C1571" s="11">
        <f t="shared" si="168"/>
        <v>-8.599999999999941E-3</v>
      </c>
      <c r="D1571" s="12">
        <f t="shared" si="169"/>
        <v>7.3959999999998987E-5</v>
      </c>
      <c r="E1571" s="12">
        <f t="shared" si="170"/>
        <v>1.0240000000000586E-5</v>
      </c>
      <c r="F1571" s="12">
        <f t="shared" si="171"/>
        <v>2.7144613800261702E-5</v>
      </c>
      <c r="G1571" s="12">
        <f t="shared" si="172"/>
        <v>2.9758945345388339</v>
      </c>
      <c r="I1571" s="12">
        <f t="shared" si="173"/>
        <v>5.2100493088128924E-3</v>
      </c>
      <c r="J1571" s="12">
        <f t="shared" si="174"/>
        <v>5.4233926257759718E-3</v>
      </c>
    </row>
    <row r="1572" spans="1:10">
      <c r="A1572" s="15">
        <v>41853</v>
      </c>
      <c r="B1572" s="11">
        <v>2.2978000000000001</v>
      </c>
      <c r="C1572" s="11">
        <f t="shared" si="168"/>
        <v>2.8000000000001357E-3</v>
      </c>
      <c r="D1572" s="12">
        <f t="shared" si="169"/>
        <v>7.8400000000007601E-6</v>
      </c>
      <c r="E1572" s="12">
        <f t="shared" si="170"/>
        <v>7.3959999999998987E-5</v>
      </c>
      <c r="F1572" s="12">
        <f t="shared" si="171"/>
        <v>3.0023801045191069E-5</v>
      </c>
      <c r="G1572" s="12">
        <f t="shared" si="172"/>
        <v>4.1572584386757514</v>
      </c>
      <c r="I1572" s="12">
        <f t="shared" si="173"/>
        <v>5.4793978725030607E-3</v>
      </c>
      <c r="J1572" s="12">
        <f t="shared" si="174"/>
        <v>5.4233926257759718E-3</v>
      </c>
    </row>
    <row r="1573" spans="1:10">
      <c r="A1573" s="15">
        <v>41854</v>
      </c>
      <c r="B1573" s="11">
        <v>2.3054999999999999</v>
      </c>
      <c r="C1573" s="11">
        <f t="shared" si="168"/>
        <v>7.6999999999998181E-3</v>
      </c>
      <c r="D1573" s="12">
        <f t="shared" si="169"/>
        <v>5.9289999999997198E-5</v>
      </c>
      <c r="E1573" s="12">
        <f t="shared" si="170"/>
        <v>7.8400000000007601E-6</v>
      </c>
      <c r="F1573" s="12">
        <f t="shared" si="171"/>
        <v>2.8672759690076582E-5</v>
      </c>
      <c r="G1573" s="12">
        <f t="shared" si="172"/>
        <v>3.2769348196655073</v>
      </c>
      <c r="I1573" s="12">
        <f t="shared" si="173"/>
        <v>5.3546951071070875E-3</v>
      </c>
      <c r="J1573" s="12">
        <f t="shared" si="174"/>
        <v>5.4233926257759718E-3</v>
      </c>
    </row>
    <row r="1574" spans="1:10">
      <c r="A1574" s="15">
        <v>41855</v>
      </c>
      <c r="B1574" s="11">
        <v>2.2999000000000001</v>
      </c>
      <c r="C1574" s="11">
        <f t="shared" si="168"/>
        <v>-5.5999999999998273E-3</v>
      </c>
      <c r="D1574" s="12">
        <f t="shared" si="169"/>
        <v>3.1359999999998067E-5</v>
      </c>
      <c r="E1574" s="12">
        <f t="shared" si="170"/>
        <v>5.9289999999997198E-5</v>
      </c>
      <c r="F1574" s="12">
        <f t="shared" si="171"/>
        <v>3.0517196920044364E-5</v>
      </c>
      <c r="G1574" s="12">
        <f t="shared" si="172"/>
        <v>3.7658629011591209</v>
      </c>
      <c r="I1574" s="12">
        <f t="shared" si="173"/>
        <v>5.5242372251781838E-3</v>
      </c>
      <c r="J1574" s="12">
        <f t="shared" si="174"/>
        <v>5.4233926257759718E-3</v>
      </c>
    </row>
    <row r="1575" spans="1:10">
      <c r="A1575" s="15">
        <v>41856</v>
      </c>
      <c r="B1575" s="11">
        <v>2.2974000000000001</v>
      </c>
      <c r="C1575" s="11">
        <f t="shared" si="168"/>
        <v>-2.4999999999999467E-3</v>
      </c>
      <c r="D1575" s="12">
        <f t="shared" si="169"/>
        <v>6.2499999999997335E-6</v>
      </c>
      <c r="E1575" s="12">
        <f t="shared" si="170"/>
        <v>3.1359999999998067E-5</v>
      </c>
      <c r="F1575" s="12">
        <f t="shared" si="171"/>
        <v>3.0506777484729127E-5</v>
      </c>
      <c r="G1575" s="12">
        <f t="shared" si="172"/>
        <v>4.1774060488544018</v>
      </c>
      <c r="I1575" s="12">
        <f t="shared" si="173"/>
        <v>5.5232940791459881E-3</v>
      </c>
      <c r="J1575" s="12">
        <f t="shared" si="174"/>
        <v>5.4233926257759718E-3</v>
      </c>
    </row>
    <row r="1576" spans="1:10">
      <c r="A1576" s="15">
        <v>41857</v>
      </c>
      <c r="B1576" s="11">
        <v>2.2951999999999999</v>
      </c>
      <c r="C1576" s="11">
        <f t="shared" si="168"/>
        <v>-2.2000000000002018E-3</v>
      </c>
      <c r="D1576" s="12">
        <f t="shared" si="169"/>
        <v>4.8400000000008879E-6</v>
      </c>
      <c r="E1576" s="12">
        <f t="shared" si="170"/>
        <v>6.2499999999997335E-6</v>
      </c>
      <c r="F1576" s="12">
        <f t="shared" si="171"/>
        <v>2.9009260556994085E-5</v>
      </c>
      <c r="G1576" s="12">
        <f t="shared" si="172"/>
        <v>4.2215875472412723</v>
      </c>
      <c r="I1576" s="12">
        <f t="shared" si="173"/>
        <v>5.3860245596352493E-3</v>
      </c>
      <c r="J1576" s="12">
        <f t="shared" si="174"/>
        <v>5.4233926257759718E-3</v>
      </c>
    </row>
    <row r="1577" spans="1:10">
      <c r="A1577" s="15">
        <v>41858</v>
      </c>
      <c r="B1577" s="11">
        <v>2.2961999999999998</v>
      </c>
      <c r="C1577" s="11">
        <f t="shared" si="168"/>
        <v>9.9999999999988987E-4</v>
      </c>
      <c r="D1577" s="12">
        <f t="shared" si="169"/>
        <v>9.9999999999977973E-7</v>
      </c>
      <c r="E1577" s="12">
        <f t="shared" si="170"/>
        <v>4.8400000000008879E-6</v>
      </c>
      <c r="F1577" s="12">
        <f t="shared" si="171"/>
        <v>2.7590148156222522E-5</v>
      </c>
      <c r="G1577" s="12">
        <f t="shared" si="172"/>
        <v>4.311964948482168</v>
      </c>
      <c r="I1577" s="12">
        <f t="shared" si="173"/>
        <v>5.2526324977312591E-3</v>
      </c>
      <c r="J1577" s="12">
        <f t="shared" si="174"/>
        <v>5.4233926257759718E-3</v>
      </c>
    </row>
    <row r="1578" spans="1:10">
      <c r="A1578" s="15">
        <v>41859</v>
      </c>
      <c r="B1578" s="11">
        <v>2.3008000000000002</v>
      </c>
      <c r="C1578" s="11">
        <f t="shared" si="168"/>
        <v>4.6000000000003816E-3</v>
      </c>
      <c r="D1578" s="12">
        <f t="shared" si="169"/>
        <v>2.1160000000003511E-5</v>
      </c>
      <c r="E1578" s="12">
        <f t="shared" si="170"/>
        <v>9.9999999999977973E-7</v>
      </c>
      <c r="F1578" s="12">
        <f t="shared" si="171"/>
        <v>2.6096938260372251E-5</v>
      </c>
      <c r="G1578" s="12">
        <f t="shared" si="172"/>
        <v>3.9524961959786409</v>
      </c>
      <c r="I1578" s="12">
        <f t="shared" si="173"/>
        <v>5.1085162484201078E-3</v>
      </c>
      <c r="J1578" s="12">
        <f t="shared" si="174"/>
        <v>5.4233926257759718E-3</v>
      </c>
    </row>
    <row r="1579" spans="1:10">
      <c r="A1579" s="15">
        <v>41860</v>
      </c>
      <c r="B1579" s="11">
        <v>2.3003999999999998</v>
      </c>
      <c r="C1579" s="11">
        <f t="shared" si="168"/>
        <v>-4.0000000000040004E-4</v>
      </c>
      <c r="D1579" s="12">
        <f t="shared" si="169"/>
        <v>1.6000000000032002E-7</v>
      </c>
      <c r="E1579" s="12">
        <f t="shared" si="170"/>
        <v>2.1160000000003511E-5</v>
      </c>
      <c r="F1579" s="12">
        <f t="shared" si="171"/>
        <v>2.5960082083481951E-5</v>
      </c>
      <c r="G1579" s="12">
        <f t="shared" si="172"/>
        <v>4.3574550571601884</v>
      </c>
      <c r="I1579" s="12">
        <f t="shared" si="173"/>
        <v>5.0951037362827025E-3</v>
      </c>
      <c r="J1579" s="12">
        <f t="shared" si="174"/>
        <v>5.4233926257759718E-3</v>
      </c>
    </row>
    <row r="1580" spans="1:10">
      <c r="A1580" s="15">
        <v>41861</v>
      </c>
      <c r="B1580" s="11">
        <v>2.3026</v>
      </c>
      <c r="C1580" s="11">
        <f t="shared" si="168"/>
        <v>2.2000000000002018E-3</v>
      </c>
      <c r="D1580" s="12">
        <f t="shared" si="169"/>
        <v>4.8400000000008879E-6</v>
      </c>
      <c r="E1580" s="12">
        <f t="shared" si="170"/>
        <v>1.6000000000032002E-7</v>
      </c>
      <c r="F1580" s="12">
        <f t="shared" si="171"/>
        <v>2.4593396214512449E-5</v>
      </c>
      <c r="G1580" s="12">
        <f t="shared" si="172"/>
        <v>4.2891773592343609</v>
      </c>
      <c r="I1580" s="12">
        <f t="shared" si="173"/>
        <v>4.9591729365401696E-3</v>
      </c>
      <c r="J1580" s="12">
        <f t="shared" si="174"/>
        <v>5.4233926257759718E-3</v>
      </c>
    </row>
    <row r="1581" spans="1:10">
      <c r="A1581" s="15">
        <v>41862</v>
      </c>
      <c r="B1581" s="11">
        <v>2.3008999999999999</v>
      </c>
      <c r="C1581" s="11">
        <f t="shared" si="168"/>
        <v>-1.7000000000000348E-3</v>
      </c>
      <c r="D1581" s="12">
        <f t="shared" si="169"/>
        <v>2.8900000000001184E-6</v>
      </c>
      <c r="E1581" s="12">
        <f t="shared" si="170"/>
        <v>4.8400000000008879E-6</v>
      </c>
      <c r="F1581" s="12">
        <f t="shared" si="171"/>
        <v>2.3651907405029911E-5</v>
      </c>
      <c r="G1581" s="12">
        <f t="shared" si="172"/>
        <v>4.3460004184603767</v>
      </c>
      <c r="I1581" s="12">
        <f t="shared" si="173"/>
        <v>4.8633226712845113E-3</v>
      </c>
      <c r="J1581" s="12">
        <f t="shared" si="174"/>
        <v>5.4233926257759718E-3</v>
      </c>
    </row>
    <row r="1582" spans="1:10">
      <c r="A1582" s="15">
        <v>41863</v>
      </c>
      <c r="B1582" s="11">
        <v>2.3022999999999998</v>
      </c>
      <c r="C1582" s="11">
        <f t="shared" si="168"/>
        <v>1.3999999999998458E-3</v>
      </c>
      <c r="D1582" s="12">
        <f t="shared" si="169"/>
        <v>1.9599999999995683E-6</v>
      </c>
      <c r="E1582" s="12">
        <f t="shared" si="170"/>
        <v>2.8900000000001184E-6</v>
      </c>
      <c r="F1582" s="12">
        <f t="shared" si="171"/>
        <v>2.2696677827593371E-5</v>
      </c>
      <c r="G1582" s="12">
        <f t="shared" si="172"/>
        <v>4.3845293317680687</v>
      </c>
      <c r="I1582" s="12">
        <f t="shared" si="173"/>
        <v>4.7641030454423812E-3</v>
      </c>
      <c r="J1582" s="12">
        <f t="shared" si="174"/>
        <v>5.4233926257759718E-3</v>
      </c>
    </row>
    <row r="1583" spans="1:10">
      <c r="A1583" s="15">
        <v>41864</v>
      </c>
      <c r="B1583" s="11">
        <v>2.3010999999999999</v>
      </c>
      <c r="C1583" s="11">
        <f t="shared" si="168"/>
        <v>-1.1999999999998678E-3</v>
      </c>
      <c r="D1583" s="12">
        <f t="shared" si="169"/>
        <v>1.4399999999996828E-6</v>
      </c>
      <c r="E1583" s="12">
        <f t="shared" si="170"/>
        <v>1.9599999999995683E-6</v>
      </c>
      <c r="F1583" s="12">
        <f t="shared" si="171"/>
        <v>2.1789647257780204E-5</v>
      </c>
      <c r="G1583" s="12">
        <f t="shared" si="172"/>
        <v>4.4150560430683905</v>
      </c>
      <c r="I1583" s="12">
        <f t="shared" si="173"/>
        <v>4.66793822343229E-3</v>
      </c>
      <c r="J1583" s="12">
        <f t="shared" si="174"/>
        <v>5.4233926257759718E-3</v>
      </c>
    </row>
    <row r="1584" spans="1:10">
      <c r="A1584" s="15">
        <v>41865</v>
      </c>
      <c r="B1584" s="11">
        <v>2.3010999999999999</v>
      </c>
      <c r="C1584" s="11">
        <f t="shared" si="168"/>
        <v>0</v>
      </c>
      <c r="D1584" s="12">
        <f t="shared" si="169"/>
        <v>0</v>
      </c>
      <c r="E1584" s="12">
        <f t="shared" si="170"/>
        <v>1.4399999999996828E-6</v>
      </c>
      <c r="F1584" s="12">
        <f t="shared" si="171"/>
        <v>2.094990241192995E-5</v>
      </c>
      <c r="G1584" s="12">
        <f t="shared" si="172"/>
        <v>4.4677497442832861</v>
      </c>
      <c r="I1584" s="12">
        <f t="shared" si="173"/>
        <v>4.5771063360959784E-3</v>
      </c>
      <c r="J1584" s="12">
        <f t="shared" si="174"/>
        <v>5.4233926257759718E-3</v>
      </c>
    </row>
    <row r="1585" spans="1:10">
      <c r="A1585" s="15">
        <v>41866</v>
      </c>
      <c r="B1585" s="11">
        <v>2.3035000000000001</v>
      </c>
      <c r="C1585" s="11">
        <f t="shared" si="168"/>
        <v>2.4000000000001798E-3</v>
      </c>
      <c r="D1585" s="12">
        <f t="shared" si="169"/>
        <v>5.760000000000863E-6</v>
      </c>
      <c r="E1585" s="12">
        <f t="shared" si="170"/>
        <v>0</v>
      </c>
      <c r="F1585" s="12">
        <f t="shared" si="171"/>
        <v>2.0115638866971816E-5</v>
      </c>
      <c r="G1585" s="12">
        <f t="shared" si="172"/>
        <v>4.344895769051722</v>
      </c>
      <c r="I1585" s="12">
        <f t="shared" si="173"/>
        <v>4.4850461387784873E-3</v>
      </c>
      <c r="J1585" s="12">
        <f t="shared" si="174"/>
        <v>5.4233926257759718E-3</v>
      </c>
    </row>
    <row r="1586" spans="1:10">
      <c r="A1586" s="15">
        <v>41867</v>
      </c>
      <c r="B1586" s="11">
        <v>2.3031000000000001</v>
      </c>
      <c r="C1586" s="11">
        <f t="shared" si="168"/>
        <v>-3.9999999999995595E-4</v>
      </c>
      <c r="D1586" s="12">
        <f t="shared" si="169"/>
        <v>1.5999999999996475E-7</v>
      </c>
      <c r="E1586" s="12">
        <f t="shared" si="170"/>
        <v>5.760000000000863E-6</v>
      </c>
      <c r="F1586" s="12">
        <f t="shared" si="171"/>
        <v>1.9712994790849068E-5</v>
      </c>
      <c r="G1586" s="12">
        <f t="shared" si="172"/>
        <v>4.4941194754694882</v>
      </c>
      <c r="I1586" s="12">
        <f t="shared" si="173"/>
        <v>4.4399318452932436E-3</v>
      </c>
      <c r="J1586" s="12">
        <f t="shared" si="174"/>
        <v>5.4233926257759718E-3</v>
      </c>
    </row>
    <row r="1587" spans="1:10">
      <c r="A1587" s="15">
        <v>41868</v>
      </c>
      <c r="B1587" s="11">
        <v>2.3029000000000002</v>
      </c>
      <c r="C1587" s="11">
        <f t="shared" si="168"/>
        <v>-1.9999999999997797E-4</v>
      </c>
      <c r="D1587" s="12">
        <f t="shared" si="169"/>
        <v>3.9999999999991186E-8</v>
      </c>
      <c r="E1587" s="12">
        <f t="shared" si="170"/>
        <v>1.5999999999996475E-7</v>
      </c>
      <c r="F1587" s="12">
        <f t="shared" si="171"/>
        <v>1.9021999123478114E-5</v>
      </c>
      <c r="G1587" s="12">
        <f t="shared" si="172"/>
        <v>4.5149672452001592</v>
      </c>
      <c r="I1587" s="12">
        <f t="shared" si="173"/>
        <v>4.3614216860420772E-3</v>
      </c>
      <c r="J1587" s="12">
        <f t="shared" si="174"/>
        <v>5.4233926257759718E-3</v>
      </c>
    </row>
    <row r="1588" spans="1:10">
      <c r="A1588" s="15">
        <v>41869</v>
      </c>
      <c r="B1588" s="11">
        <v>2.3022999999999998</v>
      </c>
      <c r="C1588" s="11">
        <f t="shared" si="168"/>
        <v>-6.0000000000037801E-4</v>
      </c>
      <c r="D1588" s="12">
        <f t="shared" si="169"/>
        <v>3.6000000000045363E-7</v>
      </c>
      <c r="E1588" s="12">
        <f t="shared" si="170"/>
        <v>3.9999999999991186E-8</v>
      </c>
      <c r="F1588" s="12">
        <f t="shared" si="171"/>
        <v>1.8398629943259827E-5</v>
      </c>
      <c r="G1588" s="12">
        <f t="shared" si="172"/>
        <v>4.5228953001133405</v>
      </c>
      <c r="I1588" s="12">
        <f t="shared" si="173"/>
        <v>4.289362416870347E-3</v>
      </c>
      <c r="J1588" s="12">
        <f t="shared" si="174"/>
        <v>5.4233926257759718E-3</v>
      </c>
    </row>
    <row r="1589" spans="1:10">
      <c r="A1589" s="15">
        <v>41870</v>
      </c>
      <c r="B1589" s="11">
        <v>2.2972999999999999</v>
      </c>
      <c r="C1589" s="11">
        <f t="shared" si="168"/>
        <v>-4.9999999999998934E-3</v>
      </c>
      <c r="D1589" s="12">
        <f t="shared" si="169"/>
        <v>2.4999999999998934E-5</v>
      </c>
      <c r="E1589" s="12">
        <f t="shared" si="170"/>
        <v>3.6000000000045363E-7</v>
      </c>
      <c r="F1589" s="12">
        <f t="shared" si="171"/>
        <v>1.7861650720010682E-5</v>
      </c>
      <c r="G1589" s="12">
        <f t="shared" si="172"/>
        <v>3.8476654036635316</v>
      </c>
      <c r="I1589" s="12">
        <f t="shared" si="173"/>
        <v>4.2263046175128787E-3</v>
      </c>
      <c r="J1589" s="12">
        <f t="shared" si="174"/>
        <v>5.4233926257759718E-3</v>
      </c>
    </row>
    <row r="1590" spans="1:10">
      <c r="A1590" s="15">
        <v>41871</v>
      </c>
      <c r="B1590" s="11">
        <v>2.2976999999999999</v>
      </c>
      <c r="C1590" s="11">
        <f t="shared" si="168"/>
        <v>3.9999999999995595E-4</v>
      </c>
      <c r="D1590" s="12">
        <f t="shared" si="169"/>
        <v>1.5999999999996475E-7</v>
      </c>
      <c r="E1590" s="12">
        <f t="shared" si="170"/>
        <v>2.4999999999998934E-5</v>
      </c>
      <c r="F1590" s="12">
        <f t="shared" si="171"/>
        <v>1.8843120033896907E-5</v>
      </c>
      <c r="G1590" s="12">
        <f t="shared" si="172"/>
        <v>4.516497225821718</v>
      </c>
      <c r="I1590" s="12">
        <f t="shared" si="173"/>
        <v>4.3408662768964568E-3</v>
      </c>
      <c r="J1590" s="12">
        <f t="shared" si="174"/>
        <v>5.4233926257759718E-3</v>
      </c>
    </row>
    <row r="1591" spans="1:10">
      <c r="A1591" s="15">
        <v>41872</v>
      </c>
      <c r="B1591" s="11">
        <v>2.2919999999999998</v>
      </c>
      <c r="C1591" s="11">
        <f t="shared" si="168"/>
        <v>-5.7000000000000384E-3</v>
      </c>
      <c r="D1591" s="12">
        <f t="shared" si="169"/>
        <v>3.2490000000000436E-5</v>
      </c>
      <c r="E1591" s="12">
        <f t="shared" si="170"/>
        <v>1.5999999999996475E-7</v>
      </c>
      <c r="F1591" s="12">
        <f t="shared" si="171"/>
        <v>1.8246210749884749E-5</v>
      </c>
      <c r="G1591" s="12">
        <f t="shared" si="172"/>
        <v>3.646516180274086</v>
      </c>
      <c r="I1591" s="12">
        <f t="shared" si="173"/>
        <v>4.2715583514549753E-3</v>
      </c>
      <c r="J1591" s="12">
        <f t="shared" si="174"/>
        <v>5.4233926257759718E-3</v>
      </c>
    </row>
    <row r="1592" spans="1:10">
      <c r="A1592" s="15">
        <v>41873</v>
      </c>
      <c r="B1592" s="11">
        <v>2.2938999999999998</v>
      </c>
      <c r="C1592" s="11">
        <f t="shared" si="168"/>
        <v>1.9000000000000128E-3</v>
      </c>
      <c r="D1592" s="12">
        <f t="shared" si="169"/>
        <v>3.6100000000000484E-6</v>
      </c>
      <c r="E1592" s="12">
        <f t="shared" si="170"/>
        <v>3.2490000000000436E-5</v>
      </c>
      <c r="F1592" s="12">
        <f t="shared" si="171"/>
        <v>1.9630004536017202E-5</v>
      </c>
      <c r="G1592" s="12">
        <f t="shared" si="172"/>
        <v>4.4083360446943081</v>
      </c>
      <c r="I1592" s="12">
        <f t="shared" si="173"/>
        <v>4.4305760952744284E-3</v>
      </c>
      <c r="J1592" s="12">
        <f t="shared" si="174"/>
        <v>5.4233926257759718E-3</v>
      </c>
    </row>
    <row r="1593" spans="1:10">
      <c r="A1593" s="15">
        <v>41874</v>
      </c>
      <c r="B1593" s="11">
        <v>2.294</v>
      </c>
      <c r="C1593" s="11">
        <f t="shared" si="168"/>
        <v>1.0000000000021103E-4</v>
      </c>
      <c r="D1593" s="12">
        <f t="shared" si="169"/>
        <v>1.0000000000042206E-8</v>
      </c>
      <c r="E1593" s="12">
        <f t="shared" si="170"/>
        <v>3.6100000000000484E-6</v>
      </c>
      <c r="F1593" s="12">
        <f t="shared" si="171"/>
        <v>1.9152460449450797E-5</v>
      </c>
      <c r="G1593" s="12">
        <f t="shared" si="172"/>
        <v>4.5123400801407394</v>
      </c>
      <c r="I1593" s="12">
        <f t="shared" si="173"/>
        <v>4.3763524137631783E-3</v>
      </c>
      <c r="J1593" s="12">
        <f t="shared" si="174"/>
        <v>5.4233926257759718E-3</v>
      </c>
    </row>
    <row r="1594" spans="1:10">
      <c r="A1594" s="15">
        <v>41875</v>
      </c>
      <c r="B1594" s="11">
        <v>2.294</v>
      </c>
      <c r="C1594" s="11">
        <f t="shared" si="168"/>
        <v>0</v>
      </c>
      <c r="D1594" s="12">
        <f t="shared" si="169"/>
        <v>0</v>
      </c>
      <c r="E1594" s="12">
        <f t="shared" si="170"/>
        <v>1.0000000000042206E-8</v>
      </c>
      <c r="F1594" s="12">
        <f t="shared" si="171"/>
        <v>1.8513202416826438E-5</v>
      </c>
      <c r="G1594" s="12">
        <f t="shared" si="172"/>
        <v>4.5295746775339722</v>
      </c>
      <c r="I1594" s="12">
        <f t="shared" si="173"/>
        <v>4.3026971095844564E-3</v>
      </c>
      <c r="J1594" s="12">
        <f t="shared" si="174"/>
        <v>5.4233926257759718E-3</v>
      </c>
    </row>
    <row r="1595" spans="1:10">
      <c r="A1595" s="15">
        <v>41876</v>
      </c>
      <c r="B1595" s="11">
        <v>2.29</v>
      </c>
      <c r="C1595" s="11">
        <f t="shared" si="168"/>
        <v>-4.0000000000000036E-3</v>
      </c>
      <c r="D1595" s="12">
        <f t="shared" si="169"/>
        <v>1.600000000000003E-5</v>
      </c>
      <c r="E1595" s="12">
        <f t="shared" si="170"/>
        <v>0</v>
      </c>
      <c r="F1595" s="12">
        <f t="shared" si="171"/>
        <v>1.7942494387231178E-5</v>
      </c>
      <c r="G1595" s="12">
        <f t="shared" si="172"/>
        <v>4.0993619077758243</v>
      </c>
      <c r="I1595" s="12">
        <f t="shared" si="173"/>
        <v>4.2358581642013438E-3</v>
      </c>
      <c r="J1595" s="12">
        <f t="shared" si="174"/>
        <v>5.4233926257759718E-3</v>
      </c>
    </row>
    <row r="1596" spans="1:10">
      <c r="A1596" s="15">
        <v>41877</v>
      </c>
      <c r="B1596" s="11">
        <v>2.2871000000000001</v>
      </c>
      <c r="C1596" s="11">
        <f t="shared" si="168"/>
        <v>-2.8999999999999027E-3</v>
      </c>
      <c r="D1596" s="12">
        <f t="shared" si="169"/>
        <v>8.409999999999435E-6</v>
      </c>
      <c r="E1596" s="12">
        <f t="shared" si="170"/>
        <v>1.600000000000003E-5</v>
      </c>
      <c r="F1596" s="12">
        <f t="shared" si="171"/>
        <v>1.8381805794702843E-5</v>
      </c>
      <c r="G1596" s="12">
        <f t="shared" si="172"/>
        <v>4.3043772494836041</v>
      </c>
      <c r="I1596" s="12">
        <f t="shared" si="173"/>
        <v>4.2874008203925658E-3</v>
      </c>
      <c r="J1596" s="12">
        <f t="shared" si="174"/>
        <v>5.4233926257759718E-3</v>
      </c>
    </row>
    <row r="1597" spans="1:10">
      <c r="A1597" s="15">
        <v>41878</v>
      </c>
      <c r="B1597" s="11">
        <v>2.2909000000000002</v>
      </c>
      <c r="C1597" s="11">
        <f t="shared" si="168"/>
        <v>3.8000000000000256E-3</v>
      </c>
      <c r="D1597" s="12">
        <f t="shared" si="169"/>
        <v>1.4440000000000194E-5</v>
      </c>
      <c r="E1597" s="12">
        <f t="shared" si="170"/>
        <v>8.409999999999435E-6</v>
      </c>
      <c r="F1597" s="12">
        <f t="shared" si="171"/>
        <v>1.8323755284343796E-5</v>
      </c>
      <c r="G1597" s="12">
        <f t="shared" si="172"/>
        <v>4.1406935425308813</v>
      </c>
      <c r="I1597" s="12">
        <f t="shared" si="173"/>
        <v>4.2806255716126111E-3</v>
      </c>
      <c r="J1597" s="12">
        <f t="shared" si="174"/>
        <v>5.4233926257759718E-3</v>
      </c>
    </row>
    <row r="1598" spans="1:10">
      <c r="A1598" s="15">
        <v>41879</v>
      </c>
      <c r="B1598" s="11">
        <v>2.2927</v>
      </c>
      <c r="C1598" s="11">
        <f t="shared" si="168"/>
        <v>1.7999999999998018E-3</v>
      </c>
      <c r="D1598" s="12">
        <f t="shared" si="169"/>
        <v>3.2399999999992863E-6</v>
      </c>
      <c r="E1598" s="12">
        <f t="shared" si="170"/>
        <v>1.4440000000000194E-5</v>
      </c>
      <c r="F1598" s="12">
        <f t="shared" si="171"/>
        <v>1.8629370803540756E-5</v>
      </c>
      <c r="G1598" s="12">
        <f t="shared" si="172"/>
        <v>4.4394875743698163</v>
      </c>
      <c r="I1598" s="12">
        <f t="shared" si="173"/>
        <v>4.316175483404348E-3</v>
      </c>
      <c r="J1598" s="12">
        <f t="shared" si="174"/>
        <v>5.4233926257759718E-3</v>
      </c>
    </row>
    <row r="1599" spans="1:10">
      <c r="A1599" s="15">
        <v>41880</v>
      </c>
      <c r="B1599" s="11">
        <v>2.2892999999999999</v>
      </c>
      <c r="C1599" s="11">
        <f t="shared" si="168"/>
        <v>-3.4000000000000696E-3</v>
      </c>
      <c r="D1599" s="12">
        <f t="shared" si="169"/>
        <v>1.1560000000000474E-5</v>
      </c>
      <c r="E1599" s="12">
        <f t="shared" si="170"/>
        <v>3.2399999999992863E-6</v>
      </c>
      <c r="F1599" s="12">
        <f t="shared" si="171"/>
        <v>1.8238126867317376E-5</v>
      </c>
      <c r="G1599" s="12">
        <f t="shared" si="172"/>
        <v>4.2201410851038377</v>
      </c>
      <c r="I1599" s="12">
        <f t="shared" si="173"/>
        <v>4.2706120014954973E-3</v>
      </c>
      <c r="J1599" s="12">
        <f t="shared" si="174"/>
        <v>5.4233926257759718E-3</v>
      </c>
    </row>
    <row r="1600" spans="1:10">
      <c r="A1600" s="15">
        <v>41881</v>
      </c>
      <c r="B1600" s="11">
        <v>2.2892000000000001</v>
      </c>
      <c r="C1600" s="11">
        <f t="shared" si="168"/>
        <v>-9.9999999999766942E-5</v>
      </c>
      <c r="D1600" s="12">
        <f t="shared" si="169"/>
        <v>9.9999999999533886E-9</v>
      </c>
      <c r="E1600" s="12">
        <f t="shared" si="170"/>
        <v>1.1560000000000474E-5</v>
      </c>
      <c r="F1600" s="12">
        <f t="shared" si="171"/>
        <v>1.8382311615906474E-5</v>
      </c>
      <c r="G1600" s="12">
        <f t="shared" si="172"/>
        <v>4.5328502992680564</v>
      </c>
      <c r="I1600" s="12">
        <f t="shared" si="173"/>
        <v>4.2874598092467846E-3</v>
      </c>
      <c r="J1600" s="12">
        <f t="shared" si="174"/>
        <v>5.4233926257759718E-3</v>
      </c>
    </row>
    <row r="1601" spans="1:10">
      <c r="A1601" s="15">
        <v>41882</v>
      </c>
      <c r="B1601" s="11">
        <v>2.2892000000000001</v>
      </c>
      <c r="C1601" s="11">
        <f t="shared" si="168"/>
        <v>0</v>
      </c>
      <c r="D1601" s="12">
        <f t="shared" si="169"/>
        <v>0</v>
      </c>
      <c r="E1601" s="12">
        <f t="shared" si="170"/>
        <v>9.9999999999533886E-9</v>
      </c>
      <c r="F1601" s="12">
        <f t="shared" si="171"/>
        <v>1.7826353527115478E-5</v>
      </c>
      <c r="G1601" s="12">
        <f t="shared" si="172"/>
        <v>4.548477789582285</v>
      </c>
      <c r="I1601" s="12">
        <f t="shared" si="173"/>
        <v>4.2221266592933331E-3</v>
      </c>
      <c r="J1601" s="12">
        <f t="shared" si="174"/>
        <v>5.4233926257759718E-3</v>
      </c>
    </row>
    <row r="1602" spans="1:10">
      <c r="A1602" s="15">
        <v>41883</v>
      </c>
      <c r="B1602" s="11">
        <v>2.2886000000000002</v>
      </c>
      <c r="C1602" s="11">
        <f t="shared" si="168"/>
        <v>-5.9999999999993392E-4</v>
      </c>
      <c r="D1602" s="12">
        <f t="shared" si="169"/>
        <v>3.5999999999992069E-7</v>
      </c>
      <c r="E1602" s="12">
        <f t="shared" si="170"/>
        <v>0</v>
      </c>
      <c r="F1602" s="12">
        <f t="shared" si="171"/>
        <v>1.7329935649556974E-5</v>
      </c>
      <c r="G1602" s="12">
        <f t="shared" si="172"/>
        <v>4.552212391772283</v>
      </c>
      <c r="I1602" s="12">
        <f t="shared" si="173"/>
        <v>4.1629239303111187E-3</v>
      </c>
      <c r="J1602" s="12">
        <f t="shared" si="174"/>
        <v>5.4233926257759718E-3</v>
      </c>
    </row>
    <row r="1603" spans="1:10">
      <c r="A1603" s="15">
        <v>41884</v>
      </c>
      <c r="B1603" s="11">
        <v>2.2890000000000001</v>
      </c>
      <c r="C1603" s="11">
        <f t="shared" si="168"/>
        <v>3.9999999999995595E-4</v>
      </c>
      <c r="D1603" s="12">
        <f t="shared" si="169"/>
        <v>1.5999999999996475E-7</v>
      </c>
      <c r="E1603" s="12">
        <f t="shared" si="170"/>
        <v>3.5999999999992069E-7</v>
      </c>
      <c r="F1603" s="12">
        <f t="shared" si="171"/>
        <v>1.6908547297530441E-5</v>
      </c>
      <c r="G1603" s="12">
        <f t="shared" si="172"/>
        <v>4.5701757778237031</v>
      </c>
      <c r="I1603" s="12">
        <f t="shared" si="173"/>
        <v>4.1120004009642854E-3</v>
      </c>
      <c r="J1603" s="12">
        <f t="shared" si="174"/>
        <v>5.4233926257759718E-3</v>
      </c>
    </row>
    <row r="1604" spans="1:10">
      <c r="A1604" s="15">
        <v>41885</v>
      </c>
      <c r="B1604" s="11">
        <v>2.2923</v>
      </c>
      <c r="C1604" s="11">
        <f t="shared" si="168"/>
        <v>3.2999999999998586E-3</v>
      </c>
      <c r="D1604" s="12">
        <f t="shared" si="169"/>
        <v>1.0889999999999067E-5</v>
      </c>
      <c r="E1604" s="12">
        <f t="shared" si="170"/>
        <v>1.5999999999996475E-7</v>
      </c>
      <c r="F1604" s="12">
        <f t="shared" si="171"/>
        <v>1.6520883023394179E-5</v>
      </c>
      <c r="G1604" s="12">
        <f t="shared" si="172"/>
        <v>4.2569212616984506</v>
      </c>
      <c r="I1604" s="12">
        <f t="shared" si="173"/>
        <v>4.0645889119804209E-3</v>
      </c>
      <c r="J1604" s="12">
        <f t="shared" si="174"/>
        <v>5.4233926257759718E-3</v>
      </c>
    </row>
    <row r="1605" spans="1:10">
      <c r="A1605" s="15">
        <v>41886</v>
      </c>
      <c r="B1605" s="11">
        <v>2.2755000000000001</v>
      </c>
      <c r="C1605" s="11">
        <f t="shared" si="168"/>
        <v>-1.6799999999999926E-2</v>
      </c>
      <c r="D1605" s="12">
        <f t="shared" si="169"/>
        <v>2.8223999999999751E-4</v>
      </c>
      <c r="E1605" s="12">
        <f t="shared" si="170"/>
        <v>1.0889999999999067E-5</v>
      </c>
      <c r="F1605" s="12">
        <f t="shared" si="171"/>
        <v>1.6811096613484308E-5</v>
      </c>
      <c r="G1605" s="12">
        <f t="shared" si="172"/>
        <v>-3.8166582077118782</v>
      </c>
      <c r="I1605" s="12">
        <f t="shared" si="173"/>
        <v>4.100133731170766E-3</v>
      </c>
      <c r="J1605" s="12">
        <f t="shared" si="174"/>
        <v>5.4233926257759718E-3</v>
      </c>
    </row>
    <row r="1606" spans="1:10">
      <c r="A1606" s="15">
        <v>41887</v>
      </c>
      <c r="B1606" s="11">
        <v>2.2789999999999999</v>
      </c>
      <c r="C1606" s="11">
        <f t="shared" si="168"/>
        <v>3.4999999999998366E-3</v>
      </c>
      <c r="D1606" s="12">
        <f t="shared" si="169"/>
        <v>1.2249999999998856E-5</v>
      </c>
      <c r="E1606" s="12">
        <f t="shared" si="170"/>
        <v>2.8223999999999751E-4</v>
      </c>
      <c r="F1606" s="12">
        <f t="shared" si="171"/>
        <v>3.3152346153076862E-5</v>
      </c>
      <c r="G1606" s="12">
        <f t="shared" si="172"/>
        <v>4.0535068559157201</v>
      </c>
      <c r="I1606" s="12">
        <f t="shared" si="173"/>
        <v>5.7578074084738938E-3</v>
      </c>
      <c r="J1606" s="12">
        <f t="shared" si="174"/>
        <v>5.4233926257759718E-3</v>
      </c>
    </row>
    <row r="1607" spans="1:10">
      <c r="A1607" s="15">
        <v>41888</v>
      </c>
      <c r="B1607" s="11">
        <v>2.2789000000000001</v>
      </c>
      <c r="C1607" s="11">
        <f t="shared" si="168"/>
        <v>-9.9999999999766942E-5</v>
      </c>
      <c r="D1607" s="12">
        <f t="shared" si="169"/>
        <v>9.9999999999533886E-9</v>
      </c>
      <c r="E1607" s="12">
        <f t="shared" si="170"/>
        <v>1.2249999999998856E-5</v>
      </c>
      <c r="F1607" s="12">
        <f t="shared" si="171"/>
        <v>3.1724291490787247E-5</v>
      </c>
      <c r="G1607" s="12">
        <f t="shared" si="172"/>
        <v>4.2601177902006135</v>
      </c>
      <c r="I1607" s="12">
        <f t="shared" si="173"/>
        <v>5.63243211151162E-3</v>
      </c>
      <c r="J1607" s="12">
        <f t="shared" si="174"/>
        <v>5.4233926257759718E-3</v>
      </c>
    </row>
    <row r="1608" spans="1:10">
      <c r="A1608" s="15">
        <v>41889</v>
      </c>
      <c r="B1608" s="11">
        <v>2.2808999999999999</v>
      </c>
      <c r="C1608" s="11">
        <f t="shared" si="168"/>
        <v>1.9999999999997797E-3</v>
      </c>
      <c r="D1608" s="12">
        <f t="shared" si="169"/>
        <v>3.9999999999991189E-6</v>
      </c>
      <c r="E1608" s="12">
        <f t="shared" si="170"/>
        <v>9.9999999999533886E-9</v>
      </c>
      <c r="F1608" s="12">
        <f t="shared" si="171"/>
        <v>2.9725253667539269E-5</v>
      </c>
      <c r="G1608" s="12">
        <f t="shared" si="172"/>
        <v>4.2255353929394257</v>
      </c>
      <c r="I1608" s="12">
        <f t="shared" si="173"/>
        <v>5.4520870928057696E-3</v>
      </c>
      <c r="J1608" s="12">
        <f t="shared" si="174"/>
        <v>5.4233926257759718E-3</v>
      </c>
    </row>
    <row r="1609" spans="1:10">
      <c r="A1609" s="15">
        <v>41890</v>
      </c>
      <c r="B1609" s="11">
        <v>2.2805</v>
      </c>
      <c r="C1609" s="11">
        <f t="shared" si="168"/>
        <v>-3.9999999999995595E-4</v>
      </c>
      <c r="D1609" s="12">
        <f t="shared" si="169"/>
        <v>1.5999999999996475E-7</v>
      </c>
      <c r="E1609" s="12">
        <f t="shared" si="170"/>
        <v>3.9999999999991189E-6</v>
      </c>
      <c r="F1609" s="12">
        <f t="shared" si="171"/>
        <v>2.8178913564520748E-5</v>
      </c>
      <c r="G1609" s="12">
        <f t="shared" si="172"/>
        <v>4.3166907599541711</v>
      </c>
      <c r="I1609" s="12">
        <f t="shared" si="173"/>
        <v>5.308381444896434E-3</v>
      </c>
      <c r="J1609" s="12">
        <f t="shared" si="174"/>
        <v>5.4233926257759718E-3</v>
      </c>
    </row>
    <row r="1610" spans="1:10">
      <c r="A1610" s="15">
        <v>41891</v>
      </c>
      <c r="B1610" s="11">
        <v>2.2772000000000001</v>
      </c>
      <c r="C1610" s="11">
        <f t="shared" si="168"/>
        <v>-3.2999999999998586E-3</v>
      </c>
      <c r="D1610" s="12">
        <f t="shared" si="169"/>
        <v>1.0889999999999067E-5</v>
      </c>
      <c r="E1610" s="12">
        <f t="shared" si="170"/>
        <v>1.5999999999996475E-7</v>
      </c>
      <c r="F1610" s="12">
        <f t="shared" si="171"/>
        <v>2.657223702141667E-5</v>
      </c>
      <c r="G1610" s="12">
        <f t="shared" si="172"/>
        <v>4.1439701432780049</v>
      </c>
      <c r="I1610" s="12">
        <f t="shared" si="173"/>
        <v>5.1548265752997613E-3</v>
      </c>
      <c r="J1610" s="12">
        <f t="shared" si="174"/>
        <v>5.4233926257759718E-3</v>
      </c>
    </row>
    <row r="1611" spans="1:10">
      <c r="A1611" s="15">
        <v>41892</v>
      </c>
      <c r="B1611" s="11">
        <v>2.278</v>
      </c>
      <c r="C1611" s="11">
        <f t="shared" si="168"/>
        <v>7.9999999999991189E-4</v>
      </c>
      <c r="D1611" s="12">
        <f t="shared" si="169"/>
        <v>6.3999999999985898E-7</v>
      </c>
      <c r="E1611" s="12">
        <f t="shared" si="170"/>
        <v>1.0889999999999067E-5</v>
      </c>
      <c r="F1611" s="12">
        <f t="shared" si="171"/>
        <v>2.5775287732052295E-5</v>
      </c>
      <c r="G1611" s="12">
        <f t="shared" si="172"/>
        <v>4.3516936495100778</v>
      </c>
      <c r="I1611" s="12">
        <f t="shared" si="173"/>
        <v>5.0769368453874126E-3</v>
      </c>
      <c r="J1611" s="12">
        <f t="shared" si="174"/>
        <v>5.4233926257759718E-3</v>
      </c>
    </row>
    <row r="1612" spans="1:10">
      <c r="A1612" s="15">
        <v>41893</v>
      </c>
      <c r="B1612" s="11">
        <v>2.2787999999999999</v>
      </c>
      <c r="C1612" s="11">
        <f t="shared" si="168"/>
        <v>7.9999999999991189E-4</v>
      </c>
      <c r="D1612" s="12">
        <f t="shared" si="169"/>
        <v>6.3999999999985898E-7</v>
      </c>
      <c r="E1612" s="12">
        <f t="shared" si="170"/>
        <v>6.3999999999985898E-7</v>
      </c>
      <c r="F1612" s="12">
        <f t="shared" si="171"/>
        <v>2.4457038110474388E-5</v>
      </c>
      <c r="G1612" s="12">
        <f t="shared" si="172"/>
        <v>4.3772735543152601</v>
      </c>
      <c r="I1612" s="12">
        <f t="shared" si="173"/>
        <v>4.9454057579206168E-3</v>
      </c>
      <c r="J1612" s="12">
        <f t="shared" si="174"/>
        <v>5.4233926257759718E-3</v>
      </c>
    </row>
    <row r="1613" spans="1:10">
      <c r="A1613" s="15">
        <v>41894</v>
      </c>
      <c r="B1613" s="11">
        <v>2.2806999999999999</v>
      </c>
      <c r="C1613" s="11">
        <f t="shared" si="168"/>
        <v>1.9000000000000128E-3</v>
      </c>
      <c r="D1613" s="12">
        <f t="shared" si="169"/>
        <v>3.6100000000000484E-6</v>
      </c>
      <c r="E1613" s="12">
        <f t="shared" si="170"/>
        <v>6.3999999999985898E-7</v>
      </c>
      <c r="F1613" s="12">
        <f t="shared" si="171"/>
        <v>2.328137147370792E-5</v>
      </c>
      <c r="G1613" s="12">
        <f t="shared" si="172"/>
        <v>4.337460174958669</v>
      </c>
      <c r="I1613" s="12">
        <f t="shared" si="173"/>
        <v>4.8250773541683167E-3</v>
      </c>
      <c r="J1613" s="12">
        <f t="shared" si="174"/>
        <v>5.4233926257759718E-3</v>
      </c>
    </row>
    <row r="1614" spans="1:10">
      <c r="A1614" s="15">
        <v>41895</v>
      </c>
      <c r="B1614" s="11">
        <v>2.2808000000000002</v>
      </c>
      <c r="C1614" s="11">
        <f t="shared" ref="C1614:C1677" si="175">B1614-B1613</f>
        <v>1.0000000000021103E-4</v>
      </c>
      <c r="D1614" s="12">
        <f t="shared" ref="D1614:D1677" si="176">C1614^2</f>
        <v>1.0000000000042206E-8</v>
      </c>
      <c r="E1614" s="12">
        <f t="shared" si="170"/>
        <v>3.6100000000000484E-6</v>
      </c>
      <c r="F1614" s="12">
        <f t="shared" si="171"/>
        <v>2.2408892476411499E-5</v>
      </c>
      <c r="G1614" s="12">
        <f t="shared" si="172"/>
        <v>4.4338646798644366</v>
      </c>
      <c r="I1614" s="12">
        <f t="shared" si="173"/>
        <v>4.7338031725465204E-3</v>
      </c>
      <c r="J1614" s="12">
        <f t="shared" si="174"/>
        <v>5.4233926257759718E-3</v>
      </c>
    </row>
    <row r="1615" spans="1:10">
      <c r="A1615" s="15">
        <v>41896</v>
      </c>
      <c r="B1615" s="11">
        <v>2.2808000000000002</v>
      </c>
      <c r="C1615" s="11">
        <f t="shared" si="175"/>
        <v>0</v>
      </c>
      <c r="D1615" s="12">
        <f t="shared" si="176"/>
        <v>0</v>
      </c>
      <c r="E1615" s="12">
        <f t="shared" ref="E1615:E1678" si="177">D1614</f>
        <v>1.0000000000042206E-8</v>
      </c>
      <c r="F1615" s="12">
        <f t="shared" ref="F1615:F1678" si="178">$B$5+$B$6*E1615+$B$7*F1614</f>
        <v>2.1417416024271224E-5</v>
      </c>
      <c r="G1615" s="12">
        <f t="shared" ref="G1615:G1678" si="179">LN((1/SQRT(2*3.1415927*F1615))*EXP(-0.5*D1615/F1615))</f>
        <v>4.4567145264134318</v>
      </c>
      <c r="I1615" s="12">
        <f t="shared" ref="I1615:I1678" si="180">SQRT(F1615)</f>
        <v>4.6278954206281737E-3</v>
      </c>
      <c r="J1615" s="12">
        <f t="shared" si="174"/>
        <v>5.4233926257759718E-3</v>
      </c>
    </row>
    <row r="1616" spans="1:10">
      <c r="A1616" s="15">
        <v>41897</v>
      </c>
      <c r="B1616" s="11">
        <v>2.2848999999999999</v>
      </c>
      <c r="C1616" s="11">
        <f t="shared" si="175"/>
        <v>4.0999999999997705E-3</v>
      </c>
      <c r="D1616" s="12">
        <f t="shared" si="176"/>
        <v>1.680999999999812E-5</v>
      </c>
      <c r="E1616" s="12">
        <f t="shared" si="177"/>
        <v>0</v>
      </c>
      <c r="F1616" s="12">
        <f t="shared" si="178"/>
        <v>2.0532585814854043E-5</v>
      </c>
      <c r="G1616" s="12">
        <f t="shared" si="179"/>
        <v>4.0684608323513638</v>
      </c>
      <c r="I1616" s="12">
        <f t="shared" si="180"/>
        <v>4.5312896414656662E-3</v>
      </c>
      <c r="J1616" s="12">
        <f t="shared" ref="J1616:J1679" si="181">J1615</f>
        <v>5.4233926257759718E-3</v>
      </c>
    </row>
    <row r="1617" spans="1:10">
      <c r="A1617" s="15">
        <v>41898</v>
      </c>
      <c r="B1617" s="11">
        <v>2.2934000000000001</v>
      </c>
      <c r="C1617" s="11">
        <f t="shared" si="175"/>
        <v>8.5000000000001741E-3</v>
      </c>
      <c r="D1617" s="12">
        <f t="shared" si="176"/>
        <v>7.2250000000002962E-5</v>
      </c>
      <c r="E1617" s="12">
        <f t="shared" si="177"/>
        <v>1.680999999999812E-5</v>
      </c>
      <c r="F1617" s="12">
        <f t="shared" si="178"/>
        <v>2.0739758001837525E-5</v>
      </c>
      <c r="G1617" s="12">
        <f t="shared" si="179"/>
        <v>2.7309668685079345</v>
      </c>
      <c r="I1617" s="12">
        <f t="shared" si="180"/>
        <v>4.5540924454645767E-3</v>
      </c>
      <c r="J1617" s="12">
        <f t="shared" si="181"/>
        <v>5.4233926257759718E-3</v>
      </c>
    </row>
    <row r="1618" spans="1:10">
      <c r="A1618" s="15">
        <v>41899</v>
      </c>
      <c r="B1618" s="11">
        <v>2.2881999999999998</v>
      </c>
      <c r="C1618" s="11">
        <f t="shared" si="175"/>
        <v>-5.2000000000003155E-3</v>
      </c>
      <c r="D1618" s="12">
        <f t="shared" si="176"/>
        <v>2.7040000000003282E-5</v>
      </c>
      <c r="E1618" s="12">
        <f t="shared" si="177"/>
        <v>7.2250000000002962E-5</v>
      </c>
      <c r="F1618" s="12">
        <f t="shared" si="178"/>
        <v>2.4210351202651779E-5</v>
      </c>
      <c r="G1618" s="12">
        <f t="shared" si="179"/>
        <v>3.8369877779528783</v>
      </c>
      <c r="I1618" s="12">
        <f t="shared" si="180"/>
        <v>4.9204015286002604E-3</v>
      </c>
      <c r="J1618" s="12">
        <f t="shared" si="181"/>
        <v>5.4233926257759718E-3</v>
      </c>
    </row>
    <row r="1619" spans="1:10">
      <c r="A1619" s="15">
        <v>41900</v>
      </c>
      <c r="B1619" s="11">
        <v>2.2885</v>
      </c>
      <c r="C1619" s="11">
        <f t="shared" si="175"/>
        <v>3.00000000000189E-4</v>
      </c>
      <c r="D1619" s="12">
        <f t="shared" si="176"/>
        <v>9.0000000000113408E-8</v>
      </c>
      <c r="E1619" s="12">
        <f t="shared" si="177"/>
        <v>2.7040000000003282E-5</v>
      </c>
      <c r="F1619" s="12">
        <f t="shared" si="178"/>
        <v>2.4626046872255271E-5</v>
      </c>
      <c r="G1619" s="12">
        <f t="shared" si="179"/>
        <v>4.3850870555414883</v>
      </c>
      <c r="I1619" s="12">
        <f t="shared" si="180"/>
        <v>4.9624637905233398E-3</v>
      </c>
      <c r="J1619" s="12">
        <f t="shared" si="181"/>
        <v>5.4233926257759718E-3</v>
      </c>
    </row>
    <row r="1620" spans="1:10">
      <c r="A1620" s="15">
        <v>41901</v>
      </c>
      <c r="B1620" s="11">
        <v>2.2884000000000002</v>
      </c>
      <c r="C1620" s="11">
        <f t="shared" si="175"/>
        <v>-9.9999999999766942E-5</v>
      </c>
      <c r="D1620" s="12">
        <f t="shared" si="176"/>
        <v>9.9999999999533886E-9</v>
      </c>
      <c r="E1620" s="12">
        <f t="shared" si="177"/>
        <v>9.0000000000113408E-8</v>
      </c>
      <c r="F1620" s="12">
        <f t="shared" si="178"/>
        <v>2.3399502596811267E-5</v>
      </c>
      <c r="G1620" s="12">
        <f t="shared" si="179"/>
        <v>4.4122456758396797</v>
      </c>
      <c r="I1620" s="12">
        <f t="shared" si="180"/>
        <v>4.8373032359788305E-3</v>
      </c>
      <c r="J1620" s="12">
        <f t="shared" si="181"/>
        <v>5.4233926257759718E-3</v>
      </c>
    </row>
    <row r="1621" spans="1:10">
      <c r="A1621" s="15">
        <v>41902</v>
      </c>
      <c r="B1621" s="11">
        <v>2.2835000000000001</v>
      </c>
      <c r="C1621" s="11">
        <f t="shared" si="175"/>
        <v>-4.9000000000001265E-3</v>
      </c>
      <c r="D1621" s="12">
        <f t="shared" si="176"/>
        <v>2.4010000000001239E-5</v>
      </c>
      <c r="E1621" s="12">
        <f t="shared" si="177"/>
        <v>9.9999999999533886E-9</v>
      </c>
      <c r="F1621" s="12">
        <f t="shared" si="178"/>
        <v>2.2300880923129446E-5</v>
      </c>
      <c r="G1621" s="12">
        <f t="shared" si="179"/>
        <v>3.8981841061207789</v>
      </c>
      <c r="I1621" s="12">
        <f t="shared" si="180"/>
        <v>4.7223808532486497E-3</v>
      </c>
      <c r="J1621" s="12">
        <f t="shared" si="181"/>
        <v>5.4233926257759718E-3</v>
      </c>
    </row>
    <row r="1622" spans="1:10">
      <c r="A1622" s="15">
        <v>41903</v>
      </c>
      <c r="B1622" s="11">
        <v>2.2863000000000002</v>
      </c>
      <c r="C1622" s="11">
        <f t="shared" si="175"/>
        <v>2.8000000000001357E-3</v>
      </c>
      <c r="D1622" s="12">
        <f t="shared" si="176"/>
        <v>7.8400000000007601E-6</v>
      </c>
      <c r="E1622" s="12">
        <f t="shared" si="177"/>
        <v>2.4010000000001239E-5</v>
      </c>
      <c r="F1622" s="12">
        <f t="shared" si="178"/>
        <v>2.274352385800985E-5</v>
      </c>
      <c r="G1622" s="12">
        <f t="shared" si="179"/>
        <v>4.2543197624019697</v>
      </c>
      <c r="I1622" s="12">
        <f t="shared" si="180"/>
        <v>4.76901707461924E-3</v>
      </c>
      <c r="J1622" s="12">
        <f t="shared" si="181"/>
        <v>5.4233926257759718E-3</v>
      </c>
    </row>
    <row r="1623" spans="1:10">
      <c r="A1623" s="15">
        <v>41904</v>
      </c>
      <c r="B1623" s="11">
        <v>2.2898000000000001</v>
      </c>
      <c r="C1623" s="11">
        <f t="shared" si="175"/>
        <v>3.4999999999998366E-3</v>
      </c>
      <c r="D1623" s="12">
        <f t="shared" si="176"/>
        <v>1.2249999999998856E-5</v>
      </c>
      <c r="E1623" s="12">
        <f t="shared" si="177"/>
        <v>7.8400000000007601E-6</v>
      </c>
      <c r="F1623" s="12">
        <f t="shared" si="178"/>
        <v>2.2179923390123098E-5</v>
      </c>
      <c r="G1623" s="12">
        <f t="shared" si="179"/>
        <v>4.1630723362098667</v>
      </c>
      <c r="I1623" s="12">
        <f t="shared" si="180"/>
        <v>4.7095566022846667E-3</v>
      </c>
      <c r="J1623" s="12">
        <f t="shared" si="181"/>
        <v>5.4233926257759718E-3</v>
      </c>
    </row>
    <row r="1624" spans="1:10">
      <c r="A1624" s="15">
        <v>41905</v>
      </c>
      <c r="B1624" s="11">
        <v>2.2888999999999999</v>
      </c>
      <c r="C1624" s="11">
        <f t="shared" si="175"/>
        <v>-9.0000000000012292E-4</v>
      </c>
      <c r="D1624" s="12">
        <f t="shared" si="176"/>
        <v>8.1000000000022126E-7</v>
      </c>
      <c r="E1624" s="12">
        <f t="shared" si="177"/>
        <v>1.2249999999998856E-5</v>
      </c>
      <c r="F1624" s="12">
        <f t="shared" si="178"/>
        <v>2.19386551774911E-5</v>
      </c>
      <c r="G1624" s="12">
        <f t="shared" si="179"/>
        <v>4.4262310932682318</v>
      </c>
      <c r="I1624" s="12">
        <f t="shared" si="180"/>
        <v>4.6838718148014147E-3</v>
      </c>
      <c r="J1624" s="12">
        <f t="shared" si="181"/>
        <v>5.4233926257759718E-3</v>
      </c>
    </row>
    <row r="1625" spans="1:10">
      <c r="A1625" s="15">
        <v>41906</v>
      </c>
      <c r="B1625" s="11">
        <v>2.2858000000000001</v>
      </c>
      <c r="C1625" s="11">
        <f t="shared" si="175"/>
        <v>-3.0999999999998806E-3</v>
      </c>
      <c r="D1625" s="12">
        <f t="shared" si="176"/>
        <v>9.6099999999992592E-6</v>
      </c>
      <c r="E1625" s="12">
        <f t="shared" si="177"/>
        <v>8.1000000000022126E-7</v>
      </c>
      <c r="F1625" s="12">
        <f t="shared" si="178"/>
        <v>2.1045454544928832E-5</v>
      </c>
      <c r="G1625" s="12">
        <f t="shared" si="179"/>
        <v>4.2371591032606775</v>
      </c>
      <c r="I1625" s="12">
        <f t="shared" si="180"/>
        <v>4.5875325115936599E-3</v>
      </c>
      <c r="J1625" s="12">
        <f t="shared" si="181"/>
        <v>5.4233926257759718E-3</v>
      </c>
    </row>
    <row r="1626" spans="1:10">
      <c r="A1626" s="15">
        <v>41907</v>
      </c>
      <c r="B1626" s="11">
        <v>2.2843</v>
      </c>
      <c r="C1626" s="11">
        <f t="shared" si="175"/>
        <v>-1.5000000000000568E-3</v>
      </c>
      <c r="D1626" s="12">
        <f t="shared" si="176"/>
        <v>2.2500000000001707E-6</v>
      </c>
      <c r="E1626" s="12">
        <f t="shared" si="177"/>
        <v>9.6099999999992592E-6</v>
      </c>
      <c r="F1626" s="12">
        <f t="shared" si="178"/>
        <v>2.0770423389830207E-5</v>
      </c>
      <c r="G1626" s="12">
        <f t="shared" si="179"/>
        <v>4.4178881707489861</v>
      </c>
      <c r="I1626" s="12">
        <f t="shared" si="180"/>
        <v>4.5574579964965346E-3</v>
      </c>
      <c r="J1626" s="12">
        <f t="shared" si="181"/>
        <v>5.4233926257759718E-3</v>
      </c>
    </row>
    <row r="1627" spans="1:10">
      <c r="A1627" s="15">
        <v>41908</v>
      </c>
      <c r="B1627" s="11">
        <v>2.2808000000000002</v>
      </c>
      <c r="C1627" s="11">
        <f t="shared" si="175"/>
        <v>-3.4999999999998366E-3</v>
      </c>
      <c r="D1627" s="12">
        <f t="shared" si="176"/>
        <v>1.2249999999998856E-5</v>
      </c>
      <c r="E1627" s="12">
        <f t="shared" si="177"/>
        <v>2.2500000000001707E-6</v>
      </c>
      <c r="F1627" s="12">
        <f t="shared" si="178"/>
        <v>2.008892589333774E-5</v>
      </c>
      <c r="G1627" s="12">
        <f t="shared" si="179"/>
        <v>4.183838032185017</v>
      </c>
      <c r="I1627" s="12">
        <f t="shared" si="180"/>
        <v>4.482067145117054E-3</v>
      </c>
      <c r="J1627" s="12">
        <f t="shared" si="181"/>
        <v>5.4233926257759718E-3</v>
      </c>
    </row>
    <row r="1628" spans="1:10">
      <c r="A1628" s="15">
        <v>41909</v>
      </c>
      <c r="B1628" s="11">
        <v>2.2810000000000001</v>
      </c>
      <c r="C1628" s="11">
        <f t="shared" si="175"/>
        <v>1.9999999999997797E-4</v>
      </c>
      <c r="D1628" s="12">
        <f t="shared" si="176"/>
        <v>3.9999999999991186E-8</v>
      </c>
      <c r="E1628" s="12">
        <f t="shared" si="177"/>
        <v>1.2249999999998856E-5</v>
      </c>
      <c r="F1628" s="12">
        <f t="shared" si="178"/>
        <v>2.0073821723876896E-5</v>
      </c>
      <c r="G1628" s="12">
        <f t="shared" si="179"/>
        <v>4.4881121337004704</v>
      </c>
      <c r="I1628" s="12">
        <f t="shared" si="180"/>
        <v>4.4803818725502511E-3</v>
      </c>
      <c r="J1628" s="12">
        <f t="shared" si="181"/>
        <v>5.4233926257759718E-3</v>
      </c>
    </row>
    <row r="1629" spans="1:10">
      <c r="A1629" s="15">
        <v>41910</v>
      </c>
      <c r="B1629" s="11">
        <v>2.2808000000000002</v>
      </c>
      <c r="C1629" s="11">
        <f t="shared" si="175"/>
        <v>-1.9999999999997797E-4</v>
      </c>
      <c r="D1629" s="12">
        <f t="shared" si="176"/>
        <v>3.9999999999991186E-8</v>
      </c>
      <c r="E1629" s="12">
        <f t="shared" si="177"/>
        <v>3.9999999999991186E-8</v>
      </c>
      <c r="F1629" s="12">
        <f t="shared" si="178"/>
        <v>1.9336686528935632E-5</v>
      </c>
      <c r="G1629" s="12">
        <f t="shared" si="179"/>
        <v>4.50678036102771</v>
      </c>
      <c r="I1629" s="12">
        <f t="shared" si="180"/>
        <v>4.3973499438793393E-3</v>
      </c>
      <c r="J1629" s="12">
        <f t="shared" si="181"/>
        <v>5.4233926257759718E-3</v>
      </c>
    </row>
    <row r="1630" spans="1:10">
      <c r="A1630" s="15">
        <v>41911</v>
      </c>
      <c r="B1630" s="11">
        <v>2.2776000000000001</v>
      </c>
      <c r="C1630" s="11">
        <f t="shared" si="175"/>
        <v>-3.2000000000000917E-3</v>
      </c>
      <c r="D1630" s="12">
        <f t="shared" si="176"/>
        <v>1.0240000000000586E-5</v>
      </c>
      <c r="E1630" s="12">
        <f t="shared" si="177"/>
        <v>3.9999999999991186E-8</v>
      </c>
      <c r="F1630" s="12">
        <f t="shared" si="178"/>
        <v>1.8679280494984744E-5</v>
      </c>
      <c r="G1630" s="12">
        <f t="shared" si="179"/>
        <v>4.251008787662875</v>
      </c>
      <c r="I1630" s="12">
        <f t="shared" si="180"/>
        <v>4.321953319389827E-3</v>
      </c>
      <c r="J1630" s="12">
        <f t="shared" si="181"/>
        <v>5.4233926257759718E-3</v>
      </c>
    </row>
    <row r="1631" spans="1:10">
      <c r="A1631" s="15">
        <v>41912</v>
      </c>
      <c r="B1631" s="11">
        <v>2.2751999999999999</v>
      </c>
      <c r="C1631" s="11">
        <f t="shared" si="175"/>
        <v>-2.4000000000001798E-3</v>
      </c>
      <c r="D1631" s="12">
        <f t="shared" si="176"/>
        <v>5.760000000000863E-6</v>
      </c>
      <c r="E1631" s="12">
        <f t="shared" si="177"/>
        <v>1.0240000000000586E-5</v>
      </c>
      <c r="F1631" s="12">
        <f t="shared" si="178"/>
        <v>1.8697515674992769E-5</v>
      </c>
      <c r="G1631" s="12">
        <f t="shared" si="179"/>
        <v>4.3705902482021299</v>
      </c>
      <c r="I1631" s="12">
        <f t="shared" si="180"/>
        <v>4.3240624041510746E-3</v>
      </c>
      <c r="J1631" s="12">
        <f t="shared" si="181"/>
        <v>5.4233926257759718E-3</v>
      </c>
    </row>
    <row r="1632" spans="1:10">
      <c r="A1632" s="15">
        <v>41913</v>
      </c>
      <c r="B1632" s="11">
        <v>2.2749000000000001</v>
      </c>
      <c r="C1632" s="11">
        <f t="shared" si="175"/>
        <v>-2.9999999999974492E-4</v>
      </c>
      <c r="D1632" s="12">
        <f t="shared" si="176"/>
        <v>8.999999999984695E-8</v>
      </c>
      <c r="E1632" s="12">
        <f t="shared" si="177"/>
        <v>5.760000000000863E-6</v>
      </c>
      <c r="F1632" s="12">
        <f t="shared" si="178"/>
        <v>1.8448256992829527E-5</v>
      </c>
      <c r="G1632" s="12">
        <f t="shared" si="179"/>
        <v>4.5288925365144799</v>
      </c>
      <c r="I1632" s="12">
        <f t="shared" si="180"/>
        <v>4.2951434193551127E-3</v>
      </c>
      <c r="J1632" s="12">
        <f t="shared" si="181"/>
        <v>5.4233926257759718E-3</v>
      </c>
    </row>
    <row r="1633" spans="1:10">
      <c r="A1633" s="15">
        <v>41914</v>
      </c>
      <c r="B1633" s="11">
        <v>2.2783000000000002</v>
      </c>
      <c r="C1633" s="11">
        <f t="shared" si="175"/>
        <v>3.4000000000000696E-3</v>
      </c>
      <c r="D1633" s="12">
        <f t="shared" si="176"/>
        <v>1.1560000000000474E-5</v>
      </c>
      <c r="E1633" s="12">
        <f t="shared" si="177"/>
        <v>8.999999999984695E-8</v>
      </c>
      <c r="F1633" s="12">
        <f t="shared" si="178"/>
        <v>1.7889907652645248E-5</v>
      </c>
      <c r="G1633" s="12">
        <f t="shared" si="179"/>
        <v>4.2236111802148022</v>
      </c>
      <c r="I1633" s="12">
        <f t="shared" si="180"/>
        <v>4.2296462798495629E-3</v>
      </c>
      <c r="J1633" s="12">
        <f t="shared" si="181"/>
        <v>5.4233926257759718E-3</v>
      </c>
    </row>
    <row r="1634" spans="1:10">
      <c r="A1634" s="15">
        <v>41915</v>
      </c>
      <c r="B1634" s="11">
        <v>2.2732999999999999</v>
      </c>
      <c r="C1634" s="11">
        <f t="shared" si="175"/>
        <v>-5.0000000000003375E-3</v>
      </c>
      <c r="D1634" s="12">
        <f t="shared" si="176"/>
        <v>2.5000000000003376E-5</v>
      </c>
      <c r="E1634" s="12">
        <f t="shared" si="177"/>
        <v>1.1560000000000474E-5</v>
      </c>
      <c r="F1634" s="12">
        <f t="shared" si="178"/>
        <v>1.8071756083577922E-5</v>
      </c>
      <c r="G1634" s="12">
        <f t="shared" si="179"/>
        <v>3.8499545281573186</v>
      </c>
      <c r="I1634" s="12">
        <f t="shared" si="180"/>
        <v>4.2510888115373366E-3</v>
      </c>
      <c r="J1634" s="12">
        <f t="shared" si="181"/>
        <v>5.4233926257759718E-3</v>
      </c>
    </row>
    <row r="1635" spans="1:10">
      <c r="A1635" s="15">
        <v>41916</v>
      </c>
      <c r="B1635" s="11">
        <v>2.2730999999999999</v>
      </c>
      <c r="C1635" s="11">
        <f t="shared" si="175"/>
        <v>-1.9999999999997797E-4</v>
      </c>
      <c r="D1635" s="12">
        <f t="shared" si="176"/>
        <v>3.9999999999991186E-8</v>
      </c>
      <c r="E1635" s="12">
        <f t="shared" si="177"/>
        <v>2.5000000000003376E-5</v>
      </c>
      <c r="F1635" s="12">
        <f t="shared" si="178"/>
        <v>1.9030500225105586E-5</v>
      </c>
      <c r="G1635" s="12">
        <f t="shared" si="179"/>
        <v>4.51474431031943</v>
      </c>
      <c r="I1635" s="12">
        <f t="shared" si="180"/>
        <v>4.3623961563692935E-3</v>
      </c>
      <c r="J1635" s="12">
        <f t="shared" si="181"/>
        <v>5.4233926257759718E-3</v>
      </c>
    </row>
    <row r="1636" spans="1:10">
      <c r="A1636" s="15">
        <v>41917</v>
      </c>
      <c r="B1636" s="11">
        <v>2.2730999999999999</v>
      </c>
      <c r="C1636" s="11">
        <f t="shared" si="175"/>
        <v>0</v>
      </c>
      <c r="D1636" s="12">
        <f t="shared" si="176"/>
        <v>0</v>
      </c>
      <c r="E1636" s="12">
        <f t="shared" si="177"/>
        <v>3.9999999999991186E-8</v>
      </c>
      <c r="F1636" s="12">
        <f t="shared" si="178"/>
        <v>1.8406211558604588E-5</v>
      </c>
      <c r="G1636" s="12">
        <f t="shared" si="179"/>
        <v>4.5324726422146435</v>
      </c>
      <c r="I1636" s="12">
        <f t="shared" si="180"/>
        <v>4.2902460953428518E-3</v>
      </c>
      <c r="J1636" s="12">
        <f t="shared" si="181"/>
        <v>5.4233926257759718E-3</v>
      </c>
    </row>
    <row r="1637" spans="1:10">
      <c r="A1637" s="15">
        <v>41918</v>
      </c>
      <c r="B1637" s="11">
        <v>2.2746</v>
      </c>
      <c r="C1637" s="11">
        <f t="shared" si="175"/>
        <v>1.5000000000000568E-3</v>
      </c>
      <c r="D1637" s="12">
        <f t="shared" si="176"/>
        <v>2.2500000000001707E-6</v>
      </c>
      <c r="E1637" s="12">
        <f t="shared" si="177"/>
        <v>0</v>
      </c>
      <c r="F1637" s="12">
        <f t="shared" si="178"/>
        <v>1.7847075749978034E-5</v>
      </c>
      <c r="G1637" s="12">
        <f t="shared" si="179"/>
        <v>4.4848613659655872</v>
      </c>
      <c r="I1637" s="12">
        <f t="shared" si="180"/>
        <v>4.2245799495308446E-3</v>
      </c>
      <c r="J1637" s="12">
        <f t="shared" si="181"/>
        <v>5.4233926257759718E-3</v>
      </c>
    </row>
    <row r="1638" spans="1:10">
      <c r="A1638" s="15">
        <v>41919</v>
      </c>
      <c r="B1638" s="11">
        <v>2.2766999999999999</v>
      </c>
      <c r="C1638" s="11">
        <f t="shared" si="175"/>
        <v>2.0999999999999908E-3</v>
      </c>
      <c r="D1638" s="12">
        <f t="shared" si="176"/>
        <v>4.4099999999999612E-6</v>
      </c>
      <c r="E1638" s="12">
        <f t="shared" si="177"/>
        <v>2.2500000000001707E-6</v>
      </c>
      <c r="F1638" s="12">
        <f t="shared" si="178"/>
        <v>1.7481769986302211E-5</v>
      </c>
      <c r="G1638" s="12">
        <f t="shared" si="179"/>
        <v>4.432106033969001</v>
      </c>
      <c r="I1638" s="12">
        <f t="shared" si="180"/>
        <v>4.1811206615334851E-3</v>
      </c>
      <c r="J1638" s="12">
        <f t="shared" si="181"/>
        <v>5.4233926257759718E-3</v>
      </c>
    </row>
    <row r="1639" spans="1:10">
      <c r="A1639" s="15">
        <v>41920</v>
      </c>
      <c r="B1639" s="11">
        <v>2.2799999999999998</v>
      </c>
      <c r="C1639" s="11">
        <f t="shared" si="175"/>
        <v>3.2999999999998586E-3</v>
      </c>
      <c r="D1639" s="12">
        <f t="shared" si="176"/>
        <v>1.0889999999999067E-5</v>
      </c>
      <c r="E1639" s="12">
        <f t="shared" si="177"/>
        <v>4.4099999999999612E-6</v>
      </c>
      <c r="F1639" s="12">
        <f t="shared" si="178"/>
        <v>1.7283995309455931E-5</v>
      </c>
      <c r="G1639" s="12">
        <f t="shared" si="179"/>
        <v>4.2488949367853026</v>
      </c>
      <c r="I1639" s="12">
        <f t="shared" si="180"/>
        <v>4.15740247143044E-3</v>
      </c>
      <c r="J1639" s="12">
        <f t="shared" si="181"/>
        <v>5.4233926257759718E-3</v>
      </c>
    </row>
    <row r="1640" spans="1:10">
      <c r="A1640" s="15">
        <v>41921</v>
      </c>
      <c r="B1640" s="11">
        <v>2.2806000000000002</v>
      </c>
      <c r="C1640" s="11">
        <f t="shared" si="175"/>
        <v>6.0000000000037801E-4</v>
      </c>
      <c r="D1640" s="12">
        <f t="shared" si="176"/>
        <v>3.6000000000045363E-7</v>
      </c>
      <c r="E1640" s="12">
        <f t="shared" si="177"/>
        <v>1.0889999999999067E-5</v>
      </c>
      <c r="F1640" s="12">
        <f t="shared" si="178"/>
        <v>1.7491670034590629E-5</v>
      </c>
      <c r="G1640" s="12">
        <f t="shared" si="179"/>
        <v>4.5476637410025402</v>
      </c>
      <c r="I1640" s="12">
        <f t="shared" si="180"/>
        <v>4.1823043928665244E-3</v>
      </c>
      <c r="J1640" s="12">
        <f t="shared" si="181"/>
        <v>5.4233926257759718E-3</v>
      </c>
    </row>
    <row r="1641" spans="1:10">
      <c r="A1641" s="15">
        <v>41922</v>
      </c>
      <c r="B1641" s="11">
        <v>2.2744</v>
      </c>
      <c r="C1641" s="11">
        <f t="shared" si="175"/>
        <v>-6.2000000000002053E-3</v>
      </c>
      <c r="D1641" s="12">
        <f t="shared" si="176"/>
        <v>3.8440000000002546E-5</v>
      </c>
      <c r="E1641" s="12">
        <f t="shared" si="177"/>
        <v>3.6000000000045363E-7</v>
      </c>
      <c r="F1641" s="12">
        <f t="shared" si="178"/>
        <v>1.7052788355816845E-5</v>
      </c>
      <c r="G1641" s="12">
        <f t="shared" si="179"/>
        <v>3.4435714699330462</v>
      </c>
      <c r="I1641" s="12">
        <f t="shared" si="180"/>
        <v>4.1295021922523358E-3</v>
      </c>
      <c r="J1641" s="12">
        <f t="shared" si="181"/>
        <v>5.4233926257759718E-3</v>
      </c>
    </row>
    <row r="1642" spans="1:10">
      <c r="A1642" s="15">
        <v>41923</v>
      </c>
      <c r="B1642" s="11">
        <v>2.2749999999999999</v>
      </c>
      <c r="C1642" s="11">
        <f t="shared" si="175"/>
        <v>5.9999999999993392E-4</v>
      </c>
      <c r="D1642" s="12">
        <f t="shared" si="176"/>
        <v>3.5999999999992069E-7</v>
      </c>
      <c r="E1642" s="12">
        <f t="shared" si="177"/>
        <v>3.8440000000002546E-5</v>
      </c>
      <c r="F1642" s="12">
        <f t="shared" si="178"/>
        <v>1.8918309490902532E-5</v>
      </c>
      <c r="G1642" s="12">
        <f t="shared" si="179"/>
        <v>4.509237041558479</v>
      </c>
      <c r="I1642" s="12">
        <f t="shared" si="180"/>
        <v>4.3495183056175921E-3</v>
      </c>
      <c r="J1642" s="12">
        <f t="shared" si="181"/>
        <v>5.4233926257759718E-3</v>
      </c>
    </row>
    <row r="1643" spans="1:10">
      <c r="A1643" s="15">
        <v>41924</v>
      </c>
      <c r="B1643" s="11">
        <v>2.2744</v>
      </c>
      <c r="C1643" s="11">
        <f t="shared" si="175"/>
        <v>-5.9999999999993392E-4</v>
      </c>
      <c r="D1643" s="12">
        <f t="shared" si="176"/>
        <v>3.5999999999992069E-7</v>
      </c>
      <c r="E1643" s="12">
        <f t="shared" si="177"/>
        <v>3.5999999999992069E-7</v>
      </c>
      <c r="F1643" s="12">
        <f t="shared" si="178"/>
        <v>1.8325121291875566E-5</v>
      </c>
      <c r="G1643" s="12">
        <f t="shared" si="179"/>
        <v>4.5248577234085028</v>
      </c>
      <c r="I1643" s="12">
        <f t="shared" si="180"/>
        <v>4.2807851256370681E-3</v>
      </c>
      <c r="J1643" s="12">
        <f t="shared" si="181"/>
        <v>5.4233926257759718E-3</v>
      </c>
    </row>
    <row r="1644" spans="1:10">
      <c r="A1644" s="15">
        <v>41925</v>
      </c>
      <c r="B1644" s="11">
        <v>2.2848999999999999</v>
      </c>
      <c r="C1644" s="11">
        <f t="shared" si="175"/>
        <v>1.0499999999999954E-2</v>
      </c>
      <c r="D1644" s="12">
        <f t="shared" si="176"/>
        <v>1.1024999999999903E-4</v>
      </c>
      <c r="E1644" s="12">
        <f t="shared" si="177"/>
        <v>3.5999999999992069E-7</v>
      </c>
      <c r="F1644" s="12">
        <f t="shared" si="178"/>
        <v>1.7796092826018824E-5</v>
      </c>
      <c r="G1644" s="12">
        <f t="shared" si="179"/>
        <v>1.4517372276184146</v>
      </c>
      <c r="I1644" s="12">
        <f t="shared" si="180"/>
        <v>4.2185415520080895E-3</v>
      </c>
      <c r="J1644" s="12">
        <f t="shared" si="181"/>
        <v>5.4233926257759718E-3</v>
      </c>
    </row>
    <row r="1645" spans="1:10">
      <c r="A1645" s="15">
        <v>41926</v>
      </c>
      <c r="B1645" s="11">
        <v>2.2873999999999999</v>
      </c>
      <c r="C1645" s="11">
        <f t="shared" si="175"/>
        <v>2.4999999999999467E-3</v>
      </c>
      <c r="D1645" s="12">
        <f t="shared" si="176"/>
        <v>6.2499999999997335E-6</v>
      </c>
      <c r="E1645" s="12">
        <f t="shared" si="177"/>
        <v>1.1024999999999903E-4</v>
      </c>
      <c r="F1645" s="12">
        <f t="shared" si="178"/>
        <v>2.3837266868843775E-5</v>
      </c>
      <c r="G1645" s="12">
        <f t="shared" si="179"/>
        <v>4.2720943985825732</v>
      </c>
      <c r="I1645" s="12">
        <f t="shared" si="180"/>
        <v>4.8823423547354576E-3</v>
      </c>
      <c r="J1645" s="12">
        <f t="shared" si="181"/>
        <v>5.4233926257759718E-3</v>
      </c>
    </row>
    <row r="1646" spans="1:10">
      <c r="A1646" s="15">
        <v>41927</v>
      </c>
      <c r="B1646" s="11">
        <v>2.29</v>
      </c>
      <c r="C1646" s="11">
        <f t="shared" si="175"/>
        <v>2.6000000000001577E-3</v>
      </c>
      <c r="D1646" s="12">
        <f t="shared" si="176"/>
        <v>6.7600000000008204E-6</v>
      </c>
      <c r="E1646" s="12">
        <f t="shared" si="177"/>
        <v>6.2499999999997335E-6</v>
      </c>
      <c r="F1646" s="12">
        <f t="shared" si="178"/>
        <v>2.3061129803676984E-5</v>
      </c>
      <c r="G1646" s="12">
        <f t="shared" si="179"/>
        <v>4.2731755110618606</v>
      </c>
      <c r="I1646" s="12">
        <f t="shared" si="180"/>
        <v>4.8022005168127857E-3</v>
      </c>
      <c r="J1646" s="12">
        <f t="shared" si="181"/>
        <v>5.4233926257759718E-3</v>
      </c>
    </row>
    <row r="1647" spans="1:10">
      <c r="A1647" s="15">
        <v>41928</v>
      </c>
      <c r="B1647" s="11">
        <v>2.2932000000000001</v>
      </c>
      <c r="C1647" s="11">
        <f t="shared" si="175"/>
        <v>3.2000000000000917E-3</v>
      </c>
      <c r="D1647" s="12">
        <f t="shared" si="176"/>
        <v>1.0240000000000586E-5</v>
      </c>
      <c r="E1647" s="12">
        <f t="shared" si="177"/>
        <v>6.7600000000008204E-6</v>
      </c>
      <c r="F1647" s="12">
        <f t="shared" si="178"/>
        <v>2.2399167155793696E-5</v>
      </c>
      <c r="G1647" s="12">
        <f t="shared" si="179"/>
        <v>4.2057249222809254</v>
      </c>
      <c r="I1647" s="12">
        <f t="shared" si="180"/>
        <v>4.7327758404337823E-3</v>
      </c>
      <c r="J1647" s="12">
        <f t="shared" si="181"/>
        <v>5.4233926257759718E-3</v>
      </c>
    </row>
    <row r="1648" spans="1:10">
      <c r="A1648" s="15">
        <v>41929</v>
      </c>
      <c r="B1648" s="11">
        <v>2.2919999999999998</v>
      </c>
      <c r="C1648" s="11">
        <f t="shared" si="175"/>
        <v>-1.2000000000003119E-3</v>
      </c>
      <c r="D1648" s="12">
        <f t="shared" si="176"/>
        <v>1.4400000000007485E-6</v>
      </c>
      <c r="E1648" s="12">
        <f t="shared" si="177"/>
        <v>1.0240000000000586E-5</v>
      </c>
      <c r="F1648" s="12">
        <f t="shared" si="178"/>
        <v>2.2015056274345215E-5</v>
      </c>
      <c r="G1648" s="12">
        <f t="shared" si="179"/>
        <v>4.410248550416048</v>
      </c>
      <c r="I1648" s="12">
        <f t="shared" si="180"/>
        <v>4.6920204895487417E-3</v>
      </c>
      <c r="J1648" s="12">
        <f t="shared" si="181"/>
        <v>5.4233926257759718E-3</v>
      </c>
    </row>
    <row r="1649" spans="1:10">
      <c r="A1649" s="15">
        <v>41930</v>
      </c>
      <c r="B1649" s="11">
        <v>2.2919999999999998</v>
      </c>
      <c r="C1649" s="11">
        <f t="shared" si="175"/>
        <v>0</v>
      </c>
      <c r="D1649" s="12">
        <f t="shared" si="176"/>
        <v>0</v>
      </c>
      <c r="E1649" s="12">
        <f t="shared" si="177"/>
        <v>1.4400000000007485E-6</v>
      </c>
      <c r="F1649" s="12">
        <f t="shared" si="178"/>
        <v>2.115093100019133E-5</v>
      </c>
      <c r="G1649" s="12">
        <f t="shared" si="179"/>
        <v>4.4629747766685215</v>
      </c>
      <c r="I1649" s="12">
        <f t="shared" si="180"/>
        <v>4.5990141335063685E-3</v>
      </c>
      <c r="J1649" s="12">
        <f t="shared" si="181"/>
        <v>5.4233926257759718E-3</v>
      </c>
    </row>
    <row r="1650" spans="1:10">
      <c r="A1650" s="15">
        <v>41931</v>
      </c>
      <c r="B1650" s="11">
        <v>2.2915000000000001</v>
      </c>
      <c r="C1650" s="11">
        <f t="shared" si="175"/>
        <v>-4.9999999999972289E-4</v>
      </c>
      <c r="D1650" s="12">
        <f t="shared" si="176"/>
        <v>2.499999999997229E-7</v>
      </c>
      <c r="E1650" s="12">
        <f t="shared" si="177"/>
        <v>0</v>
      </c>
      <c r="F1650" s="12">
        <f t="shared" si="178"/>
        <v>2.0294924034505012E-5</v>
      </c>
      <c r="G1650" s="12">
        <f t="shared" si="179"/>
        <v>4.477472159226596</v>
      </c>
      <c r="I1650" s="12">
        <f t="shared" si="180"/>
        <v>4.5049887940487726E-3</v>
      </c>
      <c r="J1650" s="12">
        <f t="shared" si="181"/>
        <v>5.4233926257759718E-3</v>
      </c>
    </row>
    <row r="1651" spans="1:10">
      <c r="A1651" s="15">
        <v>41932</v>
      </c>
      <c r="B1651" s="11">
        <v>2.2947000000000002</v>
      </c>
      <c r="C1651" s="11">
        <f t="shared" si="175"/>
        <v>3.2000000000000917E-3</v>
      </c>
      <c r="D1651" s="12">
        <f t="shared" si="176"/>
        <v>1.0240000000000586E-5</v>
      </c>
      <c r="E1651" s="12">
        <f t="shared" si="177"/>
        <v>2.499999999997229E-7</v>
      </c>
      <c r="F1651" s="12">
        <f t="shared" si="178"/>
        <v>1.9546320549896277E-5</v>
      </c>
      <c r="G1651" s="12">
        <f t="shared" si="179"/>
        <v>4.2404813251554874</v>
      </c>
      <c r="I1651" s="12">
        <f t="shared" si="180"/>
        <v>4.4211220917201866E-3</v>
      </c>
      <c r="J1651" s="12">
        <f t="shared" si="181"/>
        <v>5.4233926257759718E-3</v>
      </c>
    </row>
    <row r="1652" spans="1:10">
      <c r="A1652" s="15">
        <v>41933</v>
      </c>
      <c r="B1652" s="11">
        <v>2.2896999999999998</v>
      </c>
      <c r="C1652" s="11">
        <f t="shared" si="175"/>
        <v>-5.0000000000003375E-3</v>
      </c>
      <c r="D1652" s="12">
        <f t="shared" si="176"/>
        <v>2.5000000000003376E-5</v>
      </c>
      <c r="E1652" s="12">
        <f t="shared" si="177"/>
        <v>1.0240000000000586E-5</v>
      </c>
      <c r="F1652" s="12">
        <f t="shared" si="178"/>
        <v>1.9470775950295959E-5</v>
      </c>
      <c r="G1652" s="12">
        <f t="shared" si="179"/>
        <v>3.8623716339470744</v>
      </c>
      <c r="I1652" s="12">
        <f t="shared" si="180"/>
        <v>4.4125702204379658E-3</v>
      </c>
      <c r="J1652" s="12">
        <f t="shared" si="181"/>
        <v>5.4233926257759718E-3</v>
      </c>
    </row>
    <row r="1653" spans="1:10">
      <c r="A1653" s="15">
        <v>41934</v>
      </c>
      <c r="B1653" s="11">
        <v>2.2825000000000002</v>
      </c>
      <c r="C1653" s="11">
        <f t="shared" si="175"/>
        <v>-7.1999999999996511E-3</v>
      </c>
      <c r="D1653" s="12">
        <f t="shared" si="176"/>
        <v>5.1839999999994977E-5</v>
      </c>
      <c r="E1653" s="12">
        <f t="shared" si="177"/>
        <v>2.5000000000003376E-5</v>
      </c>
      <c r="F1653" s="12">
        <f t="shared" si="178"/>
        <v>2.0278200929548124E-5</v>
      </c>
      <c r="G1653" s="12">
        <f t="shared" si="179"/>
        <v>3.2058236050194084</v>
      </c>
      <c r="I1653" s="12">
        <f t="shared" si="180"/>
        <v>4.5031323464393234E-3</v>
      </c>
      <c r="J1653" s="12">
        <f t="shared" si="181"/>
        <v>5.4233926257759718E-3</v>
      </c>
    </row>
    <row r="1654" spans="1:10">
      <c r="A1654" s="15">
        <v>41935</v>
      </c>
      <c r="B1654" s="11">
        <v>2.2844000000000002</v>
      </c>
      <c r="C1654" s="11">
        <f t="shared" si="175"/>
        <v>1.9000000000000128E-3</v>
      </c>
      <c r="D1654" s="12">
        <f t="shared" si="176"/>
        <v>3.6100000000000484E-6</v>
      </c>
      <c r="E1654" s="12">
        <f t="shared" si="177"/>
        <v>5.1839999999994977E-5</v>
      </c>
      <c r="F1654" s="12">
        <f t="shared" si="178"/>
        <v>2.2589052596671115E-5</v>
      </c>
      <c r="G1654" s="12">
        <f t="shared" si="179"/>
        <v>4.3501780801640511</v>
      </c>
      <c r="I1654" s="12">
        <f t="shared" si="180"/>
        <v>4.7527941883350171E-3</v>
      </c>
      <c r="J1654" s="12">
        <f t="shared" si="181"/>
        <v>5.4233926257759718E-3</v>
      </c>
    </row>
    <row r="1655" spans="1:10">
      <c r="A1655" s="15">
        <v>41936</v>
      </c>
      <c r="B1655" s="11">
        <v>2.2856999999999998</v>
      </c>
      <c r="C1655" s="11">
        <f t="shared" si="175"/>
        <v>1.2999999999996348E-3</v>
      </c>
      <c r="D1655" s="12">
        <f t="shared" si="176"/>
        <v>1.6899999999990504E-6</v>
      </c>
      <c r="E1655" s="12">
        <f t="shared" si="177"/>
        <v>3.6100000000000484E-6</v>
      </c>
      <c r="F1655" s="12">
        <f t="shared" si="178"/>
        <v>2.1791455389828808E-5</v>
      </c>
      <c r="G1655" s="12">
        <f t="shared" si="179"/>
        <v>4.4092811026256404</v>
      </c>
      <c r="I1655" s="12">
        <f t="shared" si="180"/>
        <v>4.6681318950763167E-3</v>
      </c>
      <c r="J1655" s="12">
        <f t="shared" si="181"/>
        <v>5.4233926257759718E-3</v>
      </c>
    </row>
    <row r="1656" spans="1:10">
      <c r="A1656" s="15">
        <v>41937</v>
      </c>
      <c r="B1656" s="11">
        <v>2.2860999999999998</v>
      </c>
      <c r="C1656" s="11">
        <f t="shared" si="175"/>
        <v>3.9999999999995595E-4</v>
      </c>
      <c r="D1656" s="12">
        <f t="shared" si="176"/>
        <v>1.5999999999996475E-7</v>
      </c>
      <c r="E1656" s="12">
        <f t="shared" si="177"/>
        <v>1.6899999999990504E-6</v>
      </c>
      <c r="F1656" s="12">
        <f t="shared" si="178"/>
        <v>2.0966332024553839E-5</v>
      </c>
      <c r="G1656" s="12">
        <f t="shared" si="179"/>
        <v>4.4635421400857789</v>
      </c>
      <c r="I1656" s="12">
        <f t="shared" si="180"/>
        <v>4.5789007441255853E-3</v>
      </c>
      <c r="J1656" s="12">
        <f t="shared" si="181"/>
        <v>5.4233926257759718E-3</v>
      </c>
    </row>
    <row r="1657" spans="1:10">
      <c r="A1657" s="15">
        <v>41938</v>
      </c>
      <c r="B1657" s="11">
        <v>2.2860999999999998</v>
      </c>
      <c r="C1657" s="11">
        <f t="shared" si="175"/>
        <v>0</v>
      </c>
      <c r="D1657" s="12">
        <f t="shared" si="176"/>
        <v>0</v>
      </c>
      <c r="E1657" s="12">
        <f t="shared" si="177"/>
        <v>1.5999999999996475E-7</v>
      </c>
      <c r="F1657" s="12">
        <f t="shared" si="178"/>
        <v>2.0139774350692008E-5</v>
      </c>
      <c r="G1657" s="12">
        <f t="shared" si="179"/>
        <v>4.4874683967957951</v>
      </c>
      <c r="I1657" s="12">
        <f t="shared" si="180"/>
        <v>4.4877359938717441E-3</v>
      </c>
      <c r="J1657" s="12">
        <f t="shared" si="181"/>
        <v>5.4233926257759718E-3</v>
      </c>
    </row>
    <row r="1658" spans="1:10">
      <c r="A1658" s="15">
        <v>41939</v>
      </c>
      <c r="B1658" s="11">
        <v>2.2881</v>
      </c>
      <c r="C1658" s="11">
        <f t="shared" si="175"/>
        <v>2.0000000000002238E-3</v>
      </c>
      <c r="D1658" s="12">
        <f t="shared" si="176"/>
        <v>4.0000000000008951E-6</v>
      </c>
      <c r="E1658" s="12">
        <f t="shared" si="177"/>
        <v>0</v>
      </c>
      <c r="F1658" s="12">
        <f t="shared" si="178"/>
        <v>1.9393134936368972E-5</v>
      </c>
      <c r="G1658" s="12">
        <f t="shared" si="179"/>
        <v>4.4032278935130025</v>
      </c>
      <c r="I1658" s="12">
        <f t="shared" si="180"/>
        <v>4.4037637239489778E-3</v>
      </c>
      <c r="J1658" s="12">
        <f t="shared" si="181"/>
        <v>5.4233926257759718E-3</v>
      </c>
    </row>
    <row r="1659" spans="1:10">
      <c r="A1659" s="15">
        <v>41940</v>
      </c>
      <c r="B1659" s="11">
        <v>2.2926000000000002</v>
      </c>
      <c r="C1659" s="11">
        <f t="shared" si="175"/>
        <v>4.5000000000001705E-3</v>
      </c>
      <c r="D1659" s="12">
        <f t="shared" si="176"/>
        <v>2.0250000000001536E-5</v>
      </c>
      <c r="E1659" s="12">
        <f t="shared" si="177"/>
        <v>4.0000000000008951E-6</v>
      </c>
      <c r="F1659" s="12">
        <f t="shared" si="178"/>
        <v>1.8964325461846465E-5</v>
      </c>
      <c r="G1659" s="12">
        <f t="shared" si="179"/>
        <v>3.9836397488196691</v>
      </c>
      <c r="I1659" s="12">
        <f t="shared" si="180"/>
        <v>4.3548048706970174E-3</v>
      </c>
      <c r="J1659" s="12">
        <f t="shared" si="181"/>
        <v>5.4233926257759718E-3</v>
      </c>
    </row>
    <row r="1660" spans="1:10">
      <c r="A1660" s="15">
        <v>41941</v>
      </c>
      <c r="B1660" s="11">
        <v>2.2845</v>
      </c>
      <c r="C1660" s="11">
        <f t="shared" si="175"/>
        <v>-8.1000000000002181E-3</v>
      </c>
      <c r="D1660" s="12">
        <f t="shared" si="176"/>
        <v>6.5610000000003527E-5</v>
      </c>
      <c r="E1660" s="12">
        <f t="shared" si="177"/>
        <v>2.0250000000001536E-5</v>
      </c>
      <c r="F1660" s="12">
        <f t="shared" si="178"/>
        <v>1.9545004607304765E-5</v>
      </c>
      <c r="G1660" s="12">
        <f t="shared" si="179"/>
        <v>2.824022884363528</v>
      </c>
      <c r="I1660" s="12">
        <f t="shared" si="180"/>
        <v>4.4209732647127334E-3</v>
      </c>
      <c r="J1660" s="12">
        <f t="shared" si="181"/>
        <v>5.4233926257759718E-3</v>
      </c>
    </row>
    <row r="1661" spans="1:10">
      <c r="A1661" s="15">
        <v>41942</v>
      </c>
      <c r="B1661" s="11">
        <v>2.2847</v>
      </c>
      <c r="C1661" s="11">
        <f t="shared" si="175"/>
        <v>1.9999999999997797E-4</v>
      </c>
      <c r="D1661" s="12">
        <f t="shared" si="176"/>
        <v>3.9999999999991186E-8</v>
      </c>
      <c r="E1661" s="12">
        <f t="shared" si="177"/>
        <v>6.5610000000003527E-5</v>
      </c>
      <c r="F1661" s="12">
        <f t="shared" si="178"/>
        <v>2.2751282498605579E-5</v>
      </c>
      <c r="G1661" s="12">
        <f t="shared" si="179"/>
        <v>4.4256269083817594</v>
      </c>
      <c r="I1661" s="12">
        <f t="shared" si="180"/>
        <v>4.769830447574167E-3</v>
      </c>
      <c r="J1661" s="12">
        <f t="shared" si="181"/>
        <v>5.4233926257759718E-3</v>
      </c>
    </row>
    <row r="1662" spans="1:10">
      <c r="A1662" s="15">
        <v>41943</v>
      </c>
      <c r="B1662" s="11">
        <v>2.2742</v>
      </c>
      <c r="C1662" s="11">
        <f t="shared" si="175"/>
        <v>-1.0499999999999954E-2</v>
      </c>
      <c r="D1662" s="12">
        <f t="shared" si="176"/>
        <v>1.1024999999999903E-4</v>
      </c>
      <c r="E1662" s="12">
        <f t="shared" si="177"/>
        <v>3.9999999999991186E-8</v>
      </c>
      <c r="F1662" s="12">
        <f t="shared" si="178"/>
        <v>2.1724550900428175E-5</v>
      </c>
      <c r="G1662" s="12">
        <f t="shared" si="179"/>
        <v>1.9121434751332387</v>
      </c>
      <c r="I1662" s="12">
        <f t="shared" si="180"/>
        <v>4.6609602980961099E-3</v>
      </c>
      <c r="J1662" s="12">
        <f t="shared" si="181"/>
        <v>5.4233926257759718E-3</v>
      </c>
    </row>
    <row r="1663" spans="1:10">
      <c r="A1663" s="15">
        <v>41944</v>
      </c>
      <c r="B1663" s="11">
        <v>2.2745000000000002</v>
      </c>
      <c r="C1663" s="11">
        <f t="shared" si="175"/>
        <v>3.00000000000189E-4</v>
      </c>
      <c r="D1663" s="12">
        <f t="shared" si="176"/>
        <v>9.0000000000113408E-8</v>
      </c>
      <c r="E1663" s="12">
        <f t="shared" si="177"/>
        <v>1.1024999999999903E-4</v>
      </c>
      <c r="F1663" s="12">
        <f t="shared" si="178"/>
        <v>2.734081962275288E-5</v>
      </c>
      <c r="G1663" s="12">
        <f t="shared" si="179"/>
        <v>4.332980442851988</v>
      </c>
      <c r="I1663" s="12">
        <f t="shared" si="180"/>
        <v>5.2288449606727565E-3</v>
      </c>
      <c r="J1663" s="12">
        <f t="shared" si="181"/>
        <v>5.4233926257759718E-3</v>
      </c>
    </row>
    <row r="1664" spans="1:10">
      <c r="A1664" s="15">
        <v>41946</v>
      </c>
      <c r="B1664" s="11">
        <v>2.2734999999999999</v>
      </c>
      <c r="C1664" s="11">
        <f t="shared" si="175"/>
        <v>-1.000000000000334E-3</v>
      </c>
      <c r="D1664" s="12">
        <f t="shared" si="176"/>
        <v>1.0000000000006678E-6</v>
      </c>
      <c r="E1664" s="12">
        <f t="shared" si="177"/>
        <v>9.0000000000113408E-8</v>
      </c>
      <c r="F1664" s="12">
        <f t="shared" si="178"/>
        <v>2.5820643249476457E-5</v>
      </c>
      <c r="G1664" s="12">
        <f t="shared" si="179"/>
        <v>4.3438652383764706</v>
      </c>
      <c r="I1664" s="12">
        <f t="shared" si="180"/>
        <v>5.0814017012509906E-3</v>
      </c>
      <c r="J1664" s="12">
        <f t="shared" si="181"/>
        <v>5.4233926257759718E-3</v>
      </c>
    </row>
    <row r="1665" spans="1:10">
      <c r="A1665" s="15">
        <v>41947</v>
      </c>
      <c r="B1665" s="11">
        <v>2.2814999999999999</v>
      </c>
      <c r="C1665" s="11">
        <f t="shared" si="175"/>
        <v>8.0000000000000071E-3</v>
      </c>
      <c r="D1665" s="12">
        <f t="shared" si="176"/>
        <v>6.4000000000000119E-5</v>
      </c>
      <c r="E1665" s="12">
        <f t="shared" si="177"/>
        <v>1.0000000000006678E-6</v>
      </c>
      <c r="F1665" s="12">
        <f t="shared" si="178"/>
        <v>2.4518824488592279E-5</v>
      </c>
      <c r="G1665" s="12">
        <f t="shared" si="179"/>
        <v>3.0839764890046193</v>
      </c>
      <c r="I1665" s="12">
        <f t="shared" si="180"/>
        <v>4.9516486636869018E-3</v>
      </c>
      <c r="J1665" s="12">
        <f t="shared" si="181"/>
        <v>5.4233926257759718E-3</v>
      </c>
    </row>
    <row r="1666" spans="1:10">
      <c r="A1666" s="15">
        <v>41948</v>
      </c>
      <c r="B1666" s="11">
        <v>2.2778</v>
      </c>
      <c r="C1666" s="11">
        <f t="shared" si="175"/>
        <v>-3.6999999999998145E-3</v>
      </c>
      <c r="D1666" s="12">
        <f t="shared" si="176"/>
        <v>1.3689999999998627E-5</v>
      </c>
      <c r="E1666" s="12">
        <f t="shared" si="177"/>
        <v>6.4000000000000119E-5</v>
      </c>
      <c r="F1666" s="12">
        <f t="shared" si="178"/>
        <v>2.7091708049742097E-5</v>
      </c>
      <c r="G1666" s="12">
        <f t="shared" si="179"/>
        <v>4.0865425520357963</v>
      </c>
      <c r="I1666" s="12">
        <f t="shared" si="180"/>
        <v>5.2049695532002966E-3</v>
      </c>
      <c r="J1666" s="12">
        <f t="shared" si="181"/>
        <v>5.4233926257759718E-3</v>
      </c>
    </row>
    <row r="1667" spans="1:10">
      <c r="A1667" s="15">
        <v>41949</v>
      </c>
      <c r="B1667" s="11">
        <v>2.2770999999999999</v>
      </c>
      <c r="C1667" s="11">
        <f t="shared" si="175"/>
        <v>-7.0000000000014495E-4</v>
      </c>
      <c r="D1667" s="12">
        <f t="shared" si="176"/>
        <v>4.9000000000020294E-7</v>
      </c>
      <c r="E1667" s="12">
        <f t="shared" si="177"/>
        <v>1.3689999999998627E-5</v>
      </c>
      <c r="F1667" s="12">
        <f t="shared" si="178"/>
        <v>2.6404523294352935E-5</v>
      </c>
      <c r="G1667" s="12">
        <f t="shared" si="179"/>
        <v>4.3427703589552316</v>
      </c>
      <c r="I1667" s="12">
        <f t="shared" si="180"/>
        <v>5.138533185097955E-3</v>
      </c>
      <c r="J1667" s="12">
        <f t="shared" si="181"/>
        <v>5.4233926257759718E-3</v>
      </c>
    </row>
    <row r="1668" spans="1:10">
      <c r="A1668" s="15">
        <v>41950</v>
      </c>
      <c r="B1668" s="11">
        <v>2.2879</v>
      </c>
      <c r="C1668" s="11">
        <f t="shared" si="175"/>
        <v>1.0800000000000143E-2</v>
      </c>
      <c r="D1668" s="12">
        <f t="shared" si="176"/>
        <v>1.1664000000000308E-4</v>
      </c>
      <c r="E1668" s="12">
        <f t="shared" si="177"/>
        <v>4.9000000000020294E-7</v>
      </c>
      <c r="F1668" s="12">
        <f t="shared" si="178"/>
        <v>2.5009324796764175E-5</v>
      </c>
      <c r="G1668" s="12">
        <f t="shared" si="179"/>
        <v>2.0472621558043755</v>
      </c>
      <c r="I1668" s="12">
        <f t="shared" si="180"/>
        <v>5.0009323927407952E-3</v>
      </c>
      <c r="J1668" s="12">
        <f t="shared" si="181"/>
        <v>5.4233926257759718E-3</v>
      </c>
    </row>
    <row r="1669" spans="1:10">
      <c r="A1669" s="15">
        <v>41951</v>
      </c>
      <c r="B1669" s="11">
        <v>2.2850999999999999</v>
      </c>
      <c r="C1669" s="11">
        <f t="shared" si="175"/>
        <v>-2.8000000000001357E-3</v>
      </c>
      <c r="D1669" s="12">
        <f t="shared" si="176"/>
        <v>7.8400000000007601E-6</v>
      </c>
      <c r="E1669" s="12">
        <f t="shared" si="177"/>
        <v>1.1664000000000308E-4</v>
      </c>
      <c r="F1669" s="12">
        <f t="shared" si="178"/>
        <v>3.064903340837385E-5</v>
      </c>
      <c r="G1669" s="12">
        <f t="shared" si="179"/>
        <v>4.1496165467341415</v>
      </c>
      <c r="I1669" s="12">
        <f t="shared" si="180"/>
        <v>5.5361569168850197E-3</v>
      </c>
      <c r="J1669" s="12">
        <f t="shared" si="181"/>
        <v>5.4233926257759718E-3</v>
      </c>
    </row>
    <row r="1670" spans="1:10">
      <c r="A1670" s="15">
        <v>41952</v>
      </c>
      <c r="B1670" s="11">
        <v>2.2879</v>
      </c>
      <c r="C1670" s="11">
        <f t="shared" si="175"/>
        <v>2.8000000000001357E-3</v>
      </c>
      <c r="D1670" s="12">
        <f t="shared" si="176"/>
        <v>7.8400000000007601E-6</v>
      </c>
      <c r="E1670" s="12">
        <f t="shared" si="177"/>
        <v>7.8400000000007601E-6</v>
      </c>
      <c r="F1670" s="12">
        <f t="shared" si="178"/>
        <v>2.9230366396415554E-5</v>
      </c>
      <c r="G1670" s="12">
        <f t="shared" si="179"/>
        <v>4.1671055700852007</v>
      </c>
      <c r="I1670" s="12">
        <f t="shared" si="180"/>
        <v>5.4065114812063015E-3</v>
      </c>
      <c r="J1670" s="12">
        <f t="shared" si="181"/>
        <v>5.4233926257759718E-3</v>
      </c>
    </row>
    <row r="1671" spans="1:10">
      <c r="A1671" s="15">
        <v>41953</v>
      </c>
      <c r="B1671" s="11">
        <v>2.2810000000000001</v>
      </c>
      <c r="C1671" s="11">
        <f t="shared" si="175"/>
        <v>-6.8999999999999062E-3</v>
      </c>
      <c r="D1671" s="12">
        <f t="shared" si="176"/>
        <v>4.7609999999998706E-5</v>
      </c>
      <c r="E1671" s="12">
        <f t="shared" si="177"/>
        <v>7.8400000000007601E-6</v>
      </c>
      <c r="F1671" s="12">
        <f t="shared" si="178"/>
        <v>2.7965143598441874E-5</v>
      </c>
      <c r="G1671" s="12">
        <f t="shared" si="179"/>
        <v>3.4720990531368403</v>
      </c>
      <c r="I1671" s="12">
        <f t="shared" si="180"/>
        <v>5.2882079760956709E-3</v>
      </c>
      <c r="J1671" s="12">
        <f t="shared" si="181"/>
        <v>5.4233926257759718E-3</v>
      </c>
    </row>
    <row r="1672" spans="1:10">
      <c r="A1672" s="15">
        <v>41954</v>
      </c>
      <c r="B1672" s="11">
        <v>2.2871999999999999</v>
      </c>
      <c r="C1672" s="11">
        <f t="shared" si="175"/>
        <v>6.1999999999997613E-3</v>
      </c>
      <c r="D1672" s="12">
        <f t="shared" si="176"/>
        <v>3.8439999999997037E-5</v>
      </c>
      <c r="E1672" s="12">
        <f t="shared" si="177"/>
        <v>4.7609999999998706E-5</v>
      </c>
      <c r="F1672" s="12">
        <f t="shared" si="178"/>
        <v>2.9193864618574555E-5</v>
      </c>
      <c r="G1672" s="12">
        <f t="shared" si="179"/>
        <v>3.6434799432953722</v>
      </c>
      <c r="I1672" s="12">
        <f t="shared" si="180"/>
        <v>5.403134702982571E-3</v>
      </c>
      <c r="J1672" s="12">
        <f t="shared" si="181"/>
        <v>5.4233926257759718E-3</v>
      </c>
    </row>
    <row r="1673" spans="1:10">
      <c r="A1673" s="15">
        <v>41955</v>
      </c>
      <c r="B1673" s="11">
        <v>2.2865000000000002</v>
      </c>
      <c r="C1673" s="11">
        <f t="shared" si="175"/>
        <v>-6.9999999999970086E-4</v>
      </c>
      <c r="D1673" s="12">
        <f t="shared" si="176"/>
        <v>4.8999999999958122E-7</v>
      </c>
      <c r="E1673" s="12">
        <f t="shared" si="177"/>
        <v>3.8439999999997037E-5</v>
      </c>
      <c r="F1673" s="12">
        <f t="shared" si="178"/>
        <v>2.9746196761202454E-5</v>
      </c>
      <c r="G1673" s="12">
        <f t="shared" si="179"/>
        <v>4.2842297494092199</v>
      </c>
      <c r="I1673" s="12">
        <f t="shared" si="180"/>
        <v>5.4540074038455849E-3</v>
      </c>
      <c r="J1673" s="12">
        <f t="shared" si="181"/>
        <v>5.4233926257759718E-3</v>
      </c>
    </row>
    <row r="1674" spans="1:10">
      <c r="A1674" s="15">
        <v>41956</v>
      </c>
      <c r="B1674" s="11">
        <v>2.2854999999999999</v>
      </c>
      <c r="C1674" s="11">
        <f t="shared" si="175"/>
        <v>-1.000000000000334E-3</v>
      </c>
      <c r="D1674" s="12">
        <f t="shared" si="176"/>
        <v>1.0000000000006678E-6</v>
      </c>
      <c r="E1674" s="12">
        <f t="shared" si="177"/>
        <v>4.8999999999958122E-7</v>
      </c>
      <c r="F1674" s="12">
        <f t="shared" si="178"/>
        <v>2.7989560058459247E-5</v>
      </c>
      <c r="G1674" s="12">
        <f t="shared" si="179"/>
        <v>4.3050371421282474</v>
      </c>
      <c r="I1674" s="12">
        <f t="shared" si="180"/>
        <v>5.2905160484076836E-3</v>
      </c>
      <c r="J1674" s="12">
        <f t="shared" si="181"/>
        <v>5.4233926257759718E-3</v>
      </c>
    </row>
    <row r="1675" spans="1:10">
      <c r="A1675" s="15">
        <v>41957</v>
      </c>
      <c r="B1675" s="11">
        <v>2.29</v>
      </c>
      <c r="C1675" s="11">
        <f t="shared" si="175"/>
        <v>4.5000000000001705E-3</v>
      </c>
      <c r="D1675" s="12">
        <f t="shared" si="176"/>
        <v>2.0250000000001536E-5</v>
      </c>
      <c r="E1675" s="12">
        <f t="shared" si="177"/>
        <v>1.0000000000006678E-6</v>
      </c>
      <c r="F1675" s="12">
        <f t="shared" si="178"/>
        <v>2.6453149436238285E-5</v>
      </c>
      <c r="G1675" s="12">
        <f t="shared" si="179"/>
        <v>3.9683769703594005</v>
      </c>
      <c r="I1675" s="12">
        <f t="shared" si="180"/>
        <v>5.1432625284189301E-3</v>
      </c>
      <c r="J1675" s="12">
        <f t="shared" si="181"/>
        <v>5.4233926257759718E-3</v>
      </c>
    </row>
    <row r="1676" spans="1:10">
      <c r="A1676" s="15">
        <v>41958</v>
      </c>
      <c r="B1676" s="11">
        <v>2.29</v>
      </c>
      <c r="C1676" s="11">
        <f t="shared" si="175"/>
        <v>0</v>
      </c>
      <c r="D1676" s="12">
        <f t="shared" si="176"/>
        <v>0</v>
      </c>
      <c r="E1676" s="12">
        <f t="shared" si="177"/>
        <v>2.0250000000001536E-5</v>
      </c>
      <c r="F1676" s="12">
        <f t="shared" si="178"/>
        <v>2.6223831099036091E-5</v>
      </c>
      <c r="G1676" s="12">
        <f t="shared" si="179"/>
        <v>4.3554824477515828</v>
      </c>
      <c r="I1676" s="12">
        <f t="shared" si="180"/>
        <v>5.1209209229430685E-3</v>
      </c>
      <c r="J1676" s="12">
        <f t="shared" si="181"/>
        <v>5.4233926257759718E-3</v>
      </c>
    </row>
    <row r="1677" spans="1:10">
      <c r="A1677" s="15">
        <v>41959</v>
      </c>
      <c r="B1677" s="11">
        <v>2.29</v>
      </c>
      <c r="C1677" s="11">
        <f t="shared" si="175"/>
        <v>0</v>
      </c>
      <c r="D1677" s="12">
        <f t="shared" si="176"/>
        <v>0</v>
      </c>
      <c r="E1677" s="12">
        <f t="shared" si="177"/>
        <v>0</v>
      </c>
      <c r="F1677" s="12">
        <f t="shared" si="178"/>
        <v>2.4819135003534015E-5</v>
      </c>
      <c r="G1677" s="12">
        <f t="shared" si="179"/>
        <v>4.3830092741986144</v>
      </c>
      <c r="I1677" s="12">
        <f t="shared" si="180"/>
        <v>4.981880669339041E-3</v>
      </c>
      <c r="J1677" s="12">
        <f t="shared" si="181"/>
        <v>5.4233926257759718E-3</v>
      </c>
    </row>
    <row r="1678" spans="1:10">
      <c r="A1678" s="15">
        <v>41960</v>
      </c>
      <c r="B1678" s="11">
        <v>2.2888000000000002</v>
      </c>
      <c r="C1678" s="11">
        <f t="shared" ref="C1678:C1741" si="182">B1678-B1677</f>
        <v>-1.1999999999998678E-3</v>
      </c>
      <c r="D1678" s="12">
        <f t="shared" ref="D1678:D1741" si="183">C1678^2</f>
        <v>1.4399999999996828E-6</v>
      </c>
      <c r="E1678" s="12">
        <f t="shared" si="177"/>
        <v>0</v>
      </c>
      <c r="F1678" s="12">
        <f t="shared" si="178"/>
        <v>2.3566372015973912E-5</v>
      </c>
      <c r="G1678" s="12">
        <f t="shared" si="179"/>
        <v>4.3783543391633915</v>
      </c>
      <c r="I1678" s="12">
        <f t="shared" si="180"/>
        <v>4.8545207812897362E-3</v>
      </c>
      <c r="J1678" s="12">
        <f t="shared" si="181"/>
        <v>5.4233926257759718E-3</v>
      </c>
    </row>
    <row r="1679" spans="1:10">
      <c r="A1679" s="15">
        <v>41961</v>
      </c>
      <c r="B1679" s="11">
        <v>2.2949999999999999</v>
      </c>
      <c r="C1679" s="11">
        <f t="shared" si="182"/>
        <v>6.1999999999997613E-3</v>
      </c>
      <c r="D1679" s="12">
        <f t="shared" si="183"/>
        <v>3.8439999999997037E-5</v>
      </c>
      <c r="E1679" s="12">
        <f t="shared" ref="E1679:E1742" si="184">D1678</f>
        <v>1.4399999999996828E-6</v>
      </c>
      <c r="F1679" s="12">
        <f t="shared" ref="F1679:F1742" si="185">$B$5+$B$6*E1679+$B$7*F1678</f>
        <v>2.2534455129969067E-5</v>
      </c>
      <c r="G1679" s="12">
        <f t="shared" ref="G1679:G1742" si="186">LN((1/SQRT(2*3.1415927*F1679))*EXP(-0.5*D1679/F1679))</f>
        <v>3.578377881470344</v>
      </c>
      <c r="I1679" s="12">
        <f t="shared" ref="I1679:I1742" si="187">SQRT(F1679)</f>
        <v>4.7470469904951507E-3</v>
      </c>
      <c r="J1679" s="12">
        <f t="shared" si="181"/>
        <v>5.4233926257759718E-3</v>
      </c>
    </row>
    <row r="1680" spans="1:10">
      <c r="A1680" s="15">
        <v>41962</v>
      </c>
      <c r="B1680" s="11">
        <v>2.2915000000000001</v>
      </c>
      <c r="C1680" s="11">
        <f t="shared" si="182"/>
        <v>-3.4999999999998366E-3</v>
      </c>
      <c r="D1680" s="12">
        <f t="shared" si="183"/>
        <v>1.2249999999998856E-5</v>
      </c>
      <c r="E1680" s="12">
        <f t="shared" si="184"/>
        <v>3.8439999999997037E-5</v>
      </c>
      <c r="F1680" s="12">
        <f t="shared" si="185"/>
        <v>2.3807074588765849E-5</v>
      </c>
      <c r="G1680" s="12">
        <f t="shared" si="186"/>
        <v>4.1465488789951124</v>
      </c>
      <c r="I1680" s="12">
        <f t="shared" si="187"/>
        <v>4.8792493878429544E-3</v>
      </c>
      <c r="J1680" s="12">
        <f t="shared" ref="J1680:J1743" si="188">J1679</f>
        <v>5.4233926257759718E-3</v>
      </c>
    </row>
    <row r="1681" spans="1:10">
      <c r="A1681" s="15">
        <v>41963</v>
      </c>
      <c r="B1681" s="11">
        <v>2.2930999999999999</v>
      </c>
      <c r="C1681" s="11">
        <f t="shared" si="182"/>
        <v>1.5999999999998238E-3</v>
      </c>
      <c r="D1681" s="12">
        <f t="shared" si="183"/>
        <v>2.5599999999994359E-6</v>
      </c>
      <c r="E1681" s="12">
        <f t="shared" si="184"/>
        <v>1.2249999999998856E-5</v>
      </c>
      <c r="F1681" s="12">
        <f t="shared" si="185"/>
        <v>2.3389812337641889E-5</v>
      </c>
      <c r="G1681" s="12">
        <f t="shared" si="186"/>
        <v>4.3579417795078514</v>
      </c>
      <c r="I1681" s="12">
        <f t="shared" si="187"/>
        <v>4.8363015143435681E-3</v>
      </c>
      <c r="J1681" s="12">
        <f t="shared" si="188"/>
        <v>5.4233926257759718E-3</v>
      </c>
    </row>
    <row r="1682" spans="1:10">
      <c r="A1682" s="15">
        <v>41964</v>
      </c>
      <c r="B1682" s="11">
        <v>2.2823000000000002</v>
      </c>
      <c r="C1682" s="11">
        <f t="shared" si="182"/>
        <v>-1.0799999999999699E-2</v>
      </c>
      <c r="D1682" s="12">
        <f t="shared" si="183"/>
        <v>1.1663999999999349E-4</v>
      </c>
      <c r="E1682" s="12">
        <f t="shared" si="184"/>
        <v>2.5599999999994359E-6</v>
      </c>
      <c r="F1682" s="12">
        <f t="shared" si="185"/>
        <v>2.2443372676994355E-5</v>
      </c>
      <c r="G1682" s="12">
        <f t="shared" si="186"/>
        <v>1.8347791278343333</v>
      </c>
      <c r="I1682" s="12">
        <f t="shared" si="187"/>
        <v>4.7374436858916178E-3</v>
      </c>
      <c r="J1682" s="12">
        <f t="shared" si="188"/>
        <v>5.4233926257759718E-3</v>
      </c>
    </row>
    <row r="1683" spans="1:10">
      <c r="A1683" s="15">
        <v>41965</v>
      </c>
      <c r="B1683" s="11">
        <v>2.2826</v>
      </c>
      <c r="C1683" s="11">
        <f t="shared" si="182"/>
        <v>2.9999999999974492E-4</v>
      </c>
      <c r="D1683" s="12">
        <f t="shared" si="183"/>
        <v>8.999999999984695E-8</v>
      </c>
      <c r="E1683" s="12">
        <f t="shared" si="184"/>
        <v>1.1663999999999349E-4</v>
      </c>
      <c r="F1683" s="12">
        <f t="shared" si="185"/>
        <v>2.8360616822186318E-5</v>
      </c>
      <c r="G1683" s="12">
        <f t="shared" si="186"/>
        <v>4.3147293054355718</v>
      </c>
      <c r="I1683" s="12">
        <f t="shared" si="187"/>
        <v>5.3254686950714785E-3</v>
      </c>
      <c r="J1683" s="12">
        <f t="shared" si="188"/>
        <v>5.4233926257759718E-3</v>
      </c>
    </row>
    <row r="1684" spans="1:10">
      <c r="A1684" s="15">
        <v>41966</v>
      </c>
      <c r="B1684" s="11">
        <v>2.2829999999999999</v>
      </c>
      <c r="C1684" s="11">
        <f t="shared" si="182"/>
        <v>3.9999999999995595E-4</v>
      </c>
      <c r="D1684" s="12">
        <f t="shared" si="183"/>
        <v>1.5999999999996475E-7</v>
      </c>
      <c r="E1684" s="12">
        <f t="shared" si="184"/>
        <v>8.999999999984695E-8</v>
      </c>
      <c r="F1684" s="12">
        <f t="shared" si="185"/>
        <v>2.6730138328418069E-5</v>
      </c>
      <c r="G1684" s="12">
        <f t="shared" si="186"/>
        <v>4.3429280094162657</v>
      </c>
      <c r="I1684" s="12">
        <f t="shared" si="187"/>
        <v>5.1701197595817906E-3</v>
      </c>
      <c r="J1684" s="12">
        <f t="shared" si="188"/>
        <v>5.4233926257759718E-3</v>
      </c>
    </row>
    <row r="1685" spans="1:10">
      <c r="A1685" s="15">
        <v>41967</v>
      </c>
      <c r="B1685" s="11">
        <v>2.2906</v>
      </c>
      <c r="C1685" s="11">
        <f t="shared" si="182"/>
        <v>7.6000000000000512E-3</v>
      </c>
      <c r="D1685" s="12">
        <f t="shared" si="183"/>
        <v>5.7760000000000775E-5</v>
      </c>
      <c r="E1685" s="12">
        <f t="shared" si="184"/>
        <v>1.5999999999996475E-7</v>
      </c>
      <c r="F1685" s="12">
        <f t="shared" si="185"/>
        <v>2.5280162530076703E-5</v>
      </c>
      <c r="G1685" s="12">
        <f t="shared" si="186"/>
        <v>3.2314090205717902</v>
      </c>
      <c r="I1685" s="12">
        <f t="shared" si="187"/>
        <v>5.0279381987129376E-3</v>
      </c>
      <c r="J1685" s="12">
        <f t="shared" si="188"/>
        <v>5.4233926257759718E-3</v>
      </c>
    </row>
    <row r="1686" spans="1:10">
      <c r="A1686" s="15">
        <v>41968</v>
      </c>
      <c r="B1686" s="11">
        <v>2.2909000000000002</v>
      </c>
      <c r="C1686" s="11">
        <f t="shared" si="182"/>
        <v>3.00000000000189E-4</v>
      </c>
      <c r="D1686" s="12">
        <f t="shared" si="183"/>
        <v>9.0000000000113408E-8</v>
      </c>
      <c r="E1686" s="12">
        <f t="shared" si="184"/>
        <v>5.7760000000000775E-5</v>
      </c>
      <c r="F1686" s="12">
        <f t="shared" si="185"/>
        <v>2.7400865570680149E-5</v>
      </c>
      <c r="G1686" s="12">
        <f t="shared" si="186"/>
        <v>4.3318871529717171</v>
      </c>
      <c r="I1686" s="12">
        <f t="shared" si="187"/>
        <v>5.2345836100572652E-3</v>
      </c>
      <c r="J1686" s="12">
        <f t="shared" si="188"/>
        <v>5.4233926257759718E-3</v>
      </c>
    </row>
    <row r="1687" spans="1:10">
      <c r="A1687" s="15">
        <v>41969</v>
      </c>
      <c r="B1687" s="11">
        <v>2.2945000000000002</v>
      </c>
      <c r="C1687" s="11">
        <f t="shared" si="182"/>
        <v>3.6000000000000476E-3</v>
      </c>
      <c r="D1687" s="12">
        <f t="shared" si="183"/>
        <v>1.2960000000000343E-5</v>
      </c>
      <c r="E1687" s="12">
        <f t="shared" si="184"/>
        <v>9.0000000000113408E-8</v>
      </c>
      <c r="F1687" s="12">
        <f t="shared" si="185"/>
        <v>2.5874194577309655E-5</v>
      </c>
      <c r="G1687" s="12">
        <f t="shared" si="186"/>
        <v>4.1117510983172281</v>
      </c>
      <c r="I1687" s="12">
        <f t="shared" si="187"/>
        <v>5.0866683179965309E-3</v>
      </c>
      <c r="J1687" s="12">
        <f t="shared" si="188"/>
        <v>5.4233926257759718E-3</v>
      </c>
    </row>
    <row r="1688" spans="1:10">
      <c r="A1688" s="15">
        <v>41970</v>
      </c>
      <c r="B1688" s="11">
        <v>2.2951000000000001</v>
      </c>
      <c r="C1688" s="11">
        <f t="shared" si="182"/>
        <v>5.9999999999993392E-4</v>
      </c>
      <c r="D1688" s="12">
        <f t="shared" si="183"/>
        <v>3.5999999999992069E-7</v>
      </c>
      <c r="E1688" s="12">
        <f t="shared" si="184"/>
        <v>1.2960000000000343E-5</v>
      </c>
      <c r="F1688" s="12">
        <f t="shared" si="185"/>
        <v>2.5275431315352738E-5</v>
      </c>
      <c r="G1688" s="12">
        <f t="shared" si="186"/>
        <v>4.3667787833677876</v>
      </c>
      <c r="I1688" s="12">
        <f t="shared" si="187"/>
        <v>5.0274676841679192E-3</v>
      </c>
      <c r="J1688" s="12">
        <f t="shared" si="188"/>
        <v>5.4233926257759718E-3</v>
      </c>
    </row>
    <row r="1689" spans="1:10">
      <c r="A1689" s="15">
        <v>41971</v>
      </c>
      <c r="B1689" s="11">
        <v>2.2921</v>
      </c>
      <c r="C1689" s="11">
        <f t="shared" si="182"/>
        <v>-3.0000000000001137E-3</v>
      </c>
      <c r="D1689" s="12">
        <f t="shared" si="183"/>
        <v>9.0000000000006829E-6</v>
      </c>
      <c r="E1689" s="12">
        <f t="shared" si="184"/>
        <v>3.5999999999992069E-7</v>
      </c>
      <c r="F1689" s="12">
        <f t="shared" si="185"/>
        <v>2.3994651487469391E-5</v>
      </c>
      <c r="G1689" s="12">
        <f t="shared" si="186"/>
        <v>4.2123594684110888</v>
      </c>
      <c r="I1689" s="12">
        <f t="shared" si="187"/>
        <v>4.8984335748756859E-3</v>
      </c>
      <c r="J1689" s="12">
        <f t="shared" si="188"/>
        <v>5.4233926257759718E-3</v>
      </c>
    </row>
    <row r="1690" spans="1:10">
      <c r="A1690" s="15">
        <v>41972</v>
      </c>
      <c r="B1690" s="11">
        <v>2.2923</v>
      </c>
      <c r="C1690" s="11">
        <f t="shared" si="182"/>
        <v>1.9999999999997797E-4</v>
      </c>
      <c r="D1690" s="12">
        <f t="shared" si="183"/>
        <v>3.9999999999991186E-8</v>
      </c>
      <c r="E1690" s="12">
        <f t="shared" si="184"/>
        <v>9.0000000000006829E-6</v>
      </c>
      <c r="F1690" s="12">
        <f t="shared" si="185"/>
        <v>2.3364479116136534E-5</v>
      </c>
      <c r="G1690" s="12">
        <f t="shared" si="186"/>
        <v>4.4123522968570397</v>
      </c>
      <c r="I1690" s="12">
        <f t="shared" si="187"/>
        <v>4.8336817350893646E-3</v>
      </c>
      <c r="J1690" s="12">
        <f t="shared" si="188"/>
        <v>5.4233926257759718E-3</v>
      </c>
    </row>
    <row r="1691" spans="1:10">
      <c r="A1691" s="15">
        <v>41973</v>
      </c>
      <c r="B1691" s="11">
        <v>2.2970999999999999</v>
      </c>
      <c r="C1691" s="11">
        <f t="shared" si="182"/>
        <v>4.7999999999999154E-3</v>
      </c>
      <c r="D1691" s="12">
        <f t="shared" si="183"/>
        <v>2.303999999999919E-5</v>
      </c>
      <c r="E1691" s="12">
        <f t="shared" si="184"/>
        <v>3.9999999999991186E-8</v>
      </c>
      <c r="F1691" s="12">
        <f t="shared" si="185"/>
        <v>2.2271423657460548E-5</v>
      </c>
      <c r="G1691" s="12">
        <f t="shared" si="186"/>
        <v>3.919909770662847</v>
      </c>
      <c r="I1691" s="12">
        <f t="shared" si="187"/>
        <v>4.7192609227993051E-3</v>
      </c>
      <c r="J1691" s="12">
        <f t="shared" si="188"/>
        <v>5.4233926257759718E-3</v>
      </c>
    </row>
    <row r="1692" spans="1:10">
      <c r="A1692" s="15">
        <v>41974</v>
      </c>
      <c r="B1692" s="11">
        <v>2.2964000000000002</v>
      </c>
      <c r="C1692" s="11">
        <f t="shared" si="182"/>
        <v>-6.9999999999970086E-4</v>
      </c>
      <c r="D1692" s="12">
        <f t="shared" si="183"/>
        <v>4.8999999999958122E-7</v>
      </c>
      <c r="E1692" s="12">
        <f t="shared" si="184"/>
        <v>2.303999999999919E-5</v>
      </c>
      <c r="F1692" s="12">
        <f t="shared" si="185"/>
        <v>2.2659762562245301E-5</v>
      </c>
      <c r="G1692" s="12">
        <f t="shared" si="186"/>
        <v>4.4177092329342278</v>
      </c>
      <c r="I1692" s="12">
        <f t="shared" si="187"/>
        <v>4.7602271544796371E-3</v>
      </c>
      <c r="J1692" s="12">
        <f t="shared" si="188"/>
        <v>5.4233926257759718E-3</v>
      </c>
    </row>
    <row r="1693" spans="1:10">
      <c r="A1693" s="15">
        <v>41975</v>
      </c>
      <c r="B1693" s="11">
        <v>2.2911000000000001</v>
      </c>
      <c r="C1693" s="11">
        <f t="shared" si="182"/>
        <v>-5.3000000000000824E-3</v>
      </c>
      <c r="D1693" s="12">
        <f t="shared" si="183"/>
        <v>2.8090000000000875E-5</v>
      </c>
      <c r="E1693" s="12">
        <f t="shared" si="184"/>
        <v>4.8999999999958122E-7</v>
      </c>
      <c r="F1693" s="12">
        <f t="shared" si="185"/>
        <v>2.1669600526528928E-5</v>
      </c>
      <c r="G1693" s="12">
        <f t="shared" si="186"/>
        <v>3.8027185430137886</v>
      </c>
      <c r="I1693" s="12">
        <f t="shared" si="187"/>
        <v>4.6550618176914608E-3</v>
      </c>
      <c r="J1693" s="12">
        <f t="shared" si="188"/>
        <v>5.4233926257759718E-3</v>
      </c>
    </row>
    <row r="1694" spans="1:10">
      <c r="A1694" s="15">
        <v>41976</v>
      </c>
      <c r="B1694" s="11">
        <v>2.2862</v>
      </c>
      <c r="C1694" s="11">
        <f t="shared" si="182"/>
        <v>-4.9000000000001265E-3</v>
      </c>
      <c r="D1694" s="12">
        <f t="shared" si="183"/>
        <v>2.4010000000001239E-5</v>
      </c>
      <c r="E1694" s="12">
        <f t="shared" si="184"/>
        <v>2.8090000000000875E-5</v>
      </c>
      <c r="F1694" s="12">
        <f t="shared" si="185"/>
        <v>2.2422337528979711E-5</v>
      </c>
      <c r="G1694" s="12">
        <f t="shared" si="186"/>
        <v>3.8983843122559305</v>
      </c>
      <c r="I1694" s="12">
        <f t="shared" si="187"/>
        <v>4.7352230706672847E-3</v>
      </c>
      <c r="J1694" s="12">
        <f t="shared" si="188"/>
        <v>5.4233926257759718E-3</v>
      </c>
    </row>
    <row r="1695" spans="1:10">
      <c r="A1695" s="15">
        <v>41977</v>
      </c>
      <c r="B1695" s="11">
        <v>2.2940999999999998</v>
      </c>
      <c r="C1695" s="11">
        <f t="shared" si="182"/>
        <v>7.8999999999997961E-3</v>
      </c>
      <c r="D1695" s="12">
        <f t="shared" si="183"/>
        <v>6.2409999999996782E-5</v>
      </c>
      <c r="E1695" s="12">
        <f t="shared" si="184"/>
        <v>2.4010000000001239E-5</v>
      </c>
      <c r="F1695" s="12">
        <f t="shared" si="185"/>
        <v>2.2851843615494121E-5</v>
      </c>
      <c r="G1695" s="12">
        <f t="shared" si="186"/>
        <v>3.0587655014516706</v>
      </c>
      <c r="I1695" s="12">
        <f t="shared" si="187"/>
        <v>4.7803601972543994E-3</v>
      </c>
      <c r="J1695" s="12">
        <f t="shared" si="188"/>
        <v>5.4233926257759718E-3</v>
      </c>
    </row>
    <row r="1696" spans="1:10">
      <c r="A1696" s="15">
        <v>41978</v>
      </c>
      <c r="B1696" s="11">
        <v>2.2831000000000001</v>
      </c>
      <c r="C1696" s="11">
        <f t="shared" si="182"/>
        <v>-1.0999999999999677E-2</v>
      </c>
      <c r="D1696" s="12">
        <f t="shared" si="183"/>
        <v>1.2099999999999289E-4</v>
      </c>
      <c r="E1696" s="12">
        <f t="shared" si="184"/>
        <v>6.2409999999996782E-5</v>
      </c>
      <c r="F1696" s="12">
        <f t="shared" si="185"/>
        <v>2.5510792790332048E-5</v>
      </c>
      <c r="G1696" s="12">
        <f t="shared" si="186"/>
        <v>1.9977206627947763</v>
      </c>
      <c r="I1696" s="12">
        <f t="shared" si="187"/>
        <v>5.050821001612713E-3</v>
      </c>
      <c r="J1696" s="12">
        <f t="shared" si="188"/>
        <v>5.4233926257759718E-3</v>
      </c>
    </row>
    <row r="1697" spans="1:10">
      <c r="A1697" s="15">
        <v>41979</v>
      </c>
      <c r="B1697" s="11">
        <v>2.2837000000000001</v>
      </c>
      <c r="C1697" s="11">
        <f t="shared" si="182"/>
        <v>5.9999999999993392E-4</v>
      </c>
      <c r="D1697" s="12">
        <f t="shared" si="183"/>
        <v>3.5999999999992069E-7</v>
      </c>
      <c r="E1697" s="12">
        <f t="shared" si="184"/>
        <v>1.2099999999999289E-4</v>
      </c>
      <c r="F1697" s="12">
        <f t="shared" si="185"/>
        <v>3.1354671549099768E-5</v>
      </c>
      <c r="G1697" s="12">
        <f t="shared" si="186"/>
        <v>4.2603943326907618</v>
      </c>
      <c r="I1697" s="12">
        <f t="shared" si="187"/>
        <v>5.5995242252444774E-3</v>
      </c>
      <c r="J1697" s="12">
        <f t="shared" si="188"/>
        <v>5.4233926257759718E-3</v>
      </c>
    </row>
    <row r="1698" spans="1:10">
      <c r="A1698" s="15">
        <v>41980</v>
      </c>
      <c r="B1698" s="11">
        <v>2.2866</v>
      </c>
      <c r="C1698" s="11">
        <f t="shared" si="182"/>
        <v>2.8999999999999027E-3</v>
      </c>
      <c r="D1698" s="12">
        <f t="shared" si="183"/>
        <v>8.409999999999435E-6</v>
      </c>
      <c r="E1698" s="12">
        <f t="shared" si="184"/>
        <v>3.5999999999992069E-7</v>
      </c>
      <c r="F1698" s="12">
        <f t="shared" si="185"/>
        <v>2.9416355998296269E-5</v>
      </c>
      <c r="G1698" s="12">
        <f t="shared" si="186"/>
        <v>4.1550936300256982</v>
      </c>
      <c r="I1698" s="12">
        <f t="shared" si="187"/>
        <v>5.423684725193406E-3</v>
      </c>
      <c r="J1698" s="12">
        <f t="shared" si="188"/>
        <v>5.4233926257759718E-3</v>
      </c>
    </row>
    <row r="1699" spans="1:10">
      <c r="A1699" s="15">
        <v>41981</v>
      </c>
      <c r="B1699" s="11">
        <v>2.2909000000000002</v>
      </c>
      <c r="C1699" s="11">
        <f t="shared" si="182"/>
        <v>4.3000000000001926E-3</v>
      </c>
      <c r="D1699" s="12">
        <f t="shared" si="183"/>
        <v>1.8490000000001658E-5</v>
      </c>
      <c r="E1699" s="12">
        <f t="shared" si="184"/>
        <v>8.409999999999435E-6</v>
      </c>
      <c r="F1699" s="12">
        <f t="shared" si="185"/>
        <v>2.8164799282187819E-5</v>
      </c>
      <c r="G1699" s="12">
        <f t="shared" si="186"/>
        <v>3.991533651421356</v>
      </c>
      <c r="I1699" s="12">
        <f t="shared" si="187"/>
        <v>5.3070518446862586E-3</v>
      </c>
      <c r="J1699" s="12">
        <f t="shared" si="188"/>
        <v>5.4233926257759718E-3</v>
      </c>
    </row>
    <row r="1700" spans="1:10">
      <c r="A1700" s="15">
        <v>41982</v>
      </c>
      <c r="B1700" s="11">
        <v>2.2946</v>
      </c>
      <c r="C1700" s="11">
        <f t="shared" si="182"/>
        <v>3.6999999999998145E-3</v>
      </c>
      <c r="D1700" s="12">
        <f t="shared" si="183"/>
        <v>1.3689999999998627E-5</v>
      </c>
      <c r="E1700" s="12">
        <f t="shared" si="184"/>
        <v>1.8490000000001658E-5</v>
      </c>
      <c r="F1700" s="12">
        <f t="shared" si="185"/>
        <v>2.7646035432357246E-5</v>
      </c>
      <c r="G1700" s="12">
        <f t="shared" si="186"/>
        <v>4.0814813001469368</v>
      </c>
      <c r="I1700" s="12">
        <f t="shared" si="187"/>
        <v>5.2579497365757739E-3</v>
      </c>
      <c r="J1700" s="12">
        <f t="shared" si="188"/>
        <v>5.4233926257759718E-3</v>
      </c>
    </row>
    <row r="1701" spans="1:10">
      <c r="A1701" s="15">
        <v>41983</v>
      </c>
      <c r="B1701" s="11">
        <v>2.3056999999999999</v>
      </c>
      <c r="C1701" s="11">
        <f t="shared" si="182"/>
        <v>1.1099999999999888E-2</v>
      </c>
      <c r="D1701" s="12">
        <f t="shared" si="183"/>
        <v>1.2320999999999751E-4</v>
      </c>
      <c r="E1701" s="12">
        <f t="shared" si="184"/>
        <v>1.3689999999998627E-5</v>
      </c>
      <c r="F1701" s="12">
        <f t="shared" si="185"/>
        <v>2.6898894162297233E-5</v>
      </c>
      <c r="G1701" s="12">
        <f t="shared" si="186"/>
        <v>2.0525313011587931</v>
      </c>
      <c r="I1701" s="12">
        <f t="shared" si="187"/>
        <v>5.1864143839744654E-3</v>
      </c>
      <c r="J1701" s="12">
        <f t="shared" si="188"/>
        <v>5.4233926257759718E-3</v>
      </c>
    </row>
    <row r="1702" spans="1:10">
      <c r="A1702" s="15">
        <v>41984</v>
      </c>
      <c r="B1702" s="11">
        <v>2.3043</v>
      </c>
      <c r="C1702" s="11">
        <f t="shared" si="182"/>
        <v>-1.3999999999998458E-3</v>
      </c>
      <c r="D1702" s="12">
        <f t="shared" si="183"/>
        <v>1.9599999999995683E-6</v>
      </c>
      <c r="E1702" s="12">
        <f t="shared" si="184"/>
        <v>1.2320999999999751E-4</v>
      </c>
      <c r="F1702" s="12">
        <f t="shared" si="185"/>
        <v>3.2723617431285073E-5</v>
      </c>
      <c r="G1702" s="12">
        <f t="shared" si="186"/>
        <v>4.2148204176828088</v>
      </c>
      <c r="I1702" s="12">
        <f t="shared" si="187"/>
        <v>5.7204560509879869E-3</v>
      </c>
      <c r="J1702" s="12">
        <f t="shared" si="188"/>
        <v>5.4233926257759718E-3</v>
      </c>
    </row>
    <row r="1703" spans="1:10">
      <c r="A1703" s="15">
        <v>41985</v>
      </c>
      <c r="B1703" s="11">
        <v>2.3003</v>
      </c>
      <c r="C1703" s="11">
        <f t="shared" si="182"/>
        <v>-4.0000000000000036E-3</v>
      </c>
      <c r="D1703" s="12">
        <f t="shared" si="183"/>
        <v>1.600000000000003E-5</v>
      </c>
      <c r="E1703" s="12">
        <f t="shared" si="184"/>
        <v>1.9599999999995683E-6</v>
      </c>
      <c r="F1703" s="12">
        <f t="shared" si="185"/>
        <v>3.0732064663386899E-5</v>
      </c>
      <c r="G1703" s="12">
        <f t="shared" si="186"/>
        <v>4.0158490244384497</v>
      </c>
      <c r="I1703" s="12">
        <f t="shared" si="187"/>
        <v>5.5436508424852029E-3</v>
      </c>
      <c r="J1703" s="12">
        <f t="shared" si="188"/>
        <v>5.4233926257759718E-3</v>
      </c>
    </row>
    <row r="1704" spans="1:10">
      <c r="A1704" s="15">
        <v>41986</v>
      </c>
      <c r="B1704" s="11">
        <v>2.3010999999999999</v>
      </c>
      <c r="C1704" s="11">
        <f t="shared" si="182"/>
        <v>7.9999999999991189E-4</v>
      </c>
      <c r="D1704" s="12">
        <f t="shared" si="183"/>
        <v>6.3999999999985898E-7</v>
      </c>
      <c r="E1704" s="12">
        <f t="shared" si="184"/>
        <v>1.600000000000003E-5</v>
      </c>
      <c r="F1704" s="12">
        <f t="shared" si="185"/>
        <v>2.9788045421958251E-5</v>
      </c>
      <c r="G1704" s="12">
        <f t="shared" si="186"/>
        <v>4.2810205975226649</v>
      </c>
      <c r="I1704" s="12">
        <f t="shared" si="187"/>
        <v>5.457842561118656E-3</v>
      </c>
      <c r="J1704" s="12">
        <f t="shared" si="188"/>
        <v>5.4233926257759718E-3</v>
      </c>
    </row>
    <row r="1705" spans="1:10">
      <c r="A1705" s="15">
        <v>41987</v>
      </c>
      <c r="B1705" s="11">
        <v>2.3037999999999998</v>
      </c>
      <c r="C1705" s="11">
        <f t="shared" si="182"/>
        <v>2.6999999999999247E-3</v>
      </c>
      <c r="D1705" s="12">
        <f t="shared" si="183"/>
        <v>7.2899999999995931E-6</v>
      </c>
      <c r="E1705" s="12">
        <f t="shared" si="184"/>
        <v>6.3999999999985898E-7</v>
      </c>
      <c r="F1705" s="12">
        <f t="shared" si="185"/>
        <v>2.8035772562757865E-5</v>
      </c>
      <c r="G1705" s="12">
        <f t="shared" si="186"/>
        <v>4.1920636266524518</v>
      </c>
      <c r="I1705" s="12">
        <f t="shared" si="187"/>
        <v>5.2948817326506801E-3</v>
      </c>
      <c r="J1705" s="12">
        <f t="shared" si="188"/>
        <v>5.4233926257759718E-3</v>
      </c>
    </row>
    <row r="1706" spans="1:10">
      <c r="A1706" s="15">
        <v>41988</v>
      </c>
      <c r="B1706" s="11">
        <v>2.3006000000000002</v>
      </c>
      <c r="C1706" s="11">
        <f t="shared" si="182"/>
        <v>-3.1999999999996476E-3</v>
      </c>
      <c r="D1706" s="12">
        <f t="shared" si="183"/>
        <v>1.0239999999997744E-5</v>
      </c>
      <c r="E1706" s="12">
        <f t="shared" si="184"/>
        <v>7.2899999999995931E-6</v>
      </c>
      <c r="F1706" s="12">
        <f t="shared" si="185"/>
        <v>2.6867160526612631E-5</v>
      </c>
      <c r="G1706" s="12">
        <f t="shared" si="186"/>
        <v>4.1527971504928693</v>
      </c>
      <c r="I1706" s="12">
        <f t="shared" si="187"/>
        <v>5.1833541772304762E-3</v>
      </c>
      <c r="J1706" s="12">
        <f t="shared" si="188"/>
        <v>5.4233926257759718E-3</v>
      </c>
    </row>
    <row r="1707" spans="1:10">
      <c r="A1707" s="15">
        <v>41989</v>
      </c>
      <c r="B1707" s="11">
        <v>2.3052000000000001</v>
      </c>
      <c r="C1707" s="11">
        <f t="shared" si="182"/>
        <v>4.5999999999999375E-3</v>
      </c>
      <c r="D1707" s="12">
        <f t="shared" si="183"/>
        <v>2.1159999999999425E-5</v>
      </c>
      <c r="E1707" s="12">
        <f t="shared" si="184"/>
        <v>1.0239999999997744E-5</v>
      </c>
      <c r="F1707" s="12">
        <f t="shared" si="185"/>
        <v>2.5999787734444412E-5</v>
      </c>
      <c r="G1707" s="12">
        <f t="shared" si="186"/>
        <v>3.952846152332353</v>
      </c>
      <c r="I1707" s="12">
        <f t="shared" si="187"/>
        <v>5.0989986992001097E-3</v>
      </c>
      <c r="J1707" s="12">
        <f t="shared" si="188"/>
        <v>5.4233926257759718E-3</v>
      </c>
    </row>
    <row r="1708" spans="1:10">
      <c r="A1708" s="15">
        <v>41990</v>
      </c>
      <c r="B1708" s="11">
        <v>2.2965</v>
      </c>
      <c r="C1708" s="11">
        <f t="shared" si="182"/>
        <v>-8.7000000000001521E-3</v>
      </c>
      <c r="D1708" s="12">
        <f t="shared" si="183"/>
        <v>7.5690000000002645E-5</v>
      </c>
      <c r="E1708" s="12">
        <f t="shared" si="184"/>
        <v>2.1159999999999425E-5</v>
      </c>
      <c r="F1708" s="12">
        <f t="shared" si="185"/>
        <v>2.5873439439927627E-5</v>
      </c>
      <c r="G1708" s="12">
        <f t="shared" si="186"/>
        <v>2.899511356160223</v>
      </c>
      <c r="I1708" s="12">
        <f t="shared" si="187"/>
        <v>5.0865940903445034E-3</v>
      </c>
      <c r="J1708" s="12">
        <f t="shared" si="188"/>
        <v>5.4233926257759718E-3</v>
      </c>
    </row>
    <row r="1709" spans="1:10">
      <c r="A1709" s="15">
        <v>41991</v>
      </c>
      <c r="B1709" s="11">
        <v>2.2942</v>
      </c>
      <c r="C1709" s="11">
        <f t="shared" si="182"/>
        <v>-2.2999999999999687E-3</v>
      </c>
      <c r="D1709" s="12">
        <f t="shared" si="183"/>
        <v>5.2899999999998562E-6</v>
      </c>
      <c r="E1709" s="12">
        <f t="shared" si="184"/>
        <v>7.5690000000002645E-5</v>
      </c>
      <c r="F1709" s="12">
        <f t="shared" si="185"/>
        <v>2.8992651953534144E-5</v>
      </c>
      <c r="G1709" s="12">
        <f t="shared" si="186"/>
        <v>4.2140655174117594</v>
      </c>
      <c r="I1709" s="12">
        <f t="shared" si="187"/>
        <v>5.3844825149251012E-3</v>
      </c>
      <c r="J1709" s="12">
        <f t="shared" si="188"/>
        <v>5.4233926257759718E-3</v>
      </c>
    </row>
    <row r="1710" spans="1:10">
      <c r="A1710" s="15">
        <v>41992</v>
      </c>
      <c r="B1710" s="11">
        <v>2.2833999999999999</v>
      </c>
      <c r="C1710" s="11">
        <f t="shared" si="182"/>
        <v>-1.0800000000000143E-2</v>
      </c>
      <c r="D1710" s="12">
        <f t="shared" si="183"/>
        <v>1.1664000000000308E-4</v>
      </c>
      <c r="E1710" s="12">
        <f t="shared" si="184"/>
        <v>5.2899999999998562E-6</v>
      </c>
      <c r="F1710" s="12">
        <f t="shared" si="185"/>
        <v>2.76020066426218E-5</v>
      </c>
      <c r="G1710" s="12">
        <f t="shared" si="186"/>
        <v>2.2169826393487218</v>
      </c>
      <c r="I1710" s="12">
        <f t="shared" si="187"/>
        <v>5.2537611901019828E-3</v>
      </c>
      <c r="J1710" s="12">
        <f t="shared" si="188"/>
        <v>5.4233926257759718E-3</v>
      </c>
    </row>
    <row r="1711" spans="1:10">
      <c r="A1711" s="15">
        <v>41993</v>
      </c>
      <c r="B1711" s="11">
        <v>2.2768999999999999</v>
      </c>
      <c r="C1711" s="11">
        <f t="shared" si="182"/>
        <v>-6.4999999999999503E-3</v>
      </c>
      <c r="D1711" s="12">
        <f t="shared" si="183"/>
        <v>4.2249999999999353E-5</v>
      </c>
      <c r="E1711" s="12">
        <f t="shared" si="184"/>
        <v>1.1664000000000308E-4</v>
      </c>
      <c r="F1711" s="12">
        <f t="shared" si="185"/>
        <v>3.2961288611054189E-5</v>
      </c>
      <c r="G1711" s="12">
        <f t="shared" si="186"/>
        <v>3.6002464969807897</v>
      </c>
      <c r="I1711" s="12">
        <f t="shared" si="187"/>
        <v>5.7411922638990406E-3</v>
      </c>
      <c r="J1711" s="12">
        <f t="shared" si="188"/>
        <v>5.4233926257759718E-3</v>
      </c>
    </row>
    <row r="1712" spans="1:10">
      <c r="A1712" s="15">
        <v>41995</v>
      </c>
      <c r="B1712" s="11">
        <v>2.2871999999999999</v>
      </c>
      <c r="C1712" s="11">
        <f t="shared" si="182"/>
        <v>1.0299999999999976E-2</v>
      </c>
      <c r="D1712" s="12">
        <f t="shared" si="183"/>
        <v>1.0608999999999951E-4</v>
      </c>
      <c r="E1712" s="12">
        <f t="shared" si="184"/>
        <v>4.2249999999999353E-5</v>
      </c>
      <c r="F1712" s="12">
        <f t="shared" si="185"/>
        <v>3.3331944851290493E-5</v>
      </c>
      <c r="G1712" s="12">
        <f t="shared" si="186"/>
        <v>2.644142327807272</v>
      </c>
      <c r="I1712" s="12">
        <f t="shared" si="187"/>
        <v>5.7733824445718555E-3</v>
      </c>
      <c r="J1712" s="12">
        <f t="shared" si="188"/>
        <v>5.4233926257759718E-3</v>
      </c>
    </row>
    <row r="1713" spans="1:10">
      <c r="A1713" s="15">
        <v>41996</v>
      </c>
      <c r="B1713" s="11">
        <v>2.2799</v>
      </c>
      <c r="C1713" s="11">
        <f t="shared" si="182"/>
        <v>-7.2999999999998622E-3</v>
      </c>
      <c r="D1713" s="12">
        <f t="shared" si="183"/>
        <v>5.3289999999997987E-5</v>
      </c>
      <c r="E1713" s="12">
        <f t="shared" si="184"/>
        <v>1.0608999999999951E-4</v>
      </c>
      <c r="F1713" s="12">
        <f t="shared" si="185"/>
        <v>3.7446192401414123E-5</v>
      </c>
      <c r="G1713" s="12">
        <f t="shared" si="186"/>
        <v>3.4658099009756849</v>
      </c>
      <c r="I1713" s="12">
        <f t="shared" si="187"/>
        <v>6.1193294078202816E-3</v>
      </c>
      <c r="J1713" s="12">
        <f t="shared" si="188"/>
        <v>5.4233926257759718E-3</v>
      </c>
    </row>
    <row r="1714" spans="1:10">
      <c r="A1714" s="15">
        <v>41997</v>
      </c>
      <c r="B1714" s="11">
        <v>2.2780999999999998</v>
      </c>
      <c r="C1714" s="11">
        <f t="shared" si="182"/>
        <v>-1.8000000000002458E-3</v>
      </c>
      <c r="D1714" s="12">
        <f t="shared" si="183"/>
        <v>3.240000000000885E-6</v>
      </c>
      <c r="E1714" s="12">
        <f t="shared" si="184"/>
        <v>5.3289999999997987E-5</v>
      </c>
      <c r="F1714" s="12">
        <f t="shared" si="185"/>
        <v>3.7986078598505137E-5</v>
      </c>
      <c r="G1714" s="12">
        <f t="shared" si="186"/>
        <v>4.1275596655610274</v>
      </c>
      <c r="I1714" s="12">
        <f t="shared" si="187"/>
        <v>6.1632847247636655E-3</v>
      </c>
      <c r="J1714" s="12">
        <f t="shared" si="188"/>
        <v>5.4233926257759718E-3</v>
      </c>
    </row>
    <row r="1715" spans="1:10">
      <c r="A1715" s="15">
        <v>41998</v>
      </c>
      <c r="B1715" s="11">
        <v>2.2684000000000002</v>
      </c>
      <c r="C1715" s="11">
        <f t="shared" si="182"/>
        <v>-9.6999999999995978E-3</v>
      </c>
      <c r="D1715" s="12">
        <f t="shared" si="183"/>
        <v>9.4089999999992196E-5</v>
      </c>
      <c r="E1715" s="12">
        <f t="shared" si="184"/>
        <v>3.240000000000885E-6</v>
      </c>
      <c r="F1715" s="12">
        <f t="shared" si="185"/>
        <v>3.5501196910863169E-5</v>
      </c>
      <c r="G1715" s="12">
        <f t="shared" si="186"/>
        <v>2.8788669439798342</v>
      </c>
      <c r="I1715" s="12">
        <f t="shared" si="187"/>
        <v>5.9582880855882734E-3</v>
      </c>
      <c r="J1715" s="12">
        <f t="shared" si="188"/>
        <v>5.4233926257759718E-3</v>
      </c>
    </row>
    <row r="1716" spans="1:10">
      <c r="A1716" s="15">
        <v>41999</v>
      </c>
      <c r="B1716" s="11">
        <v>2.2700999999999998</v>
      </c>
      <c r="C1716" s="11">
        <f t="shared" si="182"/>
        <v>1.6999999999995907E-3</v>
      </c>
      <c r="D1716" s="12">
        <f t="shared" si="183"/>
        <v>2.8899999999986086E-6</v>
      </c>
      <c r="E1716" s="12">
        <f t="shared" si="184"/>
        <v>9.4089999999992196E-5</v>
      </c>
      <c r="F1716" s="12">
        <f t="shared" si="185"/>
        <v>3.8669597955255553E-5</v>
      </c>
      <c r="G1716" s="12">
        <f t="shared" si="186"/>
        <v>4.1239220271865031</v>
      </c>
      <c r="I1716" s="12">
        <f t="shared" si="187"/>
        <v>6.2184883979352693E-3</v>
      </c>
      <c r="J1716" s="12">
        <f t="shared" si="188"/>
        <v>5.4233926257759718E-3</v>
      </c>
    </row>
    <row r="1717" spans="1:10">
      <c r="A1717" s="15">
        <v>42000</v>
      </c>
      <c r="B1717" s="11">
        <v>2.2707000000000002</v>
      </c>
      <c r="C1717" s="11">
        <f t="shared" si="182"/>
        <v>6.0000000000037801E-4</v>
      </c>
      <c r="D1717" s="12">
        <f t="shared" si="183"/>
        <v>3.6000000000045363E-7</v>
      </c>
      <c r="E1717" s="12">
        <f t="shared" si="184"/>
        <v>2.8899999999986086E-6</v>
      </c>
      <c r="F1717" s="12">
        <f t="shared" si="185"/>
        <v>3.6090042371138419E-5</v>
      </c>
      <c r="G1717" s="12">
        <f t="shared" si="186"/>
        <v>4.190820716727047</v>
      </c>
      <c r="I1717" s="12">
        <f t="shared" si="187"/>
        <v>6.0074988448720005E-3</v>
      </c>
      <c r="J1717" s="12">
        <f t="shared" si="188"/>
        <v>5.4233926257759718E-3</v>
      </c>
    </row>
    <row r="1718" spans="1:10">
      <c r="A1718" s="15">
        <v>42001</v>
      </c>
      <c r="B1718" s="11">
        <v>2.2656000000000001</v>
      </c>
      <c r="C1718" s="11">
        <f t="shared" si="182"/>
        <v>-5.1000000000001044E-3</v>
      </c>
      <c r="D1718" s="12">
        <f t="shared" si="183"/>
        <v>2.6010000000001064E-5</v>
      </c>
      <c r="E1718" s="12">
        <f t="shared" si="184"/>
        <v>3.6000000000045363E-7</v>
      </c>
      <c r="F1718" s="12">
        <f t="shared" si="185"/>
        <v>3.3639545140216504E-5</v>
      </c>
      <c r="G1718" s="12">
        <f t="shared" si="186"/>
        <v>3.8443670129696992</v>
      </c>
      <c r="I1718" s="12">
        <f t="shared" si="187"/>
        <v>5.7999607878171473E-3</v>
      </c>
      <c r="J1718" s="12">
        <f t="shared" si="188"/>
        <v>5.4233926257759718E-3</v>
      </c>
    </row>
    <row r="1719" spans="1:10">
      <c r="A1719" s="15">
        <v>42002</v>
      </c>
      <c r="B1719" s="11">
        <v>2.2654000000000001</v>
      </c>
      <c r="C1719" s="11">
        <f t="shared" si="182"/>
        <v>-1.9999999999997797E-4</v>
      </c>
      <c r="D1719" s="12">
        <f t="shared" si="183"/>
        <v>3.9999999999991186E-8</v>
      </c>
      <c r="E1719" s="12">
        <f t="shared" si="184"/>
        <v>2.6010000000001064E-5</v>
      </c>
      <c r="F1719" s="12">
        <f t="shared" si="185"/>
        <v>3.2974325039793461E-5</v>
      </c>
      <c r="G1719" s="12">
        <f t="shared" si="186"/>
        <v>4.2403455911112546</v>
      </c>
      <c r="I1719" s="12">
        <f t="shared" si="187"/>
        <v>5.7423274932551054E-3</v>
      </c>
      <c r="J1719" s="12">
        <f t="shared" si="188"/>
        <v>5.4233926257759718E-3</v>
      </c>
    </row>
    <row r="1720" spans="1:10">
      <c r="A1720" s="15">
        <v>42003</v>
      </c>
      <c r="B1720" s="11">
        <v>2.2633999999999999</v>
      </c>
      <c r="C1720" s="11">
        <f t="shared" si="182"/>
        <v>-2.0000000000002238E-3</v>
      </c>
      <c r="D1720" s="12">
        <f t="shared" si="183"/>
        <v>4.0000000000008951E-6</v>
      </c>
      <c r="E1720" s="12">
        <f t="shared" si="184"/>
        <v>3.9999999999991186E-8</v>
      </c>
      <c r="F1720" s="12">
        <f t="shared" si="185"/>
        <v>3.0841860585321238E-5</v>
      </c>
      <c r="G1720" s="12">
        <f t="shared" si="186"/>
        <v>4.2095333689931564</v>
      </c>
      <c r="I1720" s="12">
        <f t="shared" si="187"/>
        <v>5.5535448665983821E-3</v>
      </c>
      <c r="J1720" s="12">
        <f t="shared" si="188"/>
        <v>5.4233926257759718E-3</v>
      </c>
    </row>
    <row r="1721" spans="1:10">
      <c r="A1721" s="15">
        <v>42004</v>
      </c>
      <c r="B1721" s="11">
        <v>2.2599999999999998</v>
      </c>
      <c r="C1721" s="11">
        <f t="shared" si="182"/>
        <v>-3.4000000000000696E-3</v>
      </c>
      <c r="D1721" s="12">
        <f t="shared" si="183"/>
        <v>1.1560000000000474E-5</v>
      </c>
      <c r="E1721" s="12">
        <f t="shared" si="184"/>
        <v>4.0000000000008951E-6</v>
      </c>
      <c r="F1721" s="12">
        <f t="shared" si="185"/>
        <v>2.9174747341470903E-5</v>
      </c>
      <c r="G1721" s="12">
        <f t="shared" si="186"/>
        <v>4.1040484393296843</v>
      </c>
      <c r="I1721" s="12">
        <f t="shared" si="187"/>
        <v>5.4013653219784075E-3</v>
      </c>
      <c r="J1721" s="12">
        <f t="shared" si="188"/>
        <v>5.4233926257759718E-3</v>
      </c>
    </row>
    <row r="1722" spans="1:10">
      <c r="A1722" s="15">
        <v>42005</v>
      </c>
      <c r="B1722" s="11">
        <v>2.2591999999999999</v>
      </c>
      <c r="C1722" s="11">
        <f t="shared" si="182"/>
        <v>-7.9999999999991189E-4</v>
      </c>
      <c r="D1722" s="12">
        <f t="shared" si="183"/>
        <v>6.3999999999985898E-7</v>
      </c>
      <c r="E1722" s="12">
        <f t="shared" si="184"/>
        <v>1.1560000000000474E-5</v>
      </c>
      <c r="F1722" s="12">
        <f t="shared" si="185"/>
        <v>2.8136018045989815E-5</v>
      </c>
      <c r="G1722" s="12">
        <f t="shared" si="186"/>
        <v>4.308918147865592</v>
      </c>
      <c r="I1722" s="12">
        <f t="shared" si="187"/>
        <v>5.3043395485196662E-3</v>
      </c>
      <c r="J1722" s="12">
        <f t="shared" si="188"/>
        <v>5.4233926257759718E-3</v>
      </c>
    </row>
    <row r="1723" spans="1:10">
      <c r="A1723" s="15">
        <v>42006</v>
      </c>
      <c r="B1723" s="11">
        <v>2.2509000000000001</v>
      </c>
      <c r="C1723" s="11">
        <f t="shared" si="182"/>
        <v>-8.299999999999752E-3</v>
      </c>
      <c r="D1723" s="12">
        <f t="shared" si="183"/>
        <v>6.8889999999995879E-5</v>
      </c>
      <c r="E1723" s="12">
        <f t="shared" si="184"/>
        <v>6.3999999999985898E-7</v>
      </c>
      <c r="F1723" s="12">
        <f t="shared" si="185"/>
        <v>2.6562429853486956E-5</v>
      </c>
      <c r="G1723" s="12">
        <f t="shared" si="186"/>
        <v>3.0523114697919826</v>
      </c>
      <c r="I1723" s="12">
        <f t="shared" si="187"/>
        <v>5.1538752268062288E-3</v>
      </c>
      <c r="J1723" s="12">
        <f t="shared" si="188"/>
        <v>5.4233926257759718E-3</v>
      </c>
    </row>
    <row r="1724" spans="1:10">
      <c r="A1724" s="15">
        <v>42007</v>
      </c>
      <c r="B1724" s="11">
        <v>2.2528000000000001</v>
      </c>
      <c r="C1724" s="11">
        <f t="shared" si="182"/>
        <v>1.9000000000000128E-3</v>
      </c>
      <c r="D1724" s="12">
        <f t="shared" si="183"/>
        <v>3.6100000000000484E-6</v>
      </c>
      <c r="E1724" s="12">
        <f t="shared" si="184"/>
        <v>6.8889999999995879E-5</v>
      </c>
      <c r="F1724" s="12">
        <f t="shared" si="185"/>
        <v>2.9204096835442138E-5</v>
      </c>
      <c r="G1724" s="12">
        <f t="shared" si="186"/>
        <v>4.2398558404868769</v>
      </c>
      <c r="I1724" s="12">
        <f t="shared" si="187"/>
        <v>5.404081497853464E-3</v>
      </c>
      <c r="J1724" s="12">
        <f t="shared" si="188"/>
        <v>5.4233926257759718E-3</v>
      </c>
    </row>
    <row r="1725" spans="1:10">
      <c r="A1725" s="15">
        <v>42008</v>
      </c>
      <c r="B1725" s="11">
        <v>2.2498</v>
      </c>
      <c r="C1725" s="11">
        <f t="shared" si="182"/>
        <v>-3.0000000000001137E-3</v>
      </c>
      <c r="D1725" s="12">
        <f t="shared" si="183"/>
        <v>9.0000000000006829E-6</v>
      </c>
      <c r="E1725" s="12">
        <f t="shared" si="184"/>
        <v>3.6100000000000484E-6</v>
      </c>
      <c r="F1725" s="12">
        <f t="shared" si="185"/>
        <v>2.7691010895066404E-5</v>
      </c>
      <c r="G1725" s="12">
        <f t="shared" si="186"/>
        <v>4.165755206304989</v>
      </c>
      <c r="I1725" s="12">
        <f t="shared" si="187"/>
        <v>5.2622248997041552E-3</v>
      </c>
      <c r="J1725" s="12">
        <f t="shared" si="188"/>
        <v>5.4233926257759718E-3</v>
      </c>
    </row>
    <row r="1726" spans="1:10">
      <c r="A1726" s="15">
        <v>42009</v>
      </c>
      <c r="B1726" s="11">
        <v>2.2477</v>
      </c>
      <c r="C1726" s="11">
        <f t="shared" si="182"/>
        <v>-2.0999999999999908E-3</v>
      </c>
      <c r="D1726" s="12">
        <f t="shared" si="183"/>
        <v>4.4099999999999612E-6</v>
      </c>
      <c r="E1726" s="12">
        <f t="shared" si="184"/>
        <v>9.0000000000006829E-6</v>
      </c>
      <c r="F1726" s="12">
        <f t="shared" si="185"/>
        <v>2.6661037189718991E-5</v>
      </c>
      <c r="G1726" s="12">
        <f t="shared" si="186"/>
        <v>4.26451016976152</v>
      </c>
      <c r="I1726" s="12">
        <f t="shared" si="187"/>
        <v>5.163432694411634E-3</v>
      </c>
      <c r="J1726" s="12">
        <f t="shared" si="188"/>
        <v>5.4233926257759718E-3</v>
      </c>
    </row>
    <row r="1727" spans="1:10">
      <c r="A1727" s="15">
        <v>42010</v>
      </c>
      <c r="B1727" s="11">
        <v>2.2397</v>
      </c>
      <c r="C1727" s="11">
        <f t="shared" si="182"/>
        <v>-8.0000000000000071E-3</v>
      </c>
      <c r="D1727" s="12">
        <f t="shared" si="183"/>
        <v>6.4000000000000119E-5</v>
      </c>
      <c r="E1727" s="12">
        <f t="shared" si="184"/>
        <v>4.4099999999999612E-6</v>
      </c>
      <c r="F1727" s="12">
        <f t="shared" si="185"/>
        <v>2.5470425272625056E-5</v>
      </c>
      <c r="G1727" s="12">
        <f t="shared" si="186"/>
        <v>3.1136986679269936</v>
      </c>
      <c r="I1727" s="12">
        <f t="shared" si="187"/>
        <v>5.0468232852582682E-3</v>
      </c>
      <c r="J1727" s="12">
        <f t="shared" si="188"/>
        <v>5.4233926257759718E-3</v>
      </c>
    </row>
    <row r="1728" spans="1:10">
      <c r="A1728" s="15">
        <v>42011</v>
      </c>
      <c r="B1728" s="11">
        <v>2.2347000000000001</v>
      </c>
      <c r="C1728" s="11">
        <f t="shared" si="182"/>
        <v>-4.9999999999998934E-3</v>
      </c>
      <c r="D1728" s="12">
        <f t="shared" si="183"/>
        <v>2.4999999999998934E-5</v>
      </c>
      <c r="E1728" s="12">
        <f t="shared" si="184"/>
        <v>6.4000000000000119E-5</v>
      </c>
      <c r="F1728" s="12">
        <f t="shared" si="185"/>
        <v>2.7940382894775632E-5</v>
      </c>
      <c r="G1728" s="12">
        <f t="shared" si="186"/>
        <v>3.876399082014256</v>
      </c>
      <c r="I1728" s="12">
        <f t="shared" si="187"/>
        <v>5.2858663334193036E-3</v>
      </c>
      <c r="J1728" s="12">
        <f t="shared" si="188"/>
        <v>5.4233926257759718E-3</v>
      </c>
    </row>
    <row r="1729" spans="1:10">
      <c r="A1729" s="15">
        <v>42012</v>
      </c>
      <c r="B1729" s="11">
        <v>2.2328000000000001</v>
      </c>
      <c r="C1729" s="11">
        <f t="shared" si="182"/>
        <v>-1.9000000000000128E-3</v>
      </c>
      <c r="D1729" s="12">
        <f t="shared" si="183"/>
        <v>3.6100000000000484E-6</v>
      </c>
      <c r="E1729" s="12">
        <f t="shared" si="184"/>
        <v>2.4999999999998934E-5</v>
      </c>
      <c r="F1729" s="12">
        <f t="shared" si="185"/>
        <v>2.78317280826462E-5</v>
      </c>
      <c r="G1729" s="12">
        <f t="shared" si="186"/>
        <v>4.2608743646948213</v>
      </c>
      <c r="I1729" s="12">
        <f t="shared" si="187"/>
        <v>5.275578459528983E-3</v>
      </c>
      <c r="J1729" s="12">
        <f t="shared" si="188"/>
        <v>5.4233926257759718E-3</v>
      </c>
    </row>
    <row r="1730" spans="1:10">
      <c r="A1730" s="15">
        <v>42013</v>
      </c>
      <c r="B1730" s="11">
        <v>2.2393999999999998</v>
      </c>
      <c r="C1730" s="11">
        <f t="shared" si="182"/>
        <v>6.5999999999997172E-3</v>
      </c>
      <c r="D1730" s="12">
        <f t="shared" si="183"/>
        <v>4.3559999999996269E-5</v>
      </c>
      <c r="E1730" s="12">
        <f t="shared" si="184"/>
        <v>3.6100000000000484E-6</v>
      </c>
      <c r="F1730" s="12">
        <f t="shared" si="185"/>
        <v>2.6467078697709322E-5</v>
      </c>
      <c r="G1730" s="12">
        <f t="shared" si="186"/>
        <v>3.5279568113257649</v>
      </c>
      <c r="I1730" s="12">
        <f t="shared" si="187"/>
        <v>5.1446164772225075E-3</v>
      </c>
      <c r="J1730" s="12">
        <f t="shared" si="188"/>
        <v>5.4233926257759718E-3</v>
      </c>
    </row>
    <row r="1731" spans="1:10">
      <c r="A1731" s="15">
        <v>42014</v>
      </c>
      <c r="B1731" s="11">
        <v>2.2391999999999999</v>
      </c>
      <c r="C1731" s="11">
        <f t="shared" si="182"/>
        <v>-1.9999999999997797E-4</v>
      </c>
      <c r="D1731" s="12">
        <f t="shared" si="183"/>
        <v>3.9999999999991186E-8</v>
      </c>
      <c r="E1731" s="12">
        <f t="shared" si="184"/>
        <v>4.3559999999996269E-5</v>
      </c>
      <c r="F1731" s="12">
        <f t="shared" si="185"/>
        <v>2.7617795469674329E-5</v>
      </c>
      <c r="G1731" s="12">
        <f t="shared" si="186"/>
        <v>4.3288624034554459</v>
      </c>
      <c r="I1731" s="12">
        <f t="shared" si="187"/>
        <v>5.2552635965928797E-3</v>
      </c>
      <c r="J1731" s="12">
        <f t="shared" si="188"/>
        <v>5.4233926257759718E-3</v>
      </c>
    </row>
    <row r="1732" spans="1:10">
      <c r="A1732" s="15">
        <v>42015</v>
      </c>
      <c r="B1732" s="11">
        <v>2.2362000000000002</v>
      </c>
      <c r="C1732" s="11">
        <f t="shared" si="182"/>
        <v>-2.9999999999996696E-3</v>
      </c>
      <c r="D1732" s="12">
        <f t="shared" si="183"/>
        <v>8.9999999999980182E-6</v>
      </c>
      <c r="E1732" s="12">
        <f t="shared" si="184"/>
        <v>3.9999999999991186E-8</v>
      </c>
      <c r="F1732" s="12">
        <f t="shared" si="185"/>
        <v>2.606469774653797E-5</v>
      </c>
      <c r="G1732" s="12">
        <f t="shared" si="186"/>
        <v>4.1858785155407716</v>
      </c>
      <c r="I1732" s="12">
        <f t="shared" si="187"/>
        <v>5.1053597078499742E-3</v>
      </c>
      <c r="J1732" s="12">
        <f t="shared" si="188"/>
        <v>5.4233926257759718E-3</v>
      </c>
    </row>
    <row r="1733" spans="1:10">
      <c r="A1733" s="15">
        <v>42016</v>
      </c>
      <c r="B1733" s="11">
        <v>2.2389000000000001</v>
      </c>
      <c r="C1733" s="11">
        <f t="shared" si="182"/>
        <v>2.6999999999999247E-3</v>
      </c>
      <c r="D1733" s="12">
        <f t="shared" si="183"/>
        <v>7.2899999999995931E-6</v>
      </c>
      <c r="E1733" s="12">
        <f t="shared" si="184"/>
        <v>8.9999999999980182E-6</v>
      </c>
      <c r="F1733" s="12">
        <f t="shared" si="185"/>
        <v>2.5210627435479045E-5</v>
      </c>
      <c r="G1733" s="12">
        <f t="shared" si="186"/>
        <v>4.2306020402214397</v>
      </c>
      <c r="I1733" s="12">
        <f t="shared" si="187"/>
        <v>5.0210185655381765E-3</v>
      </c>
      <c r="J1733" s="12">
        <f t="shared" si="188"/>
        <v>5.4233926257759718E-3</v>
      </c>
    </row>
    <row r="1734" spans="1:10">
      <c r="A1734" s="15">
        <v>42017</v>
      </c>
      <c r="B1734" s="11">
        <v>2.2328000000000001</v>
      </c>
      <c r="C1734" s="11">
        <f t="shared" si="182"/>
        <v>-6.0999999999999943E-3</v>
      </c>
      <c r="D1734" s="12">
        <f t="shared" si="183"/>
        <v>3.720999999999993E-5</v>
      </c>
      <c r="E1734" s="12">
        <f t="shared" si="184"/>
        <v>7.2899999999995931E-6</v>
      </c>
      <c r="F1734" s="12">
        <f t="shared" si="185"/>
        <v>2.4347585466018716E-5</v>
      </c>
      <c r="G1734" s="12">
        <f t="shared" si="186"/>
        <v>3.6284589155273634</v>
      </c>
      <c r="I1734" s="12">
        <f t="shared" si="187"/>
        <v>4.9343272556670497E-3</v>
      </c>
      <c r="J1734" s="12">
        <f t="shared" si="188"/>
        <v>5.4233926257759718E-3</v>
      </c>
    </row>
    <row r="1735" spans="1:10">
      <c r="A1735" s="15">
        <v>42018</v>
      </c>
      <c r="B1735" s="11">
        <v>2.2349999999999999</v>
      </c>
      <c r="C1735" s="11">
        <f t="shared" si="182"/>
        <v>2.1999999999997577E-3</v>
      </c>
      <c r="D1735" s="12">
        <f t="shared" si="183"/>
        <v>4.8399999999989338E-6</v>
      </c>
      <c r="E1735" s="12">
        <f t="shared" si="184"/>
        <v>3.720999999999993E-5</v>
      </c>
      <c r="F1735" s="12">
        <f t="shared" si="185"/>
        <v>2.535119534252393E-5</v>
      </c>
      <c r="G1735" s="12">
        <f t="shared" si="186"/>
        <v>4.2769447875358777</v>
      </c>
      <c r="I1735" s="12">
        <f t="shared" si="187"/>
        <v>5.0349970548674537E-3</v>
      </c>
      <c r="J1735" s="12">
        <f t="shared" si="188"/>
        <v>5.4233926257759718E-3</v>
      </c>
    </row>
    <row r="1736" spans="1:10">
      <c r="A1736" s="15">
        <v>42019</v>
      </c>
      <c r="B1736" s="11">
        <v>2.2181999999999999</v>
      </c>
      <c r="C1736" s="11">
        <f t="shared" si="182"/>
        <v>-1.6799999999999926E-2</v>
      </c>
      <c r="D1736" s="12">
        <f t="shared" si="183"/>
        <v>2.8223999999999751E-4</v>
      </c>
      <c r="E1736" s="12">
        <f t="shared" si="184"/>
        <v>4.8399999999989338E-6</v>
      </c>
      <c r="F1736" s="12">
        <f t="shared" si="185"/>
        <v>2.4327742343717211E-5</v>
      </c>
      <c r="G1736" s="12">
        <f t="shared" si="186"/>
        <v>-1.4077768232748238</v>
      </c>
      <c r="I1736" s="12">
        <f t="shared" si="187"/>
        <v>4.9323161236600813E-3</v>
      </c>
      <c r="J1736" s="12">
        <f t="shared" si="188"/>
        <v>5.4233926257759718E-3</v>
      </c>
    </row>
    <row r="1737" spans="1:10">
      <c r="A1737" s="15">
        <v>42020</v>
      </c>
      <c r="B1737" s="11">
        <v>2.2151000000000001</v>
      </c>
      <c r="C1737" s="11">
        <f t="shared" si="182"/>
        <v>-3.0999999999998806E-3</v>
      </c>
      <c r="D1737" s="12">
        <f t="shared" si="183"/>
        <v>9.6099999999992592E-6</v>
      </c>
      <c r="E1737" s="12">
        <f t="shared" si="184"/>
        <v>2.8223999999999751E-4</v>
      </c>
      <c r="F1737" s="12">
        <f t="shared" si="185"/>
        <v>3.9855985176200734E-5</v>
      </c>
      <c r="G1737" s="12">
        <f t="shared" si="186"/>
        <v>4.0256213878133469</v>
      </c>
      <c r="I1737" s="12">
        <f t="shared" si="187"/>
        <v>6.3131596824570133E-3</v>
      </c>
      <c r="J1737" s="12">
        <f t="shared" si="188"/>
        <v>5.4233926257759718E-3</v>
      </c>
    </row>
    <row r="1738" spans="1:10">
      <c r="A1738" s="15">
        <v>42021</v>
      </c>
      <c r="B1738" s="11">
        <v>2.2181000000000002</v>
      </c>
      <c r="C1738" s="11">
        <f t="shared" si="182"/>
        <v>3.0000000000001137E-3</v>
      </c>
      <c r="D1738" s="12">
        <f t="shared" si="183"/>
        <v>9.0000000000006829E-6</v>
      </c>
      <c r="E1738" s="12">
        <f t="shared" si="184"/>
        <v>9.6099999999992592E-6</v>
      </c>
      <c r="F1738" s="12">
        <f t="shared" si="185"/>
        <v>3.7546391249839238E-5</v>
      </c>
      <c r="G1738" s="12">
        <f t="shared" si="186"/>
        <v>4.0561763727702784</v>
      </c>
      <c r="I1738" s="12">
        <f t="shared" si="187"/>
        <v>6.1275110158888523E-3</v>
      </c>
      <c r="J1738" s="12">
        <f t="shared" si="188"/>
        <v>5.4233926257759718E-3</v>
      </c>
    </row>
    <row r="1739" spans="1:10">
      <c r="A1739" s="15">
        <v>42022</v>
      </c>
      <c r="B1739" s="11">
        <v>2.2191000000000001</v>
      </c>
      <c r="C1739" s="11">
        <f t="shared" si="182"/>
        <v>9.9999999999988987E-4</v>
      </c>
      <c r="D1739" s="12">
        <f t="shared" si="183"/>
        <v>9.9999999999977973E-7</v>
      </c>
      <c r="E1739" s="12">
        <f t="shared" si="184"/>
        <v>9.0000000000006829E-6</v>
      </c>
      <c r="F1739" s="12">
        <f t="shared" si="185"/>
        <v>3.5450451338672973E-5</v>
      </c>
      <c r="G1739" s="12">
        <f t="shared" si="186"/>
        <v>4.1906445533086911</v>
      </c>
      <c r="I1739" s="12">
        <f t="shared" si="187"/>
        <v>5.9540281607221987E-3</v>
      </c>
      <c r="J1739" s="12">
        <f t="shared" si="188"/>
        <v>5.4233926257759718E-3</v>
      </c>
    </row>
    <row r="1740" spans="1:10">
      <c r="A1740" s="15">
        <v>42023</v>
      </c>
      <c r="B1740" s="11">
        <v>2.2200000000000002</v>
      </c>
      <c r="C1740" s="11">
        <f t="shared" si="182"/>
        <v>9.0000000000012292E-4</v>
      </c>
      <c r="D1740" s="12">
        <f t="shared" si="183"/>
        <v>8.1000000000022126E-7</v>
      </c>
      <c r="E1740" s="12">
        <f t="shared" si="184"/>
        <v>9.9999999999977973E-7</v>
      </c>
      <c r="F1740" s="12">
        <f t="shared" si="185"/>
        <v>3.3107064457423577E-5</v>
      </c>
      <c r="G1740" s="12">
        <f t="shared" si="186"/>
        <v>4.2267103560500896</v>
      </c>
      <c r="I1740" s="12">
        <f t="shared" si="187"/>
        <v>5.7538738652688224E-3</v>
      </c>
      <c r="J1740" s="12">
        <f t="shared" si="188"/>
        <v>5.4233926257759718E-3</v>
      </c>
    </row>
    <row r="1741" spans="1:10">
      <c r="A1741" s="15">
        <v>42024</v>
      </c>
      <c r="B1741" s="11">
        <v>2.2126000000000001</v>
      </c>
      <c r="C1741" s="11">
        <f t="shared" si="182"/>
        <v>-7.4000000000000732E-3</v>
      </c>
      <c r="D1741" s="12">
        <f t="shared" si="183"/>
        <v>5.4760000000001082E-5</v>
      </c>
      <c r="E1741" s="12">
        <f t="shared" si="184"/>
        <v>8.1000000000022126E-7</v>
      </c>
      <c r="F1741" s="12">
        <f t="shared" si="185"/>
        <v>3.1005879309134713E-5</v>
      </c>
      <c r="G1741" s="12">
        <f t="shared" si="186"/>
        <v>3.3886699876666277</v>
      </c>
      <c r="I1741" s="12">
        <f t="shared" si="187"/>
        <v>5.5682923153454068E-3</v>
      </c>
      <c r="J1741" s="12">
        <f t="shared" si="188"/>
        <v>5.4233926257759718E-3</v>
      </c>
    </row>
    <row r="1742" spans="1:10">
      <c r="A1742" s="15">
        <v>42025</v>
      </c>
      <c r="B1742" s="11">
        <v>2.2201</v>
      </c>
      <c r="C1742" s="11">
        <f t="shared" ref="C1742:C1805" si="189">B1742-B1741</f>
        <v>7.4999999999998401E-3</v>
      </c>
      <c r="D1742" s="12">
        <f t="shared" ref="D1742:D1805" si="190">C1742^2</f>
        <v>5.62499999999976E-5</v>
      </c>
      <c r="E1742" s="12">
        <f t="shared" si="184"/>
        <v>5.4760000000001082E-5</v>
      </c>
      <c r="F1742" s="12">
        <f t="shared" si="185"/>
        <v>3.2329479424358741E-5</v>
      </c>
      <c r="G1742" s="12">
        <f t="shared" si="186"/>
        <v>3.3808779408407048</v>
      </c>
      <c r="I1742" s="12">
        <f t="shared" si="187"/>
        <v>5.6859018127609923E-3</v>
      </c>
      <c r="J1742" s="12">
        <f t="shared" si="188"/>
        <v>5.4233926257759718E-3</v>
      </c>
    </row>
    <row r="1743" spans="1:10">
      <c r="A1743" s="15">
        <v>42026</v>
      </c>
      <c r="B1743" s="11">
        <v>2.2143000000000002</v>
      </c>
      <c r="C1743" s="11">
        <f t="shared" si="189"/>
        <v>-5.7999999999998053E-3</v>
      </c>
      <c r="D1743" s="12">
        <f t="shared" si="190"/>
        <v>3.363999999999774E-5</v>
      </c>
      <c r="E1743" s="12">
        <f t="shared" ref="E1743:E1806" si="191">D1742</f>
        <v>5.62499999999976E-5</v>
      </c>
      <c r="F1743" s="12">
        <f t="shared" ref="F1743:F1806" si="192">$B$5+$B$6*E1743+$B$7*F1742</f>
        <v>3.3598227456830347E-5</v>
      </c>
      <c r="G1743" s="12">
        <f t="shared" ref="G1743:G1806" si="193">LN((1/SQRT(2*3.1415927*F1743))*EXP(-0.5*D1743/F1743))</f>
        <v>3.7309584347124627</v>
      </c>
      <c r="I1743" s="12">
        <f t="shared" ref="I1743:I1806" si="194">SQRT(F1743)</f>
        <v>5.7963978000850104E-3</v>
      </c>
      <c r="J1743" s="12">
        <f t="shared" si="188"/>
        <v>5.4233926257759718E-3</v>
      </c>
    </row>
    <row r="1744" spans="1:10">
      <c r="A1744" s="15">
        <v>42027</v>
      </c>
      <c r="B1744" s="11">
        <v>2.1901000000000002</v>
      </c>
      <c r="C1744" s="11">
        <f t="shared" si="189"/>
        <v>-2.4199999999999999E-2</v>
      </c>
      <c r="D1744" s="12">
        <f t="shared" si="190"/>
        <v>5.8564000000000001E-4</v>
      </c>
      <c r="E1744" s="12">
        <f t="shared" si="191"/>
        <v>3.363999999999774E-5</v>
      </c>
      <c r="F1744" s="12">
        <f t="shared" si="192"/>
        <v>3.3389692667150127E-5</v>
      </c>
      <c r="G1744" s="12">
        <f t="shared" si="193"/>
        <v>-4.5350791307539806</v>
      </c>
      <c r="I1744" s="12">
        <f t="shared" si="194"/>
        <v>5.7783814920053635E-3</v>
      </c>
      <c r="J1744" s="12">
        <f t="shared" ref="J1744:J1807" si="195">J1743</f>
        <v>5.4233926257759718E-3</v>
      </c>
    </row>
    <row r="1745" spans="1:10">
      <c r="A1745" s="15">
        <v>42028</v>
      </c>
      <c r="B1745" s="11">
        <v>2.1897000000000002</v>
      </c>
      <c r="C1745" s="11">
        <f t="shared" si="189"/>
        <v>-3.9999999999995595E-4</v>
      </c>
      <c r="D1745" s="12">
        <f t="shared" si="190"/>
        <v>1.5999999999996475E-7</v>
      </c>
      <c r="E1745" s="12">
        <f t="shared" si="191"/>
        <v>5.8564000000000001E-4</v>
      </c>
      <c r="F1745" s="12">
        <f t="shared" si="192"/>
        <v>6.5919758812054753E-5</v>
      </c>
      <c r="G1745" s="12">
        <f t="shared" si="193"/>
        <v>3.8933840283193315</v>
      </c>
      <c r="I1745" s="12">
        <f t="shared" si="194"/>
        <v>8.1190983989636901E-3</v>
      </c>
      <c r="J1745" s="12">
        <f t="shared" si="195"/>
        <v>5.4233926257759718E-3</v>
      </c>
    </row>
    <row r="1746" spans="1:10">
      <c r="A1746" s="15">
        <v>42029</v>
      </c>
      <c r="B1746" s="11">
        <v>2.1896</v>
      </c>
      <c r="C1746" s="11">
        <f t="shared" si="189"/>
        <v>-1.0000000000021103E-4</v>
      </c>
      <c r="D1746" s="12">
        <f t="shared" si="190"/>
        <v>1.0000000000042206E-8</v>
      </c>
      <c r="E1746" s="12">
        <f t="shared" si="191"/>
        <v>1.5999999999996475E-7</v>
      </c>
      <c r="F1746" s="12">
        <f t="shared" si="192"/>
        <v>6.0231000790134166E-5</v>
      </c>
      <c r="G1746" s="12">
        <f t="shared" si="193"/>
        <v>3.9396401331326945</v>
      </c>
      <c r="I1746" s="12">
        <f t="shared" si="194"/>
        <v>7.7608634049398245E-3</v>
      </c>
      <c r="J1746" s="12">
        <f t="shared" si="195"/>
        <v>5.4233926257759718E-3</v>
      </c>
    </row>
    <row r="1747" spans="1:10">
      <c r="A1747" s="15">
        <v>42030</v>
      </c>
      <c r="B1747" s="11">
        <v>2.1848999999999998</v>
      </c>
      <c r="C1747" s="11">
        <f t="shared" si="189"/>
        <v>-4.7000000000001485E-3</v>
      </c>
      <c r="D1747" s="12">
        <f t="shared" si="190"/>
        <v>2.2090000000001396E-5</v>
      </c>
      <c r="E1747" s="12">
        <f t="shared" si="191"/>
        <v>1.0000000000042206E-8</v>
      </c>
      <c r="F1747" s="12">
        <f t="shared" si="192"/>
        <v>5.5148653377775333E-5</v>
      </c>
      <c r="G1747" s="12">
        <f t="shared" si="193"/>
        <v>3.7835236986698546</v>
      </c>
      <c r="I1747" s="12">
        <f t="shared" si="194"/>
        <v>7.4262139329388651E-3</v>
      </c>
      <c r="J1747" s="12">
        <f t="shared" si="195"/>
        <v>5.4233926257759718E-3</v>
      </c>
    </row>
    <row r="1748" spans="1:10">
      <c r="A1748" s="15">
        <v>42031</v>
      </c>
      <c r="B1748" s="11">
        <v>2.1957</v>
      </c>
      <c r="C1748" s="11">
        <f t="shared" si="189"/>
        <v>1.0800000000000143E-2</v>
      </c>
      <c r="D1748" s="12">
        <f t="shared" si="190"/>
        <v>1.1664000000000308E-4</v>
      </c>
      <c r="E1748" s="12">
        <f t="shared" si="191"/>
        <v>2.2090000000001396E-5</v>
      </c>
      <c r="F1748" s="12">
        <f t="shared" si="192"/>
        <v>5.1924658750058977E-5</v>
      </c>
      <c r="G1748" s="12">
        <f t="shared" si="193"/>
        <v>2.8907540565484307</v>
      </c>
      <c r="I1748" s="12">
        <f t="shared" si="194"/>
        <v>7.2058766815744895E-3</v>
      </c>
      <c r="J1748" s="12">
        <f t="shared" si="195"/>
        <v>5.4233926257759718E-3</v>
      </c>
    </row>
    <row r="1749" spans="1:10">
      <c r="A1749" s="15">
        <v>42032</v>
      </c>
      <c r="B1749" s="11">
        <v>2.1890999999999998</v>
      </c>
      <c r="C1749" s="11">
        <f t="shared" si="189"/>
        <v>-6.6000000000001613E-3</v>
      </c>
      <c r="D1749" s="12">
        <f t="shared" si="190"/>
        <v>4.3560000000002131E-5</v>
      </c>
      <c r="E1749" s="12">
        <f t="shared" si="191"/>
        <v>1.1664000000000308E-4</v>
      </c>
      <c r="F1749" s="12">
        <f t="shared" si="192"/>
        <v>5.465318226482493E-5</v>
      </c>
      <c r="G1749" s="12">
        <f t="shared" si="193"/>
        <v>3.5898000832774271</v>
      </c>
      <c r="I1749" s="12">
        <f t="shared" si="194"/>
        <v>7.39277906235706E-3</v>
      </c>
      <c r="J1749" s="12">
        <f t="shared" si="195"/>
        <v>5.4233926257759718E-3</v>
      </c>
    </row>
    <row r="1750" spans="1:10">
      <c r="A1750" s="15">
        <v>42033</v>
      </c>
      <c r="B1750" s="11">
        <v>2.1926000000000001</v>
      </c>
      <c r="C1750" s="11">
        <f t="shared" si="189"/>
        <v>3.5000000000002807E-3</v>
      </c>
      <c r="D1750" s="12">
        <f t="shared" si="190"/>
        <v>1.2250000000001965E-5</v>
      </c>
      <c r="E1750" s="12">
        <f t="shared" si="191"/>
        <v>4.3560000000002131E-5</v>
      </c>
      <c r="F1750" s="12">
        <f t="shared" si="192"/>
        <v>5.2755266432600143E-5</v>
      </c>
      <c r="G1750" s="12">
        <f t="shared" si="193"/>
        <v>3.8898827831949379</v>
      </c>
      <c r="I1750" s="12">
        <f t="shared" si="194"/>
        <v>7.2632820702902721E-3</v>
      </c>
      <c r="J1750" s="12">
        <f t="shared" si="195"/>
        <v>5.4233926257759718E-3</v>
      </c>
    </row>
    <row r="1751" spans="1:10">
      <c r="A1751" s="15">
        <v>42034</v>
      </c>
      <c r="B1751" s="11">
        <v>2.1842999999999999</v>
      </c>
      <c r="C1751" s="11">
        <f t="shared" si="189"/>
        <v>-8.3000000000001961E-3</v>
      </c>
      <c r="D1751" s="12">
        <f t="shared" si="190"/>
        <v>6.8890000000003252E-5</v>
      </c>
      <c r="E1751" s="12">
        <f t="shared" si="191"/>
        <v>1.2250000000001965E-5</v>
      </c>
      <c r="F1751" s="12">
        <f t="shared" si="192"/>
        <v>4.9206943470040276E-5</v>
      </c>
      <c r="G1751" s="12">
        <f t="shared" si="193"/>
        <v>3.3407965314926598</v>
      </c>
      <c r="I1751" s="12">
        <f t="shared" si="194"/>
        <v>7.0147661023045003E-3</v>
      </c>
      <c r="J1751" s="12">
        <f t="shared" si="195"/>
        <v>5.4233926257759718E-3</v>
      </c>
    </row>
    <row r="1752" spans="1:10">
      <c r="A1752" s="15">
        <v>42035</v>
      </c>
      <c r="B1752" s="11">
        <v>2.1848000000000001</v>
      </c>
      <c r="C1752" s="11">
        <f t="shared" si="189"/>
        <v>5.0000000000016698E-4</v>
      </c>
      <c r="D1752" s="12">
        <f t="shared" si="190"/>
        <v>2.5000000000016696E-7</v>
      </c>
      <c r="E1752" s="12">
        <f t="shared" si="191"/>
        <v>6.8890000000003252E-5</v>
      </c>
      <c r="F1752" s="12">
        <f t="shared" si="192"/>
        <v>4.9399360865118121E-5</v>
      </c>
      <c r="G1752" s="12">
        <f t="shared" si="193"/>
        <v>4.0363175982018671</v>
      </c>
      <c r="I1752" s="12">
        <f t="shared" si="194"/>
        <v>7.0284678888871731E-3</v>
      </c>
      <c r="J1752" s="12">
        <f t="shared" si="195"/>
        <v>5.4233926257759718E-3</v>
      </c>
    </row>
    <row r="1753" spans="1:10">
      <c r="A1753" s="15">
        <v>42036</v>
      </c>
      <c r="B1753" s="11">
        <v>2.1848000000000001</v>
      </c>
      <c r="C1753" s="11">
        <f t="shared" si="189"/>
        <v>0</v>
      </c>
      <c r="D1753" s="12">
        <f t="shared" si="190"/>
        <v>0</v>
      </c>
      <c r="E1753" s="12">
        <f t="shared" si="191"/>
        <v>2.5000000000016696E-7</v>
      </c>
      <c r="F1753" s="12">
        <f t="shared" si="192"/>
        <v>4.5502797080245766E-5</v>
      </c>
      <c r="G1753" s="12">
        <f t="shared" si="193"/>
        <v>4.0799298392117738</v>
      </c>
      <c r="I1753" s="12">
        <f t="shared" si="194"/>
        <v>6.7455761118117826E-3</v>
      </c>
      <c r="J1753" s="12">
        <f t="shared" si="195"/>
        <v>5.4233926257759718E-3</v>
      </c>
    </row>
    <row r="1754" spans="1:10">
      <c r="A1754" s="15">
        <v>42037</v>
      </c>
      <c r="B1754" s="11">
        <v>2.1897000000000002</v>
      </c>
      <c r="C1754" s="11">
        <f t="shared" si="189"/>
        <v>4.9000000000001265E-3</v>
      </c>
      <c r="D1754" s="12">
        <f t="shared" si="190"/>
        <v>2.4010000000001239E-5</v>
      </c>
      <c r="E1754" s="12">
        <f t="shared" si="191"/>
        <v>0</v>
      </c>
      <c r="F1754" s="12">
        <f t="shared" si="192"/>
        <v>4.2012871853110185E-5</v>
      </c>
      <c r="G1754" s="12">
        <f t="shared" si="193"/>
        <v>3.8340829563186776</v>
      </c>
      <c r="I1754" s="12">
        <f t="shared" si="194"/>
        <v>6.4817337073587175E-3</v>
      </c>
      <c r="J1754" s="12">
        <f t="shared" si="195"/>
        <v>5.4233926257759718E-3</v>
      </c>
    </row>
    <row r="1755" spans="1:10">
      <c r="A1755" s="15">
        <v>42038</v>
      </c>
      <c r="B1755" s="11">
        <v>2.2054999999999998</v>
      </c>
      <c r="C1755" s="11">
        <f t="shared" si="189"/>
        <v>1.5799999999999592E-2</v>
      </c>
      <c r="D1755" s="12">
        <f t="shared" si="190"/>
        <v>2.4963999999998713E-4</v>
      </c>
      <c r="E1755" s="12">
        <f t="shared" si="191"/>
        <v>2.4010000000001239E-5</v>
      </c>
      <c r="F1755" s="12">
        <f t="shared" si="192"/>
        <v>4.0323449314678718E-5</v>
      </c>
      <c r="G1755" s="12">
        <f t="shared" si="193"/>
        <v>1.0448808398075369</v>
      </c>
      <c r="I1755" s="12">
        <f t="shared" si="194"/>
        <v>6.3500747487473495E-3</v>
      </c>
      <c r="J1755" s="12">
        <f t="shared" si="195"/>
        <v>5.4233926257759718E-3</v>
      </c>
    </row>
    <row r="1756" spans="1:10">
      <c r="A1756" s="15">
        <v>42039</v>
      </c>
      <c r="B1756" s="11">
        <v>2.1913999999999998</v>
      </c>
      <c r="C1756" s="11">
        <f t="shared" si="189"/>
        <v>-1.4100000000000001E-2</v>
      </c>
      <c r="D1756" s="12">
        <f t="shared" si="190"/>
        <v>1.9881000000000003E-4</v>
      </c>
      <c r="E1756" s="12">
        <f t="shared" si="191"/>
        <v>2.4963999999998713E-4</v>
      </c>
      <c r="F1756" s="12">
        <f t="shared" si="192"/>
        <v>5.2189439789130926E-5</v>
      </c>
      <c r="G1756" s="12">
        <f t="shared" si="193"/>
        <v>2.1066809823581991</v>
      </c>
      <c r="I1756" s="12">
        <f t="shared" si="194"/>
        <v>7.2242258954943349E-3</v>
      </c>
      <c r="J1756" s="12">
        <f t="shared" si="195"/>
        <v>5.4233926257759718E-3</v>
      </c>
    </row>
    <row r="1757" spans="1:10">
      <c r="A1757" s="15">
        <v>42040</v>
      </c>
      <c r="B1757" s="11">
        <v>2.1945000000000001</v>
      </c>
      <c r="C1757" s="11">
        <f t="shared" si="189"/>
        <v>3.1000000000003247E-3</v>
      </c>
      <c r="D1757" s="12">
        <f t="shared" si="190"/>
        <v>9.6100000000020137E-6</v>
      </c>
      <c r="E1757" s="12">
        <f t="shared" si="191"/>
        <v>1.9881000000000003E-4</v>
      </c>
      <c r="F1757" s="12">
        <f t="shared" si="192"/>
        <v>5.9759392245006856E-5</v>
      </c>
      <c r="G1757" s="12">
        <f t="shared" si="193"/>
        <v>3.8632477821024653</v>
      </c>
      <c r="I1757" s="12">
        <f t="shared" si="194"/>
        <v>7.7304199268220129E-3</v>
      </c>
      <c r="J1757" s="12">
        <f t="shared" si="195"/>
        <v>5.4233926257759718E-3</v>
      </c>
    </row>
    <row r="1758" spans="1:10">
      <c r="A1758" s="15">
        <v>42041</v>
      </c>
      <c r="B1758" s="11">
        <v>2.1875</v>
      </c>
      <c r="C1758" s="11">
        <f t="shared" si="189"/>
        <v>-7.0000000000001172E-3</v>
      </c>
      <c r="D1758" s="12">
        <f t="shared" si="190"/>
        <v>4.9000000000001638E-5</v>
      </c>
      <c r="E1758" s="12">
        <f t="shared" si="191"/>
        <v>9.6100000000020137E-6</v>
      </c>
      <c r="F1758" s="12">
        <f t="shared" si="192"/>
        <v>5.5297029115199349E-5</v>
      </c>
      <c r="G1758" s="12">
        <f t="shared" si="193"/>
        <v>3.5393953690600384</v>
      </c>
      <c r="I1758" s="12">
        <f t="shared" si="194"/>
        <v>7.4361972213759465E-3</v>
      </c>
      <c r="J1758" s="12">
        <f t="shared" si="195"/>
        <v>5.4233926257759718E-3</v>
      </c>
    </row>
    <row r="1759" spans="1:10">
      <c r="A1759" s="15">
        <v>42042</v>
      </c>
      <c r="B1759" s="11">
        <v>2.1863000000000001</v>
      </c>
      <c r="C1759" s="11">
        <f t="shared" si="189"/>
        <v>-1.1999999999998678E-3</v>
      </c>
      <c r="D1759" s="12">
        <f t="shared" si="190"/>
        <v>1.4399999999996828E-6</v>
      </c>
      <c r="E1759" s="12">
        <f t="shared" si="191"/>
        <v>4.9000000000001638E-5</v>
      </c>
      <c r="F1759" s="12">
        <f t="shared" si="192"/>
        <v>5.3651893268061087E-5</v>
      </c>
      <c r="G1759" s="12">
        <f t="shared" si="193"/>
        <v>3.9841385162484637</v>
      </c>
      <c r="I1759" s="12">
        <f t="shared" si="194"/>
        <v>7.3247452698412038E-3</v>
      </c>
      <c r="J1759" s="12">
        <f t="shared" si="195"/>
        <v>5.4233926257759718E-3</v>
      </c>
    </row>
    <row r="1760" spans="1:10">
      <c r="A1760" s="15">
        <v>42043</v>
      </c>
      <c r="B1760" s="11">
        <v>2.1867999999999999</v>
      </c>
      <c r="C1760" s="11">
        <f t="shared" si="189"/>
        <v>4.9999999999972289E-4</v>
      </c>
      <c r="D1760" s="12">
        <f t="shared" si="190"/>
        <v>2.499999999997229E-7</v>
      </c>
      <c r="E1760" s="12">
        <f t="shared" si="191"/>
        <v>1.4399999999996828E-6</v>
      </c>
      <c r="F1760" s="12">
        <f t="shared" si="192"/>
        <v>4.9365901167836974E-5</v>
      </c>
      <c r="G1760" s="12">
        <f t="shared" si="193"/>
        <v>4.0366546631561615</v>
      </c>
      <c r="I1760" s="12">
        <f t="shared" si="194"/>
        <v>7.0260871876056995E-3</v>
      </c>
      <c r="J1760" s="12">
        <f t="shared" si="195"/>
        <v>5.4233926257759718E-3</v>
      </c>
    </row>
    <row r="1761" spans="1:10">
      <c r="A1761" s="15">
        <v>42044</v>
      </c>
      <c r="B1761" s="11">
        <v>2.1876000000000002</v>
      </c>
      <c r="C1761" s="11">
        <f t="shared" si="189"/>
        <v>8.0000000000035598E-4</v>
      </c>
      <c r="D1761" s="12">
        <f t="shared" si="190"/>
        <v>6.4000000000056954E-7</v>
      </c>
      <c r="E1761" s="12">
        <f t="shared" si="191"/>
        <v>2.499999999997229E-7</v>
      </c>
      <c r="F1761" s="12">
        <f t="shared" si="192"/>
        <v>4.5472956411888354E-5</v>
      </c>
      <c r="G1761" s="12">
        <f t="shared" si="193"/>
        <v>4.0732206963864268</v>
      </c>
      <c r="I1761" s="12">
        <f t="shared" si="194"/>
        <v>6.7433638795402666E-3</v>
      </c>
      <c r="J1761" s="12">
        <f t="shared" si="195"/>
        <v>5.4233926257759718E-3</v>
      </c>
    </row>
    <row r="1762" spans="1:10">
      <c r="A1762" s="15">
        <v>42045</v>
      </c>
      <c r="B1762" s="11">
        <v>2.1888000000000001</v>
      </c>
      <c r="C1762" s="11">
        <f t="shared" si="189"/>
        <v>1.1999999999998678E-3</v>
      </c>
      <c r="D1762" s="12">
        <f t="shared" si="190"/>
        <v>1.4399999999996828E-6</v>
      </c>
      <c r="E1762" s="12">
        <f t="shared" si="191"/>
        <v>6.4000000000056954E-7</v>
      </c>
      <c r="F1762" s="12">
        <f t="shared" si="192"/>
        <v>4.2024190423587708E-5</v>
      </c>
      <c r="G1762" s="12">
        <f t="shared" si="193"/>
        <v>4.1025610417333933</v>
      </c>
      <c r="I1762" s="12">
        <f t="shared" si="194"/>
        <v>6.4826067614492631E-3</v>
      </c>
      <c r="J1762" s="12">
        <f t="shared" si="195"/>
        <v>5.4233926257759718E-3</v>
      </c>
    </row>
    <row r="1763" spans="1:10">
      <c r="A1763" s="15">
        <v>42046</v>
      </c>
      <c r="B1763" s="11">
        <v>2.1890000000000001</v>
      </c>
      <c r="C1763" s="11">
        <f t="shared" si="189"/>
        <v>1.9999999999997797E-4</v>
      </c>
      <c r="D1763" s="12">
        <f t="shared" si="190"/>
        <v>3.9999999999991186E-8</v>
      </c>
      <c r="E1763" s="12">
        <f t="shared" si="191"/>
        <v>1.4399999999996828E-6</v>
      </c>
      <c r="F1763" s="12">
        <f t="shared" si="192"/>
        <v>3.8995860416284216E-5</v>
      </c>
      <c r="G1763" s="12">
        <f t="shared" si="193"/>
        <v>4.1565761147781251</v>
      </c>
      <c r="I1763" s="12">
        <f t="shared" si="194"/>
        <v>6.2446665576541566E-3</v>
      </c>
      <c r="J1763" s="12">
        <f t="shared" si="195"/>
        <v>5.4233926257759718E-3</v>
      </c>
    </row>
    <row r="1764" spans="1:10">
      <c r="A1764" s="15">
        <v>42047</v>
      </c>
      <c r="B1764" s="11">
        <v>2.1919</v>
      </c>
      <c r="C1764" s="11">
        <f t="shared" si="189"/>
        <v>2.8999999999999027E-3</v>
      </c>
      <c r="D1764" s="12">
        <f t="shared" si="190"/>
        <v>8.409999999999435E-6</v>
      </c>
      <c r="E1764" s="12">
        <f t="shared" si="191"/>
        <v>3.9999999999991186E-8</v>
      </c>
      <c r="F1764" s="12">
        <f t="shared" si="192"/>
        <v>3.6212101644655242E-5</v>
      </c>
      <c r="G1764" s="12">
        <f t="shared" si="193"/>
        <v>4.0779986554608429</v>
      </c>
      <c r="I1764" s="12">
        <f t="shared" si="194"/>
        <v>6.017649179260556E-3</v>
      </c>
      <c r="J1764" s="12">
        <f t="shared" si="195"/>
        <v>5.4233926257759718E-3</v>
      </c>
    </row>
    <row r="1765" spans="1:10">
      <c r="A1765" s="15">
        <v>42048</v>
      </c>
      <c r="B1765" s="11">
        <v>2.1878000000000002</v>
      </c>
      <c r="C1765" s="11">
        <f t="shared" si="189"/>
        <v>-4.0999999999997705E-3</v>
      </c>
      <c r="D1765" s="12">
        <f t="shared" si="190"/>
        <v>1.680999999999812E-5</v>
      </c>
      <c r="E1765" s="12">
        <f t="shared" si="191"/>
        <v>8.409999999999435E-6</v>
      </c>
      <c r="F1765" s="12">
        <f t="shared" si="192"/>
        <v>3.4225511379197165E-5</v>
      </c>
      <c r="G1765" s="12">
        <f t="shared" si="193"/>
        <v>3.9767540355008122</v>
      </c>
      <c r="I1765" s="12">
        <f t="shared" si="194"/>
        <v>5.8502573771755688E-3</v>
      </c>
      <c r="J1765" s="12">
        <f t="shared" si="195"/>
        <v>5.4233926257759718E-3</v>
      </c>
    </row>
    <row r="1766" spans="1:10">
      <c r="A1766" s="15">
        <v>42049</v>
      </c>
      <c r="B1766" s="11">
        <v>2.1907999999999999</v>
      </c>
      <c r="C1766" s="11">
        <f t="shared" si="189"/>
        <v>2.9999999999996696E-3</v>
      </c>
      <c r="D1766" s="12">
        <f t="shared" si="190"/>
        <v>8.9999999999980182E-6</v>
      </c>
      <c r="E1766" s="12">
        <f t="shared" si="191"/>
        <v>1.680999999999812E-5</v>
      </c>
      <c r="F1766" s="12">
        <f t="shared" si="192"/>
        <v>3.2951645251579825E-5</v>
      </c>
      <c r="G1766" s="12">
        <f t="shared" si="193"/>
        <v>4.1047324000703957</v>
      </c>
      <c r="I1766" s="12">
        <f t="shared" si="194"/>
        <v>5.7403523630156911E-3</v>
      </c>
      <c r="J1766" s="12">
        <f t="shared" si="195"/>
        <v>5.4233926257759718E-3</v>
      </c>
    </row>
    <row r="1767" spans="1:10">
      <c r="A1767" s="15">
        <v>42050</v>
      </c>
      <c r="B1767" s="11">
        <v>2.1863999999999999</v>
      </c>
      <c r="C1767" s="11">
        <f t="shared" si="189"/>
        <v>-4.3999999999999595E-3</v>
      </c>
      <c r="D1767" s="12">
        <f t="shared" si="190"/>
        <v>1.9359999999999645E-5</v>
      </c>
      <c r="E1767" s="12">
        <f t="shared" si="191"/>
        <v>8.9999999999980182E-6</v>
      </c>
      <c r="F1767" s="12">
        <f t="shared" si="192"/>
        <v>3.1352676921636441E-5</v>
      </c>
      <c r="G1767" s="12">
        <f t="shared" si="193"/>
        <v>3.9574213459683465</v>
      </c>
      <c r="I1767" s="12">
        <f t="shared" si="194"/>
        <v>5.5993461155421035E-3</v>
      </c>
      <c r="J1767" s="12">
        <f t="shared" si="195"/>
        <v>5.4233926257759718E-3</v>
      </c>
    </row>
    <row r="1768" spans="1:10">
      <c r="A1768" s="15">
        <v>42051</v>
      </c>
      <c r="B1768" s="11">
        <v>2.1894999999999998</v>
      </c>
      <c r="C1768" s="11">
        <f t="shared" si="189"/>
        <v>3.0999999999998806E-3</v>
      </c>
      <c r="D1768" s="12">
        <f t="shared" si="190"/>
        <v>9.6099999999992592E-6</v>
      </c>
      <c r="E1768" s="12">
        <f t="shared" si="191"/>
        <v>1.9359999999999645E-5</v>
      </c>
      <c r="F1768" s="12">
        <f t="shared" si="192"/>
        <v>3.0540672885143386E-5</v>
      </c>
      <c r="G1768" s="12">
        <f t="shared" si="193"/>
        <v>4.1219558955339988</v>
      </c>
      <c r="I1768" s="12">
        <f t="shared" si="194"/>
        <v>5.5263616317739635E-3</v>
      </c>
      <c r="J1768" s="12">
        <f t="shared" si="195"/>
        <v>5.4233926257759718E-3</v>
      </c>
    </row>
    <row r="1769" spans="1:10">
      <c r="A1769" s="15">
        <v>42052</v>
      </c>
      <c r="B1769" s="11">
        <v>2.1938</v>
      </c>
      <c r="C1769" s="11">
        <f t="shared" si="189"/>
        <v>4.3000000000001926E-3</v>
      </c>
      <c r="D1769" s="12">
        <f t="shared" si="190"/>
        <v>1.8490000000001658E-5</v>
      </c>
      <c r="E1769" s="12">
        <f t="shared" si="191"/>
        <v>9.6099999999992592E-6</v>
      </c>
      <c r="F1769" s="12">
        <f t="shared" si="192"/>
        <v>2.9238630949822734E-5</v>
      </c>
      <c r="G1769" s="12">
        <f t="shared" si="193"/>
        <v>3.9848800570443901</v>
      </c>
      <c r="I1769" s="12">
        <f t="shared" si="194"/>
        <v>5.4072757419816068E-3</v>
      </c>
      <c r="J1769" s="12">
        <f t="shared" si="195"/>
        <v>5.4233926257759718E-3</v>
      </c>
    </row>
    <row r="1770" spans="1:10">
      <c r="A1770" s="15">
        <v>42053</v>
      </c>
      <c r="B1770" s="11">
        <v>2.1966000000000001</v>
      </c>
      <c r="C1770" s="11">
        <f t="shared" si="189"/>
        <v>2.8000000000001357E-3</v>
      </c>
      <c r="D1770" s="12">
        <f t="shared" si="190"/>
        <v>7.8400000000007601E-6</v>
      </c>
      <c r="E1770" s="12">
        <f t="shared" si="191"/>
        <v>1.8490000000001658E-5</v>
      </c>
      <c r="F1770" s="12">
        <f t="shared" si="192"/>
        <v>2.8603720566095822E-5</v>
      </c>
      <c r="G1770" s="12">
        <f t="shared" si="193"/>
        <v>4.175003229944191</v>
      </c>
      <c r="I1770" s="12">
        <f t="shared" si="194"/>
        <v>5.3482446247433207E-3</v>
      </c>
      <c r="J1770" s="12">
        <f t="shared" si="195"/>
        <v>5.4233926257759718E-3</v>
      </c>
    </row>
    <row r="1771" spans="1:10">
      <c r="A1771" s="15">
        <v>42054</v>
      </c>
      <c r="B1771" s="11">
        <v>2.1996000000000002</v>
      </c>
      <c r="C1771" s="11">
        <f t="shared" si="189"/>
        <v>3.0000000000001137E-3</v>
      </c>
      <c r="D1771" s="12">
        <f t="shared" si="190"/>
        <v>9.0000000000006829E-6</v>
      </c>
      <c r="E1771" s="12">
        <f t="shared" si="191"/>
        <v>7.8400000000007601E-6</v>
      </c>
      <c r="F1771" s="12">
        <f t="shared" si="192"/>
        <v>2.7406276306757095E-5</v>
      </c>
      <c r="G1771" s="12">
        <f t="shared" si="193"/>
        <v>4.1692347481258096</v>
      </c>
      <c r="I1771" s="12">
        <f t="shared" si="194"/>
        <v>5.2351004103796421E-3</v>
      </c>
      <c r="J1771" s="12">
        <f t="shared" si="195"/>
        <v>5.4233926257759718E-3</v>
      </c>
    </row>
    <row r="1772" spans="1:10">
      <c r="A1772" s="15">
        <v>42055</v>
      </c>
      <c r="B1772" s="11">
        <v>2.1985000000000001</v>
      </c>
      <c r="C1772" s="11">
        <f t="shared" si="189"/>
        <v>-1.1000000000001009E-3</v>
      </c>
      <c r="D1772" s="12">
        <f t="shared" si="190"/>
        <v>1.210000000000222E-6</v>
      </c>
      <c r="E1772" s="12">
        <f t="shared" si="191"/>
        <v>9.0000000000006829E-6</v>
      </c>
      <c r="F1772" s="12">
        <f t="shared" si="192"/>
        <v>2.6407099733315251E-5</v>
      </c>
      <c r="G1772" s="12">
        <f t="shared" si="193"/>
        <v>4.3290897813856137</v>
      </c>
      <c r="I1772" s="12">
        <f t="shared" si="194"/>
        <v>5.138783876883251E-3</v>
      </c>
      <c r="J1772" s="12">
        <f t="shared" si="195"/>
        <v>5.4233926257759718E-3</v>
      </c>
    </row>
    <row r="1773" spans="1:10">
      <c r="A1773" s="15">
        <v>42056</v>
      </c>
      <c r="B1773" s="11">
        <v>2.1995</v>
      </c>
      <c r="C1773" s="11">
        <f t="shared" si="189"/>
        <v>9.9999999999988987E-4</v>
      </c>
      <c r="D1773" s="12">
        <f t="shared" si="190"/>
        <v>9.9999999999977973E-7</v>
      </c>
      <c r="E1773" s="12">
        <f t="shared" si="191"/>
        <v>1.210000000000222E-6</v>
      </c>
      <c r="F1773" s="12">
        <f t="shared" si="192"/>
        <v>2.5054295668931762E-5</v>
      </c>
      <c r="G1773" s="12">
        <f t="shared" si="193"/>
        <v>4.3583374324845598</v>
      </c>
      <c r="I1773" s="12">
        <f t="shared" si="194"/>
        <v>5.0054266220704666E-3</v>
      </c>
      <c r="J1773" s="12">
        <f t="shared" si="195"/>
        <v>5.4233926257759718E-3</v>
      </c>
    </row>
    <row r="1774" spans="1:10">
      <c r="A1774" s="15">
        <v>42057</v>
      </c>
      <c r="B1774" s="11">
        <v>2.1995</v>
      </c>
      <c r="C1774" s="11">
        <f t="shared" si="189"/>
        <v>0</v>
      </c>
      <c r="D1774" s="12">
        <f t="shared" si="190"/>
        <v>0</v>
      </c>
      <c r="E1774" s="12">
        <f t="shared" si="191"/>
        <v>9.9999999999977973E-7</v>
      </c>
      <c r="F1774" s="12">
        <f t="shared" si="192"/>
        <v>2.3835365705167983E-5</v>
      </c>
      <c r="G1774" s="12">
        <f t="shared" si="193"/>
        <v>4.403231522521593</v>
      </c>
      <c r="I1774" s="12">
        <f t="shared" si="194"/>
        <v>4.8821476529461892E-3</v>
      </c>
      <c r="J1774" s="12">
        <f t="shared" si="195"/>
        <v>5.4233926257759718E-3</v>
      </c>
    </row>
    <row r="1775" spans="1:10">
      <c r="A1775" s="15">
        <v>42058</v>
      </c>
      <c r="B1775" s="11">
        <v>2.1945000000000001</v>
      </c>
      <c r="C1775" s="11">
        <f t="shared" si="189"/>
        <v>-4.9999999999998934E-3</v>
      </c>
      <c r="D1775" s="12">
        <f t="shared" si="190"/>
        <v>2.4999999999998934E-5</v>
      </c>
      <c r="E1775" s="12">
        <f t="shared" si="191"/>
        <v>0</v>
      </c>
      <c r="F1775" s="12">
        <f t="shared" si="192"/>
        <v>2.2689008030100204E-5</v>
      </c>
      <c r="G1775" s="12">
        <f t="shared" si="193"/>
        <v>3.8769488812926092</v>
      </c>
      <c r="I1775" s="12">
        <f t="shared" si="194"/>
        <v>4.7632980202901645E-3</v>
      </c>
      <c r="J1775" s="12">
        <f t="shared" si="195"/>
        <v>5.4233926257759718E-3</v>
      </c>
    </row>
    <row r="1776" spans="1:10">
      <c r="A1776" s="15">
        <v>42059</v>
      </c>
      <c r="B1776" s="11">
        <v>2.1959</v>
      </c>
      <c r="C1776" s="11">
        <f t="shared" si="189"/>
        <v>1.3999999999998458E-3</v>
      </c>
      <c r="D1776" s="12">
        <f t="shared" si="190"/>
        <v>1.9599999999995683E-6</v>
      </c>
      <c r="E1776" s="12">
        <f t="shared" si="191"/>
        <v>2.4999999999998934E-5</v>
      </c>
      <c r="F1776" s="12">
        <f t="shared" si="192"/>
        <v>2.3148346328162569E-5</v>
      </c>
      <c r="G1776" s="12">
        <f t="shared" si="193"/>
        <v>4.3755194283063741</v>
      </c>
      <c r="I1776" s="12">
        <f t="shared" si="194"/>
        <v>4.8112728386740418E-3</v>
      </c>
      <c r="J1776" s="12">
        <f t="shared" si="195"/>
        <v>5.4233926257759718E-3</v>
      </c>
    </row>
    <row r="1777" spans="1:10">
      <c r="A1777" s="15">
        <v>42060</v>
      </c>
      <c r="B1777" s="11">
        <v>2.1951000000000001</v>
      </c>
      <c r="C1777" s="11">
        <f t="shared" si="189"/>
        <v>-7.9999999999991189E-4</v>
      </c>
      <c r="D1777" s="12">
        <f t="shared" si="190"/>
        <v>6.3999999999985898E-7</v>
      </c>
      <c r="E1777" s="12">
        <f t="shared" si="191"/>
        <v>1.9599999999995683E-6</v>
      </c>
      <c r="F1777" s="12">
        <f t="shared" si="192"/>
        <v>2.2192462914470428E-5</v>
      </c>
      <c r="G1777" s="12">
        <f t="shared" si="193"/>
        <v>4.4245210670629085</v>
      </c>
      <c r="I1777" s="12">
        <f t="shared" si="194"/>
        <v>4.7108876991996344E-3</v>
      </c>
      <c r="J1777" s="12">
        <f t="shared" si="195"/>
        <v>5.4233926257759718E-3</v>
      </c>
    </row>
    <row r="1778" spans="1:10">
      <c r="A1778" s="15">
        <v>42061</v>
      </c>
      <c r="B1778" s="11">
        <v>2.1861000000000002</v>
      </c>
      <c r="C1778" s="11">
        <f t="shared" si="189"/>
        <v>-8.999999999999897E-3</v>
      </c>
      <c r="D1778" s="12">
        <f t="shared" si="190"/>
        <v>8.0999999999998147E-5</v>
      </c>
      <c r="E1778" s="12">
        <f t="shared" si="191"/>
        <v>6.3999999999985898E-7</v>
      </c>
      <c r="F1778" s="12">
        <f t="shared" si="192"/>
        <v>2.1261734630418758E-5</v>
      </c>
      <c r="G1778" s="12">
        <f t="shared" si="193"/>
        <v>2.5555317865084985</v>
      </c>
      <c r="I1778" s="12">
        <f t="shared" si="194"/>
        <v>4.6110448523538307E-3</v>
      </c>
      <c r="J1778" s="12">
        <f t="shared" si="195"/>
        <v>5.4233926257759718E-3</v>
      </c>
    </row>
    <row r="1779" spans="1:10">
      <c r="A1779" s="15">
        <v>42062</v>
      </c>
      <c r="B1779" s="11">
        <v>2.1835</v>
      </c>
      <c r="C1779" s="11">
        <f t="shared" si="189"/>
        <v>-2.6000000000001577E-3</v>
      </c>
      <c r="D1779" s="12">
        <f t="shared" si="190"/>
        <v>6.7600000000008204E-6</v>
      </c>
      <c r="E1779" s="12">
        <f t="shared" si="191"/>
        <v>8.0999999999998147E-5</v>
      </c>
      <c r="F1779" s="12">
        <f t="shared" si="192"/>
        <v>2.5194467139156252E-5</v>
      </c>
      <c r="G1779" s="12">
        <f t="shared" si="193"/>
        <v>4.2413480929280851</v>
      </c>
      <c r="I1779" s="12">
        <f t="shared" si="194"/>
        <v>5.019409042821301E-3</v>
      </c>
      <c r="J1779" s="12">
        <f t="shared" si="195"/>
        <v>5.4233926257759718E-3</v>
      </c>
    </row>
    <row r="1780" spans="1:10">
      <c r="A1780" s="15">
        <v>42063</v>
      </c>
      <c r="B1780" s="11">
        <v>2.1829999999999998</v>
      </c>
      <c r="C1780" s="11">
        <f t="shared" si="189"/>
        <v>-5.0000000000016698E-4</v>
      </c>
      <c r="D1780" s="12">
        <f t="shared" si="190"/>
        <v>2.5000000000016696E-7</v>
      </c>
      <c r="E1780" s="12">
        <f t="shared" si="191"/>
        <v>6.7600000000008204E-6</v>
      </c>
      <c r="F1780" s="12">
        <f t="shared" si="192"/>
        <v>2.4301760935634215E-5</v>
      </c>
      <c r="G1780" s="12">
        <f t="shared" si="193"/>
        <v>4.3883986711082503</v>
      </c>
      <c r="I1780" s="12">
        <f t="shared" si="194"/>
        <v>4.9296816261939491E-3</v>
      </c>
      <c r="J1780" s="12">
        <f t="shared" si="195"/>
        <v>5.4233926257759718E-3</v>
      </c>
    </row>
    <row r="1781" spans="1:10">
      <c r="A1781" s="15">
        <v>42064</v>
      </c>
      <c r="B1781" s="11">
        <v>2.1833</v>
      </c>
      <c r="C1781" s="11">
        <f t="shared" si="189"/>
        <v>3.00000000000189E-4</v>
      </c>
      <c r="D1781" s="12">
        <f t="shared" si="190"/>
        <v>9.0000000000113408E-8</v>
      </c>
      <c r="E1781" s="12">
        <f t="shared" si="191"/>
        <v>2.5000000000016696E-7</v>
      </c>
      <c r="F1781" s="12">
        <f t="shared" si="192"/>
        <v>2.3119774610883452E-5</v>
      </c>
      <c r="G1781" s="12">
        <f t="shared" si="193"/>
        <v>4.4165262050881564</v>
      </c>
      <c r="I1781" s="12">
        <f t="shared" si="194"/>
        <v>4.8083026746330616E-3</v>
      </c>
      <c r="J1781" s="12">
        <f t="shared" si="195"/>
        <v>5.4233926257759718E-3</v>
      </c>
    </row>
    <row r="1782" spans="1:10">
      <c r="A1782" s="15">
        <v>42065</v>
      </c>
      <c r="B1782" s="11">
        <v>2.1835</v>
      </c>
      <c r="C1782" s="11">
        <f t="shared" si="189"/>
        <v>1.9999999999997797E-4</v>
      </c>
      <c r="D1782" s="12">
        <f t="shared" si="190"/>
        <v>3.9999999999991186E-8</v>
      </c>
      <c r="E1782" s="12">
        <f t="shared" si="191"/>
        <v>9.0000000000113408E-8</v>
      </c>
      <c r="F1782" s="12">
        <f t="shared" si="192"/>
        <v>2.20561500066835E-5</v>
      </c>
      <c r="G1782" s="12">
        <f t="shared" si="193"/>
        <v>4.4411142243873876</v>
      </c>
      <c r="I1782" s="12">
        <f t="shared" si="194"/>
        <v>4.6963975562854029E-3</v>
      </c>
      <c r="J1782" s="12">
        <f t="shared" si="195"/>
        <v>5.4233926257759718E-3</v>
      </c>
    </row>
    <row r="1783" spans="1:10">
      <c r="A1783" s="15">
        <v>42066</v>
      </c>
      <c r="B1783" s="11">
        <v>2.1827000000000001</v>
      </c>
      <c r="C1783" s="11">
        <f t="shared" si="189"/>
        <v>-7.9999999999991189E-4</v>
      </c>
      <c r="D1783" s="12">
        <f t="shared" si="190"/>
        <v>6.3999999999985898E-7</v>
      </c>
      <c r="E1783" s="12">
        <f t="shared" si="191"/>
        <v>3.9999999999991186E-8</v>
      </c>
      <c r="F1783" s="12">
        <f t="shared" si="192"/>
        <v>2.1104604521906247E-5</v>
      </c>
      <c r="G1783" s="12">
        <f t="shared" si="193"/>
        <v>4.4489085502159504</v>
      </c>
      <c r="I1783" s="12">
        <f t="shared" si="194"/>
        <v>4.5939748064074372E-3</v>
      </c>
      <c r="J1783" s="12">
        <f t="shared" si="195"/>
        <v>5.4233926257759718E-3</v>
      </c>
    </row>
    <row r="1784" spans="1:10">
      <c r="A1784" s="15">
        <v>42067</v>
      </c>
      <c r="B1784" s="11">
        <v>2.17</v>
      </c>
      <c r="C1784" s="11">
        <f t="shared" si="189"/>
        <v>-1.2700000000000156E-2</v>
      </c>
      <c r="D1784" s="12">
        <f t="shared" si="190"/>
        <v>1.6129000000000395E-4</v>
      </c>
      <c r="E1784" s="12">
        <f t="shared" si="191"/>
        <v>6.3999999999985898E-7</v>
      </c>
      <c r="F1784" s="12">
        <f t="shared" si="192"/>
        <v>2.0291539914084814E-5</v>
      </c>
      <c r="G1784" s="12">
        <f t="shared" si="193"/>
        <v>0.50939830848966194</v>
      </c>
      <c r="I1784" s="12">
        <f t="shared" si="194"/>
        <v>4.5046131814046823E-3</v>
      </c>
      <c r="J1784" s="12">
        <f t="shared" si="195"/>
        <v>5.4233926257759718E-3</v>
      </c>
    </row>
    <row r="1785" spans="1:10">
      <c r="A1785" s="15">
        <v>42068</v>
      </c>
      <c r="B1785" s="11">
        <v>2.1669</v>
      </c>
      <c r="C1785" s="11">
        <f t="shared" si="189"/>
        <v>-3.0999999999998806E-3</v>
      </c>
      <c r="D1785" s="12">
        <f t="shared" si="190"/>
        <v>9.6099999999992592E-6</v>
      </c>
      <c r="E1785" s="12">
        <f t="shared" si="191"/>
        <v>1.6129000000000395E-4</v>
      </c>
      <c r="F1785" s="12">
        <f t="shared" si="192"/>
        <v>2.9087853164128606E-5</v>
      </c>
      <c r="G1785" s="12">
        <f t="shared" si="193"/>
        <v>4.1384671756812352</v>
      </c>
      <c r="I1785" s="12">
        <f t="shared" si="194"/>
        <v>5.3933156002711922E-3</v>
      </c>
      <c r="J1785" s="12">
        <f t="shared" si="195"/>
        <v>5.4233926257759718E-3</v>
      </c>
    </row>
    <row r="1786" spans="1:10">
      <c r="A1786" s="15">
        <v>42069</v>
      </c>
      <c r="B1786" s="11">
        <v>2.1501999999999999</v>
      </c>
      <c r="C1786" s="11">
        <f t="shared" si="189"/>
        <v>-1.6700000000000159E-2</v>
      </c>
      <c r="D1786" s="12">
        <f t="shared" si="190"/>
        <v>2.7889000000000532E-4</v>
      </c>
      <c r="E1786" s="12">
        <f t="shared" si="191"/>
        <v>9.6099999999992592E-6</v>
      </c>
      <c r="F1786" s="12">
        <f t="shared" si="192"/>
        <v>2.7942949428451251E-5</v>
      </c>
      <c r="G1786" s="12">
        <f t="shared" si="193"/>
        <v>-0.66661222150241284</v>
      </c>
      <c r="I1786" s="12">
        <f t="shared" si="194"/>
        <v>5.2861091010734211E-3</v>
      </c>
      <c r="J1786" s="12">
        <f t="shared" si="195"/>
        <v>5.4233926257759718E-3</v>
      </c>
    </row>
    <row r="1787" spans="1:10">
      <c r="A1787" s="15">
        <v>42070</v>
      </c>
      <c r="B1787" s="11">
        <v>2.1501000000000001</v>
      </c>
      <c r="C1787" s="11">
        <f t="shared" si="189"/>
        <v>-9.9999999999766942E-5</v>
      </c>
      <c r="D1787" s="12">
        <f t="shared" si="190"/>
        <v>9.9999999999533886E-9</v>
      </c>
      <c r="E1787" s="12">
        <f t="shared" si="191"/>
        <v>2.7889000000000532E-4</v>
      </c>
      <c r="F1787" s="12">
        <f t="shared" si="192"/>
        <v>4.288161996486338E-5</v>
      </c>
      <c r="G1787" s="12">
        <f t="shared" si="193"/>
        <v>4.1094784907783444</v>
      </c>
      <c r="I1787" s="12">
        <f t="shared" si="194"/>
        <v>6.5484059102092458E-3</v>
      </c>
      <c r="J1787" s="12">
        <f t="shared" si="195"/>
        <v>5.4233926257759718E-3</v>
      </c>
    </row>
    <row r="1788" spans="1:10">
      <c r="A1788" s="15">
        <v>42071</v>
      </c>
      <c r="B1788" s="11">
        <v>2.1501000000000001</v>
      </c>
      <c r="C1788" s="11">
        <f t="shared" si="189"/>
        <v>0</v>
      </c>
      <c r="D1788" s="12">
        <f t="shared" si="190"/>
        <v>0</v>
      </c>
      <c r="E1788" s="12">
        <f t="shared" si="191"/>
        <v>9.9999999999533886E-9</v>
      </c>
      <c r="F1788" s="12">
        <f t="shared" si="192"/>
        <v>3.967579613514475E-5</v>
      </c>
      <c r="G1788" s="12">
        <f t="shared" si="193"/>
        <v>4.1484460720763447</v>
      </c>
      <c r="I1788" s="12">
        <f t="shared" si="194"/>
        <v>6.298872608264494E-3</v>
      </c>
      <c r="J1788" s="12">
        <f t="shared" si="195"/>
        <v>5.4233926257759718E-3</v>
      </c>
    </row>
    <row r="1789" spans="1:10">
      <c r="A1789" s="15">
        <v>42072</v>
      </c>
      <c r="B1789" s="11">
        <v>2.1446999999999998</v>
      </c>
      <c r="C1789" s="11">
        <f t="shared" si="189"/>
        <v>-5.4000000000002935E-3</v>
      </c>
      <c r="D1789" s="12">
        <f t="shared" si="190"/>
        <v>2.916000000000317E-5</v>
      </c>
      <c r="E1789" s="12">
        <f t="shared" si="191"/>
        <v>0</v>
      </c>
      <c r="F1789" s="12">
        <f t="shared" si="192"/>
        <v>3.6816124217892247E-5</v>
      </c>
      <c r="G1789" s="12">
        <f t="shared" si="193"/>
        <v>3.7898266528666547</v>
      </c>
      <c r="I1789" s="12">
        <f t="shared" si="194"/>
        <v>6.0676292089985396E-3</v>
      </c>
      <c r="J1789" s="12">
        <f t="shared" si="195"/>
        <v>5.4233926257759718E-3</v>
      </c>
    </row>
    <row r="1790" spans="1:10">
      <c r="A1790" s="15">
        <v>42073</v>
      </c>
      <c r="B1790" s="11">
        <v>2.1293000000000002</v>
      </c>
      <c r="C1790" s="11">
        <f t="shared" si="189"/>
        <v>-1.5399999999999636E-2</v>
      </c>
      <c r="D1790" s="12">
        <f t="shared" si="190"/>
        <v>2.3715999999998879E-4</v>
      </c>
      <c r="E1790" s="12">
        <f t="shared" si="191"/>
        <v>2.916000000000317E-5</v>
      </c>
      <c r="F1790" s="12">
        <f t="shared" si="192"/>
        <v>3.5994017485573219E-5</v>
      </c>
      <c r="G1790" s="12">
        <f t="shared" si="193"/>
        <v>0.90270400507218707</v>
      </c>
      <c r="I1790" s="12">
        <f t="shared" si="194"/>
        <v>5.9995014364172981E-3</v>
      </c>
      <c r="J1790" s="12">
        <f t="shared" si="195"/>
        <v>5.4233926257759718E-3</v>
      </c>
    </row>
    <row r="1791" spans="1:10">
      <c r="A1791" s="15">
        <v>42074</v>
      </c>
      <c r="B1791" s="11">
        <v>2.1114000000000002</v>
      </c>
      <c r="C1791" s="11">
        <f t="shared" si="189"/>
        <v>-1.7900000000000027E-2</v>
      </c>
      <c r="D1791" s="12">
        <f t="shared" si="190"/>
        <v>3.2041000000000095E-4</v>
      </c>
      <c r="E1791" s="12">
        <f t="shared" si="191"/>
        <v>2.3715999999998879E-4</v>
      </c>
      <c r="F1791" s="12">
        <f t="shared" si="192"/>
        <v>4.7588615819423225E-5</v>
      </c>
      <c r="G1791" s="12">
        <f t="shared" si="193"/>
        <v>0.69106355994830815</v>
      </c>
      <c r="I1791" s="12">
        <f t="shared" si="194"/>
        <v>6.8984502476587611E-3</v>
      </c>
      <c r="J1791" s="12">
        <f t="shared" si="195"/>
        <v>5.4233926257759718E-3</v>
      </c>
    </row>
    <row r="1792" spans="1:10">
      <c r="A1792" s="15">
        <v>42075</v>
      </c>
      <c r="B1792" s="11">
        <v>2.1219999999999999</v>
      </c>
      <c r="C1792" s="11">
        <f t="shared" si="189"/>
        <v>1.0599999999999721E-2</v>
      </c>
      <c r="D1792" s="12">
        <f t="shared" si="190"/>
        <v>1.1235999999999408E-4</v>
      </c>
      <c r="E1792" s="12">
        <f t="shared" si="191"/>
        <v>3.2041000000000095E-4</v>
      </c>
      <c r="F1792" s="12">
        <f t="shared" si="192"/>
        <v>6.286321020689033E-5</v>
      </c>
      <c r="G1792" s="12">
        <f t="shared" si="193"/>
        <v>3.0246497255059621</v>
      </c>
      <c r="I1792" s="12">
        <f t="shared" si="194"/>
        <v>7.9286323036757318E-3</v>
      </c>
      <c r="J1792" s="12">
        <f t="shared" si="195"/>
        <v>5.4233926257759718E-3</v>
      </c>
    </row>
    <row r="1793" spans="1:10">
      <c r="A1793" s="15">
        <v>42076</v>
      </c>
      <c r="B1793" s="11">
        <v>2.0788000000000002</v>
      </c>
      <c r="C1793" s="11">
        <f t="shared" si="189"/>
        <v>-4.3199999999999683E-2</v>
      </c>
      <c r="D1793" s="12">
        <f t="shared" si="190"/>
        <v>1.8662399999999726E-3</v>
      </c>
      <c r="E1793" s="12">
        <f t="shared" si="191"/>
        <v>1.1235999999999408E-4</v>
      </c>
      <c r="F1793" s="12">
        <f t="shared" si="192"/>
        <v>6.4154942930796889E-5</v>
      </c>
      <c r="G1793" s="12">
        <f t="shared" si="193"/>
        <v>-10.636621144911089</v>
      </c>
      <c r="I1793" s="12">
        <f t="shared" si="194"/>
        <v>8.0096780790988656E-3</v>
      </c>
      <c r="J1793" s="12">
        <f t="shared" si="195"/>
        <v>5.4233926257759718E-3</v>
      </c>
    </row>
    <row r="1794" spans="1:10">
      <c r="A1794" s="15">
        <v>42077</v>
      </c>
      <c r="B1794" s="11">
        <v>2.0813000000000001</v>
      </c>
      <c r="C1794" s="11">
        <f t="shared" si="189"/>
        <v>2.4999999999999467E-3</v>
      </c>
      <c r="D1794" s="12">
        <f t="shared" si="190"/>
        <v>6.2499999999997335E-6</v>
      </c>
      <c r="E1794" s="12">
        <f t="shared" si="191"/>
        <v>1.8662399999999726E-3</v>
      </c>
      <c r="F1794" s="12">
        <f t="shared" si="192"/>
        <v>1.6925626895090273E-4</v>
      </c>
      <c r="G1794" s="12">
        <f t="shared" si="193"/>
        <v>3.4046466359780743</v>
      </c>
      <c r="I1794" s="12">
        <f t="shared" si="194"/>
        <v>1.3009852764382183E-2</v>
      </c>
      <c r="J1794" s="12">
        <f t="shared" si="195"/>
        <v>5.4233926257759718E-3</v>
      </c>
    </row>
    <row r="1795" spans="1:10">
      <c r="A1795" s="15">
        <v>42078</v>
      </c>
      <c r="B1795" s="11">
        <v>2.0813000000000001</v>
      </c>
      <c r="C1795" s="11">
        <f t="shared" si="189"/>
        <v>0</v>
      </c>
      <c r="D1795" s="12">
        <f t="shared" si="190"/>
        <v>0</v>
      </c>
      <c r="E1795" s="12">
        <f t="shared" si="191"/>
        <v>6.2499999999997335E-6</v>
      </c>
      <c r="F1795" s="12">
        <f t="shared" si="192"/>
        <v>1.5275149064376641E-4</v>
      </c>
      <c r="G1795" s="12">
        <f t="shared" si="193"/>
        <v>3.474410560031342</v>
      </c>
      <c r="I1795" s="12">
        <f t="shared" si="194"/>
        <v>1.2359267399153009E-2</v>
      </c>
      <c r="J1795" s="12">
        <f t="shared" si="195"/>
        <v>5.4233926257759718E-3</v>
      </c>
    </row>
    <row r="1796" spans="1:10">
      <c r="A1796" s="15">
        <v>42079</v>
      </c>
      <c r="B1796" s="11">
        <v>2.0758000000000001</v>
      </c>
      <c r="C1796" s="11">
        <f t="shared" si="189"/>
        <v>-5.5000000000000604E-3</v>
      </c>
      <c r="D1796" s="12">
        <f t="shared" si="190"/>
        <v>3.0250000000000664E-5</v>
      </c>
      <c r="E1796" s="12">
        <f t="shared" si="191"/>
        <v>0</v>
      </c>
      <c r="F1796" s="12">
        <f t="shared" si="192"/>
        <v>1.376614567611014E-4</v>
      </c>
      <c r="G1796" s="12">
        <f t="shared" si="193"/>
        <v>3.4165470226945631</v>
      </c>
      <c r="I1796" s="12">
        <f t="shared" si="194"/>
        <v>1.1732921919159839E-2</v>
      </c>
      <c r="J1796" s="12">
        <f t="shared" si="195"/>
        <v>5.4233926257759718E-3</v>
      </c>
    </row>
    <row r="1797" spans="1:10">
      <c r="A1797" s="15">
        <v>42080</v>
      </c>
      <c r="B1797" s="11">
        <v>2.0718000000000001</v>
      </c>
      <c r="C1797" s="11">
        <f t="shared" si="189"/>
        <v>-4.0000000000000036E-3</v>
      </c>
      <c r="D1797" s="12">
        <f t="shared" si="190"/>
        <v>1.600000000000003E-5</v>
      </c>
      <c r="E1797" s="12">
        <f t="shared" si="191"/>
        <v>3.0250000000000664E-5</v>
      </c>
      <c r="F1797" s="12">
        <f t="shared" si="192"/>
        <v>1.2599643660881176E-4</v>
      </c>
      <c r="G1797" s="12">
        <f t="shared" si="193"/>
        <v>3.5071960664020603</v>
      </c>
      <c r="I1797" s="12">
        <f t="shared" si="194"/>
        <v>1.1224813433140515E-2</v>
      </c>
      <c r="J1797" s="12">
        <f t="shared" si="195"/>
        <v>5.4233926257759718E-3</v>
      </c>
    </row>
    <row r="1798" spans="1:10">
      <c r="A1798" s="15">
        <v>42081</v>
      </c>
      <c r="B1798" s="11">
        <v>2.1061999999999999</v>
      </c>
      <c r="C1798" s="11">
        <f t="shared" si="189"/>
        <v>3.4399999999999764E-2</v>
      </c>
      <c r="D1798" s="12">
        <f t="shared" si="190"/>
        <v>1.1833599999999838E-3</v>
      </c>
      <c r="E1798" s="12">
        <f t="shared" si="191"/>
        <v>1.600000000000003E-5</v>
      </c>
      <c r="F1798" s="12">
        <f t="shared" si="192"/>
        <v>1.1474854299045946E-4</v>
      </c>
      <c r="G1798" s="12">
        <f t="shared" si="193"/>
        <v>-1.5388730317908221</v>
      </c>
      <c r="I1798" s="12">
        <f t="shared" si="194"/>
        <v>1.0712074635217003E-2</v>
      </c>
      <c r="J1798" s="12">
        <f t="shared" si="195"/>
        <v>5.4233926257759718E-3</v>
      </c>
    </row>
    <row r="1799" spans="1:10">
      <c r="A1799" s="15">
        <v>42082</v>
      </c>
      <c r="B1799" s="11">
        <v>2.0996000000000001</v>
      </c>
      <c r="C1799" s="11">
        <f t="shared" si="189"/>
        <v>-6.5999999999997172E-3</v>
      </c>
      <c r="D1799" s="12">
        <f t="shared" si="190"/>
        <v>4.3559999999996269E-5</v>
      </c>
      <c r="E1799" s="12">
        <f t="shared" si="191"/>
        <v>1.1833599999999838E-3</v>
      </c>
      <c r="F1799" s="12">
        <f t="shared" si="192"/>
        <v>1.739045553185768E-4</v>
      </c>
      <c r="G1799" s="12">
        <f t="shared" si="193"/>
        <v>3.2843223177265246</v>
      </c>
      <c r="I1799" s="12">
        <f t="shared" si="194"/>
        <v>1.3187287640700675E-2</v>
      </c>
      <c r="J1799" s="12">
        <f t="shared" si="195"/>
        <v>5.4233926257759718E-3</v>
      </c>
    </row>
    <row r="1800" spans="1:10">
      <c r="A1800" s="15">
        <v>42083</v>
      </c>
      <c r="B1800" s="11">
        <v>2.1093999999999999</v>
      </c>
      <c r="C1800" s="11">
        <f t="shared" si="189"/>
        <v>9.7999999999998089E-3</v>
      </c>
      <c r="D1800" s="12">
        <f t="shared" si="190"/>
        <v>9.6039999999996255E-5</v>
      </c>
      <c r="E1800" s="12">
        <f t="shared" si="191"/>
        <v>4.3559999999996269E-5</v>
      </c>
      <c r="F1800" s="12">
        <f t="shared" si="192"/>
        <v>1.5910831094936783E-4</v>
      </c>
      <c r="G1800" s="12">
        <f t="shared" si="193"/>
        <v>3.1522171653542568</v>
      </c>
      <c r="I1800" s="12">
        <f t="shared" si="194"/>
        <v>1.2613814290267944E-2</v>
      </c>
      <c r="J1800" s="12">
        <f t="shared" si="195"/>
        <v>5.4233926257759718E-3</v>
      </c>
    </row>
    <row r="1801" spans="1:10">
      <c r="A1801" s="15">
        <v>42084</v>
      </c>
      <c r="B1801" s="11">
        <v>2.1053000000000002</v>
      </c>
      <c r="C1801" s="11">
        <f t="shared" si="189"/>
        <v>-4.0999999999997705E-3</v>
      </c>
      <c r="D1801" s="12">
        <f t="shared" si="190"/>
        <v>1.680999999999812E-5</v>
      </c>
      <c r="E1801" s="12">
        <f t="shared" si="191"/>
        <v>9.6039999999996255E-5</v>
      </c>
      <c r="F1801" s="12">
        <f t="shared" si="192"/>
        <v>1.4902283584559468E-4</v>
      </c>
      <c r="G1801" s="12">
        <f t="shared" si="193"/>
        <v>3.4303662089816549</v>
      </c>
      <c r="I1801" s="12">
        <f t="shared" si="194"/>
        <v>1.2207490972578873E-2</v>
      </c>
      <c r="J1801" s="12">
        <f t="shared" si="195"/>
        <v>5.4233926257759718E-3</v>
      </c>
    </row>
    <row r="1802" spans="1:10">
      <c r="A1802" s="15">
        <v>42086</v>
      </c>
      <c r="B1802" s="11">
        <v>2.1137000000000001</v>
      </c>
      <c r="C1802" s="11">
        <f t="shared" si="189"/>
        <v>8.3999999999999631E-3</v>
      </c>
      <c r="D1802" s="12">
        <f t="shared" si="190"/>
        <v>7.0559999999999379E-5</v>
      </c>
      <c r="E1802" s="12">
        <f t="shared" si="191"/>
        <v>1.680999999999812E-5</v>
      </c>
      <c r="F1802" s="12">
        <f t="shared" si="192"/>
        <v>1.3533239481223669E-4</v>
      </c>
      <c r="G1802" s="12">
        <f t="shared" si="193"/>
        <v>3.2742583073410221</v>
      </c>
      <c r="I1802" s="12">
        <f t="shared" si="194"/>
        <v>1.1633245239924959E-2</v>
      </c>
      <c r="J1802" s="12">
        <f t="shared" si="195"/>
        <v>5.4233926257759718E-3</v>
      </c>
    </row>
    <row r="1803" spans="1:10">
      <c r="A1803" s="15">
        <v>42087</v>
      </c>
      <c r="B1803" s="11">
        <v>2.1175999999999999</v>
      </c>
      <c r="C1803" s="11">
        <f t="shared" si="189"/>
        <v>3.8999999999997925E-3</v>
      </c>
      <c r="D1803" s="12">
        <f t="shared" si="190"/>
        <v>1.5209999999998382E-5</v>
      </c>
      <c r="E1803" s="12">
        <f t="shared" si="191"/>
        <v>7.0559999999999379E-5</v>
      </c>
      <c r="F1803" s="12">
        <f t="shared" si="192"/>
        <v>1.263083890402105E-4</v>
      </c>
      <c r="G1803" s="12">
        <f t="shared" si="193"/>
        <v>3.5092437365508093</v>
      </c>
      <c r="I1803" s="12">
        <f t="shared" si="194"/>
        <v>1.1238700504960994E-2</v>
      </c>
      <c r="J1803" s="12">
        <f t="shared" si="195"/>
        <v>5.4233926257759718E-3</v>
      </c>
    </row>
    <row r="1804" spans="1:10">
      <c r="A1804" s="15">
        <v>42088</v>
      </c>
      <c r="B1804" s="11">
        <v>2.1225999999999998</v>
      </c>
      <c r="C1804" s="11">
        <f t="shared" si="189"/>
        <v>4.9999999999998934E-3</v>
      </c>
      <c r="D1804" s="12">
        <f t="shared" si="190"/>
        <v>2.4999999999998934E-5</v>
      </c>
      <c r="E1804" s="12">
        <f t="shared" si="191"/>
        <v>1.5209999999998382E-5</v>
      </c>
      <c r="F1804" s="12">
        <f t="shared" si="192"/>
        <v>1.1497993250830603E-4</v>
      </c>
      <c r="G1804" s="12">
        <f t="shared" si="193"/>
        <v>3.5077233089190076</v>
      </c>
      <c r="I1804" s="12">
        <f t="shared" si="194"/>
        <v>1.0722869602317563E-2</v>
      </c>
      <c r="J1804" s="12">
        <f t="shared" si="195"/>
        <v>5.4233926257759718E-3</v>
      </c>
    </row>
    <row r="1805" spans="1:10">
      <c r="A1805" s="15">
        <v>42089</v>
      </c>
      <c r="B1805" s="11">
        <v>2.1215999999999999</v>
      </c>
      <c r="C1805" s="11">
        <f t="shared" si="189"/>
        <v>-9.9999999999988987E-4</v>
      </c>
      <c r="D1805" s="12">
        <f t="shared" si="190"/>
        <v>9.9999999999977973E-7</v>
      </c>
      <c r="E1805" s="12">
        <f t="shared" si="191"/>
        <v>2.4999999999998934E-5</v>
      </c>
      <c r="F1805" s="12">
        <f t="shared" si="192"/>
        <v>1.0545700700161289E-4</v>
      </c>
      <c r="G1805" s="12">
        <f t="shared" si="193"/>
        <v>3.6549237931094725</v>
      </c>
      <c r="I1805" s="12">
        <f t="shared" si="194"/>
        <v>1.0269226212408259E-2</v>
      </c>
      <c r="J1805" s="12">
        <f t="shared" si="195"/>
        <v>5.4233926257759718E-3</v>
      </c>
    </row>
    <row r="1806" spans="1:10">
      <c r="A1806" s="15">
        <v>42090</v>
      </c>
      <c r="B1806" s="11">
        <v>2.1175000000000002</v>
      </c>
      <c r="C1806" s="11">
        <f t="shared" ref="C1806:C1818" si="196">B1806-B1805</f>
        <v>-4.0999999999997705E-3</v>
      </c>
      <c r="D1806" s="12">
        <f t="shared" ref="D1806:D1818" si="197">C1806^2</f>
        <v>1.680999999999812E-5</v>
      </c>
      <c r="E1806" s="12">
        <f t="shared" si="191"/>
        <v>9.9999999999977973E-7</v>
      </c>
      <c r="F1806" s="12">
        <f t="shared" si="192"/>
        <v>9.5541652338690755E-5</v>
      </c>
      <c r="G1806" s="12">
        <f t="shared" si="193"/>
        <v>3.6210634849597318</v>
      </c>
      <c r="I1806" s="12">
        <f t="shared" si="194"/>
        <v>9.7745410295671051E-3</v>
      </c>
      <c r="J1806" s="12">
        <f t="shared" si="195"/>
        <v>5.4233926257759718E-3</v>
      </c>
    </row>
    <row r="1807" spans="1:10">
      <c r="A1807" s="15">
        <v>42091</v>
      </c>
      <c r="B1807" s="11">
        <v>2.1153</v>
      </c>
      <c r="C1807" s="11">
        <f t="shared" si="196"/>
        <v>-2.2000000000002018E-3</v>
      </c>
      <c r="D1807" s="12">
        <f t="shared" si="197"/>
        <v>4.8400000000008879E-6</v>
      </c>
      <c r="E1807" s="12">
        <f t="shared" ref="E1807:E1818" si="198">D1806</f>
        <v>1.680999999999812E-5</v>
      </c>
      <c r="F1807" s="12">
        <f t="shared" ref="F1807:F1818" si="199">$B$5+$B$6*E1807+$B$7*F1806</f>
        <v>8.7635780973204357E-5</v>
      </c>
      <c r="G1807" s="12">
        <f t="shared" ref="G1807:G1818" si="200">LN((1/SQRT(2*3.1415927*F1807))*EXP(-0.5*D1807/F1807))</f>
        <v>3.7246077603375469</v>
      </c>
      <c r="I1807" s="12">
        <f t="shared" ref="I1807:I1818" si="201">SQRT(F1807)</f>
        <v>9.3613984517915035E-3</v>
      </c>
      <c r="J1807" s="12">
        <f t="shared" si="195"/>
        <v>5.4233926257759718E-3</v>
      </c>
    </row>
    <row r="1808" spans="1:10">
      <c r="A1808" s="15">
        <v>42092</v>
      </c>
      <c r="B1808" s="11">
        <v>2.1162999999999998</v>
      </c>
      <c r="C1808" s="11">
        <f t="shared" si="196"/>
        <v>9.9999999999988987E-4</v>
      </c>
      <c r="D1808" s="12">
        <f t="shared" si="197"/>
        <v>9.9999999999977973E-7</v>
      </c>
      <c r="E1808" s="12">
        <f t="shared" si="198"/>
        <v>4.8400000000008879E-6</v>
      </c>
      <c r="F1808" s="12">
        <f t="shared" si="199"/>
        <v>7.9875574948566285E-5</v>
      </c>
      <c r="G1808" s="12">
        <f t="shared" si="200"/>
        <v>3.7923219471536593</v>
      </c>
      <c r="I1808" s="12">
        <f t="shared" si="201"/>
        <v>8.93731363154311E-3</v>
      </c>
      <c r="J1808" s="12">
        <f t="shared" ref="J1808:J1818" si="202">J1807</f>
        <v>5.4233926257759718E-3</v>
      </c>
    </row>
    <row r="1809" spans="1:10">
      <c r="A1809" s="15">
        <v>42093</v>
      </c>
      <c r="B1809" s="11">
        <v>2.1133999999999999</v>
      </c>
      <c r="C1809" s="11">
        <f t="shared" si="196"/>
        <v>-2.8999999999999027E-3</v>
      </c>
      <c r="D1809" s="12">
        <f t="shared" si="197"/>
        <v>8.409999999999435E-6</v>
      </c>
      <c r="E1809" s="12">
        <f t="shared" si="198"/>
        <v>9.9999999999977973E-7</v>
      </c>
      <c r="F1809" s="12">
        <f t="shared" si="199"/>
        <v>7.2727129434086384E-5</v>
      </c>
      <c r="G1809" s="12">
        <f t="shared" si="200"/>
        <v>3.7876406321784755</v>
      </c>
      <c r="I1809" s="12">
        <f t="shared" si="201"/>
        <v>8.5280202529125354E-3</v>
      </c>
      <c r="J1809" s="12">
        <f t="shared" si="202"/>
        <v>5.4233926257759718E-3</v>
      </c>
    </row>
    <row r="1810" spans="1:10">
      <c r="A1810" s="15">
        <v>42094</v>
      </c>
      <c r="B1810" s="11">
        <v>2.1055999999999999</v>
      </c>
      <c r="C1810" s="11">
        <f t="shared" si="196"/>
        <v>-7.8000000000000291E-3</v>
      </c>
      <c r="D1810" s="12">
        <f t="shared" si="197"/>
        <v>6.0840000000000454E-5</v>
      </c>
      <c r="E1810" s="12">
        <f t="shared" si="198"/>
        <v>8.409999999999435E-6</v>
      </c>
      <c r="F1810" s="12">
        <f t="shared" si="199"/>
        <v>6.6791043134290103E-5</v>
      </c>
      <c r="G1810" s="12">
        <f t="shared" si="200"/>
        <v>3.4325819544975458</v>
      </c>
      <c r="I1810" s="12">
        <f t="shared" si="201"/>
        <v>8.1725787322172744E-3</v>
      </c>
      <c r="J1810" s="12">
        <f t="shared" si="202"/>
        <v>5.4233926257759718E-3</v>
      </c>
    </row>
    <row r="1811" spans="1:10">
      <c r="A1811" s="15">
        <v>42095</v>
      </c>
      <c r="B1811" s="11">
        <v>2.1097999999999999</v>
      </c>
      <c r="C1811" s="11">
        <f t="shared" si="196"/>
        <v>4.1999999999999815E-3</v>
      </c>
      <c r="D1811" s="12">
        <f t="shared" si="197"/>
        <v>1.7639999999999845E-5</v>
      </c>
      <c r="E1811" s="12">
        <f t="shared" si="198"/>
        <v>6.0840000000000454E-5</v>
      </c>
      <c r="F1811" s="12">
        <f t="shared" si="199"/>
        <v>6.4604440561352326E-5</v>
      </c>
      <c r="G1811" s="12">
        <f t="shared" si="200"/>
        <v>3.7681520412775069</v>
      </c>
      <c r="I1811" s="12">
        <f t="shared" si="201"/>
        <v>8.0376887574322205E-3</v>
      </c>
      <c r="J1811" s="12">
        <f t="shared" si="202"/>
        <v>5.4233926257759718E-3</v>
      </c>
    </row>
    <row r="1812" spans="1:10">
      <c r="A1812" s="15">
        <v>42096</v>
      </c>
      <c r="B1812" s="11">
        <v>2.1183000000000001</v>
      </c>
      <c r="C1812" s="11">
        <f t="shared" si="196"/>
        <v>8.5000000000001741E-3</v>
      </c>
      <c r="D1812" s="12">
        <f t="shared" si="197"/>
        <v>7.2250000000002962E-5</v>
      </c>
      <c r="E1812" s="12">
        <f t="shared" si="198"/>
        <v>1.7639999999999845E-5</v>
      </c>
      <c r="F1812" s="12">
        <f t="shared" si="199"/>
        <v>6.0093956576542927E-5</v>
      </c>
      <c r="G1812" s="12">
        <f t="shared" si="200"/>
        <v>3.339720118920376</v>
      </c>
      <c r="I1812" s="12">
        <f t="shared" si="201"/>
        <v>7.7520291908985302E-3</v>
      </c>
      <c r="J1812" s="12">
        <f t="shared" si="202"/>
        <v>5.4233926257759718E-3</v>
      </c>
    </row>
    <row r="1813" spans="1:10">
      <c r="A1813" s="15">
        <v>42097</v>
      </c>
      <c r="B1813" s="11">
        <v>2.1234999999999999</v>
      </c>
      <c r="C1813" s="11">
        <f t="shared" si="196"/>
        <v>5.1999999999998714E-3</v>
      </c>
      <c r="D1813" s="12">
        <f t="shared" si="197"/>
        <v>2.7039999999998664E-5</v>
      </c>
      <c r="E1813" s="12">
        <f t="shared" si="198"/>
        <v>7.2250000000002962E-5</v>
      </c>
      <c r="F1813" s="12">
        <f t="shared" si="199"/>
        <v>5.9307966649400641E-5</v>
      </c>
      <c r="G1813" s="12">
        <f t="shared" si="200"/>
        <v>3.7194822884446559</v>
      </c>
      <c r="I1813" s="12">
        <f t="shared" si="201"/>
        <v>7.7011665771752162E-3</v>
      </c>
      <c r="J1813" s="12">
        <f t="shared" si="202"/>
        <v>5.4233926257759718E-3</v>
      </c>
    </row>
    <row r="1814" spans="1:10">
      <c r="A1814" s="15">
        <v>42098</v>
      </c>
      <c r="B1814" s="11">
        <v>2.1339000000000001</v>
      </c>
      <c r="C1814" s="11">
        <f t="shared" si="196"/>
        <v>1.0400000000000187E-2</v>
      </c>
      <c r="D1814" s="12">
        <f t="shared" si="197"/>
        <v>1.0816000000000388E-4</v>
      </c>
      <c r="E1814" s="12">
        <f t="shared" si="198"/>
        <v>2.7039999999998664E-5</v>
      </c>
      <c r="F1814" s="12">
        <f t="shared" si="199"/>
        <v>5.5927474792568971E-5</v>
      </c>
      <c r="G1814" s="12">
        <f t="shared" si="200"/>
        <v>3.0098222618212556</v>
      </c>
      <c r="I1814" s="12">
        <f t="shared" si="201"/>
        <v>7.478467409340564E-3</v>
      </c>
      <c r="J1814" s="12">
        <f t="shared" si="202"/>
        <v>5.4233926257759718E-3</v>
      </c>
    </row>
    <row r="1815" spans="1:10">
      <c r="A1815" s="15">
        <v>42099</v>
      </c>
      <c r="B1815" s="11">
        <v>2.1339000000000001</v>
      </c>
      <c r="C1815" s="11">
        <f t="shared" si="196"/>
        <v>0</v>
      </c>
      <c r="D1815" s="12">
        <f t="shared" si="197"/>
        <v>0</v>
      </c>
      <c r="E1815" s="12">
        <f t="shared" si="198"/>
        <v>1.0816000000000388E-4</v>
      </c>
      <c r="F1815" s="12">
        <f t="shared" si="199"/>
        <v>5.7720456042358143E-5</v>
      </c>
      <c r="G1815" s="12">
        <f t="shared" si="200"/>
        <v>3.9610109209829436</v>
      </c>
      <c r="I1815" s="12">
        <f t="shared" si="201"/>
        <v>7.5973979784106438E-3</v>
      </c>
      <c r="J1815" s="12">
        <f t="shared" si="202"/>
        <v>5.4233926257759718E-3</v>
      </c>
    </row>
    <row r="1816" spans="1:10">
      <c r="A1816" s="15">
        <v>42100</v>
      </c>
      <c r="B1816" s="11">
        <v>2.1215000000000002</v>
      </c>
      <c r="C1816" s="11">
        <f t="shared" si="196"/>
        <v>-1.2399999999999967E-2</v>
      </c>
      <c r="D1816" s="12">
        <f t="shared" si="197"/>
        <v>1.5375999999999918E-4</v>
      </c>
      <c r="E1816" s="12">
        <f t="shared" si="198"/>
        <v>0</v>
      </c>
      <c r="F1816" s="12">
        <f t="shared" si="199"/>
        <v>5.2909058573765695E-5</v>
      </c>
      <c r="G1816" s="12">
        <f t="shared" si="200"/>
        <v>2.5514701492196195</v>
      </c>
      <c r="I1816" s="12">
        <f t="shared" si="201"/>
        <v>7.2738613248924189E-3</v>
      </c>
      <c r="J1816" s="12">
        <f t="shared" si="202"/>
        <v>5.4233926257759718E-3</v>
      </c>
    </row>
    <row r="1817" spans="1:10">
      <c r="A1817" s="15">
        <v>42101</v>
      </c>
      <c r="B1817" s="11">
        <v>2.1150000000000002</v>
      </c>
      <c r="C1817" s="11">
        <f t="shared" si="196"/>
        <v>-6.4999999999999503E-3</v>
      </c>
      <c r="D1817" s="12">
        <f t="shared" si="197"/>
        <v>4.2249999999999353E-5</v>
      </c>
      <c r="E1817" s="12">
        <f t="shared" si="198"/>
        <v>1.5375999999999918E-4</v>
      </c>
      <c r="F1817" s="12">
        <f t="shared" si="199"/>
        <v>5.7731144110567941E-5</v>
      </c>
      <c r="G1817" s="12">
        <f t="shared" si="200"/>
        <v>3.5949980027497483</v>
      </c>
      <c r="I1817" s="12">
        <f t="shared" si="201"/>
        <v>7.5981013490587198E-3</v>
      </c>
      <c r="J1817" s="12">
        <f t="shared" si="202"/>
        <v>5.4233926257759718E-3</v>
      </c>
    </row>
    <row r="1818" spans="1:10">
      <c r="A1818" s="15">
        <v>42102</v>
      </c>
      <c r="B1818" s="11">
        <v>2.1175000000000002</v>
      </c>
      <c r="C1818" s="11">
        <f t="shared" si="196"/>
        <v>2.4999999999999467E-3</v>
      </c>
      <c r="D1818" s="12">
        <f t="shared" si="197"/>
        <v>6.2499999999997335E-6</v>
      </c>
      <c r="E1818" s="12">
        <f t="shared" si="198"/>
        <v>4.2249999999999353E-5</v>
      </c>
      <c r="F1818" s="12">
        <f t="shared" si="199"/>
        <v>5.5422672003138708E-5</v>
      </c>
      <c r="G1818" s="12">
        <f t="shared" si="200"/>
        <v>3.9249374952196221</v>
      </c>
      <c r="I1818" s="12">
        <f t="shared" si="201"/>
        <v>7.444640488508408E-3</v>
      </c>
      <c r="J1818" s="12">
        <f t="shared" si="202"/>
        <v>5.4233926257759718E-3</v>
      </c>
    </row>
  </sheetData>
  <printOptions gridLinesSet="0"/>
  <pageMargins left="0.75" right="0.75" top="1" bottom="1" header="0.5" footer="0.5"/>
  <pageSetup orientation="portrait" horizontalDpi="300" verticalDpi="300" r:id="rId1"/>
  <headerFooter alignWithMargins="0">
    <oddHeader>&amp;A</oddHeader>
    <oddFooter>Page &amp;P</oddFoot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K1818"/>
  <sheetViews>
    <sheetView showGridLines="0" zoomScale="130" zoomScaleNormal="130" workbookViewId="0">
      <selection activeCell="A2" sqref="A2"/>
    </sheetView>
  </sheetViews>
  <sheetFormatPr baseColWidth="10" defaultColWidth="9.140625" defaultRowHeight="12.75"/>
  <cols>
    <col min="1" max="1" width="13.5703125" style="14" customWidth="1"/>
    <col min="2" max="2" width="11" style="13" customWidth="1"/>
    <col min="3" max="3" width="9.140625" style="11" customWidth="1"/>
    <col min="4" max="4" width="10.7109375" style="12" customWidth="1"/>
    <col min="5" max="5" width="9.140625" style="12" customWidth="1"/>
    <col min="6" max="6" width="11.42578125" style="12" customWidth="1"/>
    <col min="7" max="7" width="10.5703125" style="12" customWidth="1"/>
    <col min="8" max="8" width="9.140625" style="11" customWidth="1"/>
    <col min="9" max="9" width="13.7109375" style="11" customWidth="1"/>
    <col min="10" max="10" width="13.5703125" style="11" customWidth="1"/>
    <col min="11" max="11" width="11" style="11" customWidth="1"/>
    <col min="12" max="16384" width="9.140625" style="11"/>
  </cols>
  <sheetData>
    <row r="1" spans="1:11" ht="30">
      <c r="A1" s="45" t="s">
        <v>109</v>
      </c>
      <c r="J1" s="38" t="s">
        <v>25</v>
      </c>
      <c r="K1" s="12">
        <f>SUM(G15:G1316)</f>
        <v>4571.9304698575916</v>
      </c>
    </row>
    <row r="2" spans="1:11">
      <c r="A2" s="44"/>
    </row>
    <row r="3" spans="1:11" ht="13.5" thickBot="1">
      <c r="A3" s="44"/>
    </row>
    <row r="4" spans="1:11" ht="25.5">
      <c r="A4" s="43" t="s">
        <v>24</v>
      </c>
      <c r="B4" s="49">
        <f>VAR(C14:C1316)</f>
        <v>5.4841030671273788E-5</v>
      </c>
    </row>
    <row r="5" spans="1:11">
      <c r="A5" s="40" t="s">
        <v>23</v>
      </c>
      <c r="B5" s="48">
        <v>3.3262243493102234E-6</v>
      </c>
      <c r="D5" s="38" t="s">
        <v>22</v>
      </c>
      <c r="E5" s="16">
        <f>B5+B6+B7</f>
        <v>0.94243278933534436</v>
      </c>
    </row>
    <row r="6" spans="1:11">
      <c r="A6" s="40" t="s">
        <v>21</v>
      </c>
      <c r="B6" s="48">
        <v>8.2457786415114614E-2</v>
      </c>
      <c r="D6" s="38"/>
      <c r="E6" s="11"/>
    </row>
    <row r="7" spans="1:11" ht="13.5" thickBot="1">
      <c r="A7" s="37" t="s">
        <v>20</v>
      </c>
      <c r="B7" s="47">
        <v>0.85997167669588037</v>
      </c>
    </row>
    <row r="8" spans="1:11" ht="13.5" thickBot="1">
      <c r="A8" s="35"/>
      <c r="B8" s="34"/>
    </row>
    <row r="9" spans="1:11" s="17" customFormat="1">
      <c r="A9" s="33" t="s">
        <v>19</v>
      </c>
      <c r="B9" s="32" t="s">
        <v>18</v>
      </c>
      <c r="C9" s="30" t="s">
        <v>13</v>
      </c>
      <c r="D9" s="31" t="s">
        <v>12</v>
      </c>
      <c r="E9" s="31" t="s">
        <v>17</v>
      </c>
      <c r="F9" s="31" t="s">
        <v>15</v>
      </c>
      <c r="G9" s="31" t="s">
        <v>16</v>
      </c>
      <c r="H9" s="30"/>
      <c r="I9" s="30" t="s">
        <v>15</v>
      </c>
      <c r="J9" s="29" t="s">
        <v>14</v>
      </c>
    </row>
    <row r="10" spans="1:11" s="17" customFormat="1">
      <c r="A10" s="28"/>
      <c r="B10" s="27"/>
      <c r="C10" s="25"/>
      <c r="D10" s="26" t="s">
        <v>13</v>
      </c>
      <c r="E10" s="26" t="s">
        <v>12</v>
      </c>
      <c r="F10" s="26" t="s">
        <v>11</v>
      </c>
      <c r="G10" s="26" t="s">
        <v>10</v>
      </c>
      <c r="H10" s="25"/>
      <c r="I10" s="25" t="s">
        <v>9</v>
      </c>
      <c r="J10" s="24" t="s">
        <v>9</v>
      </c>
    </row>
    <row r="11" spans="1:11" s="17" customFormat="1">
      <c r="A11" s="28"/>
      <c r="B11" s="27"/>
      <c r="C11" s="25"/>
      <c r="D11" s="26"/>
      <c r="E11" s="26" t="s">
        <v>8</v>
      </c>
      <c r="F11" s="26"/>
      <c r="G11" s="26" t="s">
        <v>7</v>
      </c>
      <c r="H11" s="25"/>
      <c r="I11" s="25" t="s">
        <v>6</v>
      </c>
      <c r="J11" s="24" t="s">
        <v>6</v>
      </c>
    </row>
    <row r="12" spans="1:11" s="17" customFormat="1" ht="13.5" thickBot="1">
      <c r="A12" s="23"/>
      <c r="B12" s="22"/>
      <c r="C12" s="20"/>
      <c r="D12" s="21"/>
      <c r="E12" s="21"/>
      <c r="F12" s="21"/>
      <c r="G12" s="21"/>
      <c r="H12" s="20"/>
      <c r="I12" s="19" t="s">
        <v>5</v>
      </c>
      <c r="J12" s="18" t="s">
        <v>4</v>
      </c>
    </row>
    <row r="13" spans="1:11">
      <c r="A13" s="15">
        <v>40277</v>
      </c>
      <c r="B13" s="11">
        <v>1.4031</v>
      </c>
    </row>
    <row r="14" spans="1:11">
      <c r="A14" s="15">
        <v>40280</v>
      </c>
      <c r="B14" s="11">
        <v>1.3997999999999999</v>
      </c>
      <c r="C14" s="11">
        <f t="shared" ref="C14:C77" si="0">B14-B13</f>
        <v>-3.3000000000000806E-3</v>
      </c>
      <c r="D14" s="12">
        <f t="shared" ref="D14:D77" si="1">C14^2</f>
        <v>1.0890000000000533E-5</v>
      </c>
      <c r="F14" s="16">
        <f>B4</f>
        <v>5.4841030671273788E-5</v>
      </c>
    </row>
    <row r="15" spans="1:11">
      <c r="A15" s="15">
        <v>40281</v>
      </c>
      <c r="B15" s="11">
        <v>1.3966000000000001</v>
      </c>
      <c r="C15" s="11">
        <f t="shared" si="0"/>
        <v>-3.1999999999998696E-3</v>
      </c>
      <c r="D15" s="12">
        <f t="shared" si="1"/>
        <v>1.0239999999999165E-5</v>
      </c>
      <c r="E15" s="12">
        <f t="shared" ref="E15:E78" si="2">D14</f>
        <v>1.0890000000000533E-5</v>
      </c>
      <c r="F15" s="12">
        <f t="shared" ref="F15:F78" si="3">$B$5+$B$6*E15+$B$7*F14</f>
        <v>5.1385922741476385E-5</v>
      </c>
      <c r="G15" s="12">
        <f t="shared" ref="G15:G78" si="4">LN((1/SQRT(2*3.1415927*F15))*EXP(-0.5*D15/F15))</f>
        <v>3.9194964257174587</v>
      </c>
      <c r="I15" s="12">
        <f t="shared" ref="I15:I78" si="5">SQRT(F15)</f>
        <v>7.1683975016370556E-3</v>
      </c>
      <c r="J15" s="12">
        <f>SQRT(B4)</f>
        <v>7.4054730214398717E-3</v>
      </c>
    </row>
    <row r="16" spans="1:11">
      <c r="A16" s="15">
        <v>40282</v>
      </c>
      <c r="B16" s="11">
        <v>1.3939999999999999</v>
      </c>
      <c r="C16" s="11">
        <f t="shared" si="0"/>
        <v>-2.6000000000001577E-3</v>
      </c>
      <c r="D16" s="12">
        <f t="shared" si="1"/>
        <v>6.7600000000008204E-6</v>
      </c>
      <c r="E16" s="12">
        <f t="shared" si="2"/>
        <v>1.0239999999999165E-5</v>
      </c>
      <c r="F16" s="12">
        <f t="shared" si="3"/>
        <v>4.8361030220753349E-5</v>
      </c>
      <c r="G16" s="12">
        <f t="shared" si="4"/>
        <v>3.9795785898323119</v>
      </c>
      <c r="I16" s="12">
        <f t="shared" si="5"/>
        <v>6.9542095324165599E-3</v>
      </c>
      <c r="J16" s="12">
        <f t="shared" ref="J16:J79" si="6">J15</f>
        <v>7.4054730214398717E-3</v>
      </c>
    </row>
    <row r="17" spans="1:10">
      <c r="A17" s="15">
        <v>40283</v>
      </c>
      <c r="B17" s="11">
        <v>1.3991</v>
      </c>
      <c r="C17" s="11">
        <f t="shared" si="0"/>
        <v>5.1000000000001044E-3</v>
      </c>
      <c r="D17" s="12">
        <f t="shared" si="1"/>
        <v>2.6010000000001064E-5</v>
      </c>
      <c r="E17" s="12">
        <f t="shared" si="2"/>
        <v>6.7600000000008204E-6</v>
      </c>
      <c r="F17" s="12">
        <f t="shared" si="3"/>
        <v>4.5472755231157866E-5</v>
      </c>
      <c r="G17" s="12">
        <f t="shared" si="4"/>
        <v>3.7942646322307896</v>
      </c>
      <c r="I17" s="12">
        <f t="shared" si="5"/>
        <v>6.7433489625821578E-3</v>
      </c>
      <c r="J17" s="12">
        <f t="shared" si="6"/>
        <v>7.4054730214398717E-3</v>
      </c>
    </row>
    <row r="18" spans="1:10">
      <c r="A18" s="15">
        <v>40284</v>
      </c>
      <c r="B18" s="11">
        <v>1.4034</v>
      </c>
      <c r="C18" s="11">
        <f t="shared" si="0"/>
        <v>4.2999999999999705E-3</v>
      </c>
      <c r="D18" s="12">
        <f t="shared" si="1"/>
        <v>1.8489999999999747E-5</v>
      </c>
      <c r="E18" s="12">
        <f t="shared" si="2"/>
        <v>2.6010000000001064E-5</v>
      </c>
      <c r="F18" s="12">
        <f t="shared" si="3"/>
        <v>4.4576232934087635E-5</v>
      </c>
      <c r="G18" s="12">
        <f t="shared" si="4"/>
        <v>3.8828188104468904</v>
      </c>
      <c r="I18" s="12">
        <f t="shared" si="5"/>
        <v>6.6765434870213816E-3</v>
      </c>
      <c r="J18" s="12">
        <f t="shared" si="6"/>
        <v>7.4054730214398717E-3</v>
      </c>
    </row>
    <row r="19" spans="1:10">
      <c r="A19" s="15">
        <v>40287</v>
      </c>
      <c r="B19" s="11">
        <v>1.4034</v>
      </c>
      <c r="C19" s="11">
        <f t="shared" si="0"/>
        <v>0</v>
      </c>
      <c r="D19" s="12">
        <f t="shared" si="1"/>
        <v>0</v>
      </c>
      <c r="E19" s="12">
        <f t="shared" si="2"/>
        <v>1.8489999999999747E-5</v>
      </c>
      <c r="F19" s="12">
        <f t="shared" si="3"/>
        <v>4.3185166597239138E-5</v>
      </c>
      <c r="G19" s="12">
        <f t="shared" si="4"/>
        <v>4.1060682031501106</v>
      </c>
      <c r="I19" s="12">
        <f t="shared" si="5"/>
        <v>6.5715421780004682E-3</v>
      </c>
      <c r="J19" s="12">
        <f t="shared" si="6"/>
        <v>7.4054730214398717E-3</v>
      </c>
    </row>
    <row r="20" spans="1:10">
      <c r="A20" s="15">
        <v>40288</v>
      </c>
      <c r="B20" s="11">
        <v>1.4116</v>
      </c>
      <c r="C20" s="11">
        <f t="shared" si="0"/>
        <v>8.1999999999999851E-3</v>
      </c>
      <c r="D20" s="12">
        <f t="shared" si="1"/>
        <v>6.7239999999999756E-5</v>
      </c>
      <c r="E20" s="12">
        <f t="shared" si="2"/>
        <v>0</v>
      </c>
      <c r="F20" s="12">
        <f t="shared" si="3"/>
        <v>4.0464244476328888E-5</v>
      </c>
      <c r="G20" s="12">
        <f t="shared" si="4"/>
        <v>3.3077503916248898</v>
      </c>
      <c r="I20" s="12">
        <f t="shared" si="5"/>
        <v>6.3611511911232611E-3</v>
      </c>
      <c r="J20" s="12">
        <f t="shared" si="6"/>
        <v>7.4054730214398717E-3</v>
      </c>
    </row>
    <row r="21" spans="1:10">
      <c r="A21" s="15">
        <v>40289</v>
      </c>
      <c r="B21" s="11">
        <v>1.4137999999999999</v>
      </c>
      <c r="C21" s="11">
        <f t="shared" si="0"/>
        <v>2.1999999999999797E-3</v>
      </c>
      <c r="D21" s="12">
        <f t="shared" si="1"/>
        <v>4.8399999999999113E-6</v>
      </c>
      <c r="E21" s="12">
        <f t="shared" si="2"/>
        <v>6.7239999999999756E-5</v>
      </c>
      <c r="F21" s="12">
        <f t="shared" si="3"/>
        <v>4.366879007640308E-5</v>
      </c>
      <c r="G21" s="12">
        <f t="shared" si="4"/>
        <v>4.04508275534437</v>
      </c>
      <c r="I21" s="12">
        <f t="shared" si="5"/>
        <v>6.6082365330247589E-3</v>
      </c>
      <c r="J21" s="12">
        <f t="shared" si="6"/>
        <v>7.4054730214398717E-3</v>
      </c>
    </row>
    <row r="22" spans="1:10">
      <c r="A22" s="15">
        <v>40290</v>
      </c>
      <c r="B22" s="11">
        <v>1.4198999999999999</v>
      </c>
      <c r="C22" s="11">
        <f t="shared" si="0"/>
        <v>6.0999999999999943E-3</v>
      </c>
      <c r="D22" s="12">
        <f t="shared" si="1"/>
        <v>3.720999999999993E-5</v>
      </c>
      <c r="E22" s="12">
        <f t="shared" si="2"/>
        <v>4.8399999999999113E-6</v>
      </c>
      <c r="F22" s="12">
        <f t="shared" si="3"/>
        <v>4.1279242656844151E-5</v>
      </c>
      <c r="G22" s="12">
        <f t="shared" si="4"/>
        <v>3.6779260627927894</v>
      </c>
      <c r="I22" s="12">
        <f t="shared" si="5"/>
        <v>6.4248924237565374E-3</v>
      </c>
      <c r="J22" s="12">
        <f t="shared" si="6"/>
        <v>7.4054730214398717E-3</v>
      </c>
    </row>
    <row r="23" spans="1:10">
      <c r="A23" s="15">
        <v>40291</v>
      </c>
      <c r="B23" s="11">
        <v>1.4157</v>
      </c>
      <c r="C23" s="11">
        <f t="shared" si="0"/>
        <v>-4.1999999999999815E-3</v>
      </c>
      <c r="D23" s="12">
        <f t="shared" si="1"/>
        <v>1.7639999999999845E-5</v>
      </c>
      <c r="E23" s="12">
        <f t="shared" si="2"/>
        <v>3.720999999999993E-5</v>
      </c>
      <c r="F23" s="12">
        <f t="shared" si="3"/>
        <v>4.1893458102159004E-5</v>
      </c>
      <c r="G23" s="12">
        <f t="shared" si="4"/>
        <v>3.9107178323722396</v>
      </c>
      <c r="I23" s="12">
        <f t="shared" si="5"/>
        <v>6.4725155930410085E-3</v>
      </c>
      <c r="J23" s="12">
        <f t="shared" si="6"/>
        <v>7.4054730214398717E-3</v>
      </c>
    </row>
    <row r="24" spans="1:10">
      <c r="A24" s="15">
        <v>40294</v>
      </c>
      <c r="B24" s="11">
        <v>1.4159999999999999</v>
      </c>
      <c r="C24" s="11">
        <f t="shared" si="0"/>
        <v>2.9999999999996696E-4</v>
      </c>
      <c r="D24" s="12">
        <f t="shared" si="1"/>
        <v>8.9999999999980173E-8</v>
      </c>
      <c r="E24" s="12">
        <f t="shared" si="2"/>
        <v>1.7639999999999845E-5</v>
      </c>
      <c r="F24" s="12">
        <f t="shared" si="3"/>
        <v>4.0807967108375124E-5</v>
      </c>
      <c r="G24" s="12">
        <f t="shared" si="4"/>
        <v>4.1332753452408202</v>
      </c>
      <c r="I24" s="12">
        <f t="shared" si="5"/>
        <v>6.388111388225406E-3</v>
      </c>
      <c r="J24" s="12">
        <f t="shared" si="6"/>
        <v>7.4054730214398717E-3</v>
      </c>
    </row>
    <row r="25" spans="1:10">
      <c r="A25" s="15">
        <v>40295</v>
      </c>
      <c r="B25" s="11">
        <v>1.4332</v>
      </c>
      <c r="C25" s="11">
        <f t="shared" si="0"/>
        <v>1.7200000000000104E-2</v>
      </c>
      <c r="D25" s="12">
        <f t="shared" si="1"/>
        <v>2.9584000000000359E-4</v>
      </c>
      <c r="E25" s="12">
        <f t="shared" si="2"/>
        <v>8.9999999999980173E-8</v>
      </c>
      <c r="F25" s="12">
        <f t="shared" si="3"/>
        <v>3.8427341446827277E-5</v>
      </c>
      <c r="G25" s="12">
        <f t="shared" si="4"/>
        <v>0.31508959024662864</v>
      </c>
      <c r="I25" s="12">
        <f t="shared" si="5"/>
        <v>6.1989790648805448E-3</v>
      </c>
      <c r="J25" s="12">
        <f t="shared" si="6"/>
        <v>7.4054730214398717E-3</v>
      </c>
    </row>
    <row r="26" spans="1:10">
      <c r="A26" s="15">
        <v>40296</v>
      </c>
      <c r="B26" s="11">
        <v>1.4330000000000001</v>
      </c>
      <c r="C26" s="11">
        <f t="shared" si="0"/>
        <v>-1.9999999999997797E-4</v>
      </c>
      <c r="D26" s="12">
        <f t="shared" si="1"/>
        <v>3.9999999999991186E-8</v>
      </c>
      <c r="E26" s="12">
        <f t="shared" si="2"/>
        <v>2.9584000000000359E-4</v>
      </c>
      <c r="F26" s="12">
        <f t="shared" si="3"/>
        <v>6.0766961137351179E-5</v>
      </c>
      <c r="G26" s="12">
        <f t="shared" si="4"/>
        <v>3.9349644927099914</v>
      </c>
      <c r="I26" s="12">
        <f t="shared" si="5"/>
        <v>7.7953166155936976E-3</v>
      </c>
      <c r="J26" s="12">
        <f t="shared" si="6"/>
        <v>7.4054730214398717E-3</v>
      </c>
    </row>
    <row r="27" spans="1:10">
      <c r="A27" s="15">
        <v>40297</v>
      </c>
      <c r="B27" s="11">
        <v>1.4337</v>
      </c>
      <c r="C27" s="11">
        <f t="shared" si="0"/>
        <v>6.9999999999992291E-4</v>
      </c>
      <c r="D27" s="12">
        <f t="shared" si="1"/>
        <v>4.8999999999989208E-7</v>
      </c>
      <c r="E27" s="12">
        <f t="shared" si="2"/>
        <v>3.9999999999991186E-8</v>
      </c>
      <c r="F27" s="12">
        <f t="shared" si="3"/>
        <v>5.5587388117768123E-5</v>
      </c>
      <c r="G27" s="12">
        <f t="shared" si="4"/>
        <v>3.9754310922568425</v>
      </c>
      <c r="I27" s="12">
        <f t="shared" si="5"/>
        <v>7.4556950123893968E-3</v>
      </c>
      <c r="J27" s="12">
        <f t="shared" si="6"/>
        <v>7.4054730214398717E-3</v>
      </c>
    </row>
    <row r="28" spans="1:10">
      <c r="A28" s="15">
        <v>40298</v>
      </c>
      <c r="B28" s="11">
        <v>1.4266000000000001</v>
      </c>
      <c r="C28" s="11">
        <f t="shared" si="0"/>
        <v>-7.0999999999998842E-3</v>
      </c>
      <c r="D28" s="12">
        <f t="shared" si="1"/>
        <v>5.0409999999998354E-5</v>
      </c>
      <c r="E28" s="12">
        <f t="shared" si="2"/>
        <v>4.8999999999989208E-7</v>
      </c>
      <c r="F28" s="12">
        <f t="shared" si="3"/>
        <v>5.1170208027435331E-5</v>
      </c>
      <c r="G28" s="12">
        <f t="shared" si="4"/>
        <v>3.5286662230923191</v>
      </c>
      <c r="I28" s="12">
        <f t="shared" si="5"/>
        <v>7.1533354477079664E-3</v>
      </c>
      <c r="J28" s="12">
        <f t="shared" si="6"/>
        <v>7.4054730214398717E-3</v>
      </c>
    </row>
    <row r="29" spans="1:10">
      <c r="A29" s="15">
        <v>40301</v>
      </c>
      <c r="B29" s="11">
        <v>1.4371</v>
      </c>
      <c r="C29" s="11">
        <f t="shared" si="0"/>
        <v>1.0499999999999954E-2</v>
      </c>
      <c r="D29" s="12">
        <f t="shared" si="1"/>
        <v>1.1024999999999903E-4</v>
      </c>
      <c r="E29" s="12">
        <f t="shared" si="2"/>
        <v>5.0409999999998354E-5</v>
      </c>
      <c r="F29" s="12">
        <f t="shared" si="3"/>
        <v>5.1487850956726576E-5</v>
      </c>
      <c r="G29" s="12">
        <f t="shared" si="4"/>
        <v>2.9475028826224454</v>
      </c>
      <c r="I29" s="12">
        <f t="shared" si="5"/>
        <v>7.1755035333227017E-3</v>
      </c>
      <c r="J29" s="12">
        <f t="shared" si="6"/>
        <v>7.4054730214398717E-3</v>
      </c>
    </row>
    <row r="30" spans="1:10">
      <c r="A30" s="15">
        <v>40302</v>
      </c>
      <c r="B30" s="11">
        <v>1.452</v>
      </c>
      <c r="C30" s="11">
        <f t="shared" si="0"/>
        <v>1.4899999999999913E-2</v>
      </c>
      <c r="D30" s="12">
        <f t="shared" si="1"/>
        <v>2.2200999999999742E-4</v>
      </c>
      <c r="E30" s="12">
        <f t="shared" si="2"/>
        <v>1.1024999999999903E-4</v>
      </c>
      <c r="F30" s="12">
        <f t="shared" si="3"/>
        <v>5.6695288818300275E-5</v>
      </c>
      <c r="G30" s="12">
        <f t="shared" si="4"/>
        <v>2.0120483553970452</v>
      </c>
      <c r="I30" s="12">
        <f t="shared" si="5"/>
        <v>7.5296274023553302E-3</v>
      </c>
      <c r="J30" s="12">
        <f t="shared" si="6"/>
        <v>7.4054730214398717E-3</v>
      </c>
    </row>
    <row r="31" spans="1:10">
      <c r="A31" s="15">
        <v>40303</v>
      </c>
      <c r="B31" s="11">
        <v>1.4629000000000001</v>
      </c>
      <c r="C31" s="11">
        <f t="shared" si="0"/>
        <v>1.0900000000000132E-2</v>
      </c>
      <c r="D31" s="12">
        <f t="shared" si="1"/>
        <v>1.1881000000000287E-4</v>
      </c>
      <c r="E31" s="12">
        <f t="shared" si="2"/>
        <v>2.2200999999999742E-4</v>
      </c>
      <c r="F31" s="12">
        <f t="shared" si="3"/>
        <v>7.0389020097160488E-5</v>
      </c>
      <c r="G31" s="12">
        <f t="shared" si="4"/>
        <v>3.0178454457506723</v>
      </c>
      <c r="I31" s="12">
        <f t="shared" si="5"/>
        <v>8.3898164519350775E-3</v>
      </c>
      <c r="J31" s="12">
        <f t="shared" si="6"/>
        <v>7.4054730214398717E-3</v>
      </c>
    </row>
    <row r="32" spans="1:10">
      <c r="A32" s="15">
        <v>40304</v>
      </c>
      <c r="B32" s="11">
        <v>1.4853000000000001</v>
      </c>
      <c r="C32" s="11">
        <f t="shared" si="0"/>
        <v>2.2399999999999975E-2</v>
      </c>
      <c r="D32" s="12">
        <f t="shared" si="1"/>
        <v>5.0175999999999888E-4</v>
      </c>
      <c r="E32" s="12">
        <f t="shared" si="2"/>
        <v>1.1881000000000287E-4</v>
      </c>
      <c r="F32" s="12">
        <f t="shared" si="3"/>
        <v>7.3655597587225362E-5</v>
      </c>
      <c r="G32" s="12">
        <f t="shared" si="4"/>
        <v>0.43299400680681271</v>
      </c>
      <c r="I32" s="12">
        <f t="shared" si="5"/>
        <v>8.5822839376954521E-3</v>
      </c>
      <c r="J32" s="12">
        <f t="shared" si="6"/>
        <v>7.4054730214398717E-3</v>
      </c>
    </row>
    <row r="33" spans="1:10">
      <c r="A33" s="15">
        <v>40305</v>
      </c>
      <c r="B33" s="11">
        <v>1.4726999999999999</v>
      </c>
      <c r="C33" s="11">
        <f t="shared" si="0"/>
        <v>-1.2600000000000167E-2</v>
      </c>
      <c r="D33" s="12">
        <f t="shared" si="1"/>
        <v>1.5876000000000421E-4</v>
      </c>
      <c r="E33" s="12">
        <f t="shared" si="2"/>
        <v>5.0175999999999888E-4</v>
      </c>
      <c r="F33" s="12">
        <f t="shared" si="3"/>
        <v>1.0804197101608127E-4</v>
      </c>
      <c r="G33" s="12">
        <f t="shared" si="4"/>
        <v>2.9128423774367271</v>
      </c>
      <c r="I33" s="12">
        <f t="shared" si="5"/>
        <v>1.039432398071569E-2</v>
      </c>
      <c r="J33" s="12">
        <f t="shared" si="6"/>
        <v>7.4054730214398717E-3</v>
      </c>
    </row>
    <row r="34" spans="1:10">
      <c r="A34" s="15">
        <v>40308</v>
      </c>
      <c r="B34" s="11">
        <v>1.4733000000000001</v>
      </c>
      <c r="C34" s="11">
        <f t="shared" si="0"/>
        <v>6.0000000000015596E-4</v>
      </c>
      <c r="D34" s="12">
        <f t="shared" si="1"/>
        <v>3.6000000000018714E-7</v>
      </c>
      <c r="E34" s="12">
        <f t="shared" si="2"/>
        <v>1.5876000000000421E-4</v>
      </c>
      <c r="F34" s="12">
        <f t="shared" si="3"/>
        <v>1.0933025748880129E-4</v>
      </c>
      <c r="G34" s="12">
        <f t="shared" si="4"/>
        <v>3.6399837573123</v>
      </c>
      <c r="I34" s="12">
        <f t="shared" si="5"/>
        <v>1.0456111011690784E-2</v>
      </c>
      <c r="J34" s="12">
        <f t="shared" si="6"/>
        <v>7.4054730214398717E-3</v>
      </c>
    </row>
    <row r="35" spans="1:10">
      <c r="A35" s="15">
        <v>40309</v>
      </c>
      <c r="B35" s="11">
        <v>1.4766999999999999</v>
      </c>
      <c r="C35" s="11">
        <f t="shared" si="0"/>
        <v>3.3999999999998476E-3</v>
      </c>
      <c r="D35" s="12">
        <f t="shared" si="1"/>
        <v>1.1559999999998964E-5</v>
      </c>
      <c r="E35" s="12">
        <f t="shared" si="2"/>
        <v>3.6000000000018714E-7</v>
      </c>
      <c r="F35" s="12">
        <f t="shared" si="3"/>
        <v>9.7376833998656469E-5</v>
      </c>
      <c r="G35" s="12">
        <f t="shared" si="4"/>
        <v>3.6401655356668647</v>
      </c>
      <c r="I35" s="12">
        <f t="shared" si="5"/>
        <v>9.8679701052778058E-3</v>
      </c>
      <c r="J35" s="12">
        <f t="shared" si="6"/>
        <v>7.4054730214398717E-3</v>
      </c>
    </row>
    <row r="36" spans="1:10">
      <c r="A36" s="15">
        <v>40310</v>
      </c>
      <c r="B36" s="11">
        <v>1.4813000000000001</v>
      </c>
      <c r="C36" s="11">
        <f t="shared" si="0"/>
        <v>4.6000000000001595E-3</v>
      </c>
      <c r="D36" s="12">
        <f t="shared" si="1"/>
        <v>2.1160000000001468E-5</v>
      </c>
      <c r="E36" s="12">
        <f t="shared" si="2"/>
        <v>1.1559999999998964E-5</v>
      </c>
      <c r="F36" s="12">
        <f t="shared" si="3"/>
        <v>8.8020755565429871E-5</v>
      </c>
      <c r="G36" s="12">
        <f t="shared" si="4"/>
        <v>3.6298314929422104</v>
      </c>
      <c r="I36" s="12">
        <f t="shared" si="5"/>
        <v>9.3819377297778873E-3</v>
      </c>
      <c r="J36" s="12">
        <f t="shared" si="6"/>
        <v>7.4054730214398717E-3</v>
      </c>
    </row>
    <row r="37" spans="1:10">
      <c r="A37" s="15">
        <v>40311</v>
      </c>
      <c r="B37" s="11">
        <v>1.4879</v>
      </c>
      <c r="C37" s="11">
        <f t="shared" si="0"/>
        <v>6.5999999999999392E-3</v>
      </c>
      <c r="D37" s="12">
        <f t="shared" si="1"/>
        <v>4.3559999999999197E-5</v>
      </c>
      <c r="E37" s="12">
        <f t="shared" si="2"/>
        <v>2.1160000000001468E-5</v>
      </c>
      <c r="F37" s="12">
        <f t="shared" si="3"/>
        <v>8.076638785749515E-5</v>
      </c>
      <c r="G37" s="12">
        <f t="shared" si="4"/>
        <v>3.5233696602620181</v>
      </c>
      <c r="I37" s="12">
        <f t="shared" si="5"/>
        <v>8.9870121763295247E-3</v>
      </c>
      <c r="J37" s="12">
        <f t="shared" si="6"/>
        <v>7.4054730214398717E-3</v>
      </c>
    </row>
    <row r="38" spans="1:10">
      <c r="A38" s="15">
        <v>40312</v>
      </c>
      <c r="B38" s="11">
        <v>1.5037</v>
      </c>
      <c r="C38" s="11">
        <f t="shared" si="0"/>
        <v>1.5800000000000036E-2</v>
      </c>
      <c r="D38" s="12">
        <f t="shared" si="1"/>
        <v>2.4964000000000117E-4</v>
      </c>
      <c r="E38" s="12">
        <f t="shared" si="2"/>
        <v>4.3559999999999197E-5</v>
      </c>
      <c r="F38" s="12">
        <f t="shared" si="3"/>
        <v>7.6374891512032448E-5</v>
      </c>
      <c r="G38" s="12">
        <f t="shared" si="4"/>
        <v>2.186682999418069</v>
      </c>
      <c r="I38" s="12">
        <f t="shared" si="5"/>
        <v>8.739272939554666E-3</v>
      </c>
      <c r="J38" s="12">
        <f t="shared" si="6"/>
        <v>7.4054730214398717E-3</v>
      </c>
    </row>
    <row r="39" spans="1:10">
      <c r="A39" s="15">
        <v>40315</v>
      </c>
      <c r="B39" s="11">
        <v>1.5026999999999999</v>
      </c>
      <c r="C39" s="11">
        <f t="shared" si="0"/>
        <v>-1.0000000000001119E-3</v>
      </c>
      <c r="D39" s="12">
        <f t="shared" si="1"/>
        <v>1.0000000000002238E-6</v>
      </c>
      <c r="E39" s="12">
        <f t="shared" si="2"/>
        <v>2.4964000000000117E-4</v>
      </c>
      <c r="F39" s="12">
        <f t="shared" si="3"/>
        <v>8.9591229661048036E-5</v>
      </c>
      <c r="G39" s="12">
        <f t="shared" si="4"/>
        <v>3.7356071189998552</v>
      </c>
      <c r="I39" s="12">
        <f t="shared" si="5"/>
        <v>9.4652643735422433E-3</v>
      </c>
      <c r="J39" s="12">
        <f t="shared" si="6"/>
        <v>7.4054730214398717E-3</v>
      </c>
    </row>
    <row r="40" spans="1:10">
      <c r="A40" s="15">
        <v>40316</v>
      </c>
      <c r="B40" s="11">
        <v>1.5201</v>
      </c>
      <c r="C40" s="11">
        <f t="shared" si="0"/>
        <v>1.7400000000000082E-2</v>
      </c>
      <c r="D40" s="12">
        <f t="shared" si="1"/>
        <v>3.0276000000000288E-4</v>
      </c>
      <c r="E40" s="12">
        <f t="shared" si="2"/>
        <v>1.0000000000002238E-6</v>
      </c>
      <c r="F40" s="12">
        <f t="shared" si="3"/>
        <v>8.045460212458252E-5</v>
      </c>
      <c r="G40" s="12">
        <f t="shared" si="4"/>
        <v>1.9134122033851024</v>
      </c>
      <c r="I40" s="12">
        <f t="shared" si="5"/>
        <v>8.9696489409888565E-3</v>
      </c>
      <c r="J40" s="12">
        <f t="shared" si="6"/>
        <v>7.4054730214398717E-3</v>
      </c>
    </row>
    <row r="41" spans="1:10">
      <c r="A41" s="15">
        <v>40317</v>
      </c>
      <c r="B41" s="11">
        <v>1.5005999999999999</v>
      </c>
      <c r="C41" s="11">
        <f t="shared" si="0"/>
        <v>-1.9500000000000073E-2</v>
      </c>
      <c r="D41" s="12">
        <f t="shared" si="1"/>
        <v>3.8025000000000282E-4</v>
      </c>
      <c r="E41" s="12">
        <f t="shared" si="2"/>
        <v>3.0276000000000288E-4</v>
      </c>
      <c r="F41" s="12">
        <f t="shared" si="3"/>
        <v>9.7479822851327718E-5</v>
      </c>
      <c r="G41" s="12">
        <f t="shared" si="4"/>
        <v>1.7485904061524982</v>
      </c>
      <c r="I41" s="12">
        <f t="shared" si="5"/>
        <v>9.8731870665620287E-3</v>
      </c>
      <c r="J41" s="12">
        <f t="shared" si="6"/>
        <v>7.4054730214398717E-3</v>
      </c>
    </row>
    <row r="42" spans="1:10">
      <c r="A42" s="15">
        <v>40318</v>
      </c>
      <c r="B42" s="11">
        <v>1.4945999999999999</v>
      </c>
      <c r="C42" s="11">
        <f t="shared" si="0"/>
        <v>-6.0000000000000053E-3</v>
      </c>
      <c r="D42" s="12">
        <f t="shared" si="1"/>
        <v>3.6000000000000062E-5</v>
      </c>
      <c r="E42" s="12">
        <f t="shared" si="2"/>
        <v>3.8025000000000282E-4</v>
      </c>
      <c r="F42" s="12">
        <f t="shared" si="3"/>
        <v>1.1851068433513148E-4</v>
      </c>
      <c r="G42" s="12">
        <f t="shared" si="4"/>
        <v>3.4494301388116364</v>
      </c>
      <c r="I42" s="12">
        <f t="shared" si="5"/>
        <v>1.0886261265243061E-2</v>
      </c>
      <c r="J42" s="12">
        <f t="shared" si="6"/>
        <v>7.4054730214398717E-3</v>
      </c>
    </row>
    <row r="43" spans="1:10">
      <c r="A43" s="15">
        <v>40319</v>
      </c>
      <c r="B43" s="11">
        <v>1.4869000000000001</v>
      </c>
      <c r="C43" s="11">
        <f t="shared" si="0"/>
        <v>-7.6999999999998181E-3</v>
      </c>
      <c r="D43" s="12">
        <f t="shared" si="1"/>
        <v>5.9289999999997198E-5</v>
      </c>
      <c r="E43" s="12">
        <f t="shared" si="2"/>
        <v>3.6000000000000062E-5</v>
      </c>
      <c r="F43" s="12">
        <f t="shared" si="3"/>
        <v>1.0821053657431358E-4</v>
      </c>
      <c r="G43" s="12">
        <f t="shared" si="4"/>
        <v>3.3728206811952481</v>
      </c>
      <c r="I43" s="12">
        <f t="shared" si="5"/>
        <v>1.0402429359256114E-2</v>
      </c>
      <c r="J43" s="12">
        <f t="shared" si="6"/>
        <v>7.4054730214398717E-3</v>
      </c>
    </row>
    <row r="44" spans="1:10">
      <c r="A44" s="15">
        <v>40322</v>
      </c>
      <c r="B44" s="11">
        <v>1.5026999999999999</v>
      </c>
      <c r="C44" s="11">
        <f t="shared" si="0"/>
        <v>1.5799999999999814E-2</v>
      </c>
      <c r="D44" s="12">
        <f t="shared" si="1"/>
        <v>2.4963999999999412E-4</v>
      </c>
      <c r="E44" s="12">
        <f t="shared" si="2"/>
        <v>5.9289999999997198E-5</v>
      </c>
      <c r="F44" s="12">
        <f t="shared" si="3"/>
        <v>1.0127314307983547E-4</v>
      </c>
      <c r="G44" s="12">
        <f t="shared" si="4"/>
        <v>2.4473977071040207</v>
      </c>
      <c r="I44" s="12">
        <f t="shared" si="5"/>
        <v>1.0063455821924965E-2</v>
      </c>
      <c r="J44" s="12">
        <f t="shared" si="6"/>
        <v>7.4054730214398717E-3</v>
      </c>
    </row>
    <row r="45" spans="1:10">
      <c r="A45" s="15">
        <v>40323</v>
      </c>
      <c r="B45" s="11">
        <v>1.5005999999999999</v>
      </c>
      <c r="C45" s="11">
        <f t="shared" si="0"/>
        <v>-2.0999999999999908E-3</v>
      </c>
      <c r="D45" s="12">
        <f t="shared" si="1"/>
        <v>4.4099999999999612E-6</v>
      </c>
      <c r="E45" s="12">
        <f t="shared" si="2"/>
        <v>2.4963999999999412E-4</v>
      </c>
      <c r="F45" s="12">
        <f t="shared" si="3"/>
        <v>1.1100302080860685E-4</v>
      </c>
      <c r="G45" s="12">
        <f t="shared" si="4"/>
        <v>3.6141737064066888</v>
      </c>
      <c r="I45" s="12">
        <f t="shared" si="5"/>
        <v>1.0535797113109518E-2</v>
      </c>
      <c r="J45" s="12">
        <f t="shared" si="6"/>
        <v>7.4054730214398717E-3</v>
      </c>
    </row>
    <row r="46" spans="1:10">
      <c r="A46" s="15">
        <v>40324</v>
      </c>
      <c r="B46" s="11">
        <v>1.5199</v>
      </c>
      <c r="C46" s="11">
        <f t="shared" si="0"/>
        <v>1.9300000000000095E-2</v>
      </c>
      <c r="D46" s="12">
        <f t="shared" si="1"/>
        <v>3.7249000000000364E-4</v>
      </c>
      <c r="E46" s="12">
        <f t="shared" si="2"/>
        <v>4.4099999999999612E-6</v>
      </c>
      <c r="F46" s="12">
        <f t="shared" si="3"/>
        <v>9.9149317110486221E-5</v>
      </c>
      <c r="G46" s="12">
        <f t="shared" si="4"/>
        <v>1.8120737764768611</v>
      </c>
      <c r="I46" s="12">
        <f t="shared" si="5"/>
        <v>9.9573750110401194E-3</v>
      </c>
      <c r="J46" s="12">
        <f t="shared" si="6"/>
        <v>7.4054730214398717E-3</v>
      </c>
    </row>
    <row r="47" spans="1:10">
      <c r="A47" s="15">
        <v>40325</v>
      </c>
      <c r="B47" s="11">
        <v>1.5007999999999999</v>
      </c>
      <c r="C47" s="11">
        <f t="shared" si="0"/>
        <v>-1.9100000000000117E-2</v>
      </c>
      <c r="D47" s="12">
        <f t="shared" si="1"/>
        <v>3.6481000000000447E-4</v>
      </c>
      <c r="E47" s="12">
        <f t="shared" si="2"/>
        <v>3.7249000000000364E-4</v>
      </c>
      <c r="F47" s="12">
        <f t="shared" si="3"/>
        <v>1.1930652968983294E-4</v>
      </c>
      <c r="G47" s="12">
        <f t="shared" si="4"/>
        <v>2.0690917849583572</v>
      </c>
      <c r="I47" s="12">
        <f t="shared" si="5"/>
        <v>1.0922752843941537E-2</v>
      </c>
      <c r="J47" s="12">
        <f t="shared" si="6"/>
        <v>7.4054730214398717E-3</v>
      </c>
    </row>
    <row r="48" spans="1:10">
      <c r="A48" s="15">
        <v>40326</v>
      </c>
      <c r="B48" s="11">
        <v>1.5113000000000001</v>
      </c>
      <c r="C48" s="11">
        <f t="shared" si="0"/>
        <v>1.0500000000000176E-2</v>
      </c>
      <c r="D48" s="12">
        <f t="shared" si="1"/>
        <v>1.102500000000037E-4</v>
      </c>
      <c r="E48" s="12">
        <f t="shared" si="2"/>
        <v>3.6481000000000447E-4</v>
      </c>
      <c r="F48" s="12">
        <f t="shared" si="3"/>
        <v>1.3600788578954103E-4</v>
      </c>
      <c r="G48" s="12">
        <f t="shared" si="4"/>
        <v>3.1271529233777451</v>
      </c>
      <c r="I48" s="12">
        <f t="shared" si="5"/>
        <v>1.1662241885226915E-2</v>
      </c>
      <c r="J48" s="12">
        <f t="shared" si="6"/>
        <v>7.4054730214398717E-3</v>
      </c>
    </row>
    <row r="49" spans="1:10">
      <c r="A49" s="15">
        <v>40329</v>
      </c>
      <c r="B49" s="11">
        <v>1.5073000000000001</v>
      </c>
      <c r="C49" s="11">
        <f t="shared" si="0"/>
        <v>-4.0000000000000036E-3</v>
      </c>
      <c r="D49" s="12">
        <f t="shared" si="1"/>
        <v>1.600000000000003E-5</v>
      </c>
      <c r="E49" s="12">
        <f t="shared" si="2"/>
        <v>1.102500000000037E-4</v>
      </c>
      <c r="F49" s="12">
        <f t="shared" si="3"/>
        <v>1.2938012488787032E-4</v>
      </c>
      <c r="G49" s="12">
        <f t="shared" si="4"/>
        <v>3.4956060510327678</v>
      </c>
      <c r="I49" s="12">
        <f t="shared" si="5"/>
        <v>1.1374538447245687E-2</v>
      </c>
      <c r="J49" s="12">
        <f t="shared" si="6"/>
        <v>7.4054730214398717E-3</v>
      </c>
    </row>
    <row r="50" spans="1:10">
      <c r="A50" s="15">
        <v>40330</v>
      </c>
      <c r="B50" s="11">
        <v>1.5098</v>
      </c>
      <c r="C50" s="11">
        <f t="shared" si="0"/>
        <v>2.4999999999999467E-3</v>
      </c>
      <c r="D50" s="12">
        <f t="shared" si="1"/>
        <v>6.2499999999997335E-6</v>
      </c>
      <c r="E50" s="12">
        <f t="shared" si="2"/>
        <v>1.600000000000003E-5</v>
      </c>
      <c r="F50" s="12">
        <f t="shared" si="3"/>
        <v>1.159087918628963E-4</v>
      </c>
      <c r="G50" s="12">
        <f t="shared" si="4"/>
        <v>3.5854540821259295</v>
      </c>
      <c r="I50" s="12">
        <f t="shared" si="5"/>
        <v>1.0766094550155888E-2</v>
      </c>
      <c r="J50" s="12">
        <f t="shared" si="6"/>
        <v>7.4054730214398717E-3</v>
      </c>
    </row>
    <row r="51" spans="1:10">
      <c r="A51" s="15">
        <v>40331</v>
      </c>
      <c r="B51" s="11">
        <v>1.5094000000000001</v>
      </c>
      <c r="C51" s="11">
        <f t="shared" si="0"/>
        <v>-3.9999999999995595E-4</v>
      </c>
      <c r="D51" s="12">
        <f t="shared" si="1"/>
        <v>1.5999999999996475E-7</v>
      </c>
      <c r="E51" s="12">
        <f t="shared" si="2"/>
        <v>6.2499999999997335E-6</v>
      </c>
      <c r="F51" s="12">
        <f t="shared" si="3"/>
        <v>1.0351986359653342E-4</v>
      </c>
      <c r="G51" s="12">
        <f t="shared" si="4"/>
        <v>3.6681621832964963</v>
      </c>
      <c r="I51" s="12">
        <f t="shared" si="5"/>
        <v>1.0174471170362291E-2</v>
      </c>
      <c r="J51" s="12">
        <f t="shared" si="6"/>
        <v>7.4054730214398717E-3</v>
      </c>
    </row>
    <row r="52" spans="1:10">
      <c r="A52" s="15">
        <v>40332</v>
      </c>
      <c r="B52" s="11">
        <v>1.5196000000000001</v>
      </c>
      <c r="C52" s="11">
        <f t="shared" si="0"/>
        <v>1.0199999999999987E-2</v>
      </c>
      <c r="D52" s="12">
        <f t="shared" si="1"/>
        <v>1.0403999999999973E-4</v>
      </c>
      <c r="E52" s="12">
        <f t="shared" si="2"/>
        <v>1.5999999999996475E-7</v>
      </c>
      <c r="F52" s="12">
        <f t="shared" si="3"/>
        <v>9.2363568263576314E-5</v>
      </c>
      <c r="G52" s="12">
        <f t="shared" si="4"/>
        <v>3.1627413526995443</v>
      </c>
      <c r="I52" s="12">
        <f t="shared" si="5"/>
        <v>9.6105966653260572E-3</v>
      </c>
      <c r="J52" s="12">
        <f t="shared" si="6"/>
        <v>7.4054730214398717E-3</v>
      </c>
    </row>
    <row r="53" spans="1:10">
      <c r="A53" s="15">
        <v>40333</v>
      </c>
      <c r="B53" s="11">
        <v>1.5342</v>
      </c>
      <c r="C53" s="11">
        <f t="shared" si="0"/>
        <v>1.4599999999999946E-2</v>
      </c>
      <c r="D53" s="12">
        <f t="shared" si="1"/>
        <v>2.1315999999999843E-4</v>
      </c>
      <c r="E53" s="12">
        <f t="shared" si="2"/>
        <v>1.0403999999999973E-4</v>
      </c>
      <c r="F53" s="12">
        <f t="shared" si="3"/>
        <v>9.1335185113180852E-5</v>
      </c>
      <c r="G53" s="12">
        <f t="shared" si="4"/>
        <v>2.564638044652428</v>
      </c>
      <c r="I53" s="12">
        <f t="shared" si="5"/>
        <v>9.5569443397552998E-3</v>
      </c>
      <c r="J53" s="12">
        <f t="shared" si="6"/>
        <v>7.4054730214398717E-3</v>
      </c>
    </row>
    <row r="54" spans="1:10">
      <c r="A54" s="15">
        <v>40336</v>
      </c>
      <c r="B54" s="11">
        <v>1.5354000000000001</v>
      </c>
      <c r="C54" s="11">
        <f t="shared" si="0"/>
        <v>1.2000000000000899E-3</v>
      </c>
      <c r="D54" s="12">
        <f t="shared" si="1"/>
        <v>1.4400000000002158E-6</v>
      </c>
      <c r="E54" s="12">
        <f t="shared" si="2"/>
        <v>2.1315999999999843E-4</v>
      </c>
      <c r="F54" s="12">
        <f t="shared" si="3"/>
        <v>9.9448598384666674E-5</v>
      </c>
      <c r="G54" s="12">
        <f t="shared" si="4"/>
        <v>3.6817563615834001</v>
      </c>
      <c r="I54" s="12">
        <f t="shared" si="5"/>
        <v>9.9723918086217743E-3</v>
      </c>
      <c r="J54" s="12">
        <f t="shared" si="6"/>
        <v>7.4054730214398717E-3</v>
      </c>
    </row>
    <row r="55" spans="1:10">
      <c r="A55" s="15">
        <v>40337</v>
      </c>
      <c r="B55" s="11">
        <v>1.5305</v>
      </c>
      <c r="C55" s="11">
        <f t="shared" si="0"/>
        <v>-4.9000000000001265E-3</v>
      </c>
      <c r="D55" s="12">
        <f t="shared" si="1"/>
        <v>2.4010000000001239E-5</v>
      </c>
      <c r="E55" s="12">
        <f t="shared" si="2"/>
        <v>1.4400000000002158E-6</v>
      </c>
      <c r="F55" s="12">
        <f t="shared" si="3"/>
        <v>8.8967941459665032E-5</v>
      </c>
      <c r="G55" s="12">
        <f t="shared" si="4"/>
        <v>3.6097424445219026</v>
      </c>
      <c r="I55" s="12">
        <f t="shared" si="5"/>
        <v>9.4322818797820621E-3</v>
      </c>
      <c r="J55" s="12">
        <f t="shared" si="6"/>
        <v>7.4054730214398717E-3</v>
      </c>
    </row>
    <row r="56" spans="1:10">
      <c r="A56" s="15">
        <v>40338</v>
      </c>
      <c r="B56" s="11">
        <v>1.5297000000000001</v>
      </c>
      <c r="C56" s="11">
        <f t="shared" si="0"/>
        <v>-7.9999999999991189E-4</v>
      </c>
      <c r="D56" s="12">
        <f t="shared" si="1"/>
        <v>6.3999999999985898E-7</v>
      </c>
      <c r="E56" s="12">
        <f t="shared" si="2"/>
        <v>2.4010000000001239E-5</v>
      </c>
      <c r="F56" s="12">
        <f t="shared" si="3"/>
        <v>8.1815945590386294E-5</v>
      </c>
      <c r="G56" s="12">
        <f t="shared" si="4"/>
        <v>3.7826694411401247</v>
      </c>
      <c r="I56" s="12">
        <f t="shared" si="5"/>
        <v>9.0452167243458732E-3</v>
      </c>
      <c r="J56" s="12">
        <f t="shared" si="6"/>
        <v>7.4054730214398717E-3</v>
      </c>
    </row>
    <row r="57" spans="1:10">
      <c r="A57" s="15">
        <v>40339</v>
      </c>
      <c r="B57" s="11">
        <v>1.5195000000000001</v>
      </c>
      <c r="C57" s="11">
        <f t="shared" si="0"/>
        <v>-1.0199999999999987E-2</v>
      </c>
      <c r="D57" s="12">
        <f t="shared" si="1"/>
        <v>1.0403999999999973E-4</v>
      </c>
      <c r="E57" s="12">
        <f t="shared" si="2"/>
        <v>6.3999999999985898E-7</v>
      </c>
      <c r="F57" s="12">
        <f t="shared" si="3"/>
        <v>7.3738393242439308E-5</v>
      </c>
      <c r="G57" s="12">
        <f t="shared" si="4"/>
        <v>3.1330879784291139</v>
      </c>
      <c r="I57" s="12">
        <f t="shared" si="5"/>
        <v>8.5871062205168571E-3</v>
      </c>
      <c r="J57" s="12">
        <f t="shared" si="6"/>
        <v>7.4054730214398717E-3</v>
      </c>
    </row>
    <row r="58" spans="1:10">
      <c r="A58" s="15">
        <v>40340</v>
      </c>
      <c r="B58" s="11">
        <v>1.5215000000000001</v>
      </c>
      <c r="C58" s="11">
        <f t="shared" si="0"/>
        <v>2.0000000000000018E-3</v>
      </c>
      <c r="D58" s="12">
        <f t="shared" si="1"/>
        <v>4.0000000000000074E-6</v>
      </c>
      <c r="E58" s="12">
        <f t="shared" si="2"/>
        <v>1.0403999999999973E-4</v>
      </c>
      <c r="F58" s="12">
        <f t="shared" si="3"/>
        <v>7.5318062121499432E-5</v>
      </c>
      <c r="G58" s="12">
        <f t="shared" si="4"/>
        <v>3.8014026954873077</v>
      </c>
      <c r="I58" s="12">
        <f t="shared" si="5"/>
        <v>8.6785979352369726E-3</v>
      </c>
      <c r="J58" s="12">
        <f t="shared" si="6"/>
        <v>7.4054730214398717E-3</v>
      </c>
    </row>
    <row r="59" spans="1:10">
      <c r="A59" s="15">
        <v>40343</v>
      </c>
      <c r="B59" s="11">
        <v>1.516</v>
      </c>
      <c r="C59" s="11">
        <f t="shared" si="0"/>
        <v>-5.5000000000000604E-3</v>
      </c>
      <c r="D59" s="12">
        <f t="shared" si="1"/>
        <v>3.0250000000000664E-5</v>
      </c>
      <c r="E59" s="12">
        <f t="shared" si="2"/>
        <v>4.0000000000000074E-6</v>
      </c>
      <c r="F59" s="12">
        <f t="shared" si="3"/>
        <v>6.8427455663081025E-5</v>
      </c>
      <c r="G59" s="12">
        <f t="shared" si="4"/>
        <v>3.6548926600019773</v>
      </c>
      <c r="I59" s="12">
        <f t="shared" si="5"/>
        <v>8.2720889540116183E-3</v>
      </c>
      <c r="J59" s="12">
        <f t="shared" si="6"/>
        <v>7.4054730214398717E-3</v>
      </c>
    </row>
    <row r="60" spans="1:10">
      <c r="A60" s="15">
        <v>40344</v>
      </c>
      <c r="B60" s="11">
        <v>1.5063</v>
      </c>
      <c r="C60" s="11">
        <f t="shared" si="0"/>
        <v>-9.7000000000000419E-3</v>
      </c>
      <c r="D60" s="12">
        <f t="shared" si="1"/>
        <v>9.4090000000000815E-5</v>
      </c>
      <c r="E60" s="12">
        <f t="shared" si="2"/>
        <v>3.0250000000000664E-5</v>
      </c>
      <c r="F60" s="12">
        <f t="shared" si="3"/>
        <v>6.4666246166980294E-5</v>
      </c>
      <c r="G60" s="12">
        <f t="shared" si="4"/>
        <v>3.1766923238380076</v>
      </c>
      <c r="I60" s="12">
        <f t="shared" si="5"/>
        <v>8.0415325757581986E-3</v>
      </c>
      <c r="J60" s="12">
        <f t="shared" si="6"/>
        <v>7.4054730214398717E-3</v>
      </c>
    </row>
    <row r="61" spans="1:10">
      <c r="A61" s="15">
        <v>40345</v>
      </c>
      <c r="B61" s="11">
        <v>1.5082</v>
      </c>
      <c r="C61" s="11">
        <f t="shared" si="0"/>
        <v>1.9000000000000128E-3</v>
      </c>
      <c r="D61" s="12">
        <f t="shared" si="1"/>
        <v>3.6100000000000484E-6</v>
      </c>
      <c r="E61" s="12">
        <f t="shared" si="2"/>
        <v>9.4090000000000815E-5</v>
      </c>
      <c r="F61" s="12">
        <f t="shared" si="3"/>
        <v>6.6695817614955013E-5</v>
      </c>
      <c r="G61" s="12">
        <f t="shared" si="4"/>
        <v>3.861682448879391</v>
      </c>
      <c r="I61" s="12">
        <f t="shared" si="5"/>
        <v>8.1667507378978457E-3</v>
      </c>
      <c r="J61" s="12">
        <f t="shared" si="6"/>
        <v>7.4054730214398717E-3</v>
      </c>
    </row>
    <row r="62" spans="1:10">
      <c r="A62" s="15">
        <v>40346</v>
      </c>
      <c r="B62" s="11">
        <v>1.5028999999999999</v>
      </c>
      <c r="C62" s="11">
        <f t="shared" si="0"/>
        <v>-5.3000000000000824E-3</v>
      </c>
      <c r="D62" s="12">
        <f t="shared" si="1"/>
        <v>2.8090000000000875E-5</v>
      </c>
      <c r="E62" s="12">
        <f t="shared" si="2"/>
        <v>3.6100000000000484E-6</v>
      </c>
      <c r="F62" s="12">
        <f t="shared" si="3"/>
        <v>6.0980411061204283E-5</v>
      </c>
      <c r="G62" s="12">
        <f t="shared" si="4"/>
        <v>3.7032205328725727</v>
      </c>
      <c r="I62" s="12">
        <f t="shared" si="5"/>
        <v>7.8089955219096058E-3</v>
      </c>
      <c r="J62" s="12">
        <f t="shared" si="6"/>
        <v>7.4054730214398717E-3</v>
      </c>
    </row>
    <row r="63" spans="1:10">
      <c r="A63" s="15">
        <v>40347</v>
      </c>
      <c r="B63" s="11">
        <v>1.5027999999999999</v>
      </c>
      <c r="C63" s="11">
        <f t="shared" si="0"/>
        <v>-9.9999999999988987E-5</v>
      </c>
      <c r="D63" s="12">
        <f t="shared" si="1"/>
        <v>9.9999999999977966E-9</v>
      </c>
      <c r="E63" s="12">
        <f t="shared" si="2"/>
        <v>2.8090000000000875E-5</v>
      </c>
      <c r="F63" s="12">
        <f t="shared" si="3"/>
        <v>5.8083889915618728E-5</v>
      </c>
      <c r="G63" s="12">
        <f t="shared" si="4"/>
        <v>3.9577864842996684</v>
      </c>
      <c r="I63" s="12">
        <f t="shared" si="5"/>
        <v>7.6212787585561211E-3</v>
      </c>
      <c r="J63" s="12">
        <f t="shared" si="6"/>
        <v>7.4054730214398717E-3</v>
      </c>
    </row>
    <row r="64" spans="1:10">
      <c r="A64" s="15">
        <v>40350</v>
      </c>
      <c r="B64" s="11">
        <v>1.5108999999999999</v>
      </c>
      <c r="C64" s="11">
        <f t="shared" si="0"/>
        <v>8.0999999999999961E-3</v>
      </c>
      <c r="D64" s="12">
        <f t="shared" si="1"/>
        <v>6.5609999999999936E-5</v>
      </c>
      <c r="E64" s="12">
        <f t="shared" si="2"/>
        <v>9.9999999999977966E-9</v>
      </c>
      <c r="F64" s="12">
        <f t="shared" si="3"/>
        <v>5.3277549126927948E-5</v>
      </c>
      <c r="G64" s="12">
        <f t="shared" si="4"/>
        <v>3.3853214424215547</v>
      </c>
      <c r="I64" s="12">
        <f t="shared" si="5"/>
        <v>7.2991471506558868E-3</v>
      </c>
      <c r="J64" s="12">
        <f t="shared" si="6"/>
        <v>7.4054730214398717E-3</v>
      </c>
    </row>
    <row r="65" spans="1:10">
      <c r="A65" s="15">
        <v>40351</v>
      </c>
      <c r="B65" s="11">
        <v>1.5141</v>
      </c>
      <c r="C65" s="11">
        <f t="shared" si="0"/>
        <v>3.2000000000000917E-3</v>
      </c>
      <c r="D65" s="12">
        <f t="shared" si="1"/>
        <v>1.0240000000000586E-5</v>
      </c>
      <c r="E65" s="12">
        <f t="shared" si="2"/>
        <v>6.5609999999999936E-5</v>
      </c>
      <c r="F65" s="12">
        <f t="shared" si="3"/>
        <v>5.4553462968937253E-5</v>
      </c>
      <c r="G65" s="12">
        <f t="shared" si="4"/>
        <v>3.8953732549393356</v>
      </c>
      <c r="I65" s="12">
        <f t="shared" si="5"/>
        <v>7.3860316116936067E-3</v>
      </c>
      <c r="J65" s="12">
        <f t="shared" si="6"/>
        <v>7.4054730214398717E-3</v>
      </c>
    </row>
    <row r="66" spans="1:10">
      <c r="A66" s="15">
        <v>40352</v>
      </c>
      <c r="B66" s="11">
        <v>1.5112000000000001</v>
      </c>
      <c r="C66" s="11">
        <f t="shared" si="0"/>
        <v>-2.8999999999999027E-3</v>
      </c>
      <c r="D66" s="12">
        <f t="shared" si="1"/>
        <v>8.409999999999435E-6</v>
      </c>
      <c r="E66" s="12">
        <f t="shared" si="2"/>
        <v>1.0240000000000586E-5</v>
      </c>
      <c r="F66" s="12">
        <f t="shared" si="3"/>
        <v>5.1085025101164633E-5</v>
      </c>
      <c r="G66" s="12">
        <f t="shared" si="4"/>
        <v>3.9397572863938661</v>
      </c>
      <c r="I66" s="12">
        <f t="shared" si="5"/>
        <v>7.1473788972716869E-3</v>
      </c>
      <c r="J66" s="12">
        <f t="shared" si="6"/>
        <v>7.4054730214398717E-3</v>
      </c>
    </row>
    <row r="67" spans="1:10">
      <c r="A67" s="15">
        <v>40353</v>
      </c>
      <c r="B67" s="11">
        <v>1.5099</v>
      </c>
      <c r="C67" s="11">
        <f t="shared" si="0"/>
        <v>-1.3000000000000789E-3</v>
      </c>
      <c r="D67" s="12">
        <f t="shared" si="1"/>
        <v>1.6900000000002051E-6</v>
      </c>
      <c r="E67" s="12">
        <f t="shared" si="2"/>
        <v>8.409999999999435E-6</v>
      </c>
      <c r="F67" s="12">
        <f t="shared" si="3"/>
        <v>4.7951369023360977E-5</v>
      </c>
      <c r="G67" s="12">
        <f t="shared" si="4"/>
        <v>4.0361010420651899</v>
      </c>
      <c r="I67" s="12">
        <f t="shared" si="5"/>
        <v>6.9246927024497612E-3</v>
      </c>
      <c r="J67" s="12">
        <f t="shared" si="6"/>
        <v>7.4054730214398717E-3</v>
      </c>
    </row>
    <row r="68" spans="1:10">
      <c r="A68" s="15">
        <v>40354</v>
      </c>
      <c r="B68" s="11">
        <v>1.5044</v>
      </c>
      <c r="C68" s="11">
        <f t="shared" si="0"/>
        <v>-5.5000000000000604E-3</v>
      </c>
      <c r="D68" s="12">
        <f t="shared" si="1"/>
        <v>3.0250000000000664E-5</v>
      </c>
      <c r="E68" s="12">
        <f t="shared" si="2"/>
        <v>1.6900000000002051E-6</v>
      </c>
      <c r="F68" s="12">
        <f t="shared" si="3"/>
        <v>4.4702397227234422E-5</v>
      </c>
      <c r="G68" s="12">
        <f t="shared" si="4"/>
        <v>3.750454428685269</v>
      </c>
      <c r="I68" s="12">
        <f t="shared" si="5"/>
        <v>6.6859851351341202E-3</v>
      </c>
      <c r="J68" s="12">
        <f t="shared" si="6"/>
        <v>7.4054730214398717E-3</v>
      </c>
    </row>
    <row r="69" spans="1:10">
      <c r="A69" s="15">
        <v>40357</v>
      </c>
      <c r="B69" s="11">
        <v>1.5172000000000001</v>
      </c>
      <c r="C69" s="11">
        <f t="shared" si="0"/>
        <v>1.2800000000000145E-2</v>
      </c>
      <c r="D69" s="12">
        <f t="shared" si="1"/>
        <v>1.6384000000000369E-4</v>
      </c>
      <c r="E69" s="12">
        <f t="shared" si="2"/>
        <v>3.0250000000000664E-5</v>
      </c>
      <c r="F69" s="12">
        <f t="shared" si="3"/>
        <v>4.4263367884197551E-5</v>
      </c>
      <c r="G69" s="12">
        <f t="shared" si="4"/>
        <v>2.2429976978547708</v>
      </c>
      <c r="I69" s="12">
        <f t="shared" si="5"/>
        <v>6.6530720636558231E-3</v>
      </c>
      <c r="J69" s="12">
        <f t="shared" si="6"/>
        <v>7.4054730214398717E-3</v>
      </c>
    </row>
    <row r="70" spans="1:10">
      <c r="A70" s="15">
        <v>40358</v>
      </c>
      <c r="B70" s="11">
        <v>1.5243</v>
      </c>
      <c r="C70" s="11">
        <f t="shared" si="0"/>
        <v>7.0999999999998842E-3</v>
      </c>
      <c r="D70" s="12">
        <f t="shared" si="1"/>
        <v>5.0409999999998354E-5</v>
      </c>
      <c r="E70" s="12">
        <f t="shared" si="2"/>
        <v>1.6384000000000369E-4</v>
      </c>
      <c r="F70" s="12">
        <f t="shared" si="3"/>
        <v>5.4901350771142853E-5</v>
      </c>
      <c r="G70" s="12">
        <f t="shared" si="4"/>
        <v>3.526951589754427</v>
      </c>
      <c r="I70" s="12">
        <f t="shared" si="5"/>
        <v>7.409544572451323E-3</v>
      </c>
      <c r="J70" s="12">
        <f t="shared" si="6"/>
        <v>7.4054730214398717E-3</v>
      </c>
    </row>
    <row r="71" spans="1:10">
      <c r="A71" s="15">
        <v>40359</v>
      </c>
      <c r="B71" s="11">
        <v>1.5203</v>
      </c>
      <c r="C71" s="11">
        <f t="shared" si="0"/>
        <v>-4.0000000000000036E-3</v>
      </c>
      <c r="D71" s="12">
        <f t="shared" si="1"/>
        <v>1.600000000000003E-5</v>
      </c>
      <c r="E71" s="12">
        <f t="shared" si="2"/>
        <v>5.0409999999998354E-5</v>
      </c>
      <c r="F71" s="12">
        <f t="shared" si="3"/>
        <v>5.4696528038024404E-5</v>
      </c>
      <c r="G71" s="12">
        <f t="shared" si="4"/>
        <v>3.84165505225987</v>
      </c>
      <c r="I71" s="12">
        <f t="shared" si="5"/>
        <v>7.3957101104643362E-3</v>
      </c>
      <c r="J71" s="12">
        <f t="shared" si="6"/>
        <v>7.4054730214398717E-3</v>
      </c>
    </row>
    <row r="72" spans="1:10">
      <c r="A72" s="15">
        <v>40360</v>
      </c>
      <c r="B72" s="11">
        <v>1.4924999999999999</v>
      </c>
      <c r="C72" s="11">
        <f t="shared" si="0"/>
        <v>-2.7800000000000047E-2</v>
      </c>
      <c r="D72" s="12">
        <f t="shared" si="1"/>
        <v>7.7284000000000261E-4</v>
      </c>
      <c r="E72" s="12">
        <f t="shared" si="2"/>
        <v>1.600000000000003E-5</v>
      </c>
      <c r="F72" s="12">
        <f t="shared" si="3"/>
        <v>5.168301385825514E-5</v>
      </c>
      <c r="G72" s="12">
        <f t="shared" si="4"/>
        <v>-3.4604790063088045</v>
      </c>
      <c r="I72" s="12">
        <f t="shared" si="5"/>
        <v>7.1890899186374865E-3</v>
      </c>
      <c r="J72" s="12">
        <f t="shared" si="6"/>
        <v>7.4054730214398717E-3</v>
      </c>
    </row>
    <row r="73" spans="1:10">
      <c r="A73" s="15">
        <v>40361</v>
      </c>
      <c r="B73" s="11">
        <v>1.4931000000000001</v>
      </c>
      <c r="C73" s="11">
        <f t="shared" si="0"/>
        <v>6.0000000000015596E-4</v>
      </c>
      <c r="D73" s="12">
        <f t="shared" si="1"/>
        <v>3.6000000000018714E-7</v>
      </c>
      <c r="E73" s="12">
        <f t="shared" si="2"/>
        <v>7.7284000000000261E-4</v>
      </c>
      <c r="F73" s="12">
        <f t="shared" si="3"/>
        <v>1.1149882808674771E-4</v>
      </c>
      <c r="G73" s="12">
        <f t="shared" si="4"/>
        <v>3.6301953314414805</v>
      </c>
      <c r="I73" s="12">
        <f t="shared" si="5"/>
        <v>1.0559300549124819E-2</v>
      </c>
      <c r="J73" s="12">
        <f t="shared" si="6"/>
        <v>7.4054730214398717E-3</v>
      </c>
    </row>
    <row r="74" spans="1:10">
      <c r="A74" s="15">
        <v>40364</v>
      </c>
      <c r="B74" s="11">
        <v>1.4902</v>
      </c>
      <c r="C74" s="11">
        <f t="shared" si="0"/>
        <v>-2.9000000000001247E-3</v>
      </c>
      <c r="D74" s="12">
        <f t="shared" si="1"/>
        <v>8.4100000000007225E-6</v>
      </c>
      <c r="E74" s="12">
        <f t="shared" si="2"/>
        <v>3.6000000000018714E-7</v>
      </c>
      <c r="F74" s="12">
        <f t="shared" si="3"/>
        <v>9.9241743291805838E-5</v>
      </c>
      <c r="G74" s="12">
        <f t="shared" si="4"/>
        <v>3.647666092748528</v>
      </c>
      <c r="I74" s="12">
        <f t="shared" si="5"/>
        <v>9.9620150216613232E-3</v>
      </c>
      <c r="J74" s="12">
        <f t="shared" si="6"/>
        <v>7.4054730214398717E-3</v>
      </c>
    </row>
    <row r="75" spans="1:10">
      <c r="A75" s="15">
        <v>40365</v>
      </c>
      <c r="B75" s="11">
        <v>1.4818</v>
      </c>
      <c r="C75" s="11">
        <f t="shared" si="0"/>
        <v>-8.3999999999999631E-3</v>
      </c>
      <c r="D75" s="12">
        <f t="shared" si="1"/>
        <v>7.0559999999999379E-5</v>
      </c>
      <c r="E75" s="12">
        <f t="shared" si="2"/>
        <v>8.4100000000007225E-6</v>
      </c>
      <c r="F75" s="12">
        <f t="shared" si="3"/>
        <v>8.9364782709937805E-5</v>
      </c>
      <c r="G75" s="12">
        <f t="shared" si="4"/>
        <v>3.3476670103594692</v>
      </c>
      <c r="I75" s="12">
        <f t="shared" si="5"/>
        <v>9.4532948070996815E-3</v>
      </c>
      <c r="J75" s="12">
        <f t="shared" si="6"/>
        <v>7.4054730214398717E-3</v>
      </c>
    </row>
    <row r="76" spans="1:10">
      <c r="A76" s="15">
        <v>40366</v>
      </c>
      <c r="B76" s="11">
        <v>1.4827999999999999</v>
      </c>
      <c r="C76" s="11">
        <f t="shared" si="0"/>
        <v>9.9999999999988987E-4</v>
      </c>
      <c r="D76" s="12">
        <f t="shared" si="1"/>
        <v>9.9999999999977973E-7</v>
      </c>
      <c r="E76" s="12">
        <f t="shared" si="2"/>
        <v>7.0559999999999379E-5</v>
      </c>
      <c r="F76" s="12">
        <f t="shared" si="3"/>
        <v>8.5995627783388892E-5</v>
      </c>
      <c r="G76" s="12">
        <f t="shared" si="4"/>
        <v>3.7558542616912933</v>
      </c>
      <c r="I76" s="12">
        <f t="shared" si="5"/>
        <v>9.2733827583783516E-3</v>
      </c>
      <c r="J76" s="12">
        <f t="shared" si="6"/>
        <v>7.4054730214398717E-3</v>
      </c>
    </row>
    <row r="77" spans="1:10">
      <c r="A77" s="15">
        <v>40367</v>
      </c>
      <c r="B77" s="11">
        <v>1.4812000000000001</v>
      </c>
      <c r="C77" s="11">
        <f t="shared" si="0"/>
        <v>-1.5999999999998238E-3</v>
      </c>
      <c r="D77" s="12">
        <f t="shared" si="1"/>
        <v>2.5599999999994359E-6</v>
      </c>
      <c r="E77" s="12">
        <f t="shared" si="2"/>
        <v>9.9999999999977973E-7</v>
      </c>
      <c r="F77" s="12">
        <f t="shared" si="3"/>
        <v>7.7362486349121101E-5</v>
      </c>
      <c r="G77" s="12">
        <f t="shared" si="4"/>
        <v>3.7980202562424421</v>
      </c>
      <c r="I77" s="12">
        <f t="shared" si="5"/>
        <v>8.7955947126457067E-3</v>
      </c>
      <c r="J77" s="12">
        <f t="shared" si="6"/>
        <v>7.4054730214398717E-3</v>
      </c>
    </row>
    <row r="78" spans="1:10">
      <c r="A78" s="15">
        <v>40368</v>
      </c>
      <c r="B78" s="11">
        <v>1.4867999999999999</v>
      </c>
      <c r="C78" s="11">
        <f t="shared" ref="C78:C141" si="7">B78-B77</f>
        <v>5.5999999999998273E-3</v>
      </c>
      <c r="D78" s="12">
        <f t="shared" ref="D78:D141" si="8">C78^2</f>
        <v>3.1359999999998067E-5</v>
      </c>
      <c r="E78" s="12">
        <f t="shared" si="2"/>
        <v>2.5599999999994359E-6</v>
      </c>
      <c r="F78" s="12">
        <f t="shared" si="3"/>
        <v>7.0066863381548699E-5</v>
      </c>
      <c r="G78" s="12">
        <f t="shared" si="4"/>
        <v>3.6403055083768785</v>
      </c>
      <c r="I78" s="12">
        <f t="shared" si="5"/>
        <v>8.3705951629229267E-3</v>
      </c>
      <c r="J78" s="12">
        <f t="shared" si="6"/>
        <v>7.4054730214398717E-3</v>
      </c>
    </row>
    <row r="79" spans="1:10">
      <c r="A79" s="15">
        <v>40371</v>
      </c>
      <c r="B79" s="11">
        <v>1.4915</v>
      </c>
      <c r="C79" s="11">
        <f t="shared" si="7"/>
        <v>4.7000000000001485E-3</v>
      </c>
      <c r="D79" s="12">
        <f t="shared" si="8"/>
        <v>2.2090000000001396E-5</v>
      </c>
      <c r="E79" s="12">
        <f t="shared" ref="E79:E142" si="9">D78</f>
        <v>3.1359999999998067E-5</v>
      </c>
      <c r="F79" s="12">
        <f t="shared" ref="F79:F142" si="10">$B$5+$B$6*E79+$B$7*F78</f>
        <v>6.6167618514339672E-5</v>
      </c>
      <c r="G79" s="12">
        <f t="shared" ref="G79:G142" si="11">LN((1/SQRT(2*3.1415927*F79))*EXP(-0.5*D79/F79))</f>
        <v>3.7257965890795877</v>
      </c>
      <c r="I79" s="12">
        <f t="shared" ref="I79:I142" si="12">SQRT(F79)</f>
        <v>8.1343480694115664E-3</v>
      </c>
      <c r="J79" s="12">
        <f t="shared" si="6"/>
        <v>7.4054730214398717E-3</v>
      </c>
    </row>
    <row r="80" spans="1:10">
      <c r="A80" s="15">
        <v>40372</v>
      </c>
      <c r="B80" s="11">
        <v>1.4791000000000001</v>
      </c>
      <c r="C80" s="11">
        <f t="shared" si="7"/>
        <v>-1.2399999999999967E-2</v>
      </c>
      <c r="D80" s="12">
        <f t="shared" si="8"/>
        <v>1.5375999999999918E-4</v>
      </c>
      <c r="E80" s="12">
        <f t="shared" si="9"/>
        <v>2.2090000000001396E-5</v>
      </c>
      <c r="F80" s="12">
        <f t="shared" si="10"/>
        <v>6.2049994687970284E-5</v>
      </c>
      <c r="G80" s="12">
        <f t="shared" si="11"/>
        <v>2.685845613498953</v>
      </c>
      <c r="I80" s="12">
        <f t="shared" si="12"/>
        <v>7.8771819001448914E-3</v>
      </c>
      <c r="J80" s="12">
        <f t="shared" ref="J80:J143" si="13">J79</f>
        <v>7.4054730214398717E-3</v>
      </c>
    </row>
    <row r="81" spans="1:10">
      <c r="A81" s="15">
        <v>40373</v>
      </c>
      <c r="B81" s="11">
        <v>1.4795</v>
      </c>
      <c r="C81" s="11">
        <f t="shared" si="7"/>
        <v>3.9999999999995595E-4</v>
      </c>
      <c r="D81" s="12">
        <f t="shared" si="8"/>
        <v>1.5999999999996475E-7</v>
      </c>
      <c r="E81" s="12">
        <f t="shared" si="9"/>
        <v>1.5375999999999918E-4</v>
      </c>
      <c r="F81" s="12">
        <f t="shared" si="10"/>
        <v>6.9366171559282459E-5</v>
      </c>
      <c r="G81" s="12">
        <f t="shared" si="11"/>
        <v>3.8679637848898225</v>
      </c>
      <c r="I81" s="12">
        <f t="shared" si="12"/>
        <v>8.3286356361220691E-3</v>
      </c>
      <c r="J81" s="12">
        <f t="shared" si="13"/>
        <v>7.4054730214398717E-3</v>
      </c>
    </row>
    <row r="82" spans="1:10">
      <c r="A82" s="15">
        <v>40374</v>
      </c>
      <c r="B82" s="11">
        <v>1.4599</v>
      </c>
      <c r="C82" s="11">
        <f t="shared" si="7"/>
        <v>-1.9600000000000062E-2</v>
      </c>
      <c r="D82" s="12">
        <f t="shared" si="8"/>
        <v>3.8416000000000242E-4</v>
      </c>
      <c r="E82" s="12">
        <f t="shared" si="9"/>
        <v>1.5999999999996475E-7</v>
      </c>
      <c r="F82" s="12">
        <f t="shared" si="10"/>
        <v>6.2992360456946866E-5</v>
      </c>
      <c r="G82" s="12">
        <f t="shared" si="11"/>
        <v>0.86805136028109109</v>
      </c>
      <c r="I82" s="12">
        <f t="shared" si="12"/>
        <v>7.9367726726262532E-3</v>
      </c>
      <c r="J82" s="12">
        <f t="shared" si="13"/>
        <v>7.4054730214398717E-3</v>
      </c>
    </row>
    <row r="83" spans="1:10">
      <c r="A83" s="15">
        <v>40375</v>
      </c>
      <c r="B83" s="11">
        <v>1.4649000000000001</v>
      </c>
      <c r="C83" s="11">
        <f t="shared" si="7"/>
        <v>5.0000000000001155E-3</v>
      </c>
      <c r="D83" s="12">
        <f t="shared" si="8"/>
        <v>2.5000000000001153E-5</v>
      </c>
      <c r="E83" s="12">
        <f t="shared" si="9"/>
        <v>3.8416000000000242E-4</v>
      </c>
      <c r="F83" s="12">
        <f t="shared" si="10"/>
        <v>8.917485341973272E-5</v>
      </c>
      <c r="G83" s="12">
        <f t="shared" si="11"/>
        <v>3.6033431486972995</v>
      </c>
      <c r="I83" s="12">
        <f t="shared" si="12"/>
        <v>9.4432437975376197E-3</v>
      </c>
      <c r="J83" s="12">
        <f t="shared" si="13"/>
        <v>7.4054730214398717E-3</v>
      </c>
    </row>
    <row r="84" spans="1:10">
      <c r="A84" s="15">
        <v>40378</v>
      </c>
      <c r="B84" s="11">
        <v>1.4646999999999999</v>
      </c>
      <c r="C84" s="11">
        <f t="shared" si="7"/>
        <v>-2.0000000000020002E-4</v>
      </c>
      <c r="D84" s="12">
        <f t="shared" si="8"/>
        <v>4.0000000000080006E-8</v>
      </c>
      <c r="E84" s="12">
        <f t="shared" si="9"/>
        <v>2.5000000000001153E-5</v>
      </c>
      <c r="F84" s="12">
        <f t="shared" si="10"/>
        <v>8.2075517224165084E-5</v>
      </c>
      <c r="G84" s="12">
        <f t="shared" si="11"/>
        <v>3.784753177757453</v>
      </c>
      <c r="I84" s="12">
        <f t="shared" si="12"/>
        <v>9.0595539197117804E-3</v>
      </c>
      <c r="J84" s="12">
        <f t="shared" si="13"/>
        <v>7.4054730214398717E-3</v>
      </c>
    </row>
    <row r="85" spans="1:10">
      <c r="A85" s="15">
        <v>40379</v>
      </c>
      <c r="B85" s="11">
        <v>1.4703999999999999</v>
      </c>
      <c r="C85" s="11">
        <f t="shared" si="7"/>
        <v>5.7000000000000384E-3</v>
      </c>
      <c r="D85" s="12">
        <f t="shared" si="8"/>
        <v>3.2490000000000436E-5</v>
      </c>
      <c r="E85" s="12">
        <f t="shared" si="9"/>
        <v>4.0000000000080006E-8</v>
      </c>
      <c r="F85" s="12">
        <f t="shared" si="10"/>
        <v>7.3912142823713691E-5</v>
      </c>
      <c r="G85" s="12">
        <f t="shared" si="11"/>
        <v>3.6175902017279125</v>
      </c>
      <c r="I85" s="12">
        <f t="shared" si="12"/>
        <v>8.5972171557844052E-3</v>
      </c>
      <c r="J85" s="12">
        <f t="shared" si="13"/>
        <v>7.4054730214398717E-3</v>
      </c>
    </row>
    <row r="86" spans="1:10">
      <c r="A86" s="15">
        <v>40380</v>
      </c>
      <c r="B86" s="11">
        <v>1.4806999999999999</v>
      </c>
      <c r="C86" s="11">
        <f t="shared" si="7"/>
        <v>1.0299999999999976E-2</v>
      </c>
      <c r="D86" s="12">
        <f t="shared" si="8"/>
        <v>1.0608999999999951E-4</v>
      </c>
      <c r="E86" s="12">
        <f t="shared" si="9"/>
        <v>3.2490000000000436E-5</v>
      </c>
      <c r="F86" s="12">
        <f t="shared" si="10"/>
        <v>6.9567627222231774E-5</v>
      </c>
      <c r="G86" s="12">
        <f t="shared" si="11"/>
        <v>3.1051716107308494</v>
      </c>
      <c r="I86" s="12">
        <f t="shared" si="12"/>
        <v>8.3407210253209994E-3</v>
      </c>
      <c r="J86" s="12">
        <f t="shared" si="13"/>
        <v>7.4054730214398717E-3</v>
      </c>
    </row>
    <row r="87" spans="1:10">
      <c r="A87" s="15">
        <v>40381</v>
      </c>
      <c r="B87" s="11">
        <v>1.4697</v>
      </c>
      <c r="C87" s="11">
        <f t="shared" si="7"/>
        <v>-1.0999999999999899E-2</v>
      </c>
      <c r="D87" s="12">
        <f t="shared" si="8"/>
        <v>1.2099999999999778E-4</v>
      </c>
      <c r="E87" s="12">
        <f t="shared" si="9"/>
        <v>1.0608999999999951E-4</v>
      </c>
      <c r="F87" s="12">
        <f t="shared" si="10"/>
        <v>7.1900359936146317E-5</v>
      </c>
      <c r="G87" s="12">
        <f t="shared" si="11"/>
        <v>3.0097338619087188</v>
      </c>
      <c r="I87" s="12">
        <f t="shared" si="12"/>
        <v>8.479407994438427E-3</v>
      </c>
      <c r="J87" s="12">
        <f t="shared" si="13"/>
        <v>7.4054730214398717E-3</v>
      </c>
    </row>
    <row r="88" spans="1:10">
      <c r="A88" s="15">
        <v>40382</v>
      </c>
      <c r="B88" s="11">
        <v>1.4674</v>
      </c>
      <c r="C88" s="11">
        <f t="shared" si="7"/>
        <v>-2.2999999999999687E-3</v>
      </c>
      <c r="D88" s="12">
        <f t="shared" si="8"/>
        <v>5.2899999999998562E-6</v>
      </c>
      <c r="E88" s="12">
        <f t="shared" si="9"/>
        <v>1.2099999999999778E-4</v>
      </c>
      <c r="F88" s="12">
        <f t="shared" si="10"/>
        <v>7.5135889594863964E-5</v>
      </c>
      <c r="G88" s="12">
        <f t="shared" si="11"/>
        <v>3.7939646867859116</v>
      </c>
      <c r="I88" s="12">
        <f t="shared" si="12"/>
        <v>8.6680960766978097E-3</v>
      </c>
      <c r="J88" s="12">
        <f t="shared" si="13"/>
        <v>7.4054730214398717E-3</v>
      </c>
    </row>
    <row r="89" spans="1:10">
      <c r="A89" s="15">
        <v>40385</v>
      </c>
      <c r="B89" s="11">
        <v>1.4618</v>
      </c>
      <c r="C89" s="11">
        <f t="shared" si="7"/>
        <v>-5.6000000000000494E-3</v>
      </c>
      <c r="D89" s="12">
        <f t="shared" si="8"/>
        <v>3.1360000000000554E-5</v>
      </c>
      <c r="E89" s="12">
        <f t="shared" si="9"/>
        <v>5.2899999999998562E-6</v>
      </c>
      <c r="F89" s="12">
        <f t="shared" si="10"/>
        <v>6.8377162994377882E-5</v>
      </c>
      <c r="G89" s="12">
        <f t="shared" si="11"/>
        <v>3.6469809622042093</v>
      </c>
      <c r="I89" s="12">
        <f t="shared" si="12"/>
        <v>8.2690484938944386E-3</v>
      </c>
      <c r="J89" s="12">
        <f t="shared" si="13"/>
        <v>7.4054730214398717E-3</v>
      </c>
    </row>
    <row r="90" spans="1:10">
      <c r="A90" s="15">
        <v>40386</v>
      </c>
      <c r="B90" s="11">
        <v>1.4618</v>
      </c>
      <c r="C90" s="11">
        <f t="shared" si="7"/>
        <v>0</v>
      </c>
      <c r="D90" s="12">
        <f t="shared" si="8"/>
        <v>0</v>
      </c>
      <c r="E90" s="12">
        <f t="shared" si="9"/>
        <v>3.1360000000000554E-5</v>
      </c>
      <c r="F90" s="12">
        <f t="shared" si="10"/>
        <v>6.4714524039270911E-5</v>
      </c>
      <c r="G90" s="12">
        <f t="shared" si="11"/>
        <v>3.9038239088175604</v>
      </c>
      <c r="I90" s="12">
        <f t="shared" si="12"/>
        <v>8.0445337987524734E-3</v>
      </c>
      <c r="J90" s="12">
        <f t="shared" si="13"/>
        <v>7.4054730214398717E-3</v>
      </c>
    </row>
    <row r="91" spans="1:10">
      <c r="A91" s="15">
        <v>40387</v>
      </c>
      <c r="B91" s="11">
        <v>1.4618</v>
      </c>
      <c r="C91" s="11">
        <f t="shared" si="7"/>
        <v>0</v>
      </c>
      <c r="D91" s="12">
        <f t="shared" si="8"/>
        <v>0</v>
      </c>
      <c r="E91" s="12">
        <f t="shared" si="9"/>
        <v>0</v>
      </c>
      <c r="F91" s="12">
        <f t="shared" si="10"/>
        <v>5.8978882093937888E-5</v>
      </c>
      <c r="G91" s="12">
        <f t="shared" si="11"/>
        <v>3.9502270137800273</v>
      </c>
      <c r="I91" s="12">
        <f t="shared" si="12"/>
        <v>7.6797709662422805E-3</v>
      </c>
      <c r="J91" s="12">
        <f t="shared" si="13"/>
        <v>7.4054730214398717E-3</v>
      </c>
    </row>
    <row r="92" spans="1:10">
      <c r="A92" s="15">
        <v>40388</v>
      </c>
      <c r="B92" s="11">
        <v>1.4572000000000001</v>
      </c>
      <c r="C92" s="11">
        <f t="shared" si="7"/>
        <v>-4.5999999999999375E-3</v>
      </c>
      <c r="D92" s="12">
        <f t="shared" si="8"/>
        <v>2.1159999999999425E-5</v>
      </c>
      <c r="E92" s="12">
        <f t="shared" si="9"/>
        <v>0</v>
      </c>
      <c r="F92" s="12">
        <f t="shared" si="10"/>
        <v>5.4046392473282623E-5</v>
      </c>
      <c r="G92" s="12">
        <f t="shared" si="11"/>
        <v>3.7981375930321835</v>
      </c>
      <c r="I92" s="12">
        <f t="shared" si="12"/>
        <v>7.3516251586491152E-3</v>
      </c>
      <c r="J92" s="12">
        <f t="shared" si="13"/>
        <v>7.4054730214398717E-3</v>
      </c>
    </row>
    <row r="93" spans="1:10">
      <c r="A93" s="15">
        <v>40389</v>
      </c>
      <c r="B93" s="11">
        <v>1.4601999999999999</v>
      </c>
      <c r="C93" s="11">
        <f t="shared" si="7"/>
        <v>2.9999999999998916E-3</v>
      </c>
      <c r="D93" s="12">
        <f t="shared" si="8"/>
        <v>8.9999999999993497E-6</v>
      </c>
      <c r="E93" s="12">
        <f t="shared" si="9"/>
        <v>2.1159999999999425E-5</v>
      </c>
      <c r="F93" s="12">
        <f t="shared" si="10"/>
        <v>5.1549397864466474E-5</v>
      </c>
      <c r="G93" s="12">
        <f t="shared" si="11"/>
        <v>3.9302515644138585</v>
      </c>
      <c r="I93" s="12">
        <f t="shared" si="12"/>
        <v>7.1797909345931842E-3</v>
      </c>
      <c r="J93" s="12">
        <f t="shared" si="13"/>
        <v>7.4054730214398717E-3</v>
      </c>
    </row>
    <row r="94" spans="1:10">
      <c r="A94" s="15">
        <v>40392</v>
      </c>
      <c r="B94" s="11">
        <v>1.4504999999999999</v>
      </c>
      <c r="C94" s="11">
        <f t="shared" si="7"/>
        <v>-9.7000000000000419E-3</v>
      </c>
      <c r="D94" s="12">
        <f t="shared" si="8"/>
        <v>9.4090000000000815E-5</v>
      </c>
      <c r="E94" s="12">
        <f t="shared" si="9"/>
        <v>8.9999999999993497E-6</v>
      </c>
      <c r="F94" s="12">
        <f t="shared" si="10"/>
        <v>4.839936654121447E-5</v>
      </c>
      <c r="G94" s="12">
        <f t="shared" si="11"/>
        <v>3.0770565215886259</v>
      </c>
      <c r="I94" s="12">
        <f t="shared" si="12"/>
        <v>6.95696532557224E-3</v>
      </c>
      <c r="J94" s="12">
        <f t="shared" si="13"/>
        <v>7.4054730214398717E-3</v>
      </c>
    </row>
    <row r="95" spans="1:10">
      <c r="A95" s="15">
        <v>40393</v>
      </c>
      <c r="B95" s="11">
        <v>1.4442999999999999</v>
      </c>
      <c r="C95" s="11">
        <f t="shared" si="7"/>
        <v>-6.1999999999999833E-3</v>
      </c>
      <c r="D95" s="12">
        <f t="shared" si="8"/>
        <v>3.8439999999999795E-5</v>
      </c>
      <c r="E95" s="12">
        <f t="shared" si="9"/>
        <v>9.4090000000000815E-5</v>
      </c>
      <c r="F95" s="12">
        <f t="shared" si="10"/>
        <v>5.2706761868575124E-5</v>
      </c>
      <c r="G95" s="12">
        <f t="shared" si="11"/>
        <v>3.6417857669638827</v>
      </c>
      <c r="I95" s="12">
        <f t="shared" si="12"/>
        <v>7.2599422772206068E-3</v>
      </c>
      <c r="J95" s="12">
        <f t="shared" si="13"/>
        <v>7.4054730214398717E-3</v>
      </c>
    </row>
    <row r="96" spans="1:10">
      <c r="A96" s="15">
        <v>40394</v>
      </c>
      <c r="B96" s="11">
        <v>1.4490000000000001</v>
      </c>
      <c r="C96" s="11">
        <f t="shared" si="7"/>
        <v>4.7000000000001485E-3</v>
      </c>
      <c r="D96" s="12">
        <f t="shared" si="8"/>
        <v>2.2090000000001396E-5</v>
      </c>
      <c r="E96" s="12">
        <f t="shared" si="9"/>
        <v>3.8439999999999795E-5</v>
      </c>
      <c r="F96" s="12">
        <f t="shared" si="10"/>
        <v>5.1822224036436253E-5</v>
      </c>
      <c r="G96" s="12">
        <f t="shared" si="11"/>
        <v>3.8017746952100637</v>
      </c>
      <c r="I96" s="12">
        <f t="shared" si="12"/>
        <v>7.1987654522450064E-3</v>
      </c>
      <c r="J96" s="12">
        <f t="shared" si="13"/>
        <v>7.4054730214398717E-3</v>
      </c>
    </row>
    <row r="97" spans="1:10">
      <c r="A97" s="15">
        <v>40395</v>
      </c>
      <c r="B97" s="11">
        <v>1.4474</v>
      </c>
      <c r="C97" s="11">
        <f t="shared" si="7"/>
        <v>-1.6000000000000458E-3</v>
      </c>
      <c r="D97" s="12">
        <f t="shared" si="8"/>
        <v>2.5600000000001466E-6</v>
      </c>
      <c r="E97" s="12">
        <f t="shared" si="9"/>
        <v>2.2090000000001396E-5</v>
      </c>
      <c r="F97" s="12">
        <f t="shared" si="10"/>
        <v>4.9713361745943859E-5</v>
      </c>
      <c r="G97" s="12">
        <f t="shared" si="11"/>
        <v>4.0099322609321746</v>
      </c>
      <c r="I97" s="12">
        <f t="shared" si="12"/>
        <v>7.0507702945099456E-3</v>
      </c>
      <c r="J97" s="12">
        <f t="shared" si="13"/>
        <v>7.4054730214398717E-3</v>
      </c>
    </row>
    <row r="98" spans="1:10">
      <c r="A98" s="15">
        <v>40396</v>
      </c>
      <c r="B98" s="11">
        <v>1.4401999999999999</v>
      </c>
      <c r="C98" s="11">
        <f t="shared" si="7"/>
        <v>-7.2000000000000952E-3</v>
      </c>
      <c r="D98" s="12">
        <f t="shared" si="8"/>
        <v>5.1840000000001374E-5</v>
      </c>
      <c r="E98" s="12">
        <f t="shared" si="9"/>
        <v>2.5600000000001466E-6</v>
      </c>
      <c r="F98" s="12">
        <f t="shared" si="10"/>
        <v>4.6289399337381105E-5</v>
      </c>
      <c r="G98" s="12">
        <f t="shared" si="11"/>
        <v>3.5114048299765881</v>
      </c>
      <c r="I98" s="12">
        <f t="shared" si="12"/>
        <v>6.8036313346169124E-3</v>
      </c>
      <c r="J98" s="12">
        <f t="shared" si="13"/>
        <v>7.4054730214398717E-3</v>
      </c>
    </row>
    <row r="99" spans="1:10">
      <c r="A99" s="15">
        <v>40399</v>
      </c>
      <c r="B99" s="11">
        <v>1.4419999999999999</v>
      </c>
      <c r="C99" s="11">
        <f t="shared" si="7"/>
        <v>1.8000000000000238E-3</v>
      </c>
      <c r="D99" s="12">
        <f t="shared" si="8"/>
        <v>3.2400000000000859E-6</v>
      </c>
      <c r="E99" s="12">
        <f t="shared" si="9"/>
        <v>5.1840000000001374E-5</v>
      </c>
      <c r="F99" s="12">
        <f t="shared" si="10"/>
        <v>4.740840835848268E-5</v>
      </c>
      <c r="G99" s="12">
        <f t="shared" si="11"/>
        <v>4.0252457826252597</v>
      </c>
      <c r="I99" s="12">
        <f t="shared" si="12"/>
        <v>6.8853764137106321E-3</v>
      </c>
      <c r="J99" s="12">
        <f t="shared" si="13"/>
        <v>7.4054730214398717E-3</v>
      </c>
    </row>
    <row r="100" spans="1:10">
      <c r="A100" s="15">
        <v>40400</v>
      </c>
      <c r="B100" s="11">
        <v>1.4447000000000001</v>
      </c>
      <c r="C100" s="11">
        <f t="shared" si="7"/>
        <v>2.7000000000001467E-3</v>
      </c>
      <c r="D100" s="12">
        <f t="shared" si="8"/>
        <v>7.2900000000007925E-6</v>
      </c>
      <c r="E100" s="12">
        <f t="shared" si="9"/>
        <v>3.2400000000000859E-6</v>
      </c>
      <c r="F100" s="12">
        <f t="shared" si="10"/>
        <v>4.4363276002822541E-5</v>
      </c>
      <c r="G100" s="12">
        <f t="shared" si="11"/>
        <v>4.0104481806806982</v>
      </c>
      <c r="I100" s="12">
        <f t="shared" si="12"/>
        <v>6.6605762515583094E-3</v>
      </c>
      <c r="J100" s="12">
        <f t="shared" si="13"/>
        <v>7.4054730214398717E-3</v>
      </c>
    </row>
    <row r="101" spans="1:10">
      <c r="A101" s="15">
        <v>40401</v>
      </c>
      <c r="B101" s="11">
        <v>1.4655</v>
      </c>
      <c r="C101" s="11">
        <f t="shared" si="7"/>
        <v>2.079999999999993E-2</v>
      </c>
      <c r="D101" s="12">
        <f t="shared" si="8"/>
        <v>4.3263999999999705E-4</v>
      </c>
      <c r="E101" s="12">
        <f t="shared" si="9"/>
        <v>7.2900000000007925E-6</v>
      </c>
      <c r="F101" s="12">
        <f t="shared" si="10"/>
        <v>4.2078502460145891E-5</v>
      </c>
      <c r="G101" s="12">
        <f t="shared" si="11"/>
        <v>-1.0218191149897655</v>
      </c>
      <c r="I101" s="12">
        <f t="shared" si="12"/>
        <v>6.4867944672346361E-3</v>
      </c>
      <c r="J101" s="12">
        <f t="shared" si="13"/>
        <v>7.4054730214398717E-3</v>
      </c>
    </row>
    <row r="102" spans="1:10">
      <c r="A102" s="15">
        <v>40402</v>
      </c>
      <c r="B102" s="11">
        <v>1.4698</v>
      </c>
      <c r="C102" s="11">
        <f t="shared" si="7"/>
        <v>4.2999999999999705E-3</v>
      </c>
      <c r="D102" s="12">
        <f t="shared" si="8"/>
        <v>1.8489999999999747E-5</v>
      </c>
      <c r="E102" s="12">
        <f t="shared" si="9"/>
        <v>4.3263999999999705E-4</v>
      </c>
      <c r="F102" s="12">
        <f t="shared" si="10"/>
        <v>7.5187081377448559E-5</v>
      </c>
      <c r="G102" s="12">
        <f t="shared" si="11"/>
        <v>3.705867072287349</v>
      </c>
      <c r="I102" s="12">
        <f t="shared" si="12"/>
        <v>8.6710484589493878E-3</v>
      </c>
      <c r="J102" s="12">
        <f t="shared" si="13"/>
        <v>7.4054730214398717E-3</v>
      </c>
    </row>
    <row r="103" spans="1:10">
      <c r="A103" s="15">
        <v>40403</v>
      </c>
      <c r="B103" s="11">
        <v>1.4767999999999999</v>
      </c>
      <c r="C103" s="11">
        <f t="shared" si="7"/>
        <v>6.9999999999998952E-3</v>
      </c>
      <c r="D103" s="12">
        <f t="shared" si="8"/>
        <v>4.8999999999998535E-5</v>
      </c>
      <c r="E103" s="12">
        <f t="shared" si="9"/>
        <v>1.8489999999999747E-5</v>
      </c>
      <c r="F103" s="12">
        <f t="shared" si="10"/>
        <v>6.9509629258159713E-5</v>
      </c>
      <c r="G103" s="12">
        <f t="shared" si="11"/>
        <v>3.515614940823252</v>
      </c>
      <c r="I103" s="12">
        <f t="shared" si="12"/>
        <v>8.3372435047897996E-3</v>
      </c>
      <c r="J103" s="12">
        <f t="shared" si="13"/>
        <v>7.4054730214398717E-3</v>
      </c>
    </row>
    <row r="104" spans="1:10">
      <c r="A104" s="15">
        <v>40406</v>
      </c>
      <c r="B104" s="11">
        <v>1.4714</v>
      </c>
      <c r="C104" s="11">
        <f t="shared" si="7"/>
        <v>-5.3999999999998494E-3</v>
      </c>
      <c r="D104" s="12">
        <f t="shared" si="8"/>
        <v>2.9159999999998372E-5</v>
      </c>
      <c r="E104" s="12">
        <f t="shared" si="9"/>
        <v>4.8999999999998535E-5</v>
      </c>
      <c r="F104" s="12">
        <f t="shared" si="10"/>
        <v>6.7142968303299347E-5</v>
      </c>
      <c r="G104" s="12">
        <f t="shared" si="11"/>
        <v>3.6682560611136821</v>
      </c>
      <c r="I104" s="12">
        <f t="shared" si="12"/>
        <v>8.194081297088731E-3</v>
      </c>
      <c r="J104" s="12">
        <f t="shared" si="13"/>
        <v>7.4054730214398717E-3</v>
      </c>
    </row>
    <row r="105" spans="1:10">
      <c r="A105" s="15">
        <v>40407</v>
      </c>
      <c r="B105" s="11">
        <v>1.4670000000000001</v>
      </c>
      <c r="C105" s="11">
        <f t="shared" si="7"/>
        <v>-4.3999999999999595E-3</v>
      </c>
      <c r="D105" s="12">
        <f t="shared" si="8"/>
        <v>1.9359999999999645E-5</v>
      </c>
      <c r="E105" s="12">
        <f t="shared" si="9"/>
        <v>2.9159999999998372E-5</v>
      </c>
      <c r="F105" s="12">
        <f t="shared" si="10"/>
        <v>6.3471744431301517E-5</v>
      </c>
      <c r="G105" s="12">
        <f t="shared" si="11"/>
        <v>3.761010513086382</v>
      </c>
      <c r="I105" s="12">
        <f t="shared" si="12"/>
        <v>7.9669156159270019E-3</v>
      </c>
      <c r="J105" s="12">
        <f t="shared" si="13"/>
        <v>7.4054730214398717E-3</v>
      </c>
    </row>
    <row r="106" spans="1:10">
      <c r="A106" s="15">
        <v>40408</v>
      </c>
      <c r="B106" s="11">
        <v>1.4696</v>
      </c>
      <c r="C106" s="11">
        <f t="shared" si="7"/>
        <v>2.5999999999999357E-3</v>
      </c>
      <c r="D106" s="12">
        <f t="shared" si="8"/>
        <v>6.7599999999996659E-6</v>
      </c>
      <c r="E106" s="12">
        <f t="shared" si="9"/>
        <v>1.9359999999999645E-5</v>
      </c>
      <c r="F106" s="12">
        <f t="shared" si="10"/>
        <v>5.9506509575705582E-5</v>
      </c>
      <c r="G106" s="12">
        <f t="shared" si="11"/>
        <v>3.8889733743402788</v>
      </c>
      <c r="I106" s="12">
        <f t="shared" si="12"/>
        <v>7.7140462518515912E-3</v>
      </c>
      <c r="J106" s="12">
        <f t="shared" si="13"/>
        <v>7.4054730214398717E-3</v>
      </c>
    </row>
    <row r="107" spans="1:10">
      <c r="A107" s="15">
        <v>40409</v>
      </c>
      <c r="B107" s="11">
        <v>1.4728000000000001</v>
      </c>
      <c r="C107" s="11">
        <f t="shared" si="7"/>
        <v>3.2000000000000917E-3</v>
      </c>
      <c r="D107" s="12">
        <f t="shared" si="8"/>
        <v>1.0240000000000586E-5</v>
      </c>
      <c r="E107" s="12">
        <f t="shared" si="9"/>
        <v>6.7599999999996659E-6</v>
      </c>
      <c r="F107" s="12">
        <f t="shared" si="10"/>
        <v>5.5057551799615364E-5</v>
      </c>
      <c r="G107" s="12">
        <f t="shared" si="11"/>
        <v>3.8916336202163047</v>
      </c>
      <c r="I107" s="12">
        <f t="shared" si="12"/>
        <v>7.4200776141234107E-3</v>
      </c>
      <c r="J107" s="12">
        <f t="shared" si="13"/>
        <v>7.4054730214398717E-3</v>
      </c>
    </row>
    <row r="108" spans="1:10">
      <c r="A108" s="15">
        <v>40410</v>
      </c>
      <c r="B108" s="11">
        <v>1.4842</v>
      </c>
      <c r="C108" s="11">
        <f t="shared" si="7"/>
        <v>1.1399999999999855E-2</v>
      </c>
      <c r="D108" s="12">
        <f t="shared" si="8"/>
        <v>1.2995999999999668E-4</v>
      </c>
      <c r="E108" s="12">
        <f t="shared" si="9"/>
        <v>1.0240000000000586E-5</v>
      </c>
      <c r="F108" s="12">
        <f t="shared" si="10"/>
        <v>5.1518527218086554E-5</v>
      </c>
      <c r="G108" s="12">
        <f t="shared" si="11"/>
        <v>2.7565521709161045</v>
      </c>
      <c r="I108" s="12">
        <f t="shared" si="12"/>
        <v>7.1776407835783028E-3</v>
      </c>
      <c r="J108" s="12">
        <f t="shared" si="13"/>
        <v>7.4054730214398717E-3</v>
      </c>
    </row>
    <row r="109" spans="1:10">
      <c r="A109" s="15">
        <v>40413</v>
      </c>
      <c r="B109" s="11">
        <v>1.4884999999999999</v>
      </c>
      <c r="C109" s="11">
        <f t="shared" si="7"/>
        <v>4.2999999999999705E-3</v>
      </c>
      <c r="D109" s="12">
        <f t="shared" si="8"/>
        <v>1.8489999999999747E-5</v>
      </c>
      <c r="E109" s="12">
        <f t="shared" si="9"/>
        <v>1.2995999999999668E-4</v>
      </c>
      <c r="F109" s="12">
        <f t="shared" si="10"/>
        <v>5.834691250445849E-5</v>
      </c>
      <c r="G109" s="12">
        <f t="shared" si="11"/>
        <v>3.7971646867635802</v>
      </c>
      <c r="I109" s="12">
        <f t="shared" si="12"/>
        <v>7.6385150719533498E-3</v>
      </c>
      <c r="J109" s="12">
        <f t="shared" si="13"/>
        <v>7.4054730214398717E-3</v>
      </c>
    </row>
    <row r="110" spans="1:10">
      <c r="A110" s="15">
        <v>40414</v>
      </c>
      <c r="B110" s="11">
        <v>1.4944999999999999</v>
      </c>
      <c r="C110" s="11">
        <f t="shared" si="7"/>
        <v>6.0000000000000053E-3</v>
      </c>
      <c r="D110" s="12">
        <f t="shared" si="8"/>
        <v>3.6000000000000062E-5</v>
      </c>
      <c r="E110" s="12">
        <f t="shared" si="9"/>
        <v>1.8489999999999747E-5</v>
      </c>
      <c r="F110" s="12">
        <f t="shared" si="10"/>
        <v>5.5027560996612663E-5</v>
      </c>
      <c r="G110" s="12">
        <f t="shared" si="11"/>
        <v>3.6577908439223359</v>
      </c>
      <c r="I110" s="12">
        <f t="shared" si="12"/>
        <v>7.4180564163810903E-3</v>
      </c>
      <c r="J110" s="12">
        <f t="shared" si="13"/>
        <v>7.4054730214398717E-3</v>
      </c>
    </row>
    <row r="111" spans="1:10">
      <c r="A111" s="15">
        <v>40415</v>
      </c>
      <c r="B111" s="11">
        <v>1.4925999999999999</v>
      </c>
      <c r="C111" s="11">
        <f t="shared" si="7"/>
        <v>-1.9000000000000128E-3</v>
      </c>
      <c r="D111" s="12">
        <f t="shared" si="8"/>
        <v>3.6100000000000484E-6</v>
      </c>
      <c r="E111" s="12">
        <f t="shared" si="9"/>
        <v>3.6000000000000062E-5</v>
      </c>
      <c r="F111" s="12">
        <f t="shared" si="10"/>
        <v>5.3616848554996176E-5</v>
      </c>
      <c r="G111" s="12">
        <f t="shared" si="11"/>
        <v>3.9642202687061268</v>
      </c>
      <c r="I111" s="12">
        <f t="shared" si="12"/>
        <v>7.3223526652979624E-3</v>
      </c>
      <c r="J111" s="12">
        <f t="shared" si="13"/>
        <v>7.4054730214398717E-3</v>
      </c>
    </row>
    <row r="112" spans="1:10">
      <c r="A112" s="15">
        <v>40416</v>
      </c>
      <c r="B112" s="11">
        <v>1.4888999999999999</v>
      </c>
      <c r="C112" s="11">
        <f t="shared" si="7"/>
        <v>-3.7000000000000366E-3</v>
      </c>
      <c r="D112" s="12">
        <f t="shared" si="8"/>
        <v>1.369000000000027E-5</v>
      </c>
      <c r="E112" s="12">
        <f t="shared" si="9"/>
        <v>3.6100000000000484E-6</v>
      </c>
      <c r="F112" s="12">
        <f t="shared" si="10"/>
        <v>4.9732868109257945E-5</v>
      </c>
      <c r="G112" s="12">
        <f t="shared" si="11"/>
        <v>3.89784838029846</v>
      </c>
      <c r="I112" s="12">
        <f t="shared" si="12"/>
        <v>7.0521534377279357E-3</v>
      </c>
      <c r="J112" s="12">
        <f t="shared" si="13"/>
        <v>7.4054730214398717E-3</v>
      </c>
    </row>
    <row r="113" spans="1:10">
      <c r="A113" s="15">
        <v>40417</v>
      </c>
      <c r="B113" s="11">
        <v>1.4849000000000001</v>
      </c>
      <c r="C113" s="11">
        <f t="shared" si="7"/>
        <v>-3.9999999999997815E-3</v>
      </c>
      <c r="D113" s="12">
        <f t="shared" si="8"/>
        <v>1.5999999999998251E-5</v>
      </c>
      <c r="E113" s="12">
        <f t="shared" si="9"/>
        <v>1.369000000000027E-5</v>
      </c>
      <c r="F113" s="12">
        <f t="shared" si="10"/>
        <v>4.72239294201468E-5</v>
      </c>
      <c r="G113" s="12">
        <f t="shared" si="11"/>
        <v>3.8919607264294931</v>
      </c>
      <c r="I113" s="12">
        <f t="shared" si="12"/>
        <v>6.8719669251348118E-3</v>
      </c>
      <c r="J113" s="12">
        <f t="shared" si="13"/>
        <v>7.4054730214398717E-3</v>
      </c>
    </row>
    <row r="114" spans="1:10">
      <c r="A114" s="15">
        <v>40420</v>
      </c>
      <c r="B114" s="11">
        <v>1.4919</v>
      </c>
      <c r="C114" s="11">
        <f t="shared" si="7"/>
        <v>6.9999999999998952E-3</v>
      </c>
      <c r="D114" s="12">
        <f t="shared" si="8"/>
        <v>4.8999999999998535E-5</v>
      </c>
      <c r="E114" s="12">
        <f t="shared" si="9"/>
        <v>1.5999999999998251E-5</v>
      </c>
      <c r="F114" s="12">
        <f t="shared" si="10"/>
        <v>4.5256790695563469E-5</v>
      </c>
      <c r="G114" s="12">
        <f t="shared" si="11"/>
        <v>3.5412851510633354</v>
      </c>
      <c r="I114" s="12">
        <f t="shared" si="12"/>
        <v>6.7273167530274257E-3</v>
      </c>
      <c r="J114" s="12">
        <f t="shared" si="13"/>
        <v>7.4054730214398717E-3</v>
      </c>
    </row>
    <row r="115" spans="1:10">
      <c r="A115" s="15">
        <v>40421</v>
      </c>
      <c r="B115" s="11">
        <v>1.4906999999999999</v>
      </c>
      <c r="C115" s="11">
        <f t="shared" si="7"/>
        <v>-1.2000000000000899E-3</v>
      </c>
      <c r="D115" s="12">
        <f t="shared" si="8"/>
        <v>1.4400000000002158E-6</v>
      </c>
      <c r="E115" s="12">
        <f t="shared" si="9"/>
        <v>4.8999999999998535E-5</v>
      </c>
      <c r="F115" s="12">
        <f t="shared" si="10"/>
        <v>4.6286214059988956E-5</v>
      </c>
      <c r="G115" s="12">
        <f t="shared" si="11"/>
        <v>4.055839268660689</v>
      </c>
      <c r="I115" s="12">
        <f t="shared" si="12"/>
        <v>6.8033972440236764E-3</v>
      </c>
      <c r="J115" s="12">
        <f t="shared" si="13"/>
        <v>7.4054730214398717E-3</v>
      </c>
    </row>
    <row r="116" spans="1:10">
      <c r="A116" s="15">
        <v>40422</v>
      </c>
      <c r="B116" s="11">
        <v>1.482</v>
      </c>
      <c r="C116" s="11">
        <f t="shared" si="7"/>
        <v>-8.69999999999993E-3</v>
      </c>
      <c r="D116" s="12">
        <f t="shared" si="8"/>
        <v>7.5689999999998782E-5</v>
      </c>
      <c r="E116" s="12">
        <f t="shared" si="9"/>
        <v>1.4400000000002158E-6</v>
      </c>
      <c r="F116" s="12">
        <f t="shared" si="10"/>
        <v>4.3249796674821143E-5</v>
      </c>
      <c r="G116" s="12">
        <f t="shared" si="11"/>
        <v>3.230287456883254</v>
      </c>
      <c r="I116" s="12">
        <f t="shared" si="12"/>
        <v>6.5764577604376919E-3</v>
      </c>
      <c r="J116" s="12">
        <f t="shared" si="13"/>
        <v>7.4054730214398717E-3</v>
      </c>
    </row>
    <row r="117" spans="1:10">
      <c r="A117" s="15">
        <v>40423</v>
      </c>
      <c r="B117" s="11">
        <v>1.4813000000000001</v>
      </c>
      <c r="C117" s="11">
        <f t="shared" si="7"/>
        <v>-6.9999999999992291E-4</v>
      </c>
      <c r="D117" s="12">
        <f t="shared" si="8"/>
        <v>4.8999999999989208E-7</v>
      </c>
      <c r="E117" s="12">
        <f t="shared" si="9"/>
        <v>7.5689999999998782E-5</v>
      </c>
      <c r="F117" s="12">
        <f t="shared" si="10"/>
        <v>4.6761054366272004E-5</v>
      </c>
      <c r="G117" s="12">
        <f t="shared" si="11"/>
        <v>4.0610519931656173</v>
      </c>
      <c r="I117" s="12">
        <f t="shared" si="12"/>
        <v>6.8382054931299049E-3</v>
      </c>
      <c r="J117" s="12">
        <f t="shared" si="13"/>
        <v>7.4054730214398717E-3</v>
      </c>
    </row>
    <row r="118" spans="1:10">
      <c r="A118" s="15">
        <v>40424</v>
      </c>
      <c r="B118" s="11">
        <v>1.4781</v>
      </c>
      <c r="C118" s="11">
        <f t="shared" si="7"/>
        <v>-3.2000000000000917E-3</v>
      </c>
      <c r="D118" s="12">
        <f t="shared" si="8"/>
        <v>1.0240000000000586E-5</v>
      </c>
      <c r="E118" s="12">
        <f t="shared" si="9"/>
        <v>4.8999999999989208E-7</v>
      </c>
      <c r="F118" s="12">
        <f t="shared" si="10"/>
        <v>4.3579810992083775E-5</v>
      </c>
      <c r="G118" s="12">
        <f t="shared" si="11"/>
        <v>3.9840341477139374</v>
      </c>
      <c r="I118" s="12">
        <f t="shared" si="12"/>
        <v>6.6015006621285566E-3</v>
      </c>
      <c r="J118" s="12">
        <f t="shared" si="13"/>
        <v>7.4054730214398717E-3</v>
      </c>
    </row>
    <row r="119" spans="1:10">
      <c r="A119" s="15">
        <v>40427</v>
      </c>
      <c r="B119" s="11">
        <v>1.4773000000000001</v>
      </c>
      <c r="C119" s="11">
        <f t="shared" si="7"/>
        <v>-7.9999999999991189E-4</v>
      </c>
      <c r="D119" s="12">
        <f t="shared" si="8"/>
        <v>6.3999999999985898E-7</v>
      </c>
      <c r="E119" s="12">
        <f t="shared" si="9"/>
        <v>1.0240000000000586E-5</v>
      </c>
      <c r="F119" s="12">
        <f t="shared" si="10"/>
        <v>4.1647995211152891E-5</v>
      </c>
      <c r="G119" s="12">
        <f t="shared" si="11"/>
        <v>4.1165066786913034</v>
      </c>
      <c r="I119" s="12">
        <f t="shared" si="12"/>
        <v>6.4535257968921832E-3</v>
      </c>
      <c r="J119" s="12">
        <f t="shared" si="13"/>
        <v>7.4054730214398717E-3</v>
      </c>
    </row>
    <row r="120" spans="1:10">
      <c r="A120" s="15">
        <v>40428</v>
      </c>
      <c r="B120" s="11">
        <v>1.4910000000000001</v>
      </c>
      <c r="C120" s="11">
        <f t="shared" si="7"/>
        <v>1.3700000000000045E-2</v>
      </c>
      <c r="D120" s="12">
        <f t="shared" si="8"/>
        <v>1.8769000000000123E-4</v>
      </c>
      <c r="E120" s="12">
        <f t="shared" si="9"/>
        <v>6.3999999999985898E-7</v>
      </c>
      <c r="F120" s="12">
        <f t="shared" si="10"/>
        <v>3.9195093605373032E-5</v>
      </c>
      <c r="G120" s="12">
        <f t="shared" si="11"/>
        <v>1.7602361697565962</v>
      </c>
      <c r="I120" s="12">
        <f t="shared" si="12"/>
        <v>6.2605985021699827E-3</v>
      </c>
      <c r="J120" s="12">
        <f t="shared" si="13"/>
        <v>7.4054730214398717E-3</v>
      </c>
    </row>
    <row r="121" spans="1:10">
      <c r="A121" s="15">
        <v>40429</v>
      </c>
      <c r="B121" s="11">
        <v>1.4876</v>
      </c>
      <c r="C121" s="11">
        <f t="shared" si="7"/>
        <v>-3.4000000000000696E-3</v>
      </c>
      <c r="D121" s="12">
        <f t="shared" si="8"/>
        <v>1.1560000000000474E-5</v>
      </c>
      <c r="E121" s="12">
        <f t="shared" si="9"/>
        <v>1.8769000000000123E-4</v>
      </c>
      <c r="F121" s="12">
        <f t="shared" si="10"/>
        <v>5.250939664762781E-5</v>
      </c>
      <c r="G121" s="12">
        <f t="shared" si="11"/>
        <v>3.8982451333565504</v>
      </c>
      <c r="I121" s="12">
        <f t="shared" si="12"/>
        <v>7.2463367743728149E-3</v>
      </c>
      <c r="J121" s="12">
        <f t="shared" si="13"/>
        <v>7.4054730214398717E-3</v>
      </c>
    </row>
    <row r="122" spans="1:10">
      <c r="A122" s="15">
        <v>40430</v>
      </c>
      <c r="B122" s="11">
        <v>1.4895</v>
      </c>
      <c r="C122" s="11">
        <f t="shared" si="7"/>
        <v>1.9000000000000128E-3</v>
      </c>
      <c r="D122" s="12">
        <f t="shared" si="8"/>
        <v>3.6100000000000484E-6</v>
      </c>
      <c r="E122" s="12">
        <f t="shared" si="9"/>
        <v>1.1560000000000474E-5</v>
      </c>
      <c r="F122" s="12">
        <f t="shared" si="10"/>
        <v>4.9436030237618513E-5</v>
      </c>
      <c r="G122" s="12">
        <f t="shared" si="11"/>
        <v>4.0019651493241781</v>
      </c>
      <c r="I122" s="12">
        <f t="shared" si="12"/>
        <v>7.0310760369674931E-3</v>
      </c>
      <c r="J122" s="12">
        <f t="shared" si="13"/>
        <v>7.4054730214398717E-3</v>
      </c>
    </row>
    <row r="123" spans="1:10">
      <c r="A123" s="15">
        <v>40431</v>
      </c>
      <c r="B123" s="11">
        <v>1.4905999999999999</v>
      </c>
      <c r="C123" s="11">
        <f t="shared" si="7"/>
        <v>1.0999999999998789E-3</v>
      </c>
      <c r="D123" s="12">
        <f t="shared" si="8"/>
        <v>1.2099999999997335E-6</v>
      </c>
      <c r="E123" s="12">
        <f t="shared" si="9"/>
        <v>3.6100000000000484E-6</v>
      </c>
      <c r="F123" s="12">
        <f t="shared" si="10"/>
        <v>4.6137482770901823E-5</v>
      </c>
      <c r="G123" s="12">
        <f t="shared" si="11"/>
        <v>4.0598909085180797</v>
      </c>
      <c r="I123" s="12">
        <f t="shared" si="12"/>
        <v>6.7924577857283609E-3</v>
      </c>
      <c r="J123" s="12">
        <f t="shared" si="13"/>
        <v>7.4054730214398717E-3</v>
      </c>
    </row>
    <row r="124" spans="1:10">
      <c r="A124" s="15">
        <v>40434</v>
      </c>
      <c r="B124" s="11">
        <v>1.4761</v>
      </c>
      <c r="C124" s="11">
        <f t="shared" si="7"/>
        <v>-1.4499999999999957E-2</v>
      </c>
      <c r="D124" s="12">
        <f t="shared" si="8"/>
        <v>2.1024999999999877E-4</v>
      </c>
      <c r="E124" s="12">
        <f t="shared" si="9"/>
        <v>1.2099999999997335E-6</v>
      </c>
      <c r="F124" s="12">
        <f t="shared" si="10"/>
        <v>4.3102926687892222E-5</v>
      </c>
      <c r="G124" s="12">
        <f t="shared" si="11"/>
        <v>1.6680917755951814</v>
      </c>
      <c r="I124" s="12">
        <f t="shared" si="12"/>
        <v>6.565281919909626E-3</v>
      </c>
      <c r="J124" s="12">
        <f t="shared" si="13"/>
        <v>7.4054730214398717E-3</v>
      </c>
    </row>
    <row r="125" spans="1:10">
      <c r="A125" s="15">
        <v>40435</v>
      </c>
      <c r="B125" s="11">
        <v>1.4617</v>
      </c>
      <c r="C125" s="11">
        <f t="shared" si="7"/>
        <v>-1.4399999999999968E-2</v>
      </c>
      <c r="D125" s="12">
        <f t="shared" si="8"/>
        <v>2.073599999999991E-4</v>
      </c>
      <c r="E125" s="12">
        <f t="shared" si="9"/>
        <v>2.1024999999999877E-4</v>
      </c>
      <c r="F125" s="12">
        <f t="shared" si="10"/>
        <v>5.7730270077374254E-5</v>
      </c>
      <c r="G125" s="12">
        <f t="shared" si="11"/>
        <v>2.1649876684382958</v>
      </c>
      <c r="I125" s="12">
        <f t="shared" si="12"/>
        <v>7.5980438322882987E-3</v>
      </c>
      <c r="J125" s="12">
        <f t="shared" si="13"/>
        <v>7.4054730214398717E-3</v>
      </c>
    </row>
    <row r="126" spans="1:10">
      <c r="A126" s="15">
        <v>40436</v>
      </c>
      <c r="B126" s="11">
        <v>1.4610000000000001</v>
      </c>
      <c r="C126" s="11">
        <f t="shared" si="7"/>
        <v>-6.9999999999992291E-4</v>
      </c>
      <c r="D126" s="12">
        <f t="shared" si="8"/>
        <v>4.8999999999989208E-7</v>
      </c>
      <c r="E126" s="12">
        <f t="shared" si="9"/>
        <v>2.073599999999991E-4</v>
      </c>
      <c r="F126" s="12">
        <f t="shared" si="10"/>
        <v>7.007106809489386E-5</v>
      </c>
      <c r="G126" s="12">
        <f t="shared" si="11"/>
        <v>3.8605652954310838</v>
      </c>
      <c r="I126" s="12">
        <f t="shared" si="12"/>
        <v>8.3708463189150623E-3</v>
      </c>
      <c r="J126" s="12">
        <f t="shared" si="13"/>
        <v>7.4054730214398717E-3</v>
      </c>
    </row>
    <row r="127" spans="1:10">
      <c r="A127" s="15">
        <v>40437</v>
      </c>
      <c r="B127" s="11">
        <v>1.4582999999999999</v>
      </c>
      <c r="C127" s="11">
        <f t="shared" si="7"/>
        <v>-2.7000000000001467E-3</v>
      </c>
      <c r="D127" s="12">
        <f t="shared" si="8"/>
        <v>7.2900000000007925E-6</v>
      </c>
      <c r="E127" s="12">
        <f t="shared" si="9"/>
        <v>4.8999999999989208E-7</v>
      </c>
      <c r="F127" s="12">
        <f t="shared" si="10"/>
        <v>6.3625762582090697E-5</v>
      </c>
      <c r="G127" s="12">
        <f t="shared" si="11"/>
        <v>3.8550193932642287</v>
      </c>
      <c r="I127" s="12">
        <f t="shared" si="12"/>
        <v>7.9765758682589297E-3</v>
      </c>
      <c r="J127" s="12">
        <f t="shared" si="13"/>
        <v>7.4054730214398717E-3</v>
      </c>
    </row>
    <row r="128" spans="1:10">
      <c r="A128" s="15">
        <v>40438</v>
      </c>
      <c r="B128" s="11">
        <v>1.4579</v>
      </c>
      <c r="C128" s="11">
        <f t="shared" si="7"/>
        <v>-3.9999999999995595E-4</v>
      </c>
      <c r="D128" s="12">
        <f t="shared" si="8"/>
        <v>1.5999999999996475E-7</v>
      </c>
      <c r="E128" s="12">
        <f t="shared" si="9"/>
        <v>7.2900000000007925E-6</v>
      </c>
      <c r="F128" s="12">
        <f t="shared" si="10"/>
        <v>5.8643695341051022E-5</v>
      </c>
      <c r="G128" s="12">
        <f t="shared" si="11"/>
        <v>3.9517125313747905</v>
      </c>
      <c r="I128" s="12">
        <f t="shared" si="12"/>
        <v>7.6579171672884411E-3</v>
      </c>
      <c r="J128" s="12">
        <f t="shared" si="13"/>
        <v>7.4054730214398717E-3</v>
      </c>
    </row>
    <row r="129" spans="1:10">
      <c r="A129" s="15">
        <v>40441</v>
      </c>
      <c r="B129" s="11">
        <v>1.4622999999999999</v>
      </c>
      <c r="C129" s="11">
        <f t="shared" si="7"/>
        <v>4.3999999999999595E-3</v>
      </c>
      <c r="D129" s="12">
        <f t="shared" si="8"/>
        <v>1.9359999999999645E-5</v>
      </c>
      <c r="E129" s="12">
        <f t="shared" si="9"/>
        <v>1.5999999999996475E-7</v>
      </c>
      <c r="F129" s="12">
        <f t="shared" si="10"/>
        <v>5.3771334605222677E-5</v>
      </c>
      <c r="G129" s="12">
        <f t="shared" si="11"/>
        <v>3.8164249142448239</v>
      </c>
      <c r="I129" s="12">
        <f t="shared" si="12"/>
        <v>7.3328940129544131E-3</v>
      </c>
      <c r="J129" s="12">
        <f t="shared" si="13"/>
        <v>7.4054730214398717E-3</v>
      </c>
    </row>
    <row r="130" spans="1:10">
      <c r="A130" s="15">
        <v>40442</v>
      </c>
      <c r="B130" s="11">
        <v>1.4480999999999999</v>
      </c>
      <c r="C130" s="11">
        <f t="shared" si="7"/>
        <v>-1.419999999999999E-2</v>
      </c>
      <c r="D130" s="12">
        <f t="shared" si="8"/>
        <v>2.0163999999999973E-4</v>
      </c>
      <c r="E130" s="12">
        <f t="shared" si="9"/>
        <v>1.9359999999999645E-5</v>
      </c>
      <c r="F130" s="12">
        <f t="shared" si="10"/>
        <v>5.116443187293537E-5</v>
      </c>
      <c r="G130" s="12">
        <f t="shared" si="11"/>
        <v>2.0507849198424211</v>
      </c>
      <c r="I130" s="12">
        <f t="shared" si="12"/>
        <v>7.1529316977680816E-3</v>
      </c>
      <c r="J130" s="12">
        <f t="shared" si="13"/>
        <v>7.4054730214398717E-3</v>
      </c>
    </row>
    <row r="131" spans="1:10">
      <c r="A131" s="15">
        <v>40443</v>
      </c>
      <c r="B131" s="11">
        <v>1.4372</v>
      </c>
      <c r="C131" s="11">
        <f t="shared" si="7"/>
        <v>-1.089999999999991E-2</v>
      </c>
      <c r="D131" s="12">
        <f t="shared" si="8"/>
        <v>1.1880999999999803E-4</v>
      </c>
      <c r="E131" s="12">
        <f t="shared" si="9"/>
        <v>2.0163999999999973E-4</v>
      </c>
      <c r="F131" s="12">
        <f t="shared" si="10"/>
        <v>6.395297466701428E-5</v>
      </c>
      <c r="G131" s="12">
        <f t="shared" si="11"/>
        <v>2.9808570740903884</v>
      </c>
      <c r="I131" s="12">
        <f t="shared" si="12"/>
        <v>7.9970603766017848E-3</v>
      </c>
      <c r="J131" s="12">
        <f t="shared" si="13"/>
        <v>7.4054730214398717E-3</v>
      </c>
    </row>
    <row r="132" spans="1:10">
      <c r="A132" s="15">
        <v>40444</v>
      </c>
      <c r="B132" s="11">
        <v>1.4455</v>
      </c>
      <c r="C132" s="11">
        <f t="shared" si="7"/>
        <v>8.2999999999999741E-3</v>
      </c>
      <c r="D132" s="12">
        <f t="shared" si="8"/>
        <v>6.8889999999999566E-5</v>
      </c>
      <c r="E132" s="12">
        <f t="shared" si="9"/>
        <v>1.1880999999999803E-4</v>
      </c>
      <c r="F132" s="12">
        <f t="shared" si="10"/>
        <v>6.8120780807371252E-5</v>
      </c>
      <c r="G132" s="12">
        <f t="shared" si="11"/>
        <v>3.3725295842852376</v>
      </c>
      <c r="I132" s="12">
        <f t="shared" si="12"/>
        <v>8.2535314143323667E-3</v>
      </c>
      <c r="J132" s="12">
        <f t="shared" si="13"/>
        <v>7.4054730214398717E-3</v>
      </c>
    </row>
    <row r="133" spans="1:10">
      <c r="A133" s="15">
        <v>40445</v>
      </c>
      <c r="B133" s="11">
        <v>1.4308000000000001</v>
      </c>
      <c r="C133" s="11">
        <f t="shared" si="7"/>
        <v>-1.4699999999999935E-2</v>
      </c>
      <c r="D133" s="12">
        <f t="shared" si="8"/>
        <v>2.160899999999981E-4</v>
      </c>
      <c r="E133" s="12">
        <f t="shared" si="9"/>
        <v>6.8889999999999566E-5</v>
      </c>
      <c r="F133" s="12">
        <f t="shared" si="10"/>
        <v>6.7588683344195036E-5</v>
      </c>
      <c r="G133" s="12">
        <f t="shared" si="11"/>
        <v>2.2835300305285227</v>
      </c>
      <c r="I133" s="12">
        <f t="shared" si="12"/>
        <v>8.2212336874823745E-3</v>
      </c>
      <c r="J133" s="12">
        <f t="shared" si="13"/>
        <v>7.4054730214398717E-3</v>
      </c>
    </row>
    <row r="134" spans="1:10">
      <c r="A134" s="15">
        <v>40448</v>
      </c>
      <c r="B134" s="11">
        <v>1.4300999999999999</v>
      </c>
      <c r="C134" s="11">
        <f t="shared" si="7"/>
        <v>-7.0000000000014495E-4</v>
      </c>
      <c r="D134" s="12">
        <f t="shared" si="8"/>
        <v>4.9000000000020294E-7</v>
      </c>
      <c r="E134" s="12">
        <f t="shared" si="9"/>
        <v>2.160899999999981E-4</v>
      </c>
      <c r="F134" s="12">
        <f t="shared" si="10"/>
        <v>7.9268880756926512E-5</v>
      </c>
      <c r="G134" s="12">
        <f t="shared" si="11"/>
        <v>3.7993031784040237</v>
      </c>
      <c r="I134" s="12">
        <f t="shared" si="12"/>
        <v>8.9033072931875446E-3</v>
      </c>
      <c r="J134" s="12">
        <f t="shared" si="13"/>
        <v>7.4054730214398717E-3</v>
      </c>
    </row>
    <row r="135" spans="1:10">
      <c r="A135" s="15">
        <v>40449</v>
      </c>
      <c r="B135" s="11">
        <v>1.4227000000000001</v>
      </c>
      <c r="C135" s="11">
        <f t="shared" si="7"/>
        <v>-7.3999999999998511E-3</v>
      </c>
      <c r="D135" s="12">
        <f t="shared" si="8"/>
        <v>5.4759999999997795E-5</v>
      </c>
      <c r="E135" s="12">
        <f t="shared" si="9"/>
        <v>4.9000000000020294E-7</v>
      </c>
      <c r="F135" s="12">
        <f t="shared" si="10"/>
        <v>7.1535620958993547E-5</v>
      </c>
      <c r="G135" s="12">
        <f t="shared" si="11"/>
        <v>3.4709725974390362</v>
      </c>
      <c r="I135" s="12">
        <f t="shared" si="12"/>
        <v>8.457873311831619E-3</v>
      </c>
      <c r="J135" s="12">
        <f t="shared" si="13"/>
        <v>7.4054730214398717E-3</v>
      </c>
    </row>
    <row r="136" spans="1:10">
      <c r="A136" s="15">
        <v>40450</v>
      </c>
      <c r="B136" s="11">
        <v>1.4211</v>
      </c>
      <c r="C136" s="11">
        <f t="shared" si="7"/>
        <v>-1.6000000000000458E-3</v>
      </c>
      <c r="D136" s="12">
        <f t="shared" si="8"/>
        <v>2.5600000000001466E-6</v>
      </c>
      <c r="E136" s="12">
        <f t="shared" si="9"/>
        <v>5.4759999999997795E-5</v>
      </c>
      <c r="F136" s="12">
        <f t="shared" si="10"/>
        <v>6.936022063298836E-5</v>
      </c>
      <c r="G136" s="12">
        <f t="shared" si="11"/>
        <v>3.8507055997691899</v>
      </c>
      <c r="I136" s="12">
        <f t="shared" si="12"/>
        <v>8.328278371487613E-3</v>
      </c>
      <c r="J136" s="12">
        <f t="shared" si="13"/>
        <v>7.4054730214398717E-3</v>
      </c>
    </row>
    <row r="137" spans="1:10">
      <c r="A137" s="15">
        <v>40451</v>
      </c>
      <c r="B137" s="11">
        <v>1.4197</v>
      </c>
      <c r="C137" s="11">
        <f t="shared" si="7"/>
        <v>-1.4000000000000679E-3</v>
      </c>
      <c r="D137" s="12">
        <f t="shared" si="8"/>
        <v>1.96000000000019E-6</v>
      </c>
      <c r="E137" s="12">
        <f t="shared" si="9"/>
        <v>2.5600000000001466E-6</v>
      </c>
      <c r="F137" s="12">
        <f t="shared" si="10"/>
        <v>6.3185141516280125E-5</v>
      </c>
      <c r="G137" s="12">
        <f t="shared" si="11"/>
        <v>3.9002721773810145</v>
      </c>
      <c r="I137" s="12">
        <f t="shared" si="12"/>
        <v>7.9489081964934111E-3</v>
      </c>
      <c r="J137" s="12">
        <f t="shared" si="13"/>
        <v>7.4054730214398717E-3</v>
      </c>
    </row>
    <row r="138" spans="1:10">
      <c r="A138" s="15">
        <v>40452</v>
      </c>
      <c r="B138" s="11">
        <v>1.4204000000000001</v>
      </c>
      <c r="C138" s="11">
        <f t="shared" si="7"/>
        <v>7.0000000000014495E-4</v>
      </c>
      <c r="D138" s="12">
        <f t="shared" si="8"/>
        <v>4.9000000000020294E-7</v>
      </c>
      <c r="E138" s="12">
        <f t="shared" si="9"/>
        <v>1.96000000000019E-6</v>
      </c>
      <c r="F138" s="12">
        <f t="shared" si="10"/>
        <v>5.7825273702705766E-5</v>
      </c>
      <c r="G138" s="12">
        <f t="shared" si="11"/>
        <v>3.95586686599892</v>
      </c>
      <c r="I138" s="12">
        <f t="shared" si="12"/>
        <v>7.6042931099942332E-3</v>
      </c>
      <c r="J138" s="12">
        <f t="shared" si="13"/>
        <v>7.4054730214398717E-3</v>
      </c>
    </row>
    <row r="139" spans="1:10">
      <c r="A139" s="15">
        <v>40455</v>
      </c>
      <c r="B139" s="11">
        <v>1.4162999999999999</v>
      </c>
      <c r="C139" s="11">
        <f t="shared" si="7"/>
        <v>-4.1000000000002146E-3</v>
      </c>
      <c r="D139" s="12">
        <f t="shared" si="8"/>
        <v>1.6810000000001758E-5</v>
      </c>
      <c r="E139" s="12">
        <f t="shared" si="9"/>
        <v>4.9000000000020294E-7</v>
      </c>
      <c r="F139" s="12">
        <f t="shared" si="10"/>
        <v>5.3094726246167727E-5</v>
      </c>
      <c r="G139" s="12">
        <f t="shared" si="11"/>
        <v>3.8444759609379733</v>
      </c>
      <c r="I139" s="12">
        <f t="shared" si="12"/>
        <v>7.2866128102272408E-3</v>
      </c>
      <c r="J139" s="12">
        <f t="shared" si="13"/>
        <v>7.4054730214398717E-3</v>
      </c>
    </row>
    <row r="140" spans="1:10">
      <c r="A140" s="15">
        <v>40456</v>
      </c>
      <c r="B140" s="11">
        <v>1.419</v>
      </c>
      <c r="C140" s="11">
        <f t="shared" si="7"/>
        <v>2.7000000000001467E-3</v>
      </c>
      <c r="D140" s="12">
        <f t="shared" si="8"/>
        <v>7.2900000000007925E-6</v>
      </c>
      <c r="E140" s="12">
        <f t="shared" si="9"/>
        <v>1.6810000000001758E-5</v>
      </c>
      <c r="F140" s="12">
        <f t="shared" si="10"/>
        <v>5.0372300492574073E-5</v>
      </c>
      <c r="G140" s="12">
        <f t="shared" si="11"/>
        <v>3.9567348252856864</v>
      </c>
      <c r="I140" s="12">
        <f t="shared" si="12"/>
        <v>7.0973446085542497E-3</v>
      </c>
      <c r="J140" s="12">
        <f t="shared" si="13"/>
        <v>7.4054730214398717E-3</v>
      </c>
    </row>
    <row r="141" spans="1:10">
      <c r="A141" s="15">
        <v>40457</v>
      </c>
      <c r="B141" s="11">
        <v>1.3982000000000001</v>
      </c>
      <c r="C141" s="11">
        <f t="shared" si="7"/>
        <v>-2.079999999999993E-2</v>
      </c>
      <c r="D141" s="12">
        <f t="shared" si="8"/>
        <v>4.3263999999999705E-4</v>
      </c>
      <c r="E141" s="12">
        <f t="shared" si="9"/>
        <v>7.2900000000007925E-6</v>
      </c>
      <c r="F141" s="12">
        <f t="shared" si="10"/>
        <v>4.7246093325904121E-5</v>
      </c>
      <c r="G141" s="12">
        <f t="shared" si="11"/>
        <v>-0.51744786583997759</v>
      </c>
      <c r="I141" s="12">
        <f t="shared" si="12"/>
        <v>6.8735793678333362E-3</v>
      </c>
      <c r="J141" s="12">
        <f t="shared" si="13"/>
        <v>7.4054730214398717E-3</v>
      </c>
    </row>
    <row r="142" spans="1:10">
      <c r="A142" s="15">
        <v>40458</v>
      </c>
      <c r="B142" s="11">
        <v>1.3952</v>
      </c>
      <c r="C142" s="11">
        <f t="shared" ref="C142:C205" si="14">B142-B141</f>
        <v>-3.0000000000001137E-3</v>
      </c>
      <c r="D142" s="12">
        <f t="shared" ref="D142:D205" si="15">C142^2</f>
        <v>9.0000000000006829E-6</v>
      </c>
      <c r="E142" s="12">
        <f t="shared" si="9"/>
        <v>4.3263999999999705E-4</v>
      </c>
      <c r="F142" s="12">
        <f t="shared" si="10"/>
        <v>7.9631063158752978E-5</v>
      </c>
      <c r="G142" s="12">
        <f t="shared" si="11"/>
        <v>3.7436039991069583</v>
      </c>
      <c r="I142" s="12">
        <f t="shared" si="12"/>
        <v>8.9236238803948355E-3</v>
      </c>
      <c r="J142" s="12">
        <f t="shared" si="13"/>
        <v>7.4054730214398717E-3</v>
      </c>
    </row>
    <row r="143" spans="1:10">
      <c r="A143" s="15">
        <v>40459</v>
      </c>
      <c r="B143" s="11">
        <v>1.3920999999999999</v>
      </c>
      <c r="C143" s="11">
        <f t="shared" si="14"/>
        <v>-3.1000000000001027E-3</v>
      </c>
      <c r="D143" s="12">
        <f t="shared" si="15"/>
        <v>9.6100000000006364E-6</v>
      </c>
      <c r="E143" s="12">
        <f t="shared" ref="E143:E206" si="16">D142</f>
        <v>9.0000000000006829E-6</v>
      </c>
      <c r="F143" s="12">
        <f t="shared" ref="F143:F206" si="17">$B$5+$B$6*E143+$B$7*F142</f>
        <v>7.2548803328754656E-5</v>
      </c>
      <c r="G143" s="12">
        <f t="shared" ref="G143:G206" si="18">LN((1/SQRT(2*3.1415927*F143))*EXP(-0.5*D143/F143))</f>
        <v>3.7804557174852969</v>
      </c>
      <c r="I143" s="12">
        <f t="shared" ref="I143:I206" si="19">SQRT(F143)</f>
        <v>8.5175585309849589E-3</v>
      </c>
      <c r="J143" s="12">
        <f t="shared" si="13"/>
        <v>7.4054730214398717E-3</v>
      </c>
    </row>
    <row r="144" spans="1:10">
      <c r="A144" s="15">
        <v>40462</v>
      </c>
      <c r="B144" s="11">
        <v>1.3964000000000001</v>
      </c>
      <c r="C144" s="11">
        <f t="shared" si="14"/>
        <v>4.3000000000001926E-3</v>
      </c>
      <c r="D144" s="12">
        <f t="shared" si="15"/>
        <v>1.8490000000001658E-5</v>
      </c>
      <c r="E144" s="12">
        <f t="shared" si="16"/>
        <v>9.6100000000006364E-6</v>
      </c>
      <c r="F144" s="12">
        <f t="shared" si="17"/>
        <v>6.6508559717668326E-5</v>
      </c>
      <c r="G144" s="12">
        <f t="shared" si="18"/>
        <v>3.7511467458724277</v>
      </c>
      <c r="I144" s="12">
        <f t="shared" si="19"/>
        <v>8.1552780282261577E-3</v>
      </c>
      <c r="J144" s="12">
        <f t="shared" ref="J144:J207" si="20">J143</f>
        <v>7.4054730214398717E-3</v>
      </c>
    </row>
    <row r="145" spans="1:10">
      <c r="A145" s="15">
        <v>40463</v>
      </c>
      <c r="B145" s="11">
        <v>1.3936999999999999</v>
      </c>
      <c r="C145" s="11">
        <f t="shared" si="14"/>
        <v>-2.7000000000001467E-3</v>
      </c>
      <c r="D145" s="12">
        <f t="shared" si="15"/>
        <v>7.2900000000007925E-6</v>
      </c>
      <c r="E145" s="12">
        <f t="shared" si="16"/>
        <v>1.8490000000001658E-5</v>
      </c>
      <c r="F145" s="12">
        <f t="shared" si="17"/>
        <v>6.2046346435157141E-5</v>
      </c>
      <c r="G145" s="12">
        <f t="shared" si="18"/>
        <v>3.8661295156421738</v>
      </c>
      <c r="I145" s="12">
        <f t="shared" si="19"/>
        <v>7.8769503258023111E-3</v>
      </c>
      <c r="J145" s="12">
        <f t="shared" si="20"/>
        <v>7.4054730214398717E-3</v>
      </c>
    </row>
    <row r="146" spans="1:10">
      <c r="A146" s="15">
        <v>40464</v>
      </c>
      <c r="B146" s="11">
        <v>1.3940999999999999</v>
      </c>
      <c r="C146" s="11">
        <f t="shared" si="14"/>
        <v>3.9999999999995595E-4</v>
      </c>
      <c r="D146" s="12">
        <f t="shared" si="15"/>
        <v>1.5999999999996475E-7</v>
      </c>
      <c r="E146" s="12">
        <f t="shared" si="16"/>
        <v>7.2900000000007925E-6</v>
      </c>
      <c r="F146" s="12">
        <f t="shared" si="17"/>
        <v>5.7285442188972021E-5</v>
      </c>
      <c r="G146" s="12">
        <f t="shared" si="18"/>
        <v>3.9633969588189109</v>
      </c>
      <c r="I146" s="12">
        <f t="shared" si="19"/>
        <v>7.5687146986111202E-3</v>
      </c>
      <c r="J146" s="12">
        <f t="shared" si="20"/>
        <v>7.4054730214398717E-3</v>
      </c>
    </row>
    <row r="147" spans="1:10">
      <c r="A147" s="15">
        <v>40465</v>
      </c>
      <c r="B147" s="11">
        <v>1.3831</v>
      </c>
      <c r="C147" s="11">
        <f t="shared" si="14"/>
        <v>-1.0999999999999899E-2</v>
      </c>
      <c r="D147" s="12">
        <f t="shared" si="15"/>
        <v>1.2099999999999778E-4</v>
      </c>
      <c r="E147" s="12">
        <f t="shared" si="16"/>
        <v>1.5999999999996475E-7</v>
      </c>
      <c r="F147" s="12">
        <f t="shared" si="17"/>
        <v>5.2603275364651834E-5</v>
      </c>
      <c r="G147" s="12">
        <f t="shared" si="18"/>
        <v>2.857309047837322</v>
      </c>
      <c r="I147" s="12">
        <f t="shared" si="19"/>
        <v>7.2528115489547797E-3</v>
      </c>
      <c r="J147" s="12">
        <f t="shared" si="20"/>
        <v>7.4054730214398717E-3</v>
      </c>
    </row>
    <row r="148" spans="1:10">
      <c r="A148" s="15">
        <v>40466</v>
      </c>
      <c r="B148" s="11">
        <v>1.3887</v>
      </c>
      <c r="C148" s="11">
        <f t="shared" si="14"/>
        <v>5.6000000000000494E-3</v>
      </c>
      <c r="D148" s="12">
        <f t="shared" si="15"/>
        <v>3.1360000000000554E-5</v>
      </c>
      <c r="E148" s="12">
        <f t="shared" si="16"/>
        <v>1.2099999999999778E-4</v>
      </c>
      <c r="F148" s="12">
        <f t="shared" si="17"/>
        <v>5.8540943420573642E-5</v>
      </c>
      <c r="G148" s="12">
        <f t="shared" si="18"/>
        <v>3.6861068144593041</v>
      </c>
      <c r="I148" s="12">
        <f t="shared" si="19"/>
        <v>7.6512053573651803E-3</v>
      </c>
      <c r="J148" s="12">
        <f t="shared" si="20"/>
        <v>7.4054730214398717E-3</v>
      </c>
    </row>
    <row r="149" spans="1:10">
      <c r="A149" s="15">
        <v>40469</v>
      </c>
      <c r="B149" s="11">
        <v>1.3879999999999999</v>
      </c>
      <c r="C149" s="11">
        <f t="shared" si="14"/>
        <v>-7.0000000000014495E-4</v>
      </c>
      <c r="D149" s="12">
        <f t="shared" si="15"/>
        <v>4.9000000000020294E-7</v>
      </c>
      <c r="E149" s="12">
        <f t="shared" si="16"/>
        <v>3.1360000000000554E-5</v>
      </c>
      <c r="F149" s="12">
        <f t="shared" si="17"/>
        <v>5.6255653800037644E-5</v>
      </c>
      <c r="G149" s="12">
        <f t="shared" si="18"/>
        <v>3.9695083465599947</v>
      </c>
      <c r="I149" s="12">
        <f t="shared" si="19"/>
        <v>7.5003769105317399E-3</v>
      </c>
      <c r="J149" s="12">
        <f t="shared" si="20"/>
        <v>7.4054730214398717E-3</v>
      </c>
    </row>
    <row r="150" spans="1:10">
      <c r="A150" s="15">
        <v>40470</v>
      </c>
      <c r="B150" s="11">
        <v>1.4059999999999999</v>
      </c>
      <c r="C150" s="11">
        <f t="shared" si="14"/>
        <v>1.8000000000000016E-2</v>
      </c>
      <c r="D150" s="12">
        <f t="shared" si="15"/>
        <v>3.2400000000000056E-4</v>
      </c>
      <c r="E150" s="12">
        <f t="shared" si="16"/>
        <v>4.9000000000020294E-7</v>
      </c>
      <c r="F150" s="12">
        <f t="shared" si="17"/>
        <v>5.1744897586694998E-5</v>
      </c>
      <c r="G150" s="12">
        <f t="shared" si="18"/>
        <v>0.88491035778339266</v>
      </c>
      <c r="I150" s="12">
        <f t="shared" si="19"/>
        <v>7.1933926339867614E-3</v>
      </c>
      <c r="J150" s="12">
        <f t="shared" si="20"/>
        <v>7.4054730214398717E-3</v>
      </c>
    </row>
    <row r="151" spans="1:10">
      <c r="A151" s="15">
        <v>40471</v>
      </c>
      <c r="B151" s="11">
        <v>1.3906000000000001</v>
      </c>
      <c r="C151" s="11">
        <f t="shared" si="14"/>
        <v>-1.5399999999999858E-2</v>
      </c>
      <c r="D151" s="12">
        <f t="shared" si="15"/>
        <v>2.3715999999999562E-4</v>
      </c>
      <c r="E151" s="12">
        <f t="shared" si="16"/>
        <v>3.2400000000000056E-4</v>
      </c>
      <c r="F151" s="12">
        <f t="shared" si="17"/>
        <v>7.4541693485894107E-5</v>
      </c>
      <c r="G151" s="12">
        <f t="shared" si="18"/>
        <v>2.2423498544590892</v>
      </c>
      <c r="I151" s="12">
        <f t="shared" si="19"/>
        <v>8.6337531517813332E-3</v>
      </c>
      <c r="J151" s="12">
        <f t="shared" si="20"/>
        <v>7.4054730214398717E-3</v>
      </c>
    </row>
    <row r="152" spans="1:10">
      <c r="A152" s="15">
        <v>40472</v>
      </c>
      <c r="B152" s="11">
        <v>1.3939999999999999</v>
      </c>
      <c r="C152" s="11">
        <f t="shared" si="14"/>
        <v>3.3999999999998476E-3</v>
      </c>
      <c r="D152" s="12">
        <f t="shared" si="15"/>
        <v>1.1559999999998964E-5</v>
      </c>
      <c r="E152" s="12">
        <f t="shared" si="16"/>
        <v>2.3715999999999562E-4</v>
      </c>
      <c r="F152" s="12">
        <f t="shared" si="17"/>
        <v>8.6985658106333177E-5</v>
      </c>
      <c r="G152" s="12">
        <f t="shared" si="18"/>
        <v>3.6894973750592217</v>
      </c>
      <c r="I152" s="12">
        <f t="shared" si="19"/>
        <v>9.3266102152032258E-3</v>
      </c>
      <c r="J152" s="12">
        <f t="shared" si="20"/>
        <v>7.4054730214398717E-3</v>
      </c>
    </row>
    <row r="153" spans="1:10">
      <c r="A153" s="15">
        <v>40473</v>
      </c>
      <c r="B153" s="11">
        <v>1.3922000000000001</v>
      </c>
      <c r="C153" s="11">
        <f t="shared" si="14"/>
        <v>-1.7999999999998018E-3</v>
      </c>
      <c r="D153" s="12">
        <f t="shared" si="15"/>
        <v>3.2399999999992863E-6</v>
      </c>
      <c r="E153" s="12">
        <f t="shared" si="16"/>
        <v>1.1559999999998964E-5</v>
      </c>
      <c r="F153" s="12">
        <f t="shared" si="17"/>
        <v>7.9084638610466798E-5</v>
      </c>
      <c r="G153" s="12">
        <f t="shared" si="18"/>
        <v>3.7830730288435106</v>
      </c>
      <c r="I153" s="12">
        <f t="shared" si="19"/>
        <v>8.8929544365450794E-3</v>
      </c>
      <c r="J153" s="12">
        <f t="shared" si="20"/>
        <v>7.4054730214398717E-3</v>
      </c>
    </row>
    <row r="154" spans="1:10">
      <c r="A154" s="15">
        <v>40476</v>
      </c>
      <c r="B154" s="11">
        <v>1.3917999999999999</v>
      </c>
      <c r="C154" s="11">
        <f t="shared" si="14"/>
        <v>-4.0000000000017799E-4</v>
      </c>
      <c r="D154" s="12">
        <f t="shared" si="15"/>
        <v>1.6000000000014238E-7</v>
      </c>
      <c r="E154" s="12">
        <f t="shared" si="16"/>
        <v>3.2399999999992863E-6</v>
      </c>
      <c r="F154" s="12">
        <f t="shared" si="17"/>
        <v>7.160393684402602E-5</v>
      </c>
      <c r="G154" s="12">
        <f t="shared" si="18"/>
        <v>3.852124453231315</v>
      </c>
      <c r="I154" s="12">
        <f t="shared" si="19"/>
        <v>8.461910945172256E-3</v>
      </c>
      <c r="J154" s="12">
        <f t="shared" si="20"/>
        <v>7.4054730214398717E-3</v>
      </c>
    </row>
    <row r="155" spans="1:10">
      <c r="A155" s="15">
        <v>40477</v>
      </c>
      <c r="B155" s="11">
        <v>1.395</v>
      </c>
      <c r="C155" s="11">
        <f t="shared" si="14"/>
        <v>3.2000000000000917E-3</v>
      </c>
      <c r="D155" s="12">
        <f t="shared" si="15"/>
        <v>1.0240000000000586E-5</v>
      </c>
      <c r="E155" s="12">
        <f t="shared" si="16"/>
        <v>1.6000000000014238E-7</v>
      </c>
      <c r="F155" s="12">
        <f t="shared" si="17"/>
        <v>6.491677522091963E-5</v>
      </c>
      <c r="G155" s="12">
        <f t="shared" si="18"/>
        <v>3.8233934895350301</v>
      </c>
      <c r="I155" s="12">
        <f t="shared" si="19"/>
        <v>8.0570947134137403E-3</v>
      </c>
      <c r="J155" s="12">
        <f t="shared" si="20"/>
        <v>7.4054730214398717E-3</v>
      </c>
    </row>
    <row r="156" spans="1:10">
      <c r="A156" s="15">
        <v>40478</v>
      </c>
      <c r="B156" s="11">
        <v>1.4</v>
      </c>
      <c r="C156" s="11">
        <f t="shared" si="14"/>
        <v>4.9999999999998934E-3</v>
      </c>
      <c r="D156" s="12">
        <f t="shared" si="15"/>
        <v>2.4999999999998934E-5</v>
      </c>
      <c r="E156" s="12">
        <f t="shared" si="16"/>
        <v>1.0240000000000586E-5</v>
      </c>
      <c r="F156" s="12">
        <f t="shared" si="17"/>
        <v>5.9997180114624877E-5</v>
      </c>
      <c r="G156" s="12">
        <f t="shared" si="18"/>
        <v>3.7333248318148344</v>
      </c>
      <c r="I156" s="12">
        <f t="shared" si="19"/>
        <v>7.7457846674578341E-3</v>
      </c>
      <c r="J156" s="12">
        <f t="shared" si="20"/>
        <v>7.4054730214398717E-3</v>
      </c>
    </row>
    <row r="157" spans="1:10">
      <c r="A157" s="15">
        <v>40479</v>
      </c>
      <c r="B157" s="11">
        <v>1.3934</v>
      </c>
      <c r="C157" s="11">
        <f t="shared" si="14"/>
        <v>-6.5999999999999392E-3</v>
      </c>
      <c r="D157" s="12">
        <f t="shared" si="15"/>
        <v>4.3559999999999197E-5</v>
      </c>
      <c r="E157" s="12">
        <f t="shared" si="16"/>
        <v>2.4999999999998934E-5</v>
      </c>
      <c r="F157" s="12">
        <f t="shared" si="17"/>
        <v>5.6983544589886688E-5</v>
      </c>
      <c r="G157" s="12">
        <f t="shared" si="18"/>
        <v>3.5852198654979692</v>
      </c>
      <c r="I157" s="12">
        <f t="shared" si="19"/>
        <v>7.5487445704492274E-3</v>
      </c>
      <c r="J157" s="12">
        <f t="shared" si="20"/>
        <v>7.4054730214398717E-3</v>
      </c>
    </row>
    <row r="158" spans="1:10">
      <c r="A158" s="15">
        <v>40480</v>
      </c>
      <c r="B158" s="11">
        <v>1.3952</v>
      </c>
      <c r="C158" s="11">
        <f t="shared" si="14"/>
        <v>1.8000000000000238E-3</v>
      </c>
      <c r="D158" s="12">
        <f t="shared" si="15"/>
        <v>3.2400000000000859E-6</v>
      </c>
      <c r="E158" s="12">
        <f t="shared" si="16"/>
        <v>4.3559999999999197E-5</v>
      </c>
      <c r="F158" s="12">
        <f t="shared" si="17"/>
        <v>5.5922319910591871E-5</v>
      </c>
      <c r="G158" s="12">
        <f t="shared" si="18"/>
        <v>3.947866191461296</v>
      </c>
      <c r="I158" s="12">
        <f t="shared" si="19"/>
        <v>7.4781227531106947E-3</v>
      </c>
      <c r="J158" s="12">
        <f t="shared" si="20"/>
        <v>7.4054730214398717E-3</v>
      </c>
    </row>
    <row r="159" spans="1:10">
      <c r="A159" s="15">
        <v>40483</v>
      </c>
      <c r="B159" s="11">
        <v>1.3974</v>
      </c>
      <c r="C159" s="11">
        <f t="shared" si="14"/>
        <v>2.1999999999999797E-3</v>
      </c>
      <c r="D159" s="12">
        <f t="shared" si="15"/>
        <v>4.8399999999999113E-6</v>
      </c>
      <c r="E159" s="12">
        <f t="shared" si="16"/>
        <v>3.2400000000000859E-6</v>
      </c>
      <c r="F159" s="12">
        <f t="shared" si="17"/>
        <v>5.1684998795530307E-5</v>
      </c>
      <c r="G159" s="12">
        <f t="shared" si="18"/>
        <v>3.9694108515561988</v>
      </c>
      <c r="I159" s="12">
        <f t="shared" si="19"/>
        <v>7.1892279693671077E-3</v>
      </c>
      <c r="J159" s="12">
        <f t="shared" si="20"/>
        <v>7.4054730214398717E-3</v>
      </c>
    </row>
    <row r="160" spans="1:10">
      <c r="A160" s="15">
        <v>40484</v>
      </c>
      <c r="B160" s="11">
        <v>1.3875999999999999</v>
      </c>
      <c r="C160" s="11">
        <f t="shared" si="14"/>
        <v>-9.8000000000000309E-3</v>
      </c>
      <c r="D160" s="12">
        <f t="shared" si="15"/>
        <v>9.6040000000000605E-5</v>
      </c>
      <c r="E160" s="12">
        <f t="shared" si="16"/>
        <v>4.8399999999999113E-6</v>
      </c>
      <c r="F160" s="12">
        <f t="shared" si="17"/>
        <v>4.8172955109776125E-5</v>
      </c>
      <c r="G160" s="12">
        <f t="shared" si="18"/>
        <v>3.0545929793335906</v>
      </c>
      <c r="I160" s="12">
        <f t="shared" si="19"/>
        <v>6.9406739665378407E-3</v>
      </c>
      <c r="J160" s="12">
        <f t="shared" si="20"/>
        <v>7.4054730214398717E-3</v>
      </c>
    </row>
    <row r="161" spans="1:10">
      <c r="A161" s="15">
        <v>40485</v>
      </c>
      <c r="B161" s="11">
        <v>1.3813</v>
      </c>
      <c r="C161" s="11">
        <f t="shared" si="14"/>
        <v>-6.2999999999999723E-3</v>
      </c>
      <c r="D161" s="12">
        <f t="shared" si="15"/>
        <v>3.9689999999999649E-5</v>
      </c>
      <c r="E161" s="12">
        <f t="shared" si="16"/>
        <v>9.6040000000000605E-5</v>
      </c>
      <c r="F161" s="12">
        <f t="shared" si="17"/>
        <v>5.2672847133767431E-5</v>
      </c>
      <c r="G161" s="12">
        <f t="shared" si="18"/>
        <v>3.6300071098440188</v>
      </c>
      <c r="I161" s="12">
        <f t="shared" si="19"/>
        <v>7.2576061572509863E-3</v>
      </c>
      <c r="J161" s="12">
        <f t="shared" si="20"/>
        <v>7.4054730214398717E-3</v>
      </c>
    </row>
    <row r="162" spans="1:10">
      <c r="A162" s="15">
        <v>40486</v>
      </c>
      <c r="B162" s="11">
        <v>1.3756999999999999</v>
      </c>
      <c r="C162" s="11">
        <f t="shared" si="14"/>
        <v>-5.6000000000000494E-3</v>
      </c>
      <c r="D162" s="12">
        <f t="shared" si="15"/>
        <v>3.1360000000000554E-5</v>
      </c>
      <c r="E162" s="12">
        <f t="shared" si="16"/>
        <v>3.9689999999999649E-5</v>
      </c>
      <c r="F162" s="12">
        <f t="shared" si="17"/>
        <v>5.1896130558097867E-5</v>
      </c>
      <c r="G162" s="12">
        <f t="shared" si="18"/>
        <v>3.7120526356406218</v>
      </c>
      <c r="I162" s="12">
        <f t="shared" si="19"/>
        <v>7.2038969008515015E-3</v>
      </c>
      <c r="J162" s="12">
        <f t="shared" si="20"/>
        <v>7.4054730214398717E-3</v>
      </c>
    </row>
    <row r="163" spans="1:10">
      <c r="A163" s="15">
        <v>40487</v>
      </c>
      <c r="B163" s="11">
        <v>1.3777999999999999</v>
      </c>
      <c r="C163" s="11">
        <f t="shared" si="14"/>
        <v>2.0999999999999908E-3</v>
      </c>
      <c r="D163" s="12">
        <f t="shared" si="15"/>
        <v>4.4099999999999612E-6</v>
      </c>
      <c r="E163" s="12">
        <f t="shared" si="16"/>
        <v>3.1360000000000554E-5</v>
      </c>
      <c r="F163" s="12">
        <f t="shared" si="17"/>
        <v>5.0541302941364E-5</v>
      </c>
      <c r="G163" s="12">
        <f t="shared" si="18"/>
        <v>3.9837936132525327</v>
      </c>
      <c r="I163" s="12">
        <f t="shared" si="19"/>
        <v>7.1092406726291097E-3</v>
      </c>
      <c r="J163" s="12">
        <f t="shared" si="20"/>
        <v>7.4054730214398717E-3</v>
      </c>
    </row>
    <row r="164" spans="1:10">
      <c r="A164" s="15">
        <v>40490</v>
      </c>
      <c r="B164" s="11">
        <v>1.3913</v>
      </c>
      <c r="C164" s="11">
        <f t="shared" si="14"/>
        <v>1.3500000000000068E-2</v>
      </c>
      <c r="D164" s="12">
        <f t="shared" si="15"/>
        <v>1.8225000000000183E-4</v>
      </c>
      <c r="E164" s="12">
        <f t="shared" si="16"/>
        <v>4.4099999999999612E-6</v>
      </c>
      <c r="F164" s="12">
        <f t="shared" si="17"/>
        <v>4.7153952220280105E-5</v>
      </c>
      <c r="G164" s="12">
        <f t="shared" si="18"/>
        <v>2.1296080930730596</v>
      </c>
      <c r="I164" s="12">
        <f t="shared" si="19"/>
        <v>6.8668735404316351E-3</v>
      </c>
      <c r="J164" s="12">
        <f t="shared" si="20"/>
        <v>7.4054730214398717E-3</v>
      </c>
    </row>
    <row r="165" spans="1:10">
      <c r="A165" s="15">
        <v>40491</v>
      </c>
      <c r="B165" s="11">
        <v>1.4033</v>
      </c>
      <c r="C165" s="11">
        <f t="shared" si="14"/>
        <v>1.2000000000000011E-2</v>
      </c>
      <c r="D165" s="12">
        <f t="shared" si="15"/>
        <v>1.4400000000000025E-4</v>
      </c>
      <c r="E165" s="12">
        <f t="shared" si="16"/>
        <v>1.8225000000000183E-4</v>
      </c>
      <c r="F165" s="12">
        <f t="shared" si="17"/>
        <v>5.8905219277176724E-5</v>
      </c>
      <c r="G165" s="12">
        <f t="shared" si="18"/>
        <v>2.7285493341973246</v>
      </c>
      <c r="I165" s="12">
        <f t="shared" si="19"/>
        <v>7.6749735685002016E-3</v>
      </c>
      <c r="J165" s="12">
        <f t="shared" si="20"/>
        <v>7.4054730214398717E-3</v>
      </c>
    </row>
    <row r="166" spans="1:10">
      <c r="A166" s="15">
        <v>40492</v>
      </c>
      <c r="B166" s="11">
        <v>1.4052</v>
      </c>
      <c r="C166" s="11">
        <f t="shared" si="14"/>
        <v>1.9000000000000128E-3</v>
      </c>
      <c r="D166" s="12">
        <f t="shared" si="15"/>
        <v>3.6100000000000484E-6</v>
      </c>
      <c r="E166" s="12">
        <f t="shared" si="16"/>
        <v>1.4400000000000025E-4</v>
      </c>
      <c r="F166" s="12">
        <f t="shared" si="17"/>
        <v>6.5856965781018907E-5</v>
      </c>
      <c r="G166" s="12">
        <f t="shared" si="18"/>
        <v>3.8676662530132142</v>
      </c>
      <c r="I166" s="12">
        <f t="shared" si="19"/>
        <v>8.1152304823103403E-3</v>
      </c>
      <c r="J166" s="12">
        <f t="shared" si="20"/>
        <v>7.4054730214398717E-3</v>
      </c>
    </row>
    <row r="167" spans="1:10">
      <c r="A167" s="15">
        <v>40493</v>
      </c>
      <c r="B167" s="11">
        <v>1.4134</v>
      </c>
      <c r="C167" s="11">
        <f t="shared" si="14"/>
        <v>8.1999999999999851E-3</v>
      </c>
      <c r="D167" s="12">
        <f t="shared" si="15"/>
        <v>6.7239999999999756E-5</v>
      </c>
      <c r="E167" s="12">
        <f t="shared" si="16"/>
        <v>3.6100000000000484E-6</v>
      </c>
      <c r="F167" s="12">
        <f t="shared" si="17"/>
        <v>6.0259022243074841E-5</v>
      </c>
      <c r="G167" s="12">
        <f t="shared" si="18"/>
        <v>3.3815658331005372</v>
      </c>
      <c r="I167" s="12">
        <f t="shared" si="19"/>
        <v>7.7626685001405829E-3</v>
      </c>
      <c r="J167" s="12">
        <f t="shared" si="20"/>
        <v>7.4054730214398717E-3</v>
      </c>
    </row>
    <row r="168" spans="1:10">
      <c r="A168" s="15">
        <v>40494</v>
      </c>
      <c r="B168" s="11">
        <v>1.4129</v>
      </c>
      <c r="C168" s="11">
        <f t="shared" si="14"/>
        <v>-4.9999999999994493E-4</v>
      </c>
      <c r="D168" s="12">
        <f t="shared" si="15"/>
        <v>2.4999999999994493E-7</v>
      </c>
      <c r="E168" s="12">
        <f t="shared" si="16"/>
        <v>6.7239999999999756E-5</v>
      </c>
      <c r="F168" s="12">
        <f t="shared" si="17"/>
        <v>6.0691738302293934E-5</v>
      </c>
      <c r="G168" s="12">
        <f t="shared" si="18"/>
        <v>3.9338533591161604</v>
      </c>
      <c r="I168" s="12">
        <f t="shared" si="19"/>
        <v>7.790490247878752E-3</v>
      </c>
      <c r="J168" s="12">
        <f t="shared" si="20"/>
        <v>7.4054730214398717E-3</v>
      </c>
    </row>
    <row r="169" spans="1:10">
      <c r="A169" s="15">
        <v>40497</v>
      </c>
      <c r="B169" s="11">
        <v>1.4194</v>
      </c>
      <c r="C169" s="11">
        <f t="shared" si="14"/>
        <v>6.4999999999999503E-3</v>
      </c>
      <c r="D169" s="12">
        <f t="shared" si="15"/>
        <v>4.2249999999999353E-5</v>
      </c>
      <c r="E169" s="12">
        <f t="shared" si="16"/>
        <v>2.4999999999994493E-7</v>
      </c>
      <c r="F169" s="12">
        <f t="shared" si="17"/>
        <v>5.5540014745325295E-5</v>
      </c>
      <c r="G169" s="12">
        <f t="shared" si="18"/>
        <v>3.5999084658675953</v>
      </c>
      <c r="I169" s="12">
        <f t="shared" si="19"/>
        <v>7.4525173428396192E-3</v>
      </c>
      <c r="J169" s="12">
        <f t="shared" si="20"/>
        <v>7.4054730214398717E-3</v>
      </c>
    </row>
    <row r="170" spans="1:10">
      <c r="A170" s="15">
        <v>40498</v>
      </c>
      <c r="B170" s="11">
        <v>1.4173</v>
      </c>
      <c r="C170" s="11">
        <f t="shared" si="14"/>
        <v>-2.0999999999999908E-3</v>
      </c>
      <c r="D170" s="12">
        <f t="shared" si="15"/>
        <v>4.4099999999999612E-6</v>
      </c>
      <c r="E170" s="12">
        <f t="shared" si="16"/>
        <v>4.2249999999999353E-5</v>
      </c>
      <c r="F170" s="12">
        <f t="shared" si="17"/>
        <v>5.4572905429600075E-5</v>
      </c>
      <c r="G170" s="12">
        <f t="shared" si="18"/>
        <v>3.9486433116784236</v>
      </c>
      <c r="I170" s="12">
        <f t="shared" si="19"/>
        <v>7.387347658639065E-3</v>
      </c>
      <c r="J170" s="12">
        <f t="shared" si="20"/>
        <v>7.4054730214398717E-3</v>
      </c>
    </row>
    <row r="171" spans="1:10">
      <c r="A171" s="15">
        <v>40499</v>
      </c>
      <c r="B171" s="11">
        <v>1.4241999999999999</v>
      </c>
      <c r="C171" s="11">
        <f t="shared" si="14"/>
        <v>6.8999999999999062E-3</v>
      </c>
      <c r="D171" s="12">
        <f t="shared" si="15"/>
        <v>4.7609999999998706E-5</v>
      </c>
      <c r="E171" s="12">
        <f t="shared" si="16"/>
        <v>4.4099999999999612E-6</v>
      </c>
      <c r="F171" s="12">
        <f t="shared" si="17"/>
        <v>5.0621016171859765E-5</v>
      </c>
      <c r="G171" s="12">
        <f t="shared" si="18"/>
        <v>3.5563740953913343</v>
      </c>
      <c r="I171" s="12">
        <f t="shared" si="19"/>
        <v>7.1148447749659139E-3</v>
      </c>
      <c r="J171" s="12">
        <f t="shared" si="20"/>
        <v>7.4054730214398717E-3</v>
      </c>
    </row>
    <row r="172" spans="1:10">
      <c r="A172" s="15">
        <v>40500</v>
      </c>
      <c r="B172" s="11">
        <v>1.415</v>
      </c>
      <c r="C172" s="11">
        <f t="shared" si="14"/>
        <v>-9.1999999999998749E-3</v>
      </c>
      <c r="D172" s="12">
        <f t="shared" si="15"/>
        <v>8.4639999999997699E-5</v>
      </c>
      <c r="E172" s="12">
        <f t="shared" si="16"/>
        <v>4.7609999999998706E-5</v>
      </c>
      <c r="F172" s="12">
        <f t="shared" si="17"/>
        <v>5.0784679713897248E-5</v>
      </c>
      <c r="G172" s="12">
        <f t="shared" si="18"/>
        <v>3.1916971942513723</v>
      </c>
      <c r="I172" s="12">
        <f t="shared" si="19"/>
        <v>7.1263370474527266E-3</v>
      </c>
      <c r="J172" s="12">
        <f t="shared" si="20"/>
        <v>7.4054730214398717E-3</v>
      </c>
    </row>
    <row r="173" spans="1:10">
      <c r="A173" s="15">
        <v>40501</v>
      </c>
      <c r="B173" s="11">
        <v>1.4152</v>
      </c>
      <c r="C173" s="11">
        <f t="shared" si="14"/>
        <v>1.9999999999997797E-4</v>
      </c>
      <c r="D173" s="12">
        <f t="shared" si="15"/>
        <v>3.9999999999991186E-8</v>
      </c>
      <c r="E173" s="12">
        <f t="shared" si="16"/>
        <v>8.4639999999997699E-5</v>
      </c>
      <c r="F173" s="12">
        <f t="shared" si="17"/>
        <v>5.3978837555508812E-5</v>
      </c>
      <c r="G173" s="12">
        <f t="shared" si="18"/>
        <v>3.9941501865005327</v>
      </c>
      <c r="I173" s="12">
        <f t="shared" si="19"/>
        <v>7.3470291652823058E-3</v>
      </c>
      <c r="J173" s="12">
        <f t="shared" si="20"/>
        <v>7.4054730214398717E-3</v>
      </c>
    </row>
    <row r="174" spans="1:10">
      <c r="A174" s="15">
        <v>40504</v>
      </c>
      <c r="B174" s="11">
        <v>1.4171</v>
      </c>
      <c r="C174" s="11">
        <f t="shared" si="14"/>
        <v>1.9000000000000128E-3</v>
      </c>
      <c r="D174" s="12">
        <f t="shared" si="15"/>
        <v>3.6100000000000484E-6</v>
      </c>
      <c r="E174" s="12">
        <f t="shared" si="16"/>
        <v>3.9999999999991186E-8</v>
      </c>
      <c r="F174" s="12">
        <f t="shared" si="17"/>
        <v>4.9749794099472296E-5</v>
      </c>
      <c r="G174" s="12">
        <f t="shared" si="18"/>
        <v>3.9990320187512642</v>
      </c>
      <c r="I174" s="12">
        <f t="shared" si="19"/>
        <v>7.0533533939164212E-3</v>
      </c>
      <c r="J174" s="12">
        <f t="shared" si="20"/>
        <v>7.4054730214398717E-3</v>
      </c>
    </row>
    <row r="175" spans="1:10">
      <c r="A175" s="15">
        <v>40505</v>
      </c>
      <c r="B175" s="11">
        <v>1.4331</v>
      </c>
      <c r="C175" s="11">
        <f t="shared" si="14"/>
        <v>1.6000000000000014E-2</v>
      </c>
      <c r="D175" s="12">
        <f t="shared" si="15"/>
        <v>2.5600000000000048E-4</v>
      </c>
      <c r="E175" s="12">
        <f t="shared" si="16"/>
        <v>3.6100000000000484E-6</v>
      </c>
      <c r="F175" s="12">
        <f t="shared" si="17"/>
        <v>4.6407310805266796E-5</v>
      </c>
      <c r="G175" s="12">
        <f t="shared" si="18"/>
        <v>1.311902126163718</v>
      </c>
      <c r="I175" s="12">
        <f t="shared" si="19"/>
        <v>6.8122911568184452E-3</v>
      </c>
      <c r="J175" s="12">
        <f t="shared" si="20"/>
        <v>7.4054730214398717E-3</v>
      </c>
    </row>
    <row r="176" spans="1:10">
      <c r="A176" s="15">
        <v>40506</v>
      </c>
      <c r="B176" s="11">
        <v>1.4352</v>
      </c>
      <c r="C176" s="11">
        <f t="shared" si="14"/>
        <v>2.0999999999999908E-3</v>
      </c>
      <c r="D176" s="12">
        <f t="shared" si="15"/>
        <v>4.4099999999999612E-6</v>
      </c>
      <c r="E176" s="12">
        <f t="shared" si="16"/>
        <v>2.5600000000000048E-4</v>
      </c>
      <c r="F176" s="12">
        <f t="shared" si="17"/>
        <v>6.4344390555731736E-5</v>
      </c>
      <c r="G176" s="12">
        <f t="shared" si="18"/>
        <v>3.872423137195979</v>
      </c>
      <c r="I176" s="12">
        <f t="shared" si="19"/>
        <v>8.0214955311171086E-3</v>
      </c>
      <c r="J176" s="12">
        <f t="shared" si="20"/>
        <v>7.4054730214398717E-3</v>
      </c>
    </row>
    <row r="177" spans="1:10">
      <c r="A177" s="15">
        <v>40507</v>
      </c>
      <c r="B177" s="11">
        <v>1.4340999999999999</v>
      </c>
      <c r="C177" s="11">
        <f t="shared" si="14"/>
        <v>-1.1000000000001009E-3</v>
      </c>
      <c r="D177" s="12">
        <f t="shared" si="15"/>
        <v>1.210000000000222E-6</v>
      </c>
      <c r="E177" s="12">
        <f t="shared" si="16"/>
        <v>4.4099999999999612E-6</v>
      </c>
      <c r="F177" s="12">
        <f t="shared" si="17"/>
        <v>5.9024216619588067E-5</v>
      </c>
      <c r="G177" s="12">
        <f t="shared" si="18"/>
        <v>3.9395928028033107</v>
      </c>
      <c r="I177" s="12">
        <f t="shared" si="19"/>
        <v>7.682721953812208E-3</v>
      </c>
      <c r="J177" s="12">
        <f t="shared" si="20"/>
        <v>7.4054730214398717E-3</v>
      </c>
    </row>
    <row r="178" spans="1:10">
      <c r="A178" s="15">
        <v>40508</v>
      </c>
      <c r="B178" s="11">
        <v>1.4434</v>
      </c>
      <c r="C178" s="11">
        <f t="shared" si="14"/>
        <v>9.300000000000086E-3</v>
      </c>
      <c r="D178" s="12">
        <f t="shared" si="15"/>
        <v>8.6490000000001593E-5</v>
      </c>
      <c r="E178" s="12">
        <f t="shared" si="16"/>
        <v>1.210000000000222E-6</v>
      </c>
      <c r="F178" s="12">
        <f t="shared" si="17"/>
        <v>5.4185152802880528E-5</v>
      </c>
      <c r="G178" s="12">
        <f t="shared" si="18"/>
        <v>3.1945164154268331</v>
      </c>
      <c r="I178" s="12">
        <f t="shared" si="19"/>
        <v>7.3610565004543016E-3</v>
      </c>
      <c r="J178" s="12">
        <f t="shared" si="20"/>
        <v>7.4054730214398717E-3</v>
      </c>
    </row>
    <row r="179" spans="1:10">
      <c r="A179" s="15">
        <v>40511</v>
      </c>
      <c r="B179" s="11">
        <v>1.4535</v>
      </c>
      <c r="C179" s="11">
        <f t="shared" si="14"/>
        <v>1.0099999999999998E-2</v>
      </c>
      <c r="D179" s="12">
        <f t="shared" si="15"/>
        <v>1.0200999999999995E-4</v>
      </c>
      <c r="E179" s="12">
        <f t="shared" si="16"/>
        <v>8.6490000000001593E-5</v>
      </c>
      <c r="F179" s="12">
        <f t="shared" si="17"/>
        <v>5.7055695004269266E-5</v>
      </c>
      <c r="G179" s="12">
        <f t="shared" si="18"/>
        <v>3.0728517132989155</v>
      </c>
      <c r="I179" s="12">
        <f t="shared" si="19"/>
        <v>7.5535220264635007E-3</v>
      </c>
      <c r="J179" s="12">
        <f t="shared" si="20"/>
        <v>7.4054730214398717E-3</v>
      </c>
    </row>
    <row r="180" spans="1:10">
      <c r="A180" s="15">
        <v>40512</v>
      </c>
      <c r="B180" s="11">
        <v>1.4639</v>
      </c>
      <c r="C180" s="11">
        <f t="shared" si="14"/>
        <v>1.0399999999999965E-2</v>
      </c>
      <c r="D180" s="12">
        <f t="shared" si="15"/>
        <v>1.0815999999999926E-4</v>
      </c>
      <c r="E180" s="12">
        <f t="shared" si="16"/>
        <v>1.0200999999999995E-4</v>
      </c>
      <c r="F180" s="12">
        <f t="shared" si="17"/>
        <v>6.0804024839386267E-5</v>
      </c>
      <c r="G180" s="12">
        <f t="shared" si="18"/>
        <v>3.0455739392776575</v>
      </c>
      <c r="I180" s="12">
        <f t="shared" si="19"/>
        <v>7.7976935589561527E-3</v>
      </c>
      <c r="J180" s="12">
        <f t="shared" si="20"/>
        <v>7.4054730214398717E-3</v>
      </c>
    </row>
    <row r="181" spans="1:10">
      <c r="A181" s="15">
        <v>40513</v>
      </c>
      <c r="B181" s="11">
        <v>1.4540999999999999</v>
      </c>
      <c r="C181" s="11">
        <f t="shared" si="14"/>
        <v>-9.8000000000000309E-3</v>
      </c>
      <c r="D181" s="12">
        <f t="shared" si="15"/>
        <v>9.6040000000000605E-5</v>
      </c>
      <c r="E181" s="12">
        <f t="shared" si="16"/>
        <v>1.0815999999999926E-4</v>
      </c>
      <c r="F181" s="12">
        <f t="shared" si="17"/>
        <v>6.4534597718953924E-5</v>
      </c>
      <c r="G181" s="12">
        <f t="shared" si="18"/>
        <v>3.1611190076838054</v>
      </c>
      <c r="I181" s="12">
        <f t="shared" si="19"/>
        <v>8.0333428732348982E-3</v>
      </c>
      <c r="J181" s="12">
        <f t="shared" si="20"/>
        <v>7.4054730214398717E-3</v>
      </c>
    </row>
    <row r="182" spans="1:10">
      <c r="A182" s="15">
        <v>40514</v>
      </c>
      <c r="B182" s="11">
        <v>1.4476</v>
      </c>
      <c r="C182" s="11">
        <f t="shared" si="14"/>
        <v>-6.4999999999999503E-3</v>
      </c>
      <c r="D182" s="12">
        <f t="shared" si="15"/>
        <v>4.2249999999999353E-5</v>
      </c>
      <c r="E182" s="12">
        <f t="shared" si="16"/>
        <v>9.6040000000000605E-5</v>
      </c>
      <c r="F182" s="12">
        <f t="shared" si="17"/>
        <v>6.6743396361880825E-5</v>
      </c>
      <c r="G182" s="12">
        <f t="shared" si="18"/>
        <v>3.5718783442105604</v>
      </c>
      <c r="I182" s="12">
        <f t="shared" si="19"/>
        <v>8.1696631730984372E-3</v>
      </c>
      <c r="J182" s="12">
        <f t="shared" si="20"/>
        <v>7.4054730214398717E-3</v>
      </c>
    </row>
    <row r="183" spans="1:10">
      <c r="A183" s="15">
        <v>40515</v>
      </c>
      <c r="B183" s="11">
        <v>1.4339</v>
      </c>
      <c r="C183" s="11">
        <f t="shared" si="14"/>
        <v>-1.3700000000000045E-2</v>
      </c>
      <c r="D183" s="12">
        <f t="shared" si="15"/>
        <v>1.8769000000000123E-4</v>
      </c>
      <c r="E183" s="12">
        <f t="shared" si="16"/>
        <v>4.2249999999999353E-5</v>
      </c>
      <c r="F183" s="12">
        <f t="shared" si="17"/>
        <v>6.4207496303053129E-5</v>
      </c>
      <c r="G183" s="12">
        <f t="shared" si="18"/>
        <v>2.4461672916853194</v>
      </c>
      <c r="I183" s="12">
        <f t="shared" si="19"/>
        <v>8.0129580245408213E-3</v>
      </c>
      <c r="J183" s="12">
        <f t="shared" si="20"/>
        <v>7.4054730214398717E-3</v>
      </c>
    </row>
    <row r="184" spans="1:10">
      <c r="A184" s="15">
        <v>40518</v>
      </c>
      <c r="B184" s="11">
        <v>1.4429000000000001</v>
      </c>
      <c r="C184" s="11">
        <f t="shared" si="14"/>
        <v>9.000000000000119E-3</v>
      </c>
      <c r="D184" s="12">
        <f t="shared" si="15"/>
        <v>8.1000000000002145E-5</v>
      </c>
      <c r="E184" s="12">
        <f t="shared" si="16"/>
        <v>1.8769000000000123E-4</v>
      </c>
      <c r="F184" s="12">
        <f t="shared" si="17"/>
        <v>7.4019354533744333E-5</v>
      </c>
      <c r="G184" s="12">
        <f t="shared" si="18"/>
        <v>3.2894992446630233</v>
      </c>
      <c r="I184" s="12">
        <f t="shared" si="19"/>
        <v>8.6034501529179755E-3</v>
      </c>
      <c r="J184" s="12">
        <f t="shared" si="20"/>
        <v>7.4054730214398717E-3</v>
      </c>
    </row>
    <row r="185" spans="1:10">
      <c r="A185" s="15">
        <v>40519</v>
      </c>
      <c r="B185" s="11">
        <v>1.4418</v>
      </c>
      <c r="C185" s="11">
        <f t="shared" si="14"/>
        <v>-1.1000000000001009E-3</v>
      </c>
      <c r="D185" s="12">
        <f t="shared" si="15"/>
        <v>1.210000000000222E-6</v>
      </c>
      <c r="E185" s="12">
        <f t="shared" si="16"/>
        <v>8.1000000000002145E-5</v>
      </c>
      <c r="F185" s="12">
        <f t="shared" si="17"/>
        <v>7.365985347526562E-5</v>
      </c>
      <c r="G185" s="12">
        <f t="shared" si="18"/>
        <v>3.8308743481686265</v>
      </c>
      <c r="I185" s="12">
        <f t="shared" si="19"/>
        <v>8.5825318802359024E-3</v>
      </c>
      <c r="J185" s="12">
        <f t="shared" si="20"/>
        <v>7.4054730214398717E-3</v>
      </c>
    </row>
    <row r="186" spans="1:10">
      <c r="A186" s="15">
        <v>40520</v>
      </c>
      <c r="B186" s="11">
        <v>1.444</v>
      </c>
      <c r="C186" s="11">
        <f t="shared" si="14"/>
        <v>2.1999999999999797E-3</v>
      </c>
      <c r="D186" s="12">
        <f t="shared" si="15"/>
        <v>4.8399999999999113E-6</v>
      </c>
      <c r="E186" s="12">
        <f t="shared" si="16"/>
        <v>1.210000000000222E-6</v>
      </c>
      <c r="F186" s="12">
        <f t="shared" si="17"/>
        <v>6.6771385969169577E-5</v>
      </c>
      <c r="G186" s="12">
        <f t="shared" si="18"/>
        <v>3.8519363511168589</v>
      </c>
      <c r="I186" s="12">
        <f t="shared" si="19"/>
        <v>8.1713760144280223E-3</v>
      </c>
      <c r="J186" s="12">
        <f t="shared" si="20"/>
        <v>7.4054730214398717E-3</v>
      </c>
    </row>
    <row r="187" spans="1:10">
      <c r="A187" s="15">
        <v>40521</v>
      </c>
      <c r="B187" s="11">
        <v>1.4442999999999999</v>
      </c>
      <c r="C187" s="11">
        <f t="shared" si="14"/>
        <v>2.9999999999996696E-4</v>
      </c>
      <c r="D187" s="12">
        <f t="shared" si="15"/>
        <v>8.9999999999980173E-8</v>
      </c>
      <c r="E187" s="12">
        <f t="shared" si="16"/>
        <v>4.8399999999999113E-6</v>
      </c>
      <c r="F187" s="12">
        <f t="shared" si="17"/>
        <v>6.1146820782773914E-5</v>
      </c>
      <c r="G187" s="12">
        <f t="shared" si="18"/>
        <v>3.9314418696342543</v>
      </c>
      <c r="I187" s="12">
        <f t="shared" si="19"/>
        <v>7.8196432644190312E-3</v>
      </c>
      <c r="J187" s="12">
        <f t="shared" si="20"/>
        <v>7.4054730214398717E-3</v>
      </c>
    </row>
    <row r="188" spans="1:10">
      <c r="A188" s="15">
        <v>40522</v>
      </c>
      <c r="B188" s="11">
        <v>1.4471000000000001</v>
      </c>
      <c r="C188" s="11">
        <f t="shared" si="14"/>
        <v>2.8000000000001357E-3</v>
      </c>
      <c r="D188" s="12">
        <f t="shared" si="15"/>
        <v>7.8400000000007601E-6</v>
      </c>
      <c r="E188" s="12">
        <f t="shared" si="16"/>
        <v>8.9999999999980173E-8</v>
      </c>
      <c r="F188" s="12">
        <f t="shared" si="17"/>
        <v>5.5918179543272172E-5</v>
      </c>
      <c r="G188" s="12">
        <f t="shared" si="18"/>
        <v>3.90676954180217</v>
      </c>
      <c r="I188" s="12">
        <f t="shared" si="19"/>
        <v>7.4778459159889205E-3</v>
      </c>
      <c r="J188" s="12">
        <f t="shared" si="20"/>
        <v>7.4054730214398717E-3</v>
      </c>
    </row>
    <row r="189" spans="1:10">
      <c r="A189" s="15">
        <v>40525</v>
      </c>
      <c r="B189" s="11">
        <v>1.4401999999999999</v>
      </c>
      <c r="C189" s="11">
        <f t="shared" si="14"/>
        <v>-6.9000000000001283E-3</v>
      </c>
      <c r="D189" s="12">
        <f t="shared" si="15"/>
        <v>4.7610000000001768E-5</v>
      </c>
      <c r="E189" s="12">
        <f t="shared" si="16"/>
        <v>7.8400000000007601E-6</v>
      </c>
      <c r="F189" s="12">
        <f t="shared" si="17"/>
        <v>5.2060744014413832E-5</v>
      </c>
      <c r="G189" s="12">
        <f t="shared" si="18"/>
        <v>3.5553568248977725</v>
      </c>
      <c r="I189" s="12">
        <f t="shared" si="19"/>
        <v>7.2153131612157926E-3</v>
      </c>
      <c r="J189" s="12">
        <f t="shared" si="20"/>
        <v>7.4054730214398717E-3</v>
      </c>
    </row>
    <row r="190" spans="1:10">
      <c r="A190" s="15">
        <v>40526</v>
      </c>
      <c r="B190" s="11">
        <v>1.4361999999999999</v>
      </c>
      <c r="C190" s="11">
        <f t="shared" si="14"/>
        <v>-4.0000000000000036E-3</v>
      </c>
      <c r="D190" s="12">
        <f t="shared" si="15"/>
        <v>1.600000000000003E-5</v>
      </c>
      <c r="E190" s="12">
        <f t="shared" si="16"/>
        <v>4.7610000000001768E-5</v>
      </c>
      <c r="F190" s="12">
        <f t="shared" si="17"/>
        <v>5.2022804880644458E-5</v>
      </c>
      <c r="G190" s="12">
        <f t="shared" si="18"/>
        <v>3.8591969361090239</v>
      </c>
      <c r="I190" s="12">
        <f t="shared" si="19"/>
        <v>7.2126836115723571E-3</v>
      </c>
      <c r="J190" s="12">
        <f t="shared" si="20"/>
        <v>7.4054730214398717E-3</v>
      </c>
    </row>
    <row r="191" spans="1:10">
      <c r="A191" s="15">
        <v>40527</v>
      </c>
      <c r="B191" s="11">
        <v>1.4477</v>
      </c>
      <c r="C191" s="11">
        <f t="shared" si="14"/>
        <v>1.1500000000000066E-2</v>
      </c>
      <c r="D191" s="12">
        <f t="shared" si="15"/>
        <v>1.3225000000000151E-4</v>
      </c>
      <c r="E191" s="12">
        <f t="shared" si="16"/>
        <v>1.600000000000003E-5</v>
      </c>
      <c r="F191" s="12">
        <f t="shared" si="17"/>
        <v>4.9383687671582504E-5</v>
      </c>
      <c r="G191" s="12">
        <f t="shared" si="18"/>
        <v>2.700001753487788</v>
      </c>
      <c r="I191" s="12">
        <f t="shared" si="19"/>
        <v>7.0273528210544906E-3</v>
      </c>
      <c r="J191" s="12">
        <f t="shared" si="20"/>
        <v>7.4054730214398717E-3</v>
      </c>
    </row>
    <row r="192" spans="1:10">
      <c r="A192" s="15">
        <v>40528</v>
      </c>
      <c r="B192" s="11">
        <v>1.4473</v>
      </c>
      <c r="C192" s="11">
        <f t="shared" si="14"/>
        <v>-3.9999999999995595E-4</v>
      </c>
      <c r="D192" s="12">
        <f t="shared" si="15"/>
        <v>1.5999999999996475E-7</v>
      </c>
      <c r="E192" s="12">
        <f t="shared" si="16"/>
        <v>1.3225000000000151E-4</v>
      </c>
      <c r="F192" s="12">
        <f t="shared" si="17"/>
        <v>5.6699839291065737E-5</v>
      </c>
      <c r="G192" s="12">
        <f t="shared" si="18"/>
        <v>3.9685201114691808</v>
      </c>
      <c r="I192" s="12">
        <f t="shared" si="19"/>
        <v>7.5299295674704511E-3</v>
      </c>
      <c r="J192" s="12">
        <f t="shared" si="20"/>
        <v>7.4054730214398717E-3</v>
      </c>
    </row>
    <row r="193" spans="1:10">
      <c r="A193" s="15">
        <v>40529</v>
      </c>
      <c r="B193" s="11">
        <v>1.4507000000000001</v>
      </c>
      <c r="C193" s="11">
        <f t="shared" si="14"/>
        <v>3.4000000000000696E-3</v>
      </c>
      <c r="D193" s="12">
        <f t="shared" si="15"/>
        <v>1.1560000000000474E-5</v>
      </c>
      <c r="E193" s="12">
        <f t="shared" si="16"/>
        <v>1.5999999999996475E-7</v>
      </c>
      <c r="F193" s="12">
        <f t="shared" si="17"/>
        <v>5.20996734586614E-5</v>
      </c>
      <c r="G193" s="12">
        <f t="shared" si="18"/>
        <v>3.9012962034412291</v>
      </c>
      <c r="I193" s="12">
        <f t="shared" si="19"/>
        <v>7.2180103531833068E-3</v>
      </c>
      <c r="J193" s="12">
        <f t="shared" si="20"/>
        <v>7.4054730214398717E-3</v>
      </c>
    </row>
    <row r="194" spans="1:10">
      <c r="A194" s="15">
        <v>40532</v>
      </c>
      <c r="B194" s="11">
        <v>1.4560999999999999</v>
      </c>
      <c r="C194" s="11">
        <f t="shared" si="14"/>
        <v>5.3999999999998494E-3</v>
      </c>
      <c r="D194" s="12">
        <f t="shared" si="15"/>
        <v>2.9159999999998372E-5</v>
      </c>
      <c r="E194" s="12">
        <f t="shared" si="16"/>
        <v>1.1560000000000474E-5</v>
      </c>
      <c r="F194" s="12">
        <f t="shared" si="17"/>
        <v>4.9083679899821892E-5</v>
      </c>
      <c r="G194" s="12">
        <f t="shared" si="18"/>
        <v>3.7450096980353238</v>
      </c>
      <c r="I194" s="12">
        <f t="shared" si="19"/>
        <v>7.0059745860102784E-3</v>
      </c>
      <c r="J194" s="12">
        <f t="shared" si="20"/>
        <v>7.4054730214398717E-3</v>
      </c>
    </row>
    <row r="195" spans="1:10">
      <c r="A195" s="15">
        <v>40533</v>
      </c>
      <c r="B195" s="11">
        <v>1.4578</v>
      </c>
      <c r="C195" s="11">
        <f t="shared" si="14"/>
        <v>1.7000000000000348E-3</v>
      </c>
      <c r="D195" s="12">
        <f t="shared" si="15"/>
        <v>2.8900000000001184E-6</v>
      </c>
      <c r="E195" s="12">
        <f t="shared" si="16"/>
        <v>2.9159999999998372E-5</v>
      </c>
      <c r="F195" s="12">
        <f t="shared" si="17"/>
        <v>4.7941267903028545E-5</v>
      </c>
      <c r="G195" s="12">
        <f t="shared" si="18"/>
        <v>4.0236873533996826</v>
      </c>
      <c r="I195" s="12">
        <f t="shared" si="19"/>
        <v>6.9239633089025355E-3</v>
      </c>
      <c r="J195" s="12">
        <f t="shared" si="20"/>
        <v>7.4054730214398717E-3</v>
      </c>
    </row>
    <row r="196" spans="1:10">
      <c r="A196" s="15">
        <v>40534</v>
      </c>
      <c r="B196" s="11">
        <v>1.4572000000000001</v>
      </c>
      <c r="C196" s="11">
        <f t="shared" si="14"/>
        <v>-5.9999999999993392E-4</v>
      </c>
      <c r="D196" s="12">
        <f t="shared" si="15"/>
        <v>3.5999999999992069E-7</v>
      </c>
      <c r="E196" s="12">
        <f t="shared" si="16"/>
        <v>2.8900000000001184E-6</v>
      </c>
      <c r="F196" s="12">
        <f t="shared" si="17"/>
        <v>4.4792659893543767E-5</v>
      </c>
      <c r="G196" s="12">
        <f t="shared" si="18"/>
        <v>4.0837760806801997</v>
      </c>
      <c r="I196" s="12">
        <f t="shared" si="19"/>
        <v>6.6927318707343843E-3</v>
      </c>
      <c r="J196" s="12">
        <f t="shared" si="20"/>
        <v>7.4054730214398717E-3</v>
      </c>
    </row>
    <row r="197" spans="1:10">
      <c r="A197" s="15">
        <v>40535</v>
      </c>
      <c r="B197" s="11">
        <v>1.4503999999999999</v>
      </c>
      <c r="C197" s="11">
        <f t="shared" si="14"/>
        <v>-6.8000000000001393E-3</v>
      </c>
      <c r="D197" s="12">
        <f t="shared" si="15"/>
        <v>4.6240000000001895E-5</v>
      </c>
      <c r="E197" s="12">
        <f t="shared" si="16"/>
        <v>3.5999999999992069E-7</v>
      </c>
      <c r="F197" s="12">
        <f t="shared" si="17"/>
        <v>4.1876327984738805E-5</v>
      </c>
      <c r="G197" s="12">
        <f t="shared" si="18"/>
        <v>3.5693544928956942</v>
      </c>
      <c r="I197" s="12">
        <f t="shared" si="19"/>
        <v>6.4711921610116638E-3</v>
      </c>
      <c r="J197" s="12">
        <f t="shared" si="20"/>
        <v>7.4054730214398717E-3</v>
      </c>
    </row>
    <row r="198" spans="1:10">
      <c r="A198" s="15">
        <v>40536</v>
      </c>
      <c r="B198" s="11">
        <v>1.4535</v>
      </c>
      <c r="C198" s="11">
        <f t="shared" si="14"/>
        <v>3.1000000000001027E-3</v>
      </c>
      <c r="D198" s="12">
        <f t="shared" si="15"/>
        <v>9.6100000000006364E-6</v>
      </c>
      <c r="E198" s="12">
        <f t="shared" si="16"/>
        <v>4.6240000000001895E-5</v>
      </c>
      <c r="F198" s="12">
        <f t="shared" si="17"/>
        <v>4.3151528384047725E-5</v>
      </c>
      <c r="G198" s="12">
        <f t="shared" si="18"/>
        <v>3.9951060281155919</v>
      </c>
      <c r="I198" s="12">
        <f t="shared" si="19"/>
        <v>6.5689822943929242E-3</v>
      </c>
      <c r="J198" s="12">
        <f t="shared" si="20"/>
        <v>7.4054730214398717E-3</v>
      </c>
    </row>
    <row r="199" spans="1:10">
      <c r="A199" s="15">
        <v>40539</v>
      </c>
      <c r="B199" s="11">
        <v>1.448</v>
      </c>
      <c r="C199" s="11">
        <f t="shared" si="14"/>
        <v>-5.5000000000000604E-3</v>
      </c>
      <c r="D199" s="12">
        <f t="shared" si="15"/>
        <v>3.0250000000000664E-5</v>
      </c>
      <c r="E199" s="12">
        <f t="shared" si="16"/>
        <v>9.6100000000006364E-6</v>
      </c>
      <c r="F199" s="12">
        <f t="shared" si="17"/>
        <v>4.1227735893178924E-5</v>
      </c>
      <c r="G199" s="12">
        <f t="shared" si="18"/>
        <v>3.7623964461055537</v>
      </c>
      <c r="I199" s="12">
        <f t="shared" si="19"/>
        <v>6.4208827970286863E-3</v>
      </c>
      <c r="J199" s="12">
        <f t="shared" si="20"/>
        <v>7.4054730214398717E-3</v>
      </c>
    </row>
    <row r="200" spans="1:10">
      <c r="A200" s="15">
        <v>40540</v>
      </c>
      <c r="B200" s="11">
        <v>1.4553</v>
      </c>
      <c r="C200" s="11">
        <f t="shared" si="14"/>
        <v>7.3000000000000842E-3</v>
      </c>
      <c r="D200" s="12">
        <f t="shared" si="15"/>
        <v>5.3290000000001226E-5</v>
      </c>
      <c r="E200" s="12">
        <f t="shared" si="16"/>
        <v>3.0250000000000664E-5</v>
      </c>
      <c r="F200" s="12">
        <f t="shared" si="17"/>
        <v>4.1275257550799501E-5</v>
      </c>
      <c r="G200" s="12">
        <f t="shared" si="18"/>
        <v>3.483140999039906</v>
      </c>
      <c r="I200" s="12">
        <f t="shared" si="19"/>
        <v>6.4245822860945212E-3</v>
      </c>
      <c r="J200" s="12">
        <f t="shared" si="20"/>
        <v>7.4054730214398717E-3</v>
      </c>
    </row>
    <row r="201" spans="1:10">
      <c r="A201" s="15">
        <v>40541</v>
      </c>
      <c r="B201" s="11">
        <v>1.4469000000000001</v>
      </c>
      <c r="C201" s="11">
        <f t="shared" si="14"/>
        <v>-8.3999999999999631E-3</v>
      </c>
      <c r="D201" s="12">
        <f t="shared" si="15"/>
        <v>7.0559999999999379E-5</v>
      </c>
      <c r="E201" s="12">
        <f t="shared" si="16"/>
        <v>5.3290000000001226E-5</v>
      </c>
      <c r="F201" s="12">
        <f t="shared" si="17"/>
        <v>4.3215952229387123E-5</v>
      </c>
      <c r="G201" s="12">
        <f t="shared" si="18"/>
        <v>3.2893466806437215</v>
      </c>
      <c r="I201" s="12">
        <f t="shared" si="19"/>
        <v>6.573884105259776E-3</v>
      </c>
      <c r="J201" s="12">
        <f t="shared" si="20"/>
        <v>7.4054730214398717E-3</v>
      </c>
    </row>
    <row r="202" spans="1:10">
      <c r="A202" s="15">
        <v>40542</v>
      </c>
      <c r="B202" s="11">
        <v>1.4419</v>
      </c>
      <c r="C202" s="11">
        <f t="shared" si="14"/>
        <v>-5.0000000000001155E-3</v>
      </c>
      <c r="D202" s="12">
        <f t="shared" si="15"/>
        <v>2.5000000000001153E-5</v>
      </c>
      <c r="E202" s="12">
        <f t="shared" si="16"/>
        <v>7.0559999999999379E-5</v>
      </c>
      <c r="F202" s="12">
        <f t="shared" si="17"/>
        <v>4.6308940657475772E-5</v>
      </c>
      <c r="G202" s="12">
        <f t="shared" si="18"/>
        <v>3.801222937568923</v>
      </c>
      <c r="I202" s="12">
        <f t="shared" si="19"/>
        <v>6.8050672779536702E-3</v>
      </c>
      <c r="J202" s="12">
        <f t="shared" si="20"/>
        <v>7.4054730214398717E-3</v>
      </c>
    </row>
    <row r="203" spans="1:10">
      <c r="A203" s="15">
        <v>40543</v>
      </c>
      <c r="B203" s="11">
        <v>1.44</v>
      </c>
      <c r="C203" s="11">
        <f t="shared" si="14"/>
        <v>-1.9000000000000128E-3</v>
      </c>
      <c r="D203" s="12">
        <f t="shared" si="15"/>
        <v>3.6100000000000484E-6</v>
      </c>
      <c r="E203" s="12">
        <f t="shared" si="16"/>
        <v>2.5000000000001153E-5</v>
      </c>
      <c r="F203" s="12">
        <f t="shared" si="17"/>
        <v>4.5212046352907651E-5</v>
      </c>
      <c r="G203" s="12">
        <f t="shared" si="18"/>
        <v>4.0432119682559291</v>
      </c>
      <c r="I203" s="12">
        <f t="shared" si="19"/>
        <v>6.7239903593705169E-3</v>
      </c>
      <c r="J203" s="12">
        <f t="shared" si="20"/>
        <v>7.4054730214398717E-3</v>
      </c>
    </row>
    <row r="204" spans="1:10">
      <c r="A204" s="15">
        <v>40546</v>
      </c>
      <c r="B204" s="11">
        <v>1.4416</v>
      </c>
      <c r="C204" s="11">
        <f t="shared" si="14"/>
        <v>1.6000000000000458E-3</v>
      </c>
      <c r="D204" s="12">
        <f t="shared" si="15"/>
        <v>2.5600000000001466E-6</v>
      </c>
      <c r="E204" s="12">
        <f t="shared" si="16"/>
        <v>3.6100000000000484E-6</v>
      </c>
      <c r="F204" s="12">
        <f t="shared" si="17"/>
        <v>4.2504976267230643E-5</v>
      </c>
      <c r="G204" s="12">
        <f t="shared" si="18"/>
        <v>4.0838920384953479</v>
      </c>
      <c r="I204" s="12">
        <f t="shared" si="19"/>
        <v>6.5195840563053286E-3</v>
      </c>
      <c r="J204" s="12">
        <f t="shared" si="20"/>
        <v>7.4054730214398717E-3</v>
      </c>
    </row>
    <row r="205" spans="1:10">
      <c r="A205" s="15">
        <v>40547</v>
      </c>
      <c r="B205" s="11">
        <v>1.4468000000000001</v>
      </c>
      <c r="C205" s="11">
        <f t="shared" si="14"/>
        <v>5.2000000000000934E-3</v>
      </c>
      <c r="D205" s="12">
        <f t="shared" si="15"/>
        <v>2.7040000000000971E-5</v>
      </c>
      <c r="E205" s="12">
        <f t="shared" si="16"/>
        <v>2.5600000000001466E-6</v>
      </c>
      <c r="F205" s="12">
        <f t="shared" si="17"/>
        <v>4.0090391990981867E-5</v>
      </c>
      <c r="G205" s="12">
        <f t="shared" si="18"/>
        <v>3.8060104763530966</v>
      </c>
      <c r="I205" s="12">
        <f t="shared" si="19"/>
        <v>6.3316974020385611E-3</v>
      </c>
      <c r="J205" s="12">
        <f t="shared" si="20"/>
        <v>7.4054730214398717E-3</v>
      </c>
    </row>
    <row r="206" spans="1:10">
      <c r="A206" s="15">
        <v>40548</v>
      </c>
      <c r="B206" s="11">
        <v>1.4512</v>
      </c>
      <c r="C206" s="11">
        <f t="shared" ref="C206:C269" si="21">B206-B205</f>
        <v>4.3999999999999595E-3</v>
      </c>
      <c r="D206" s="12">
        <f t="shared" ref="D206:D269" si="22">C206^2</f>
        <v>1.9359999999999645E-5</v>
      </c>
      <c r="E206" s="12">
        <f t="shared" si="16"/>
        <v>2.7040000000000971E-5</v>
      </c>
      <c r="F206" s="12">
        <f t="shared" si="17"/>
        <v>4.003248451385477E-5</v>
      </c>
      <c r="G206" s="12">
        <f t="shared" si="18"/>
        <v>3.9021674915362401</v>
      </c>
      <c r="I206" s="12">
        <f t="shared" si="19"/>
        <v>6.3271229254578867E-3</v>
      </c>
      <c r="J206" s="12">
        <f t="shared" si="20"/>
        <v>7.4054730214398717E-3</v>
      </c>
    </row>
    <row r="207" spans="1:10">
      <c r="A207" s="15">
        <v>40549</v>
      </c>
      <c r="B207" s="11">
        <v>1.456</v>
      </c>
      <c r="C207" s="11">
        <f t="shared" si="21"/>
        <v>4.7999999999999154E-3</v>
      </c>
      <c r="D207" s="12">
        <f t="shared" si="22"/>
        <v>2.303999999999919E-5</v>
      </c>
      <c r="E207" s="12">
        <f t="shared" ref="E207:E270" si="23">D206</f>
        <v>1.9359999999999645E-5</v>
      </c>
      <c r="F207" s="12">
        <f t="shared" ref="F207:F270" si="24">$B$5+$B$6*E207+$B$7*F206</f>
        <v>3.9349409923988361E-5</v>
      </c>
      <c r="G207" s="12">
        <f t="shared" ref="G207:G270" si="25">LN((1/SQRT(2*3.1415927*F207))*EXP(-0.5*D207/F207))</f>
        <v>3.8598145524476348</v>
      </c>
      <c r="I207" s="12">
        <f t="shared" ref="I207:I270" si="26">SQRT(F207)</f>
        <v>6.2729108015329186E-3</v>
      </c>
      <c r="J207" s="12">
        <f t="shared" si="20"/>
        <v>7.4054730214398717E-3</v>
      </c>
    </row>
    <row r="208" spans="1:10">
      <c r="A208" s="15">
        <v>40550</v>
      </c>
      <c r="B208" s="11">
        <v>1.4703999999999999</v>
      </c>
      <c r="C208" s="11">
        <f t="shared" si="21"/>
        <v>1.4399999999999968E-2</v>
      </c>
      <c r="D208" s="12">
        <f t="shared" si="22"/>
        <v>2.073599999999991E-4</v>
      </c>
      <c r="E208" s="12">
        <f t="shared" si="23"/>
        <v>2.303999999999919E-5</v>
      </c>
      <c r="F208" s="12">
        <f t="shared" si="24"/>
        <v>3.9065429777640179E-5</v>
      </c>
      <c r="G208" s="12">
        <f t="shared" si="25"/>
        <v>1.5021888316903254</v>
      </c>
      <c r="I208" s="12">
        <f t="shared" si="26"/>
        <v>6.2502343778165778E-3</v>
      </c>
      <c r="J208" s="12">
        <f t="shared" ref="J208:J271" si="27">J207</f>
        <v>7.4054730214398717E-3</v>
      </c>
    </row>
    <row r="209" spans="1:10">
      <c r="A209" s="15">
        <v>40553</v>
      </c>
      <c r="B209" s="11">
        <v>1.4661999999999999</v>
      </c>
      <c r="C209" s="11">
        <f t="shared" si="21"/>
        <v>-4.1999999999999815E-3</v>
      </c>
      <c r="D209" s="12">
        <f t="shared" si="22"/>
        <v>1.7639999999999845E-5</v>
      </c>
      <c r="E209" s="12">
        <f t="shared" si="23"/>
        <v>2.073599999999991E-4</v>
      </c>
      <c r="F209" s="12">
        <f t="shared" si="24"/>
        <v>5.4019834087070705E-5</v>
      </c>
      <c r="G209" s="12">
        <f t="shared" si="25"/>
        <v>3.8308677365048194</v>
      </c>
      <c r="I209" s="12">
        <f t="shared" si="26"/>
        <v>7.3498186431415237E-3</v>
      </c>
      <c r="J209" s="12">
        <f t="shared" si="27"/>
        <v>7.4054730214398717E-3</v>
      </c>
    </row>
    <row r="210" spans="1:10">
      <c r="A210" s="15">
        <v>40554</v>
      </c>
      <c r="B210" s="11">
        <v>1.4657</v>
      </c>
      <c r="C210" s="11">
        <f t="shared" si="21"/>
        <v>-4.9999999999994493E-4</v>
      </c>
      <c r="D210" s="12">
        <f t="shared" si="22"/>
        <v>2.4999999999994493E-7</v>
      </c>
      <c r="E210" s="12">
        <f t="shared" si="23"/>
        <v>1.7639999999999845E-5</v>
      </c>
      <c r="F210" s="12">
        <f t="shared" si="24"/>
        <v>5.1236306996364299E-5</v>
      </c>
      <c r="G210" s="12">
        <f t="shared" si="25"/>
        <v>4.0181528612864064</v>
      </c>
      <c r="I210" s="12">
        <f t="shared" si="26"/>
        <v>7.1579541068914586E-3</v>
      </c>
      <c r="J210" s="12">
        <f t="shared" si="27"/>
        <v>7.4054730214398717E-3</v>
      </c>
    </row>
    <row r="211" spans="1:10">
      <c r="A211" s="15">
        <v>40555</v>
      </c>
      <c r="B211" s="11">
        <v>1.4598</v>
      </c>
      <c r="C211" s="11">
        <f t="shared" si="21"/>
        <v>-5.9000000000000163E-3</v>
      </c>
      <c r="D211" s="12">
        <f t="shared" si="22"/>
        <v>3.481000000000019E-5</v>
      </c>
      <c r="E211" s="12">
        <f t="shared" si="23"/>
        <v>2.4999999999994493E-7</v>
      </c>
      <c r="F211" s="12">
        <f t="shared" si="24"/>
        <v>4.7408611631282274E-5</v>
      </c>
      <c r="G211" s="12">
        <f t="shared" si="25"/>
        <v>3.6922873991712293</v>
      </c>
      <c r="I211" s="12">
        <f t="shared" si="26"/>
        <v>6.8853911748921193E-3</v>
      </c>
      <c r="J211" s="12">
        <f t="shared" si="27"/>
        <v>7.4054730214398717E-3</v>
      </c>
    </row>
    <row r="212" spans="1:10">
      <c r="A212" s="15">
        <v>40556</v>
      </c>
      <c r="B212" s="11">
        <v>1.4370000000000001</v>
      </c>
      <c r="C212" s="11">
        <f t="shared" si="21"/>
        <v>-2.2799999999999931E-2</v>
      </c>
      <c r="D212" s="12">
        <f t="shared" si="22"/>
        <v>5.1983999999999689E-4</v>
      </c>
      <c r="E212" s="12">
        <f t="shared" si="23"/>
        <v>3.481000000000019E-5</v>
      </c>
      <c r="F212" s="12">
        <f t="shared" si="24"/>
        <v>4.696664312879801E-5</v>
      </c>
      <c r="G212" s="12">
        <f t="shared" si="25"/>
        <v>-1.4700425359450775</v>
      </c>
      <c r="I212" s="12">
        <f t="shared" si="26"/>
        <v>6.8532213687285785E-3</v>
      </c>
      <c r="J212" s="12">
        <f t="shared" si="27"/>
        <v>7.4054730214398717E-3</v>
      </c>
    </row>
    <row r="213" spans="1:10">
      <c r="A213" s="15">
        <v>40557</v>
      </c>
      <c r="B213" s="11">
        <v>1.4373</v>
      </c>
      <c r="C213" s="11">
        <f t="shared" si="21"/>
        <v>2.9999999999996696E-4</v>
      </c>
      <c r="D213" s="12">
        <f t="shared" si="22"/>
        <v>8.9999999999980173E-8</v>
      </c>
      <c r="E213" s="12">
        <f t="shared" si="23"/>
        <v>5.1983999999999689E-4</v>
      </c>
      <c r="F213" s="12">
        <f t="shared" si="24"/>
        <v>8.6581062879592622E-5</v>
      </c>
      <c r="G213" s="12">
        <f t="shared" si="25"/>
        <v>3.7577564351467942</v>
      </c>
      <c r="I213" s="12">
        <f t="shared" si="26"/>
        <v>9.3048945657429466E-3</v>
      </c>
      <c r="J213" s="12">
        <f t="shared" si="27"/>
        <v>7.4054730214398717E-3</v>
      </c>
    </row>
    <row r="214" spans="1:10">
      <c r="A214" s="15">
        <v>40560</v>
      </c>
      <c r="B214" s="11">
        <v>1.4356</v>
      </c>
      <c r="C214" s="11">
        <f t="shared" si="21"/>
        <v>-1.7000000000000348E-3</v>
      </c>
      <c r="D214" s="12">
        <f t="shared" si="22"/>
        <v>2.8900000000001184E-6</v>
      </c>
      <c r="E214" s="12">
        <f t="shared" si="23"/>
        <v>8.9999999999980173E-8</v>
      </c>
      <c r="F214" s="12">
        <f t="shared" si="24"/>
        <v>7.7790907364762291E-5</v>
      </c>
      <c r="G214" s="12">
        <f t="shared" si="25"/>
        <v>3.793229026444719</v>
      </c>
      <c r="I214" s="12">
        <f t="shared" si="26"/>
        <v>8.8199153830840291E-3</v>
      </c>
      <c r="J214" s="12">
        <f t="shared" si="27"/>
        <v>7.4054730214398717E-3</v>
      </c>
    </row>
    <row r="215" spans="1:10">
      <c r="A215" s="15">
        <v>40561</v>
      </c>
      <c r="B215" s="11">
        <v>1.4305000000000001</v>
      </c>
      <c r="C215" s="11">
        <f t="shared" si="21"/>
        <v>-5.0999999999998824E-3</v>
      </c>
      <c r="D215" s="12">
        <f t="shared" si="22"/>
        <v>2.6009999999998801E-5</v>
      </c>
      <c r="E215" s="12">
        <f t="shared" si="23"/>
        <v>2.8900000000001184E-6</v>
      </c>
      <c r="F215" s="12">
        <f t="shared" si="24"/>
        <v>7.0462504390218439E-5</v>
      </c>
      <c r="G215" s="12">
        <f t="shared" si="25"/>
        <v>3.6767101333856615</v>
      </c>
      <c r="I215" s="12">
        <f t="shared" si="26"/>
        <v>8.3941946838406393E-3</v>
      </c>
      <c r="J215" s="12">
        <f t="shared" si="27"/>
        <v>7.4054730214398717E-3</v>
      </c>
    </row>
    <row r="216" spans="1:10">
      <c r="A216" s="15">
        <v>40562</v>
      </c>
      <c r="B216" s="11">
        <v>1.4345000000000001</v>
      </c>
      <c r="C216" s="11">
        <f t="shared" si="21"/>
        <v>4.0000000000000036E-3</v>
      </c>
      <c r="D216" s="12">
        <f t="shared" si="22"/>
        <v>1.600000000000003E-5</v>
      </c>
      <c r="E216" s="12">
        <f t="shared" si="23"/>
        <v>2.6009999999998801E-5</v>
      </c>
      <c r="F216" s="12">
        <f t="shared" si="24"/>
        <v>6.606670941861424E-5</v>
      </c>
      <c r="G216" s="12">
        <f t="shared" si="25"/>
        <v>3.7723945183087695</v>
      </c>
      <c r="I216" s="12">
        <f t="shared" si="26"/>
        <v>8.1281430486067497E-3</v>
      </c>
      <c r="J216" s="12">
        <f t="shared" si="27"/>
        <v>7.4054730214398717E-3</v>
      </c>
    </row>
    <row r="217" spans="1:10">
      <c r="A217" s="15">
        <v>40563</v>
      </c>
      <c r="B217" s="11">
        <v>1.4293</v>
      </c>
      <c r="C217" s="11">
        <f t="shared" si="21"/>
        <v>-5.2000000000000934E-3</v>
      </c>
      <c r="D217" s="12">
        <f t="shared" si="22"/>
        <v>2.7040000000000971E-5</v>
      </c>
      <c r="E217" s="12">
        <f t="shared" si="23"/>
        <v>1.600000000000003E-5</v>
      </c>
      <c r="F217" s="12">
        <f t="shared" si="24"/>
        <v>6.1461047804457265E-5</v>
      </c>
      <c r="G217" s="12">
        <f t="shared" si="25"/>
        <v>3.7096382110133517</v>
      </c>
      <c r="I217" s="12">
        <f t="shared" si="26"/>
        <v>7.8397096760312035E-3</v>
      </c>
      <c r="J217" s="12">
        <f t="shared" si="27"/>
        <v>7.4054730214398717E-3</v>
      </c>
    </row>
    <row r="218" spans="1:10">
      <c r="A218" s="15">
        <v>40564</v>
      </c>
      <c r="B218" s="11">
        <v>1.4153</v>
      </c>
      <c r="C218" s="11">
        <f t="shared" si="21"/>
        <v>-1.4000000000000012E-2</v>
      </c>
      <c r="D218" s="12">
        <f t="shared" si="22"/>
        <v>1.9600000000000035E-4</v>
      </c>
      <c r="E218" s="12">
        <f t="shared" si="23"/>
        <v>2.7040000000000971E-5</v>
      </c>
      <c r="F218" s="12">
        <f t="shared" si="24"/>
        <v>5.8410643225859774E-5</v>
      </c>
      <c r="G218" s="12">
        <f t="shared" si="25"/>
        <v>2.277291256236579</v>
      </c>
      <c r="I218" s="12">
        <f t="shared" si="26"/>
        <v>7.6426856029709724E-3</v>
      </c>
      <c r="J218" s="12">
        <f t="shared" si="27"/>
        <v>7.4054730214398717E-3</v>
      </c>
    </row>
    <row r="219" spans="1:10">
      <c r="A219" s="15">
        <v>40567</v>
      </c>
      <c r="B219" s="11">
        <v>1.4128000000000001</v>
      </c>
      <c r="C219" s="11">
        <f t="shared" si="21"/>
        <v>-2.4999999999999467E-3</v>
      </c>
      <c r="D219" s="12">
        <f t="shared" si="22"/>
        <v>6.2499999999997335E-6</v>
      </c>
      <c r="E219" s="12">
        <f t="shared" si="23"/>
        <v>1.9600000000000035E-4</v>
      </c>
      <c r="F219" s="12">
        <f t="shared" si="24"/>
        <v>6.9719449278500214E-5</v>
      </c>
      <c r="G219" s="12">
        <f t="shared" si="25"/>
        <v>3.8217545778230759</v>
      </c>
      <c r="I219" s="12">
        <f t="shared" si="26"/>
        <v>8.34981732006756E-3</v>
      </c>
      <c r="J219" s="12">
        <f t="shared" si="27"/>
        <v>7.4054730214398717E-3</v>
      </c>
    </row>
    <row r="220" spans="1:10">
      <c r="A220" s="15">
        <v>40568</v>
      </c>
      <c r="B220" s="11">
        <v>1.4118999999999999</v>
      </c>
      <c r="C220" s="11">
        <f t="shared" si="21"/>
        <v>-9.0000000000012292E-4</v>
      </c>
      <c r="D220" s="12">
        <f t="shared" si="22"/>
        <v>8.1000000000022126E-7</v>
      </c>
      <c r="E220" s="12">
        <f t="shared" si="23"/>
        <v>6.2499999999997335E-6</v>
      </c>
      <c r="F220" s="12">
        <f t="shared" si="24"/>
        <v>6.3798337208749884E-5</v>
      </c>
      <c r="G220" s="12">
        <f t="shared" si="25"/>
        <v>3.9046050468339835</v>
      </c>
      <c r="I220" s="12">
        <f t="shared" si="26"/>
        <v>7.9873861311914734E-3</v>
      </c>
      <c r="J220" s="12">
        <f t="shared" si="27"/>
        <v>7.4054730214398717E-3</v>
      </c>
    </row>
    <row r="221" spans="1:10">
      <c r="A221" s="15">
        <v>40569</v>
      </c>
      <c r="B221" s="11">
        <v>1.4142999999999999</v>
      </c>
      <c r="C221" s="11">
        <f t="shared" si="21"/>
        <v>2.3999999999999577E-3</v>
      </c>
      <c r="D221" s="12">
        <f t="shared" si="22"/>
        <v>5.7599999999997975E-6</v>
      </c>
      <c r="E221" s="12">
        <f t="shared" si="23"/>
        <v>8.1000000000022126E-7</v>
      </c>
      <c r="F221" s="12">
        <f t="shared" si="24"/>
        <v>5.8257778176124296E-5</v>
      </c>
      <c r="G221" s="12">
        <f t="shared" si="25"/>
        <v>3.9069424722415858</v>
      </c>
      <c r="I221" s="12">
        <f t="shared" si="26"/>
        <v>7.6326783094877188E-3</v>
      </c>
      <c r="J221" s="12">
        <f t="shared" si="27"/>
        <v>7.4054730214398717E-3</v>
      </c>
    </row>
    <row r="222" spans="1:10">
      <c r="A222" s="15">
        <v>40570</v>
      </c>
      <c r="B222" s="11">
        <v>1.4125000000000001</v>
      </c>
      <c r="C222" s="11">
        <f t="shared" si="21"/>
        <v>-1.7999999999998018E-3</v>
      </c>
      <c r="D222" s="12">
        <f t="shared" si="22"/>
        <v>3.2399999999992863E-6</v>
      </c>
      <c r="E222" s="12">
        <f t="shared" si="23"/>
        <v>5.7599999999997975E-6</v>
      </c>
      <c r="F222" s="12">
        <f t="shared" si="24"/>
        <v>5.3901220377759543E-5</v>
      </c>
      <c r="G222" s="12">
        <f t="shared" si="25"/>
        <v>3.9651852006665091</v>
      </c>
      <c r="I222" s="12">
        <f t="shared" si="26"/>
        <v>7.3417450499019335E-3</v>
      </c>
      <c r="J222" s="12">
        <f t="shared" si="27"/>
        <v>7.4054730214398717E-3</v>
      </c>
    </row>
    <row r="223" spans="1:10">
      <c r="A223" s="15">
        <v>40571</v>
      </c>
      <c r="B223" s="11">
        <v>1.4180999999999999</v>
      </c>
      <c r="C223" s="11">
        <f t="shared" si="21"/>
        <v>5.5999999999998273E-3</v>
      </c>
      <c r="D223" s="12">
        <f t="shared" si="22"/>
        <v>3.1359999999998067E-5</v>
      </c>
      <c r="E223" s="12">
        <f t="shared" si="23"/>
        <v>3.2399999999992863E-6</v>
      </c>
      <c r="F223" s="12">
        <f t="shared" si="24"/>
        <v>4.9946910441511169E-5</v>
      </c>
      <c r="G223" s="12">
        <f t="shared" si="25"/>
        <v>3.7194030816722439</v>
      </c>
      <c r="I223" s="12">
        <f t="shared" si="26"/>
        <v>7.0673128161636636E-3</v>
      </c>
      <c r="J223" s="12">
        <f t="shared" si="27"/>
        <v>7.4054730214398717E-3</v>
      </c>
    </row>
    <row r="224" spans="1:10">
      <c r="A224" s="15">
        <v>40574</v>
      </c>
      <c r="B224" s="11">
        <v>1.4159999999999999</v>
      </c>
      <c r="C224" s="11">
        <f t="shared" si="21"/>
        <v>-2.0999999999999908E-3</v>
      </c>
      <c r="D224" s="12">
        <f t="shared" si="22"/>
        <v>4.4099999999999612E-6</v>
      </c>
      <c r="E224" s="12">
        <f t="shared" si="23"/>
        <v>3.1359999999998067E-5</v>
      </c>
      <c r="F224" s="12">
        <f t="shared" si="24"/>
        <v>4.8865028849453392E-5</v>
      </c>
      <c r="G224" s="12">
        <f t="shared" si="25"/>
        <v>3.9991614508293019</v>
      </c>
      <c r="I224" s="12">
        <f t="shared" si="26"/>
        <v>6.9903525554476428E-3</v>
      </c>
      <c r="J224" s="12">
        <f t="shared" si="27"/>
        <v>7.4054730214398717E-3</v>
      </c>
    </row>
    <row r="225" spans="1:10">
      <c r="A225" s="15">
        <v>40575</v>
      </c>
      <c r="B225" s="11">
        <v>1.4046000000000001</v>
      </c>
      <c r="C225" s="11">
        <f t="shared" si="21"/>
        <v>-1.1399999999999855E-2</v>
      </c>
      <c r="D225" s="12">
        <f t="shared" si="22"/>
        <v>1.2995999999999668E-4</v>
      </c>
      <c r="E225" s="12">
        <f t="shared" si="23"/>
        <v>4.4099999999999612E-6</v>
      </c>
      <c r="F225" s="12">
        <f t="shared" si="24"/>
        <v>4.5712403978857872E-5</v>
      </c>
      <c r="G225" s="12">
        <f t="shared" si="25"/>
        <v>2.6561358839396543</v>
      </c>
      <c r="I225" s="12">
        <f t="shared" si="26"/>
        <v>6.7610948801845603E-3</v>
      </c>
      <c r="J225" s="12">
        <f t="shared" si="27"/>
        <v>7.4054730214398717E-3</v>
      </c>
    </row>
    <row r="226" spans="1:10">
      <c r="A226" s="15">
        <v>40576</v>
      </c>
      <c r="B226" s="11">
        <v>1.4057999999999999</v>
      </c>
      <c r="C226" s="11">
        <f t="shared" si="21"/>
        <v>1.1999999999998678E-3</v>
      </c>
      <c r="D226" s="12">
        <f t="shared" si="22"/>
        <v>1.4399999999996828E-6</v>
      </c>
      <c r="E226" s="12">
        <f t="shared" si="23"/>
        <v>1.2995999999999668E-4</v>
      </c>
      <c r="F226" s="12">
        <f t="shared" si="24"/>
        <v>5.3353810967316083E-5</v>
      </c>
      <c r="G226" s="12">
        <f t="shared" si="25"/>
        <v>3.9868492155473279</v>
      </c>
      <c r="I226" s="12">
        <f t="shared" si="26"/>
        <v>7.304369306607935E-3</v>
      </c>
      <c r="J226" s="12">
        <f t="shared" si="27"/>
        <v>7.4054730214398717E-3</v>
      </c>
    </row>
    <row r="227" spans="1:10">
      <c r="A227" s="15">
        <v>40577</v>
      </c>
      <c r="B227" s="11">
        <v>1.419</v>
      </c>
      <c r="C227" s="11">
        <f t="shared" si="21"/>
        <v>1.3200000000000101E-2</v>
      </c>
      <c r="D227" s="12">
        <f t="shared" si="22"/>
        <v>1.7424000000000264E-4</v>
      </c>
      <c r="E227" s="12">
        <f t="shared" si="23"/>
        <v>1.4399999999996828E-6</v>
      </c>
      <c r="F227" s="12">
        <f t="shared" si="24"/>
        <v>4.932772983742583E-5</v>
      </c>
      <c r="G227" s="12">
        <f t="shared" si="25"/>
        <v>2.2734269886559328</v>
      </c>
      <c r="I227" s="12">
        <f t="shared" si="26"/>
        <v>7.023370262019925E-3</v>
      </c>
      <c r="J227" s="12">
        <f t="shared" si="27"/>
        <v>7.4054730214398717E-3</v>
      </c>
    </row>
    <row r="228" spans="1:10">
      <c r="A228" s="15">
        <v>40578</v>
      </c>
      <c r="B228" s="11">
        <v>1.4137</v>
      </c>
      <c r="C228" s="11">
        <f t="shared" si="21"/>
        <v>-5.3000000000000824E-3</v>
      </c>
      <c r="D228" s="12">
        <f t="shared" si="22"/>
        <v>2.8090000000000875E-5</v>
      </c>
      <c r="E228" s="12">
        <f t="shared" si="23"/>
        <v>1.7424000000000264E-4</v>
      </c>
      <c r="F228" s="12">
        <f t="shared" si="24"/>
        <v>6.011411959017251E-5</v>
      </c>
      <c r="G228" s="12">
        <f t="shared" si="25"/>
        <v>3.7070554103052191</v>
      </c>
      <c r="I228" s="12">
        <f t="shared" si="26"/>
        <v>7.753329580907322E-3</v>
      </c>
      <c r="J228" s="12">
        <f t="shared" si="27"/>
        <v>7.4054730214398717E-3</v>
      </c>
    </row>
    <row r="229" spans="1:10">
      <c r="A229" s="15">
        <v>40581</v>
      </c>
      <c r="B229" s="11">
        <v>1.4172</v>
      </c>
      <c r="C229" s="11">
        <f t="shared" si="21"/>
        <v>3.5000000000000586E-3</v>
      </c>
      <c r="D229" s="12">
        <f t="shared" si="22"/>
        <v>1.225000000000041E-5</v>
      </c>
      <c r="E229" s="12">
        <f t="shared" si="23"/>
        <v>2.8090000000000875E-5</v>
      </c>
      <c r="F229" s="12">
        <f t="shared" si="24"/>
        <v>5.7338903786768189E-5</v>
      </c>
      <c r="G229" s="12">
        <f t="shared" si="25"/>
        <v>3.8575060504243925</v>
      </c>
      <c r="I229" s="12">
        <f t="shared" si="26"/>
        <v>7.5722456237742441E-3</v>
      </c>
      <c r="J229" s="12">
        <f t="shared" si="27"/>
        <v>7.4054730214398717E-3</v>
      </c>
    </row>
    <row r="230" spans="1:10">
      <c r="A230" s="15">
        <v>40582</v>
      </c>
      <c r="B230" s="11">
        <v>1.4134</v>
      </c>
      <c r="C230" s="11">
        <f t="shared" si="21"/>
        <v>-3.8000000000000256E-3</v>
      </c>
      <c r="D230" s="12">
        <f t="shared" si="22"/>
        <v>1.4440000000000194E-5</v>
      </c>
      <c r="E230" s="12">
        <f t="shared" si="23"/>
        <v>1.225000000000041E-5</v>
      </c>
      <c r="F230" s="12">
        <f t="shared" si="24"/>
        <v>5.3646165462306211E-5</v>
      </c>
      <c r="G230" s="12">
        <f t="shared" si="25"/>
        <v>3.8630261672060642</v>
      </c>
      <c r="I230" s="12">
        <f t="shared" si="26"/>
        <v>7.3243542693063541E-3</v>
      </c>
      <c r="J230" s="12">
        <f t="shared" si="27"/>
        <v>7.4054730214398717E-3</v>
      </c>
    </row>
    <row r="231" spans="1:10">
      <c r="A231" s="15">
        <v>40583</v>
      </c>
      <c r="B231" s="11">
        <v>1.4064000000000001</v>
      </c>
      <c r="C231" s="11">
        <f t="shared" si="21"/>
        <v>-6.9999999999998952E-3</v>
      </c>
      <c r="D231" s="12">
        <f t="shared" si="22"/>
        <v>4.8999999999998535E-5</v>
      </c>
      <c r="E231" s="12">
        <f t="shared" si="23"/>
        <v>1.4440000000000194E-5</v>
      </c>
      <c r="F231" s="12">
        <f t="shared" si="24"/>
        <v>5.0651097646068592E-5</v>
      </c>
      <c r="G231" s="12">
        <f t="shared" si="25"/>
        <v>3.5426350226627563</v>
      </c>
      <c r="I231" s="12">
        <f t="shared" si="26"/>
        <v>7.1169584547100314E-3</v>
      </c>
      <c r="J231" s="12">
        <f t="shared" si="27"/>
        <v>7.4054730214398717E-3</v>
      </c>
    </row>
    <row r="232" spans="1:10">
      <c r="A232" s="15">
        <v>40584</v>
      </c>
      <c r="B232" s="11">
        <v>1.4176</v>
      </c>
      <c r="C232" s="11">
        <f t="shared" si="21"/>
        <v>1.1199999999999877E-2</v>
      </c>
      <c r="D232" s="12">
        <f t="shared" si="22"/>
        <v>1.2543999999999723E-4</v>
      </c>
      <c r="E232" s="12">
        <f t="shared" si="23"/>
        <v>4.8999999999998535E-5</v>
      </c>
      <c r="F232" s="12">
        <f t="shared" si="24"/>
        <v>5.0925165252827086E-5</v>
      </c>
      <c r="G232" s="12">
        <f t="shared" si="25"/>
        <v>2.7920270111577272</v>
      </c>
      <c r="I232" s="12">
        <f t="shared" si="26"/>
        <v>7.1361870247932183E-3</v>
      </c>
      <c r="J232" s="12">
        <f t="shared" si="27"/>
        <v>7.4054730214398717E-3</v>
      </c>
    </row>
    <row r="233" spans="1:10">
      <c r="A233" s="15">
        <v>40585</v>
      </c>
      <c r="B233" s="11">
        <v>1.4226000000000001</v>
      </c>
      <c r="C233" s="11">
        <f t="shared" si="21"/>
        <v>5.0000000000001155E-3</v>
      </c>
      <c r="D233" s="12">
        <f t="shared" si="22"/>
        <v>2.5000000000001153E-5</v>
      </c>
      <c r="E233" s="12">
        <f t="shared" si="23"/>
        <v>1.2543999999999723E-4</v>
      </c>
      <c r="F233" s="12">
        <f t="shared" si="24"/>
        <v>5.7463928825710465E-5</v>
      </c>
      <c r="G233" s="12">
        <f t="shared" si="25"/>
        <v>3.745710260396804</v>
      </c>
      <c r="I233" s="12">
        <f t="shared" si="26"/>
        <v>7.5804966081194488E-3</v>
      </c>
      <c r="J233" s="12">
        <f t="shared" si="27"/>
        <v>7.4054730214398717E-3</v>
      </c>
    </row>
    <row r="234" spans="1:10">
      <c r="A234" s="15">
        <v>40588</v>
      </c>
      <c r="B234" s="11">
        <v>1.4261999999999999</v>
      </c>
      <c r="C234" s="11">
        <f t="shared" si="21"/>
        <v>3.5999999999998256E-3</v>
      </c>
      <c r="D234" s="12">
        <f t="shared" si="22"/>
        <v>1.2959999999998744E-5</v>
      </c>
      <c r="E234" s="12">
        <f t="shared" si="23"/>
        <v>2.5000000000001153E-5</v>
      </c>
      <c r="F234" s="12">
        <f t="shared" si="24"/>
        <v>5.4805020231467144E-5</v>
      </c>
      <c r="G234" s="12">
        <f t="shared" si="25"/>
        <v>3.8686884950284481</v>
      </c>
      <c r="I234" s="12">
        <f t="shared" si="26"/>
        <v>7.4030412825721254E-3</v>
      </c>
      <c r="J234" s="12">
        <f t="shared" si="27"/>
        <v>7.4054730214398717E-3</v>
      </c>
    </row>
    <row r="235" spans="1:10">
      <c r="A235" s="15">
        <v>40589</v>
      </c>
      <c r="B235" s="11">
        <v>1.4288000000000001</v>
      </c>
      <c r="C235" s="11">
        <f t="shared" si="21"/>
        <v>2.6000000000001577E-3</v>
      </c>
      <c r="D235" s="12">
        <f t="shared" si="22"/>
        <v>6.7600000000008204E-6</v>
      </c>
      <c r="E235" s="12">
        <f t="shared" si="23"/>
        <v>1.2959999999998744E-5</v>
      </c>
      <c r="F235" s="12">
        <f t="shared" si="24"/>
        <v>5.1525642401056448E-5</v>
      </c>
      <c r="G235" s="12">
        <f t="shared" si="25"/>
        <v>3.9521785353513361</v>
      </c>
      <c r="I235" s="12">
        <f t="shared" si="26"/>
        <v>7.1781364156065222E-3</v>
      </c>
      <c r="J235" s="12">
        <f t="shared" si="27"/>
        <v>7.4054730214398717E-3</v>
      </c>
    </row>
    <row r="236" spans="1:10">
      <c r="A236" s="15">
        <v>40590</v>
      </c>
      <c r="B236" s="11">
        <v>1.4238</v>
      </c>
      <c r="C236" s="11">
        <f t="shared" si="21"/>
        <v>-5.0000000000001155E-3</v>
      </c>
      <c r="D236" s="12">
        <f t="shared" si="22"/>
        <v>2.5000000000001153E-5</v>
      </c>
      <c r="E236" s="12">
        <f t="shared" si="23"/>
        <v>6.7600000000008204E-6</v>
      </c>
      <c r="F236" s="12">
        <f t="shared" si="24"/>
        <v>4.8194232073945327E-5</v>
      </c>
      <c r="G236" s="12">
        <f t="shared" si="25"/>
        <v>3.7918299275542537</v>
      </c>
      <c r="I236" s="12">
        <f t="shared" si="26"/>
        <v>6.9422065709646907E-3</v>
      </c>
      <c r="J236" s="12">
        <f t="shared" si="27"/>
        <v>7.4054730214398717E-3</v>
      </c>
    </row>
    <row r="237" spans="1:10">
      <c r="A237" s="15">
        <v>40591</v>
      </c>
      <c r="B237" s="11">
        <v>1.4206000000000001</v>
      </c>
      <c r="C237" s="11">
        <f t="shared" si="21"/>
        <v>-3.1999999999998696E-3</v>
      </c>
      <c r="D237" s="12">
        <f t="shared" si="22"/>
        <v>1.0239999999999165E-5</v>
      </c>
      <c r="E237" s="12">
        <f t="shared" si="23"/>
        <v>2.5000000000001153E-5</v>
      </c>
      <c r="F237" s="12">
        <f t="shared" si="24"/>
        <v>4.683334357338932E-5</v>
      </c>
      <c r="G237" s="12">
        <f t="shared" si="25"/>
        <v>3.9561952095009456</v>
      </c>
      <c r="I237" s="12">
        <f t="shared" si="26"/>
        <v>6.8434891373764396E-3</v>
      </c>
      <c r="J237" s="12">
        <f t="shared" si="27"/>
        <v>7.4054730214398717E-3</v>
      </c>
    </row>
    <row r="238" spans="1:10">
      <c r="A238" s="15">
        <v>40592</v>
      </c>
      <c r="B238" s="11">
        <v>1.4208000000000001</v>
      </c>
      <c r="C238" s="11">
        <f t="shared" si="21"/>
        <v>1.9999999999997797E-4</v>
      </c>
      <c r="D238" s="12">
        <f t="shared" si="22"/>
        <v>3.9999999999991186E-8</v>
      </c>
      <c r="E238" s="12">
        <f t="shared" si="23"/>
        <v>1.0239999999999165E-5</v>
      </c>
      <c r="F238" s="12">
        <f t="shared" si="24"/>
        <v>4.4445941080282778E-5</v>
      </c>
      <c r="G238" s="12">
        <f t="shared" si="25"/>
        <v>4.0912299317883987</v>
      </c>
      <c r="I238" s="12">
        <f t="shared" si="26"/>
        <v>6.6667789134095918E-3</v>
      </c>
      <c r="J238" s="12">
        <f t="shared" si="27"/>
        <v>7.4054730214398717E-3</v>
      </c>
    </row>
    <row r="239" spans="1:10">
      <c r="A239" s="15">
        <v>40595</v>
      </c>
      <c r="B239" s="11">
        <v>1.4117999999999999</v>
      </c>
      <c r="C239" s="11">
        <f t="shared" si="21"/>
        <v>-9.000000000000119E-3</v>
      </c>
      <c r="D239" s="12">
        <f t="shared" si="22"/>
        <v>8.1000000000002145E-5</v>
      </c>
      <c r="E239" s="12">
        <f t="shared" si="23"/>
        <v>3.9999999999991186E-8</v>
      </c>
      <c r="F239" s="12">
        <f t="shared" si="24"/>
        <v>4.1551773133903919E-5</v>
      </c>
      <c r="G239" s="12">
        <f t="shared" si="25"/>
        <v>3.150658993472613</v>
      </c>
      <c r="I239" s="12">
        <f t="shared" si="26"/>
        <v>6.4460664853772586E-3</v>
      </c>
      <c r="J239" s="12">
        <f t="shared" si="27"/>
        <v>7.4054730214398717E-3</v>
      </c>
    </row>
    <row r="240" spans="1:10">
      <c r="A240" s="15">
        <v>40596</v>
      </c>
      <c r="B240" s="11">
        <v>1.4175</v>
      </c>
      <c r="C240" s="11">
        <f t="shared" si="21"/>
        <v>5.7000000000000384E-3</v>
      </c>
      <c r="D240" s="12">
        <f t="shared" si="22"/>
        <v>3.2490000000000436E-5</v>
      </c>
      <c r="E240" s="12">
        <f t="shared" si="23"/>
        <v>8.1000000000002145E-5</v>
      </c>
      <c r="F240" s="12">
        <f t="shared" si="24"/>
        <v>4.5738653060584873E-5</v>
      </c>
      <c r="G240" s="12">
        <f t="shared" si="25"/>
        <v>3.7221748114980882</v>
      </c>
      <c r="I240" s="12">
        <f t="shared" si="26"/>
        <v>6.7630357873210215E-3</v>
      </c>
      <c r="J240" s="12">
        <f t="shared" si="27"/>
        <v>7.4054730214398717E-3</v>
      </c>
    </row>
    <row r="241" spans="1:10">
      <c r="A241" s="15">
        <v>40597</v>
      </c>
      <c r="B241" s="11">
        <v>1.4094</v>
      </c>
      <c r="C241" s="11">
        <f t="shared" si="21"/>
        <v>-8.0999999999999961E-3</v>
      </c>
      <c r="D241" s="12">
        <f t="shared" si="22"/>
        <v>6.5609999999999936E-5</v>
      </c>
      <c r="E241" s="12">
        <f t="shared" si="23"/>
        <v>3.2490000000000436E-5</v>
      </c>
      <c r="F241" s="12">
        <f t="shared" si="24"/>
        <v>4.5339223992259671E-5</v>
      </c>
      <c r="G241" s="12">
        <f t="shared" si="25"/>
        <v>3.3581847859470044</v>
      </c>
      <c r="I241" s="12">
        <f t="shared" si="26"/>
        <v>6.733440724641427E-3</v>
      </c>
      <c r="J241" s="12">
        <f t="shared" si="27"/>
        <v>7.4054730214398717E-3</v>
      </c>
    </row>
    <row r="242" spans="1:10">
      <c r="A242" s="15">
        <v>40598</v>
      </c>
      <c r="B242" s="11">
        <v>1.4073</v>
      </c>
      <c r="C242" s="11">
        <f t="shared" si="21"/>
        <v>-2.0999999999999908E-3</v>
      </c>
      <c r="D242" s="12">
        <f t="shared" si="22"/>
        <v>4.4099999999999612E-6</v>
      </c>
      <c r="E242" s="12">
        <f t="shared" si="23"/>
        <v>6.5609999999999936E-5</v>
      </c>
      <c r="F242" s="12">
        <f t="shared" si="24"/>
        <v>4.7726728192719526E-5</v>
      </c>
      <c r="G242" s="12">
        <f t="shared" si="25"/>
        <v>4.0098704210592064</v>
      </c>
      <c r="I242" s="12">
        <f t="shared" si="26"/>
        <v>6.9084533864476154E-3</v>
      </c>
      <c r="J242" s="12">
        <f t="shared" si="27"/>
        <v>7.4054730214398717E-3</v>
      </c>
    </row>
    <row r="243" spans="1:10">
      <c r="A243" s="15">
        <v>40599</v>
      </c>
      <c r="B243" s="11">
        <v>1.4104000000000001</v>
      </c>
      <c r="C243" s="11">
        <f t="shared" si="21"/>
        <v>3.1000000000001027E-3</v>
      </c>
      <c r="D243" s="12">
        <f t="shared" si="22"/>
        <v>9.6100000000006364E-6</v>
      </c>
      <c r="E243" s="12">
        <f t="shared" si="23"/>
        <v>4.4099999999999612E-6</v>
      </c>
      <c r="F243" s="12">
        <f t="shared" si="24"/>
        <v>4.4733497654502433E-5</v>
      </c>
      <c r="G243" s="12">
        <f t="shared" si="25"/>
        <v>3.9810415213492889</v>
      </c>
      <c r="I243" s="12">
        <f t="shared" si="26"/>
        <v>6.6883105231816528E-3</v>
      </c>
      <c r="J243" s="12">
        <f t="shared" si="27"/>
        <v>7.4054730214398717E-3</v>
      </c>
    </row>
    <row r="244" spans="1:10">
      <c r="A244" s="15">
        <v>40602</v>
      </c>
      <c r="B244" s="11">
        <v>1.4074</v>
      </c>
      <c r="C244" s="11">
        <f t="shared" si="21"/>
        <v>-3.0000000000001137E-3</v>
      </c>
      <c r="D244" s="12">
        <f t="shared" si="22"/>
        <v>9.0000000000006829E-6</v>
      </c>
      <c r="E244" s="12">
        <f t="shared" si="23"/>
        <v>9.6100000000006364E-6</v>
      </c>
      <c r="F244" s="12">
        <f t="shared" si="24"/>
        <v>4.2588184659173213E-5</v>
      </c>
      <c r="G244" s="12">
        <f t="shared" si="25"/>
        <v>4.0073651996449495</v>
      </c>
      <c r="I244" s="12">
        <f t="shared" si="26"/>
        <v>6.5259623550226837E-3</v>
      </c>
      <c r="J244" s="12">
        <f t="shared" si="27"/>
        <v>7.4054730214398717E-3</v>
      </c>
    </row>
    <row r="245" spans="1:10">
      <c r="A245" s="15">
        <v>40603</v>
      </c>
      <c r="B245" s="11">
        <v>1.4096</v>
      </c>
      <c r="C245" s="11">
        <f t="shared" si="21"/>
        <v>2.1999999999999797E-3</v>
      </c>
      <c r="D245" s="12">
        <f t="shared" si="22"/>
        <v>4.8399999999999113E-6</v>
      </c>
      <c r="E245" s="12">
        <f t="shared" si="23"/>
        <v>9.0000000000006829E-6</v>
      </c>
      <c r="F245" s="12">
        <f t="shared" si="24"/>
        <v>4.0692976995829273E-5</v>
      </c>
      <c r="G245" s="12">
        <f t="shared" si="25"/>
        <v>4.0763192560238757</v>
      </c>
      <c r="I245" s="12">
        <f t="shared" si="26"/>
        <v>6.3791047174215033E-3</v>
      </c>
      <c r="J245" s="12">
        <f t="shared" si="27"/>
        <v>7.4054730214398717E-3</v>
      </c>
    </row>
    <row r="246" spans="1:10">
      <c r="A246" s="15">
        <v>40604</v>
      </c>
      <c r="B246" s="11">
        <v>1.4008</v>
      </c>
      <c r="C246" s="11">
        <f t="shared" si="21"/>
        <v>-8.799999999999919E-3</v>
      </c>
      <c r="D246" s="12">
        <f t="shared" si="22"/>
        <v>7.7439999999998581E-5</v>
      </c>
      <c r="E246" s="12">
        <f t="shared" si="23"/>
        <v>4.8399999999999113E-6</v>
      </c>
      <c r="F246" s="12">
        <f t="shared" si="24"/>
        <v>3.8720127692409559E-5</v>
      </c>
      <c r="G246" s="12">
        <f t="shared" si="25"/>
        <v>3.1606402560993017</v>
      </c>
      <c r="I246" s="12">
        <f t="shared" si="26"/>
        <v>6.222549934906875E-3</v>
      </c>
      <c r="J246" s="12">
        <f t="shared" si="27"/>
        <v>7.4054730214398717E-3</v>
      </c>
    </row>
    <row r="247" spans="1:10">
      <c r="A247" s="15">
        <v>40605</v>
      </c>
      <c r="B247" s="11">
        <v>1.3948</v>
      </c>
      <c r="C247" s="11">
        <f t="shared" si="21"/>
        <v>-6.0000000000000053E-3</v>
      </c>
      <c r="D247" s="12">
        <f t="shared" si="22"/>
        <v>3.6000000000000062E-5</v>
      </c>
      <c r="E247" s="12">
        <f t="shared" si="23"/>
        <v>7.7439999999998581E-5</v>
      </c>
      <c r="F247" s="12">
        <f t="shared" si="24"/>
        <v>4.3009968462816616E-5</v>
      </c>
      <c r="G247" s="12">
        <f t="shared" si="25"/>
        <v>3.6895931508696651</v>
      </c>
      <c r="I247" s="12">
        <f t="shared" si="26"/>
        <v>6.5581985684192738E-3</v>
      </c>
      <c r="J247" s="12">
        <f t="shared" si="27"/>
        <v>7.4054730214398717E-3</v>
      </c>
    </row>
    <row r="248" spans="1:10">
      <c r="A248" s="15">
        <v>40606</v>
      </c>
      <c r="B248" s="11">
        <v>1.3954</v>
      </c>
      <c r="C248" s="11">
        <f t="shared" si="21"/>
        <v>5.9999999999993392E-4</v>
      </c>
      <c r="D248" s="12">
        <f t="shared" si="22"/>
        <v>3.5999999999992069E-7</v>
      </c>
      <c r="E248" s="12">
        <f t="shared" si="23"/>
        <v>3.6000000000000062E-5</v>
      </c>
      <c r="F248" s="12">
        <f t="shared" si="24"/>
        <v>4.3282059353859694E-5</v>
      </c>
      <c r="G248" s="12">
        <f t="shared" si="25"/>
        <v>4.1007888636344001</v>
      </c>
      <c r="I248" s="12">
        <f t="shared" si="26"/>
        <v>6.5789101949988412E-3</v>
      </c>
      <c r="J248" s="12">
        <f t="shared" si="27"/>
        <v>7.4054730214398717E-3</v>
      </c>
    </row>
    <row r="249" spans="1:10">
      <c r="A249" s="15">
        <v>40609</v>
      </c>
      <c r="B249" s="11">
        <v>1.3975</v>
      </c>
      <c r="C249" s="11">
        <f t="shared" si="21"/>
        <v>2.0999999999999908E-3</v>
      </c>
      <c r="D249" s="12">
        <f t="shared" si="22"/>
        <v>4.4099999999999612E-6</v>
      </c>
      <c r="E249" s="12">
        <f t="shared" si="23"/>
        <v>3.5999999999992069E-7</v>
      </c>
      <c r="F249" s="12">
        <f t="shared" si="24"/>
        <v>4.057725430580899E-5</v>
      </c>
      <c r="G249" s="12">
        <f t="shared" si="25"/>
        <v>4.0828721143256361</v>
      </c>
      <c r="I249" s="12">
        <f t="shared" si="26"/>
        <v>6.3700278104423524E-3</v>
      </c>
      <c r="J249" s="12">
        <f t="shared" si="27"/>
        <v>7.4054730214398717E-3</v>
      </c>
    </row>
    <row r="250" spans="1:10">
      <c r="A250" s="15">
        <v>40610</v>
      </c>
      <c r="B250" s="11">
        <v>1.4015</v>
      </c>
      <c r="C250" s="11">
        <f t="shared" si="21"/>
        <v>4.0000000000000036E-3</v>
      </c>
      <c r="D250" s="12">
        <f t="shared" si="22"/>
        <v>1.600000000000003E-5</v>
      </c>
      <c r="E250" s="12">
        <f t="shared" si="23"/>
        <v>4.4099999999999612E-6</v>
      </c>
      <c r="F250" s="12">
        <f t="shared" si="24"/>
        <v>3.8585152608482563E-5</v>
      </c>
      <c r="G250" s="12">
        <f t="shared" si="25"/>
        <v>3.9550493245132721</v>
      </c>
      <c r="I250" s="12">
        <f t="shared" si="26"/>
        <v>6.2116948257687739E-3</v>
      </c>
      <c r="J250" s="12">
        <f t="shared" si="27"/>
        <v>7.4054730214398717E-3</v>
      </c>
    </row>
    <row r="251" spans="1:10">
      <c r="A251" s="15">
        <v>40611</v>
      </c>
      <c r="B251" s="11">
        <v>1.4011</v>
      </c>
      <c r="C251" s="11">
        <f t="shared" si="21"/>
        <v>-3.9999999999995595E-4</v>
      </c>
      <c r="D251" s="12">
        <f t="shared" si="22"/>
        <v>1.5999999999996475E-7</v>
      </c>
      <c r="E251" s="12">
        <f t="shared" si="23"/>
        <v>1.600000000000003E-5</v>
      </c>
      <c r="F251" s="12">
        <f t="shared" si="24"/>
        <v>3.7827687316235233E-5</v>
      </c>
      <c r="G251" s="12">
        <f t="shared" si="25"/>
        <v>4.1701812337459065</v>
      </c>
      <c r="I251" s="12">
        <f t="shared" si="26"/>
        <v>6.1504217185681855E-3</v>
      </c>
      <c r="J251" s="12">
        <f t="shared" si="27"/>
        <v>7.4054730214398717E-3</v>
      </c>
    </row>
    <row r="252" spans="1:10">
      <c r="A252" s="15">
        <v>40612</v>
      </c>
      <c r="B252" s="11">
        <v>1.4080999999999999</v>
      </c>
      <c r="C252" s="11">
        <f t="shared" si="21"/>
        <v>6.9999999999998952E-3</v>
      </c>
      <c r="D252" s="12">
        <f t="shared" si="22"/>
        <v>4.8999999999998535E-5</v>
      </c>
      <c r="E252" s="12">
        <f t="shared" si="23"/>
        <v>1.5999999999996475E-7</v>
      </c>
      <c r="F252" s="12">
        <f t="shared" si="24"/>
        <v>3.5870157282006945E-5</v>
      </c>
      <c r="G252" s="12">
        <f t="shared" si="25"/>
        <v>3.5158448711462298</v>
      </c>
      <c r="I252" s="12">
        <f t="shared" si="26"/>
        <v>5.9891699994245404E-3</v>
      </c>
      <c r="J252" s="12">
        <f t="shared" si="27"/>
        <v>7.4054730214398717E-3</v>
      </c>
    </row>
    <row r="253" spans="1:10">
      <c r="A253" s="15">
        <v>40613</v>
      </c>
      <c r="B253" s="11">
        <v>1.3976</v>
      </c>
      <c r="C253" s="11">
        <f t="shared" si="21"/>
        <v>-1.0499999999999954E-2</v>
      </c>
      <c r="D253" s="12">
        <f t="shared" si="22"/>
        <v>1.1024999999999903E-4</v>
      </c>
      <c r="E253" s="12">
        <f t="shared" si="23"/>
        <v>4.8999999999998535E-5</v>
      </c>
      <c r="F253" s="12">
        <f t="shared" si="24"/>
        <v>3.8213975184803177E-5</v>
      </c>
      <c r="G253" s="12">
        <f t="shared" si="25"/>
        <v>2.7246810062362483</v>
      </c>
      <c r="I253" s="12">
        <f t="shared" si="26"/>
        <v>6.1817453186622934E-3</v>
      </c>
      <c r="J253" s="12">
        <f t="shared" si="27"/>
        <v>7.4054730214398717E-3</v>
      </c>
    </row>
    <row r="254" spans="1:10">
      <c r="A254" s="15">
        <v>40616</v>
      </c>
      <c r="B254" s="11">
        <v>1.3959999999999999</v>
      </c>
      <c r="C254" s="11">
        <f t="shared" si="21"/>
        <v>-1.6000000000000458E-3</v>
      </c>
      <c r="D254" s="12">
        <f t="shared" si="22"/>
        <v>2.5600000000001466E-6</v>
      </c>
      <c r="E254" s="12">
        <f t="shared" si="23"/>
        <v>1.1024999999999903E-4</v>
      </c>
      <c r="F254" s="12">
        <f t="shared" si="24"/>
        <v>4.5280131614466477E-5</v>
      </c>
      <c r="G254" s="12">
        <f t="shared" si="25"/>
        <v>4.0541140990363829</v>
      </c>
      <c r="I254" s="12">
        <f t="shared" si="26"/>
        <v>6.7290513160821177E-3</v>
      </c>
      <c r="J254" s="12">
        <f t="shared" si="27"/>
        <v>7.4054730214398717E-3</v>
      </c>
    </row>
    <row r="255" spans="1:10">
      <c r="A255" s="15">
        <v>40617</v>
      </c>
      <c r="B255" s="11">
        <v>1.3917999999999999</v>
      </c>
      <c r="C255" s="11">
        <f t="shared" si="21"/>
        <v>-4.1999999999999815E-3</v>
      </c>
      <c r="D255" s="12">
        <f t="shared" si="22"/>
        <v>1.7639999999999845E-5</v>
      </c>
      <c r="E255" s="12">
        <f t="shared" si="23"/>
        <v>2.5600000000001466E-6</v>
      </c>
      <c r="F255" s="12">
        <f t="shared" si="24"/>
        <v>4.2476946988035804E-5</v>
      </c>
      <c r="G255" s="12">
        <f t="shared" si="25"/>
        <v>3.9066939441615345</v>
      </c>
      <c r="I255" s="12">
        <f t="shared" si="26"/>
        <v>6.5174340800683061E-3</v>
      </c>
      <c r="J255" s="12">
        <f t="shared" si="27"/>
        <v>7.4054730214398717E-3</v>
      </c>
    </row>
    <row r="256" spans="1:10">
      <c r="A256" s="15">
        <v>40618</v>
      </c>
      <c r="B256" s="11">
        <v>1.405</v>
      </c>
      <c r="C256" s="11">
        <f t="shared" si="21"/>
        <v>1.3200000000000101E-2</v>
      </c>
      <c r="D256" s="12">
        <f t="shared" si="22"/>
        <v>1.7424000000000264E-4</v>
      </c>
      <c r="E256" s="12">
        <f t="shared" si="23"/>
        <v>1.7639999999999845E-5</v>
      </c>
      <c r="F256" s="12">
        <f t="shared" si="24"/>
        <v>4.1309751023896007E-5</v>
      </c>
      <c r="G256" s="12">
        <f t="shared" si="25"/>
        <v>2.0193222786809826</v>
      </c>
      <c r="I256" s="12">
        <f t="shared" si="26"/>
        <v>6.4272662169771689E-3</v>
      </c>
      <c r="J256" s="12">
        <f t="shared" si="27"/>
        <v>7.4054730214398717E-3</v>
      </c>
    </row>
    <row r="257" spans="1:10">
      <c r="A257" s="15">
        <v>40619</v>
      </c>
      <c r="B257" s="11">
        <v>1.3926000000000001</v>
      </c>
      <c r="C257" s="11">
        <f t="shared" si="21"/>
        <v>-1.2399999999999967E-2</v>
      </c>
      <c r="D257" s="12">
        <f t="shared" si="22"/>
        <v>1.5375999999999918E-4</v>
      </c>
      <c r="E257" s="12">
        <f t="shared" si="23"/>
        <v>1.7424000000000264E-4</v>
      </c>
      <c r="F257" s="12">
        <f t="shared" si="24"/>
        <v>5.3218884906189223E-5</v>
      </c>
      <c r="G257" s="12">
        <f t="shared" si="25"/>
        <v>2.5570101033286359</v>
      </c>
      <c r="I257" s="12">
        <f t="shared" si="26"/>
        <v>7.2951274770348754E-3</v>
      </c>
      <c r="J257" s="12">
        <f t="shared" si="27"/>
        <v>7.4054730214398717E-3</v>
      </c>
    </row>
    <row r="258" spans="1:10">
      <c r="A258" s="15">
        <v>40620</v>
      </c>
      <c r="B258" s="11">
        <v>1.3795999999999999</v>
      </c>
      <c r="C258" s="11">
        <f t="shared" si="21"/>
        <v>-1.3000000000000123E-2</v>
      </c>
      <c r="D258" s="12">
        <f t="shared" si="22"/>
        <v>1.6900000000000319E-4</v>
      </c>
      <c r="E258" s="12">
        <f t="shared" si="23"/>
        <v>1.5375999999999918E-4</v>
      </c>
      <c r="F258" s="12">
        <f t="shared" si="24"/>
        <v>6.1771667273158808E-5</v>
      </c>
      <c r="G258" s="12">
        <f t="shared" si="25"/>
        <v>2.5591532780260793</v>
      </c>
      <c r="I258" s="12">
        <f t="shared" si="26"/>
        <v>7.8594953574106022E-3</v>
      </c>
      <c r="J258" s="12">
        <f t="shared" si="27"/>
        <v>7.4054730214398717E-3</v>
      </c>
    </row>
    <row r="259" spans="1:10">
      <c r="A259" s="15">
        <v>40623</v>
      </c>
      <c r="B259" s="11">
        <v>1.3768</v>
      </c>
      <c r="C259" s="11">
        <f t="shared" si="21"/>
        <v>-2.7999999999999137E-3</v>
      </c>
      <c r="D259" s="12">
        <f t="shared" si="22"/>
        <v>7.8399999999995167E-6</v>
      </c>
      <c r="E259" s="12">
        <f t="shared" si="23"/>
        <v>1.6900000000000319E-4</v>
      </c>
      <c r="F259" s="12">
        <f t="shared" si="24"/>
        <v>7.0383474530663279E-5</v>
      </c>
      <c r="G259" s="12">
        <f t="shared" si="25"/>
        <v>3.8061425971553198</v>
      </c>
      <c r="I259" s="12">
        <f t="shared" si="26"/>
        <v>8.3894859515147458E-3</v>
      </c>
      <c r="J259" s="12">
        <f t="shared" si="27"/>
        <v>7.4054730214398717E-3</v>
      </c>
    </row>
    <row r="260" spans="1:10">
      <c r="A260" s="15">
        <v>40624</v>
      </c>
      <c r="B260" s="11">
        <v>1.3806</v>
      </c>
      <c r="C260" s="11">
        <f t="shared" si="21"/>
        <v>3.8000000000000256E-3</v>
      </c>
      <c r="D260" s="12">
        <f t="shared" si="22"/>
        <v>1.4440000000000194E-5</v>
      </c>
      <c r="E260" s="12">
        <f t="shared" si="23"/>
        <v>7.8399999999995167E-6</v>
      </c>
      <c r="F260" s="12">
        <f t="shared" si="24"/>
        <v>6.4500487998620973E-5</v>
      </c>
      <c r="G260" s="12">
        <f t="shared" si="25"/>
        <v>3.7935432059751673</v>
      </c>
      <c r="I260" s="12">
        <f t="shared" si="26"/>
        <v>8.0312195835141355E-3</v>
      </c>
      <c r="J260" s="12">
        <f t="shared" si="27"/>
        <v>7.4054730214398717E-3</v>
      </c>
    </row>
    <row r="261" spans="1:10">
      <c r="A261" s="15">
        <v>40625</v>
      </c>
      <c r="B261" s="11">
        <v>1.3884000000000001</v>
      </c>
      <c r="C261" s="11">
        <f t="shared" si="21"/>
        <v>7.8000000000000291E-3</v>
      </c>
      <c r="D261" s="12">
        <f t="shared" si="22"/>
        <v>6.0840000000000454E-5</v>
      </c>
      <c r="E261" s="12">
        <f t="shared" si="23"/>
        <v>1.4440000000000194E-5</v>
      </c>
      <c r="F261" s="12">
        <f t="shared" si="24"/>
        <v>5.9985507597021079E-5</v>
      </c>
      <c r="G261" s="12">
        <f t="shared" si="25"/>
        <v>3.434642751501062</v>
      </c>
      <c r="I261" s="12">
        <f t="shared" si="26"/>
        <v>7.7450311553292723E-3</v>
      </c>
      <c r="J261" s="12">
        <f t="shared" si="27"/>
        <v>7.4054730214398717E-3</v>
      </c>
    </row>
    <row r="262" spans="1:10">
      <c r="A262" s="15">
        <v>40626</v>
      </c>
      <c r="B262" s="11">
        <v>1.3855999999999999</v>
      </c>
      <c r="C262" s="11">
        <f t="shared" si="21"/>
        <v>-2.8000000000001357E-3</v>
      </c>
      <c r="D262" s="12">
        <f t="shared" si="22"/>
        <v>7.8400000000007601E-6</v>
      </c>
      <c r="E262" s="12">
        <f t="shared" si="23"/>
        <v>6.0840000000000454E-5</v>
      </c>
      <c r="F262" s="12">
        <f t="shared" si="24"/>
        <v>5.9928793620469519E-5</v>
      </c>
      <c r="G262" s="12">
        <f t="shared" si="25"/>
        <v>3.8768272348668531</v>
      </c>
      <c r="I262" s="12">
        <f t="shared" si="26"/>
        <v>7.7413689758639923E-3</v>
      </c>
      <c r="J262" s="12">
        <f t="shared" si="27"/>
        <v>7.4054730214398717E-3</v>
      </c>
    </row>
    <row r="263" spans="1:10">
      <c r="A263" s="15">
        <v>40627</v>
      </c>
      <c r="B263" s="11">
        <v>1.3873</v>
      </c>
      <c r="C263" s="11">
        <f t="shared" si="21"/>
        <v>1.7000000000000348E-3</v>
      </c>
      <c r="D263" s="12">
        <f t="shared" si="22"/>
        <v>2.8900000000001184E-6</v>
      </c>
      <c r="E263" s="12">
        <f t="shared" si="23"/>
        <v>7.8400000000007601E-6</v>
      </c>
      <c r="F263" s="12">
        <f t="shared" si="24"/>
        <v>5.5509758526961335E-5</v>
      </c>
      <c r="G263" s="12">
        <f t="shared" si="25"/>
        <v>3.9545058621431752</v>
      </c>
      <c r="I263" s="12">
        <f t="shared" si="26"/>
        <v>7.4504871335343793E-3</v>
      </c>
      <c r="J263" s="12">
        <f t="shared" si="27"/>
        <v>7.4054730214398717E-3</v>
      </c>
    </row>
    <row r="264" spans="1:10">
      <c r="A264" s="15">
        <v>40630</v>
      </c>
      <c r="B264" s="11">
        <v>1.387</v>
      </c>
      <c r="C264" s="11">
        <f t="shared" si="21"/>
        <v>-2.9999999999996696E-4</v>
      </c>
      <c r="D264" s="12">
        <f t="shared" si="22"/>
        <v>8.9999999999980173E-8</v>
      </c>
      <c r="E264" s="12">
        <f t="shared" si="23"/>
        <v>2.8900000000001184E-6</v>
      </c>
      <c r="F264" s="12">
        <f t="shared" si="24"/>
        <v>5.1301347465464294E-5</v>
      </c>
      <c r="G264" s="12">
        <f t="shared" si="25"/>
        <v>4.0190810593411328</v>
      </c>
      <c r="I264" s="12">
        <f t="shared" si="26"/>
        <v>7.1624958963663141E-3</v>
      </c>
      <c r="J264" s="12">
        <f t="shared" si="27"/>
        <v>7.4054730214398717E-3</v>
      </c>
    </row>
    <row r="265" spans="1:10">
      <c r="A265" s="15">
        <v>40631</v>
      </c>
      <c r="B265" s="11">
        <v>1.3877999999999999</v>
      </c>
      <c r="C265" s="11">
        <f t="shared" si="21"/>
        <v>7.9999999999991189E-4</v>
      </c>
      <c r="D265" s="12">
        <f t="shared" si="22"/>
        <v>6.3999999999985898E-7</v>
      </c>
      <c r="E265" s="12">
        <f t="shared" si="23"/>
        <v>8.9999999999980173E-8</v>
      </c>
      <c r="F265" s="12">
        <f t="shared" si="24"/>
        <v>4.7451351346720865E-5</v>
      </c>
      <c r="G265" s="12">
        <f t="shared" si="25"/>
        <v>4.0522204874416667</v>
      </c>
      <c r="I265" s="12">
        <f t="shared" si="26"/>
        <v>6.8884941276537983E-3</v>
      </c>
      <c r="J265" s="12">
        <f t="shared" si="27"/>
        <v>7.4054730214398717E-3</v>
      </c>
    </row>
    <row r="266" spans="1:10">
      <c r="A266" s="15">
        <v>40632</v>
      </c>
      <c r="B266" s="11">
        <v>1.3828</v>
      </c>
      <c r="C266" s="11">
        <f t="shared" si="21"/>
        <v>-4.9999999999998934E-3</v>
      </c>
      <c r="D266" s="12">
        <f t="shared" si="22"/>
        <v>2.4999999999998934E-5</v>
      </c>
      <c r="E266" s="12">
        <f t="shared" si="23"/>
        <v>6.3999999999985898E-7</v>
      </c>
      <c r="F266" s="12">
        <f t="shared" si="24"/>
        <v>4.418581551174075E-5</v>
      </c>
      <c r="G266" s="12">
        <f t="shared" si="25"/>
        <v>3.8117186118204818</v>
      </c>
      <c r="I266" s="12">
        <f t="shared" si="26"/>
        <v>6.6472411955442647E-3</v>
      </c>
      <c r="J266" s="12">
        <f t="shared" si="27"/>
        <v>7.4054730214398717E-3</v>
      </c>
    </row>
    <row r="267" spans="1:10">
      <c r="A267" s="15">
        <v>40633</v>
      </c>
      <c r="B267" s="11">
        <v>1.3867</v>
      </c>
      <c r="C267" s="11">
        <f t="shared" si="21"/>
        <v>3.9000000000000146E-3</v>
      </c>
      <c r="D267" s="12">
        <f t="shared" si="22"/>
        <v>1.5210000000000114E-5</v>
      </c>
      <c r="E267" s="12">
        <f t="shared" si="23"/>
        <v>2.4999999999998934E-5</v>
      </c>
      <c r="F267" s="12">
        <f t="shared" si="24"/>
        <v>4.3386218861494535E-5</v>
      </c>
      <c r="G267" s="12">
        <f t="shared" si="25"/>
        <v>3.9284597372346188</v>
      </c>
      <c r="I267" s="12">
        <f t="shared" si="26"/>
        <v>6.5868216054098911E-3</v>
      </c>
      <c r="J267" s="12">
        <f t="shared" si="27"/>
        <v>7.4054730214398717E-3</v>
      </c>
    </row>
    <row r="268" spans="1:10">
      <c r="A268" s="15">
        <v>40634</v>
      </c>
      <c r="B268" s="11">
        <v>1.3847</v>
      </c>
      <c r="C268" s="11">
        <f t="shared" si="21"/>
        <v>-2.0000000000000018E-3</v>
      </c>
      <c r="D268" s="12">
        <f t="shared" si="22"/>
        <v>4.0000000000000074E-6</v>
      </c>
      <c r="E268" s="12">
        <f t="shared" si="23"/>
        <v>1.5210000000000114E-5</v>
      </c>
      <c r="F268" s="12">
        <f t="shared" si="24"/>
        <v>4.1891326660498011E-5</v>
      </c>
      <c r="G268" s="12">
        <f t="shared" si="25"/>
        <v>4.0735347564558406</v>
      </c>
      <c r="I268" s="12">
        <f t="shared" si="26"/>
        <v>6.4723509376808375E-3</v>
      </c>
      <c r="J268" s="12">
        <f t="shared" si="27"/>
        <v>7.4054730214398717E-3</v>
      </c>
    </row>
    <row r="269" spans="1:10">
      <c r="A269" s="15">
        <v>40637</v>
      </c>
      <c r="B269" s="11">
        <v>1.3833</v>
      </c>
      <c r="C269" s="11">
        <f t="shared" si="21"/>
        <v>-1.4000000000000679E-3</v>
      </c>
      <c r="D269" s="12">
        <f t="shared" si="22"/>
        <v>1.96000000000019E-6</v>
      </c>
      <c r="E269" s="12">
        <f t="shared" si="23"/>
        <v>4.0000000000000074E-6</v>
      </c>
      <c r="F269" s="12">
        <f t="shared" si="24"/>
        <v>3.9681409922213986E-5</v>
      </c>
      <c r="G269" s="12">
        <f t="shared" si="25"/>
        <v>4.1236786282272559</v>
      </c>
      <c r="I269" s="12">
        <f t="shared" si="26"/>
        <v>6.2993182109029851E-3</v>
      </c>
      <c r="J269" s="12">
        <f t="shared" si="27"/>
        <v>7.4054730214398717E-3</v>
      </c>
    </row>
    <row r="270" spans="1:10">
      <c r="A270" s="15">
        <v>40638</v>
      </c>
      <c r="B270" s="11">
        <v>1.3838999999999999</v>
      </c>
      <c r="C270" s="11">
        <f t="shared" ref="C270:C333" si="28">B270-B269</f>
        <v>5.9999999999993392E-4</v>
      </c>
      <c r="D270" s="12">
        <f t="shared" ref="D270:D333" si="29">C270^2</f>
        <v>3.5999999999992069E-7</v>
      </c>
      <c r="E270" s="12">
        <f t="shared" si="23"/>
        <v>1.96000000000019E-6</v>
      </c>
      <c r="F270" s="12">
        <f t="shared" si="24"/>
        <v>3.761273023514677E-5</v>
      </c>
      <c r="G270" s="12">
        <f t="shared" si="25"/>
        <v>4.1703598430253441</v>
      </c>
      <c r="I270" s="12">
        <f t="shared" si="26"/>
        <v>6.1329218350755759E-3</v>
      </c>
      <c r="J270" s="12">
        <f t="shared" si="27"/>
        <v>7.4054730214398717E-3</v>
      </c>
    </row>
    <row r="271" spans="1:10">
      <c r="A271" s="15">
        <v>40639</v>
      </c>
      <c r="B271" s="11">
        <v>1.3772</v>
      </c>
      <c r="C271" s="11">
        <f t="shared" si="28"/>
        <v>-6.6999999999999282E-3</v>
      </c>
      <c r="D271" s="12">
        <f t="shared" si="29"/>
        <v>4.4889999999999037E-5</v>
      </c>
      <c r="E271" s="12">
        <f t="shared" ref="E271:E334" si="30">D270</f>
        <v>3.5999999999992069E-7</v>
      </c>
      <c r="F271" s="12">
        <f t="shared" ref="F271:F334" si="31">$B$5+$B$6*E271+$B$7*F270</f>
        <v>3.5701791837848664E-5</v>
      </c>
      <c r="G271" s="12">
        <f t="shared" ref="G271:G334" si="32">LN((1/SQRT(2*3.1415927*F271))*EXP(-0.5*D271/F271))</f>
        <v>3.572536368677603</v>
      </c>
      <c r="I271" s="12">
        <f t="shared" ref="I271:I334" si="33">SQRT(F271)</f>
        <v>5.9750976425367863E-3</v>
      </c>
      <c r="J271" s="12">
        <f t="shared" si="27"/>
        <v>7.4054730214398717E-3</v>
      </c>
    </row>
    <row r="272" spans="1:10">
      <c r="A272" s="15">
        <v>40640</v>
      </c>
      <c r="B272" s="11">
        <v>1.3757999999999999</v>
      </c>
      <c r="C272" s="11">
        <f t="shared" si="28"/>
        <v>-1.4000000000000679E-3</v>
      </c>
      <c r="D272" s="12">
        <f t="shared" si="29"/>
        <v>1.96000000000019E-6</v>
      </c>
      <c r="E272" s="12">
        <f t="shared" si="30"/>
        <v>4.4889999999999037E-5</v>
      </c>
      <c r="F272" s="12">
        <f t="shared" si="31"/>
        <v>3.7730284169326653E-5</v>
      </c>
      <c r="G272" s="12">
        <f t="shared" si="32"/>
        <v>4.1476113752417305</v>
      </c>
      <c r="I272" s="12">
        <f t="shared" si="33"/>
        <v>6.1424982026311295E-3</v>
      </c>
      <c r="J272" s="12">
        <f t="shared" ref="J272:J335" si="34">J271</f>
        <v>7.4054730214398717E-3</v>
      </c>
    </row>
    <row r="273" spans="1:10">
      <c r="A273" s="15">
        <v>40641</v>
      </c>
      <c r="B273" s="11">
        <v>1.3689</v>
      </c>
      <c r="C273" s="11">
        <f t="shared" si="28"/>
        <v>-6.8999999999999062E-3</v>
      </c>
      <c r="D273" s="12">
        <f t="shared" si="29"/>
        <v>4.7609999999998706E-5</v>
      </c>
      <c r="E273" s="12">
        <f t="shared" si="30"/>
        <v>1.96000000000019E-6</v>
      </c>
      <c r="F273" s="12">
        <f t="shared" si="31"/>
        <v>3.5934817349991737E-5</v>
      </c>
      <c r="G273" s="12">
        <f t="shared" si="32"/>
        <v>3.5355139540353226</v>
      </c>
      <c r="I273" s="12">
        <f t="shared" si="33"/>
        <v>5.9945656514873314E-3</v>
      </c>
      <c r="J273" s="12">
        <f t="shared" si="34"/>
        <v>7.4054730214398717E-3</v>
      </c>
    </row>
    <row r="274" spans="1:10">
      <c r="A274" s="15">
        <v>40644</v>
      </c>
      <c r="B274" s="11">
        <v>1.3689</v>
      </c>
      <c r="C274" s="11">
        <f t="shared" si="28"/>
        <v>0</v>
      </c>
      <c r="D274" s="12">
        <f t="shared" si="29"/>
        <v>0</v>
      </c>
      <c r="E274" s="12">
        <f t="shared" si="30"/>
        <v>4.7609999999998706E-5</v>
      </c>
      <c r="F274" s="12">
        <f t="shared" si="31"/>
        <v>3.815496468876633E-5</v>
      </c>
      <c r="G274" s="12">
        <f t="shared" si="32"/>
        <v>4.1679887957544945</v>
      </c>
      <c r="I274" s="12">
        <f t="shared" si="33"/>
        <v>6.1769705105954916E-3</v>
      </c>
      <c r="J274" s="12">
        <f t="shared" si="34"/>
        <v>7.4054730214398717E-3</v>
      </c>
    </row>
    <row r="275" spans="1:10">
      <c r="A275" s="15">
        <v>40645</v>
      </c>
      <c r="B275" s="11">
        <v>1.3685</v>
      </c>
      <c r="C275" s="11">
        <f t="shared" si="28"/>
        <v>-3.9999999999995595E-4</v>
      </c>
      <c r="D275" s="12">
        <f t="shared" si="29"/>
        <v>1.5999999999996475E-7</v>
      </c>
      <c r="E275" s="12">
        <f t="shared" si="30"/>
        <v>0</v>
      </c>
      <c r="F275" s="12">
        <f t="shared" si="31"/>
        <v>3.6138413306980713E-5</v>
      </c>
      <c r="G275" s="12">
        <f t="shared" si="32"/>
        <v>4.1929248374096204</v>
      </c>
      <c r="I275" s="12">
        <f t="shared" si="33"/>
        <v>6.0115233765644389E-3</v>
      </c>
      <c r="J275" s="12">
        <f t="shared" si="34"/>
        <v>7.4054730214398717E-3</v>
      </c>
    </row>
    <row r="276" spans="1:10">
      <c r="A276" s="15">
        <v>40646</v>
      </c>
      <c r="B276" s="11">
        <v>1.3696999999999999</v>
      </c>
      <c r="C276" s="11">
        <f t="shared" si="28"/>
        <v>1.1999999999998678E-3</v>
      </c>
      <c r="D276" s="12">
        <f t="shared" si="29"/>
        <v>1.4399999999996828E-6</v>
      </c>
      <c r="E276" s="12">
        <f t="shared" si="30"/>
        <v>1.5999999999996475E-7</v>
      </c>
      <c r="F276" s="12">
        <f t="shared" si="31"/>
        <v>3.4417429479869562E-5</v>
      </c>
      <c r="G276" s="12">
        <f t="shared" si="32"/>
        <v>4.1986155517071344</v>
      </c>
      <c r="I276" s="12">
        <f t="shared" si="33"/>
        <v>5.8666369821107527E-3</v>
      </c>
      <c r="J276" s="12">
        <f t="shared" si="34"/>
        <v>7.4054730214398717E-3</v>
      </c>
    </row>
    <row r="277" spans="1:10">
      <c r="A277" s="15">
        <v>40647</v>
      </c>
      <c r="B277" s="11">
        <v>1.3728</v>
      </c>
      <c r="C277" s="11">
        <f t="shared" si="28"/>
        <v>3.1000000000001027E-3</v>
      </c>
      <c r="D277" s="12">
        <f t="shared" si="29"/>
        <v>9.6100000000006364E-6</v>
      </c>
      <c r="E277" s="12">
        <f t="shared" si="30"/>
        <v>1.4399999999996828E-6</v>
      </c>
      <c r="F277" s="12">
        <f t="shared" si="31"/>
        <v>3.3042978099113611E-5</v>
      </c>
      <c r="G277" s="12">
        <f t="shared" si="32"/>
        <v>4.0944955232298472</v>
      </c>
      <c r="I277" s="12">
        <f t="shared" si="33"/>
        <v>5.7483021927447076E-3</v>
      </c>
      <c r="J277" s="12">
        <f t="shared" si="34"/>
        <v>7.4054730214398717E-3</v>
      </c>
    </row>
    <row r="278" spans="1:10">
      <c r="A278" s="15">
        <v>40648</v>
      </c>
      <c r="B278" s="11">
        <v>1.375</v>
      </c>
      <c r="C278" s="11">
        <f t="shared" si="28"/>
        <v>2.1999999999999797E-3</v>
      </c>
      <c r="D278" s="12">
        <f t="shared" si="29"/>
        <v>4.8399999999999113E-6</v>
      </c>
      <c r="E278" s="12">
        <f t="shared" si="30"/>
        <v>9.6100000000006364E-6</v>
      </c>
      <c r="F278" s="12">
        <f t="shared" si="31"/>
        <v>3.2534668955679517E-5</v>
      </c>
      <c r="G278" s="12">
        <f t="shared" si="32"/>
        <v>4.1732814172364678</v>
      </c>
      <c r="I278" s="12">
        <f t="shared" si="33"/>
        <v>5.7039169835893929E-3</v>
      </c>
      <c r="J278" s="12">
        <f t="shared" si="34"/>
        <v>7.4054730214398717E-3</v>
      </c>
    </row>
    <row r="279" spans="1:10">
      <c r="A279" s="15">
        <v>40651</v>
      </c>
      <c r="B279" s="11">
        <v>1.3836999999999999</v>
      </c>
      <c r="C279" s="11">
        <f t="shared" si="28"/>
        <v>8.69999999999993E-3</v>
      </c>
      <c r="D279" s="12">
        <f t="shared" si="29"/>
        <v>7.5689999999998782E-5</v>
      </c>
      <c r="E279" s="12">
        <f t="shared" si="30"/>
        <v>4.8399999999999113E-6</v>
      </c>
      <c r="F279" s="12">
        <f t="shared" si="31"/>
        <v>3.1704213848120493E-5</v>
      </c>
      <c r="G279" s="12">
        <f t="shared" si="32"/>
        <v>3.0669020334044492</v>
      </c>
      <c r="I279" s="12">
        <f t="shared" si="33"/>
        <v>5.6306495049967811E-3</v>
      </c>
      <c r="J279" s="12">
        <f t="shared" si="34"/>
        <v>7.4054730214398717E-3</v>
      </c>
    </row>
    <row r="280" spans="1:10">
      <c r="A280" s="15">
        <v>40652</v>
      </c>
      <c r="B280" s="11">
        <v>1.3740000000000001</v>
      </c>
      <c r="C280" s="11">
        <f t="shared" si="28"/>
        <v>-9.6999999999998199E-3</v>
      </c>
      <c r="D280" s="12">
        <f t="shared" si="29"/>
        <v>9.4089999999996506E-5</v>
      </c>
      <c r="E280" s="12">
        <f t="shared" si="30"/>
        <v>7.5689999999998782E-5</v>
      </c>
      <c r="F280" s="12">
        <f t="shared" si="31"/>
        <v>3.6832180144363079E-5</v>
      </c>
      <c r="G280" s="12">
        <f t="shared" si="32"/>
        <v>2.9083509681790369</v>
      </c>
      <c r="I280" s="12">
        <f t="shared" si="33"/>
        <v>6.0689521454995081E-3</v>
      </c>
      <c r="J280" s="12">
        <f t="shared" si="34"/>
        <v>7.4054730214398717E-3</v>
      </c>
    </row>
    <row r="281" spans="1:10">
      <c r="A281" s="15">
        <v>40653</v>
      </c>
      <c r="B281" s="11">
        <v>1.369</v>
      </c>
      <c r="C281" s="11">
        <f t="shared" si="28"/>
        <v>-5.0000000000001155E-3</v>
      </c>
      <c r="D281" s="12">
        <f t="shared" si="29"/>
        <v>2.5000000000001153E-5</v>
      </c>
      <c r="E281" s="12">
        <f t="shared" si="30"/>
        <v>9.4089999999996506E-5</v>
      </c>
      <c r="F281" s="12">
        <f t="shared" si="31"/>
        <v>4.2759309188220696E-5</v>
      </c>
      <c r="G281" s="12">
        <f t="shared" si="32"/>
        <v>3.818689270637857</v>
      </c>
      <c r="I281" s="12">
        <f t="shared" si="33"/>
        <v>6.5390602679758726E-3</v>
      </c>
      <c r="J281" s="12">
        <f t="shared" si="34"/>
        <v>7.4054730214398717E-3</v>
      </c>
    </row>
    <row r="282" spans="1:10">
      <c r="A282" s="15">
        <v>40654</v>
      </c>
      <c r="B282" s="11">
        <v>1.3582000000000001</v>
      </c>
      <c r="C282" s="11">
        <f t="shared" si="28"/>
        <v>-1.0799999999999921E-2</v>
      </c>
      <c r="D282" s="12">
        <f t="shared" si="29"/>
        <v>1.1663999999999829E-4</v>
      </c>
      <c r="E282" s="12">
        <f t="shared" si="30"/>
        <v>2.5000000000001153E-5</v>
      </c>
      <c r="F282" s="12">
        <f t="shared" si="31"/>
        <v>4.2159463826639898E-5</v>
      </c>
      <c r="G282" s="12">
        <f t="shared" si="32"/>
        <v>2.734767844847275</v>
      </c>
      <c r="I282" s="12">
        <f t="shared" si="33"/>
        <v>6.4930319440643369E-3</v>
      </c>
      <c r="J282" s="12">
        <f t="shared" si="34"/>
        <v>7.4054730214398717E-3</v>
      </c>
    </row>
    <row r="283" spans="1:10">
      <c r="A283" s="15">
        <v>40655</v>
      </c>
      <c r="B283" s="11">
        <v>1.3553999999999999</v>
      </c>
      <c r="C283" s="11">
        <f t="shared" si="28"/>
        <v>-2.8000000000001357E-3</v>
      </c>
      <c r="D283" s="12">
        <f t="shared" si="29"/>
        <v>7.8400000000007601E-6</v>
      </c>
      <c r="E283" s="12">
        <f t="shared" si="30"/>
        <v>1.1663999999999829E-4</v>
      </c>
      <c r="F283" s="12">
        <f t="shared" si="31"/>
        <v>4.9200045352363883E-5</v>
      </c>
      <c r="G283" s="12">
        <f t="shared" si="32"/>
        <v>3.961194742439992</v>
      </c>
      <c r="I283" s="12">
        <f t="shared" si="33"/>
        <v>7.0142743995629288E-3</v>
      </c>
      <c r="J283" s="12">
        <f t="shared" si="34"/>
        <v>7.4054730214398717E-3</v>
      </c>
    </row>
    <row r="284" spans="1:10">
      <c r="A284" s="15">
        <v>40658</v>
      </c>
      <c r="B284" s="11">
        <v>1.3605</v>
      </c>
      <c r="C284" s="11">
        <f t="shared" si="28"/>
        <v>5.1000000000001044E-3</v>
      </c>
      <c r="D284" s="12">
        <f t="shared" si="29"/>
        <v>2.6010000000001064E-5</v>
      </c>
      <c r="E284" s="12">
        <f t="shared" si="30"/>
        <v>7.8400000000007601E-6</v>
      </c>
      <c r="F284" s="12">
        <f t="shared" si="31"/>
        <v>4.628333888999051E-5</v>
      </c>
      <c r="G284" s="12">
        <f t="shared" si="32"/>
        <v>3.7904390732851612</v>
      </c>
      <c r="I284" s="12">
        <f t="shared" si="33"/>
        <v>6.803185936749819E-3</v>
      </c>
      <c r="J284" s="12">
        <f t="shared" si="34"/>
        <v>7.4054730214398717E-3</v>
      </c>
    </row>
    <row r="285" spans="1:10">
      <c r="A285" s="15">
        <v>40659</v>
      </c>
      <c r="B285" s="11">
        <v>1.3569</v>
      </c>
      <c r="C285" s="11">
        <f t="shared" si="28"/>
        <v>-3.6000000000000476E-3</v>
      </c>
      <c r="D285" s="12">
        <f t="shared" si="29"/>
        <v>1.2960000000000343E-5</v>
      </c>
      <c r="E285" s="12">
        <f t="shared" si="30"/>
        <v>2.6010000000001064E-5</v>
      </c>
      <c r="F285" s="12">
        <f t="shared" si="31"/>
        <v>4.5273311922276228E-5</v>
      </c>
      <c r="G285" s="12">
        <f t="shared" si="32"/>
        <v>3.9393271976080606</v>
      </c>
      <c r="I285" s="12">
        <f t="shared" si="33"/>
        <v>6.7285445619596094E-3</v>
      </c>
      <c r="J285" s="12">
        <f t="shared" si="34"/>
        <v>7.4054730214398717E-3</v>
      </c>
    </row>
    <row r="286" spans="1:10">
      <c r="A286" s="15">
        <v>40660</v>
      </c>
      <c r="B286" s="11">
        <v>1.3463000000000001</v>
      </c>
      <c r="C286" s="11">
        <f t="shared" si="28"/>
        <v>-1.0599999999999943E-2</v>
      </c>
      <c r="D286" s="12">
        <f t="shared" si="29"/>
        <v>1.1235999999999878E-4</v>
      </c>
      <c r="E286" s="12">
        <f t="shared" si="30"/>
        <v>1.2960000000000343E-5</v>
      </c>
      <c r="F286" s="12">
        <f t="shared" si="31"/>
        <v>4.3328643224625617E-5</v>
      </c>
      <c r="G286" s="12">
        <f t="shared" si="32"/>
        <v>2.8078079031326384</v>
      </c>
      <c r="I286" s="12">
        <f t="shared" si="33"/>
        <v>6.5824496370747582E-3</v>
      </c>
      <c r="J286" s="12">
        <f t="shared" si="34"/>
        <v>7.4054730214398717E-3</v>
      </c>
    </row>
    <row r="287" spans="1:10">
      <c r="A287" s="15">
        <v>40661</v>
      </c>
      <c r="B287" s="11">
        <v>1.3460000000000001</v>
      </c>
      <c r="C287" s="11">
        <f t="shared" si="28"/>
        <v>-2.9999999999996696E-4</v>
      </c>
      <c r="D287" s="12">
        <f t="shared" si="29"/>
        <v>8.9999999999980173E-8</v>
      </c>
      <c r="E287" s="12">
        <f t="shared" si="30"/>
        <v>1.1235999999999878E-4</v>
      </c>
      <c r="F287" s="12">
        <f t="shared" si="31"/>
        <v>4.9852587193751288E-5</v>
      </c>
      <c r="G287" s="12">
        <f t="shared" si="32"/>
        <v>4.0333788797969845</v>
      </c>
      <c r="I287" s="12">
        <f t="shared" si="33"/>
        <v>7.0606364581212713E-3</v>
      </c>
      <c r="J287" s="12">
        <f t="shared" si="34"/>
        <v>7.4054730214398717E-3</v>
      </c>
    </row>
    <row r="288" spans="1:10">
      <c r="A288" s="15">
        <v>40662</v>
      </c>
      <c r="B288" s="11">
        <v>1.3480000000000001</v>
      </c>
      <c r="C288" s="11">
        <f t="shared" si="28"/>
        <v>2.0000000000000018E-3</v>
      </c>
      <c r="D288" s="12">
        <f t="shared" si="29"/>
        <v>4.0000000000000074E-6</v>
      </c>
      <c r="E288" s="12">
        <f t="shared" si="30"/>
        <v>8.9999999999980173E-8</v>
      </c>
      <c r="F288" s="12">
        <f t="shared" si="31"/>
        <v>4.6205458546725454E-5</v>
      </c>
      <c r="G288" s="12">
        <f t="shared" si="32"/>
        <v>4.0289828384958017</v>
      </c>
      <c r="I288" s="12">
        <f t="shared" si="33"/>
        <v>6.7974597127695765E-3</v>
      </c>
      <c r="J288" s="12">
        <f t="shared" si="34"/>
        <v>7.4054730214398717E-3</v>
      </c>
    </row>
    <row r="289" spans="1:10">
      <c r="A289" s="15">
        <v>40665</v>
      </c>
      <c r="B289" s="11">
        <v>1.3462000000000001</v>
      </c>
      <c r="C289" s="11">
        <f t="shared" si="28"/>
        <v>-1.8000000000000238E-3</v>
      </c>
      <c r="D289" s="12">
        <f t="shared" si="29"/>
        <v>3.2400000000000859E-6</v>
      </c>
      <c r="E289" s="12">
        <f t="shared" si="30"/>
        <v>4.0000000000000074E-6</v>
      </c>
      <c r="F289" s="12">
        <f t="shared" si="31"/>
        <v>4.3391441153900165E-5</v>
      </c>
      <c r="G289" s="12">
        <f t="shared" si="32"/>
        <v>4.0663510801510716</v>
      </c>
      <c r="I289" s="12">
        <f t="shared" si="33"/>
        <v>6.5872180132359494E-3</v>
      </c>
      <c r="J289" s="12">
        <f t="shared" si="34"/>
        <v>7.4054730214398717E-3</v>
      </c>
    </row>
    <row r="290" spans="1:10">
      <c r="A290" s="15">
        <v>40666</v>
      </c>
      <c r="B290" s="11">
        <v>1.3498000000000001</v>
      </c>
      <c r="C290" s="11">
        <f t="shared" si="28"/>
        <v>3.6000000000000476E-3</v>
      </c>
      <c r="D290" s="12">
        <f t="shared" si="29"/>
        <v>1.2960000000000343E-5</v>
      </c>
      <c r="E290" s="12">
        <f t="shared" si="30"/>
        <v>3.2400000000000859E-6</v>
      </c>
      <c r="F290" s="12">
        <f t="shared" si="31"/>
        <v>4.0908797980665353E-5</v>
      </c>
      <c r="G290" s="12">
        <f t="shared" si="32"/>
        <v>3.974743029430194</v>
      </c>
      <c r="I290" s="12">
        <f t="shared" si="33"/>
        <v>6.3959985913589253E-3</v>
      </c>
      <c r="J290" s="12">
        <f t="shared" si="34"/>
        <v>7.4054730214398717E-3</v>
      </c>
    </row>
    <row r="291" spans="1:10">
      <c r="A291" s="15">
        <v>40667</v>
      </c>
      <c r="B291" s="11">
        <v>1.3460000000000001</v>
      </c>
      <c r="C291" s="11">
        <f t="shared" si="28"/>
        <v>-3.8000000000000256E-3</v>
      </c>
      <c r="D291" s="12">
        <f t="shared" si="29"/>
        <v>1.4440000000000194E-5</v>
      </c>
      <c r="E291" s="12">
        <f t="shared" si="30"/>
        <v>1.2960000000000343E-5</v>
      </c>
      <c r="F291" s="12">
        <f t="shared" si="31"/>
        <v>3.9575284852295966E-5</v>
      </c>
      <c r="G291" s="12">
        <f t="shared" si="32"/>
        <v>3.967277241685399</v>
      </c>
      <c r="I291" s="12">
        <f t="shared" si="33"/>
        <v>6.2908890351281799E-3</v>
      </c>
      <c r="J291" s="12">
        <f t="shared" si="34"/>
        <v>7.4054730214398717E-3</v>
      </c>
    </row>
    <row r="292" spans="1:10">
      <c r="A292" s="15">
        <v>40668</v>
      </c>
      <c r="B292" s="11">
        <v>1.3642000000000001</v>
      </c>
      <c r="C292" s="11">
        <f t="shared" si="28"/>
        <v>1.8199999999999994E-2</v>
      </c>
      <c r="D292" s="12">
        <f t="shared" si="29"/>
        <v>3.3123999999999979E-4</v>
      </c>
      <c r="E292" s="12">
        <f t="shared" si="30"/>
        <v>1.4440000000000194E-5</v>
      </c>
      <c r="F292" s="12">
        <f t="shared" si="31"/>
        <v>3.8550538855290529E-5</v>
      </c>
      <c r="G292" s="12">
        <f t="shared" si="32"/>
        <v>-0.13334689934890098</v>
      </c>
      <c r="I292" s="12">
        <f t="shared" si="33"/>
        <v>6.2089080243864564E-3</v>
      </c>
      <c r="J292" s="12">
        <f t="shared" si="34"/>
        <v>7.4054730214398717E-3</v>
      </c>
    </row>
    <row r="293" spans="1:10">
      <c r="A293" s="15">
        <v>40669</v>
      </c>
      <c r="B293" s="11">
        <v>1.3526</v>
      </c>
      <c r="C293" s="11">
        <f t="shared" si="28"/>
        <v>-1.1600000000000055E-2</v>
      </c>
      <c r="D293" s="12">
        <f t="shared" si="29"/>
        <v>1.3456000000000126E-4</v>
      </c>
      <c r="E293" s="12">
        <f t="shared" si="30"/>
        <v>3.3123999999999979E-4</v>
      </c>
      <c r="F293" s="12">
        <f t="shared" si="31"/>
        <v>6.3791913058366652E-5</v>
      </c>
      <c r="G293" s="12">
        <f t="shared" si="32"/>
        <v>2.856324384570776</v>
      </c>
      <c r="I293" s="12">
        <f t="shared" si="33"/>
        <v>7.9869839775954642E-3</v>
      </c>
      <c r="J293" s="12">
        <f t="shared" si="34"/>
        <v>7.4054730214398717E-3</v>
      </c>
    </row>
    <row r="294" spans="1:10">
      <c r="A294" s="15">
        <v>40672</v>
      </c>
      <c r="B294" s="11">
        <v>1.3767</v>
      </c>
      <c r="C294" s="11">
        <f t="shared" si="28"/>
        <v>2.410000000000001E-2</v>
      </c>
      <c r="D294" s="12">
        <f t="shared" si="29"/>
        <v>5.8081000000000051E-4</v>
      </c>
      <c r="E294" s="12">
        <f t="shared" si="30"/>
        <v>1.3456000000000126E-4</v>
      </c>
      <c r="F294" s="12">
        <f t="shared" si="31"/>
        <v>6.9280982521769551E-5</v>
      </c>
      <c r="G294" s="12">
        <f t="shared" si="32"/>
        <v>-0.32196712153972606</v>
      </c>
      <c r="I294" s="12">
        <f t="shared" si="33"/>
        <v>8.3235198396933944E-3</v>
      </c>
      <c r="J294" s="12">
        <f t="shared" si="34"/>
        <v>7.4054730214398717E-3</v>
      </c>
    </row>
    <row r="295" spans="1:10">
      <c r="A295" s="15">
        <v>40673</v>
      </c>
      <c r="B295" s="11">
        <v>1.3733</v>
      </c>
      <c r="C295" s="11">
        <f t="shared" si="28"/>
        <v>-3.4000000000000696E-3</v>
      </c>
      <c r="D295" s="12">
        <f t="shared" si="29"/>
        <v>1.1560000000000474E-5</v>
      </c>
      <c r="E295" s="12">
        <f t="shared" si="30"/>
        <v>5.8081000000000051E-4</v>
      </c>
      <c r="F295" s="12">
        <f t="shared" si="31"/>
        <v>1.1079821397945712E-4</v>
      </c>
      <c r="G295" s="12">
        <f t="shared" si="32"/>
        <v>3.5827945050819596</v>
      </c>
      <c r="I295" s="12">
        <f t="shared" si="33"/>
        <v>1.0526073055962376E-2</v>
      </c>
      <c r="J295" s="12">
        <f t="shared" si="34"/>
        <v>7.4054730214398717E-3</v>
      </c>
    </row>
    <row r="296" spans="1:10">
      <c r="A296" s="15">
        <v>40674</v>
      </c>
      <c r="B296" s="11">
        <v>1.3845000000000001</v>
      </c>
      <c r="C296" s="11">
        <f t="shared" si="28"/>
        <v>1.1200000000000099E-2</v>
      </c>
      <c r="D296" s="12">
        <f t="shared" si="29"/>
        <v>1.2544000000000221E-4</v>
      </c>
      <c r="E296" s="12">
        <f t="shared" si="30"/>
        <v>1.1560000000000474E-5</v>
      </c>
      <c r="F296" s="12">
        <f t="shared" si="31"/>
        <v>9.9562762211091667E-5</v>
      </c>
      <c r="G296" s="12">
        <f t="shared" si="32"/>
        <v>3.0584682290571727</v>
      </c>
      <c r="I296" s="12">
        <f t="shared" si="33"/>
        <v>9.9781141610572714E-3</v>
      </c>
      <c r="J296" s="12">
        <f t="shared" si="34"/>
        <v>7.4054730214398717E-3</v>
      </c>
    </row>
    <row r="297" spans="1:10">
      <c r="A297" s="15">
        <v>40675</v>
      </c>
      <c r="B297" s="11">
        <v>1.3823000000000001</v>
      </c>
      <c r="C297" s="11">
        <f t="shared" si="28"/>
        <v>-2.1999999999999797E-3</v>
      </c>
      <c r="D297" s="12">
        <f t="shared" si="29"/>
        <v>4.8399999999999113E-6</v>
      </c>
      <c r="E297" s="12">
        <f t="shared" si="30"/>
        <v>1.2544000000000221E-4</v>
      </c>
      <c r="F297" s="12">
        <f t="shared" si="31"/>
        <v>9.9290884632368125E-5</v>
      </c>
      <c r="G297" s="12">
        <f t="shared" si="32"/>
        <v>3.6654170216036404</v>
      </c>
      <c r="I297" s="12">
        <f t="shared" si="33"/>
        <v>9.9644811521909221E-3</v>
      </c>
      <c r="J297" s="12">
        <f t="shared" si="34"/>
        <v>7.4054730214398717E-3</v>
      </c>
    </row>
    <row r="298" spans="1:10">
      <c r="A298" s="15">
        <v>40676</v>
      </c>
      <c r="B298" s="11">
        <v>1.3912</v>
      </c>
      <c r="C298" s="11">
        <f t="shared" si="28"/>
        <v>8.899999999999908E-3</v>
      </c>
      <c r="D298" s="12">
        <f t="shared" si="29"/>
        <v>7.9209999999998356E-5</v>
      </c>
      <c r="E298" s="12">
        <f t="shared" si="30"/>
        <v>4.8399999999999113E-6</v>
      </c>
      <c r="F298" s="12">
        <f t="shared" si="31"/>
        <v>8.9112668573474208E-5</v>
      </c>
      <c r="G298" s="12">
        <f t="shared" si="32"/>
        <v>3.2994286149350054</v>
      </c>
      <c r="I298" s="12">
        <f t="shared" si="33"/>
        <v>9.439950665839001E-3</v>
      </c>
      <c r="J298" s="12">
        <f t="shared" si="34"/>
        <v>7.4054730214398717E-3</v>
      </c>
    </row>
    <row r="299" spans="1:10">
      <c r="A299" s="15">
        <v>40679</v>
      </c>
      <c r="B299" s="11">
        <v>1.3871</v>
      </c>
      <c r="C299" s="11">
        <f t="shared" si="28"/>
        <v>-4.0999999999999925E-3</v>
      </c>
      <c r="D299" s="12">
        <f t="shared" si="29"/>
        <v>1.6809999999999939E-5</v>
      </c>
      <c r="E299" s="12">
        <f t="shared" si="30"/>
        <v>7.9209999999998356E-5</v>
      </c>
      <c r="F299" s="12">
        <f t="shared" si="31"/>
        <v>8.6492076619226207E-5</v>
      </c>
      <c r="G299" s="12">
        <f t="shared" si="32"/>
        <v>3.661613802002277</v>
      </c>
      <c r="I299" s="12">
        <f t="shared" si="33"/>
        <v>9.3001116455248105E-3</v>
      </c>
      <c r="J299" s="12">
        <f t="shared" si="34"/>
        <v>7.4054730214398717E-3</v>
      </c>
    </row>
    <row r="300" spans="1:10">
      <c r="A300" s="15">
        <v>40680</v>
      </c>
      <c r="B300" s="11">
        <v>1.3872</v>
      </c>
      <c r="C300" s="11">
        <f t="shared" si="28"/>
        <v>9.9999999999988987E-5</v>
      </c>
      <c r="D300" s="12">
        <f t="shared" si="29"/>
        <v>9.9999999999977966E-9</v>
      </c>
      <c r="E300" s="12">
        <f t="shared" si="30"/>
        <v>1.6809999999999939E-5</v>
      </c>
      <c r="F300" s="12">
        <f t="shared" si="31"/>
        <v>7.9093075890092804E-5</v>
      </c>
      <c r="G300" s="12">
        <f t="shared" si="32"/>
        <v>3.8034408543388967</v>
      </c>
      <c r="I300" s="12">
        <f t="shared" si="33"/>
        <v>8.8934288039030709E-3</v>
      </c>
      <c r="J300" s="12">
        <f t="shared" si="34"/>
        <v>7.4054730214398717E-3</v>
      </c>
    </row>
    <row r="301" spans="1:10">
      <c r="A301" s="15">
        <v>40681</v>
      </c>
      <c r="B301" s="11">
        <v>1.3915999999999999</v>
      </c>
      <c r="C301" s="11">
        <f t="shared" si="28"/>
        <v>4.3999999999999595E-3</v>
      </c>
      <c r="D301" s="12">
        <f t="shared" si="29"/>
        <v>1.9359999999999645E-5</v>
      </c>
      <c r="E301" s="12">
        <f t="shared" si="30"/>
        <v>9.9999999999977966E-9</v>
      </c>
      <c r="F301" s="12">
        <f t="shared" si="31"/>
        <v>7.1344854015411991E-5</v>
      </c>
      <c r="G301" s="12">
        <f t="shared" si="32"/>
        <v>3.7193751075358632</v>
      </c>
      <c r="I301" s="12">
        <f t="shared" si="33"/>
        <v>8.4465883062578573E-3</v>
      </c>
      <c r="J301" s="12">
        <f t="shared" si="34"/>
        <v>7.4054730214398717E-3</v>
      </c>
    </row>
    <row r="302" spans="1:10">
      <c r="A302" s="15">
        <v>40682</v>
      </c>
      <c r="B302" s="11">
        <v>1.3781000000000001</v>
      </c>
      <c r="C302" s="11">
        <f t="shared" si="28"/>
        <v>-1.3499999999999845E-2</v>
      </c>
      <c r="D302" s="12">
        <f t="shared" si="29"/>
        <v>1.8224999999999584E-4</v>
      </c>
      <c r="E302" s="12">
        <f t="shared" si="30"/>
        <v>1.9359999999999645E-5</v>
      </c>
      <c r="F302" s="12">
        <f t="shared" si="31"/>
        <v>6.6277160825563468E-5</v>
      </c>
      <c r="G302" s="12">
        <f t="shared" si="32"/>
        <v>2.5169860400286073</v>
      </c>
      <c r="I302" s="12">
        <f t="shared" si="33"/>
        <v>8.141078603327908E-3</v>
      </c>
      <c r="J302" s="12">
        <f t="shared" si="34"/>
        <v>7.4054730214398717E-3</v>
      </c>
    </row>
    <row r="303" spans="1:10">
      <c r="A303" s="15">
        <v>40683</v>
      </c>
      <c r="B303" s="11">
        <v>1.3898999999999999</v>
      </c>
      <c r="C303" s="11">
        <f t="shared" si="28"/>
        <v>1.1799999999999811E-2</v>
      </c>
      <c r="D303" s="12">
        <f t="shared" si="29"/>
        <v>1.3923999999999553E-4</v>
      </c>
      <c r="E303" s="12">
        <f t="shared" si="30"/>
        <v>1.8224999999999584E-4</v>
      </c>
      <c r="F303" s="12">
        <f t="shared" si="31"/>
        <v>7.5350637045266855E-5</v>
      </c>
      <c r="G303" s="12">
        <f t="shared" si="32"/>
        <v>2.9037934828862562</v>
      </c>
      <c r="I303" s="12">
        <f t="shared" si="33"/>
        <v>8.6804744712064476E-3</v>
      </c>
      <c r="J303" s="12">
        <f t="shared" si="34"/>
        <v>7.4054730214398717E-3</v>
      </c>
    </row>
    <row r="304" spans="1:10">
      <c r="A304" s="15">
        <v>40686</v>
      </c>
      <c r="B304" s="11">
        <v>1.3943000000000001</v>
      </c>
      <c r="C304" s="11">
        <f t="shared" si="28"/>
        <v>4.4000000000001815E-3</v>
      </c>
      <c r="D304" s="12">
        <f t="shared" si="29"/>
        <v>1.9360000000001597E-5</v>
      </c>
      <c r="E304" s="12">
        <f t="shared" si="30"/>
        <v>1.3923999999999553E-4</v>
      </c>
      <c r="F304" s="12">
        <f t="shared" si="31"/>
        <v>7.9607060209671272E-5</v>
      </c>
      <c r="G304" s="12">
        <f t="shared" si="32"/>
        <v>3.6786680908832601</v>
      </c>
      <c r="I304" s="12">
        <f t="shared" si="33"/>
        <v>8.9222788686339136E-3</v>
      </c>
      <c r="J304" s="12">
        <f t="shared" si="34"/>
        <v>7.4054730214398717E-3</v>
      </c>
    </row>
    <row r="305" spans="1:10">
      <c r="A305" s="15">
        <v>40687</v>
      </c>
      <c r="B305" s="11">
        <v>1.3907</v>
      </c>
      <c r="C305" s="11">
        <f t="shared" si="28"/>
        <v>-3.6000000000000476E-3</v>
      </c>
      <c r="D305" s="12">
        <f t="shared" si="29"/>
        <v>1.2960000000000343E-5</v>
      </c>
      <c r="E305" s="12">
        <f t="shared" si="30"/>
        <v>1.9360000000001597E-5</v>
      </c>
      <c r="F305" s="12">
        <f t="shared" si="31"/>
        <v>7.3382424139647879E-5</v>
      </c>
      <c r="G305" s="12">
        <f t="shared" si="32"/>
        <v>3.7526699879448264</v>
      </c>
      <c r="I305" s="12">
        <f t="shared" si="33"/>
        <v>8.5663541918162521E-3</v>
      </c>
      <c r="J305" s="12">
        <f t="shared" si="34"/>
        <v>7.4054730214398717E-3</v>
      </c>
    </row>
    <row r="306" spans="1:10">
      <c r="A306" s="15">
        <v>40688</v>
      </c>
      <c r="B306" s="11">
        <v>1.3938999999999999</v>
      </c>
      <c r="C306" s="11">
        <f t="shared" si="28"/>
        <v>3.1999999999998696E-3</v>
      </c>
      <c r="D306" s="12">
        <f t="shared" si="29"/>
        <v>1.0239999999999165E-5</v>
      </c>
      <c r="E306" s="12">
        <f t="shared" si="30"/>
        <v>1.2960000000000343E-5</v>
      </c>
      <c r="F306" s="12">
        <f t="shared" si="31"/>
        <v>6.7501683588631369E-5</v>
      </c>
      <c r="G306" s="12">
        <f t="shared" si="32"/>
        <v>3.8068905085823705</v>
      </c>
      <c r="I306" s="12">
        <f t="shared" si="33"/>
        <v>8.2159408218798278E-3</v>
      </c>
      <c r="J306" s="12">
        <f t="shared" si="34"/>
        <v>7.4054730214398717E-3</v>
      </c>
    </row>
    <row r="307" spans="1:10">
      <c r="A307" s="15">
        <v>40689</v>
      </c>
      <c r="B307" s="11">
        <v>1.3894</v>
      </c>
      <c r="C307" s="11">
        <f t="shared" si="28"/>
        <v>-4.4999999999999485E-3</v>
      </c>
      <c r="D307" s="12">
        <f t="shared" si="29"/>
        <v>2.0249999999999537E-5</v>
      </c>
      <c r="E307" s="12">
        <f t="shared" si="30"/>
        <v>1.0239999999999165E-5</v>
      </c>
      <c r="F307" s="12">
        <f t="shared" si="31"/>
        <v>6.2220128097711038E-5</v>
      </c>
      <c r="G307" s="12">
        <f t="shared" si="32"/>
        <v>3.7607487722510253</v>
      </c>
      <c r="I307" s="12">
        <f t="shared" si="33"/>
        <v>7.8879736369812398E-3</v>
      </c>
      <c r="J307" s="12">
        <f t="shared" si="34"/>
        <v>7.4054730214398717E-3</v>
      </c>
    </row>
    <row r="308" spans="1:10">
      <c r="A308" s="15">
        <v>40690</v>
      </c>
      <c r="B308" s="11">
        <v>1.3792</v>
      </c>
      <c r="C308" s="11">
        <f t="shared" si="28"/>
        <v>-1.0199999999999987E-2</v>
      </c>
      <c r="D308" s="12">
        <f t="shared" si="29"/>
        <v>1.0403999999999973E-4</v>
      </c>
      <c r="E308" s="12">
        <f t="shared" si="30"/>
        <v>2.0249999999999537E-5</v>
      </c>
      <c r="F308" s="12">
        <f t="shared" si="31"/>
        <v>5.8503542408637277E-5</v>
      </c>
      <c r="G308" s="12">
        <f t="shared" si="32"/>
        <v>3.0650961591752028</v>
      </c>
      <c r="I308" s="12">
        <f t="shared" si="33"/>
        <v>7.6487608413806007E-3</v>
      </c>
      <c r="J308" s="12">
        <f t="shared" si="34"/>
        <v>7.4054730214398717E-3</v>
      </c>
    </row>
    <row r="309" spans="1:10">
      <c r="A309" s="15">
        <v>40693</v>
      </c>
      <c r="B309" s="11">
        <v>1.3828</v>
      </c>
      <c r="C309" s="11">
        <f t="shared" si="28"/>
        <v>3.6000000000000476E-3</v>
      </c>
      <c r="D309" s="12">
        <f t="shared" si="29"/>
        <v>1.2960000000000343E-5</v>
      </c>
      <c r="E309" s="12">
        <f t="shared" si="30"/>
        <v>1.0403999999999973E-4</v>
      </c>
      <c r="F309" s="12">
        <f t="shared" si="31"/>
        <v>6.2216521905743071E-5</v>
      </c>
      <c r="G309" s="12">
        <f t="shared" si="32"/>
        <v>3.8193540446311744</v>
      </c>
      <c r="I309" s="12">
        <f t="shared" si="33"/>
        <v>7.8877450456859392E-3</v>
      </c>
      <c r="J309" s="12">
        <f t="shared" si="34"/>
        <v>7.4054730214398717E-3</v>
      </c>
    </row>
    <row r="310" spans="1:10">
      <c r="A310" s="15">
        <v>40694</v>
      </c>
      <c r="B310" s="11">
        <v>1.3745000000000001</v>
      </c>
      <c r="C310" s="11">
        <f t="shared" si="28"/>
        <v>-8.2999999999999741E-3</v>
      </c>
      <c r="D310" s="12">
        <f t="shared" si="29"/>
        <v>6.8889999999999566E-5</v>
      </c>
      <c r="E310" s="12">
        <f t="shared" si="30"/>
        <v>1.2960000000000343E-5</v>
      </c>
      <c r="F310" s="12">
        <f t="shared" si="31"/>
        <v>5.7899323922717976E-5</v>
      </c>
      <c r="G310" s="12">
        <f t="shared" si="32"/>
        <v>3.3645519292476398</v>
      </c>
      <c r="I310" s="12">
        <f t="shared" si="33"/>
        <v>7.6091605268070132E-3</v>
      </c>
      <c r="J310" s="12">
        <f t="shared" si="34"/>
        <v>7.4054730214398717E-3</v>
      </c>
    </row>
    <row r="311" spans="1:10">
      <c r="A311" s="15">
        <v>40695</v>
      </c>
      <c r="B311" s="11">
        <v>1.3763000000000001</v>
      </c>
      <c r="C311" s="11">
        <f t="shared" si="28"/>
        <v>1.8000000000000238E-3</v>
      </c>
      <c r="D311" s="12">
        <f t="shared" si="29"/>
        <v>3.2400000000000859E-6</v>
      </c>
      <c r="E311" s="12">
        <f t="shared" si="30"/>
        <v>6.8889999999999566E-5</v>
      </c>
      <c r="F311" s="12">
        <f t="shared" si="31"/>
        <v>5.8798519928825106E-5</v>
      </c>
      <c r="G311" s="12">
        <f t="shared" si="32"/>
        <v>3.9242066828163753</v>
      </c>
      <c r="I311" s="12">
        <f t="shared" si="33"/>
        <v>7.6680192963258188E-3</v>
      </c>
      <c r="J311" s="12">
        <f t="shared" si="34"/>
        <v>7.4054730214398717E-3</v>
      </c>
    </row>
    <row r="312" spans="1:10">
      <c r="A312" s="15">
        <v>40696</v>
      </c>
      <c r="B312" s="11">
        <v>1.3608</v>
      </c>
      <c r="C312" s="11">
        <f t="shared" si="28"/>
        <v>-1.5500000000000069E-2</v>
      </c>
      <c r="D312" s="12">
        <f t="shared" si="29"/>
        <v>2.4025000000000215E-4</v>
      </c>
      <c r="E312" s="12">
        <f t="shared" si="30"/>
        <v>3.2400000000000859E-6</v>
      </c>
      <c r="F312" s="12">
        <f t="shared" si="31"/>
        <v>5.4158449347723065E-5</v>
      </c>
      <c r="G312" s="12">
        <f t="shared" si="32"/>
        <v>1.7748309474612651</v>
      </c>
      <c r="I312" s="12">
        <f t="shared" si="33"/>
        <v>7.3592424438744418E-3</v>
      </c>
      <c r="J312" s="12">
        <f t="shared" si="34"/>
        <v>7.4054730214398717E-3</v>
      </c>
    </row>
    <row r="313" spans="1:10">
      <c r="A313" s="15">
        <v>40697</v>
      </c>
      <c r="B313" s="11">
        <v>1.3573999999999999</v>
      </c>
      <c r="C313" s="11">
        <f t="shared" si="28"/>
        <v>-3.4000000000000696E-3</v>
      </c>
      <c r="D313" s="12">
        <f t="shared" si="29"/>
        <v>1.1560000000000474E-5</v>
      </c>
      <c r="E313" s="12">
        <f t="shared" si="30"/>
        <v>2.4025000000000215E-4</v>
      </c>
      <c r="F313" s="12">
        <f t="shared" si="31"/>
        <v>6.9711440028351996E-5</v>
      </c>
      <c r="G313" s="12">
        <f t="shared" si="32"/>
        <v>3.783721299519085</v>
      </c>
      <c r="I313" s="12">
        <f t="shared" si="33"/>
        <v>8.3493376999826761E-3</v>
      </c>
      <c r="J313" s="12">
        <f t="shared" si="34"/>
        <v>7.4054730214398717E-3</v>
      </c>
    </row>
    <row r="314" spans="1:10">
      <c r="A314" s="15">
        <v>40700</v>
      </c>
      <c r="B314" s="11">
        <v>1.3602000000000001</v>
      </c>
      <c r="C314" s="11">
        <f t="shared" si="28"/>
        <v>2.8000000000001357E-3</v>
      </c>
      <c r="D314" s="12">
        <f t="shared" si="29"/>
        <v>7.8400000000007601E-6</v>
      </c>
      <c r="E314" s="12">
        <f t="shared" si="30"/>
        <v>1.1560000000000474E-5</v>
      </c>
      <c r="F314" s="12">
        <f t="shared" si="31"/>
        <v>6.4229300326335156E-5</v>
      </c>
      <c r="G314" s="12">
        <f t="shared" si="32"/>
        <v>3.846555653556746</v>
      </c>
      <c r="I314" s="12">
        <f t="shared" si="33"/>
        <v>8.0143184567582019E-3</v>
      </c>
      <c r="J314" s="12">
        <f t="shared" si="34"/>
        <v>7.4054730214398717E-3</v>
      </c>
    </row>
    <row r="315" spans="1:10">
      <c r="A315" s="15">
        <v>40701</v>
      </c>
      <c r="B315" s="11">
        <v>1.3526</v>
      </c>
      <c r="C315" s="11">
        <f t="shared" si="28"/>
        <v>-7.6000000000000512E-3</v>
      </c>
      <c r="D315" s="12">
        <f t="shared" si="29"/>
        <v>5.7760000000000775E-5</v>
      </c>
      <c r="E315" s="12">
        <f t="shared" si="30"/>
        <v>7.8400000000007601E-6</v>
      </c>
      <c r="F315" s="12">
        <f t="shared" si="31"/>
        <v>5.9208072489446486E-5</v>
      </c>
      <c r="G315" s="12">
        <f t="shared" si="32"/>
        <v>3.4605164667588975</v>
      </c>
      <c r="I315" s="12">
        <f t="shared" si="33"/>
        <v>7.6946781927151762E-3</v>
      </c>
      <c r="J315" s="12">
        <f t="shared" si="34"/>
        <v>7.4054730214398717E-3</v>
      </c>
    </row>
    <row r="316" spans="1:10">
      <c r="A316" s="15">
        <v>40702</v>
      </c>
      <c r="B316" s="11">
        <v>1.3595999999999999</v>
      </c>
      <c r="C316" s="11">
        <f t="shared" si="28"/>
        <v>6.9999999999998952E-3</v>
      </c>
      <c r="D316" s="12">
        <f t="shared" si="29"/>
        <v>4.8999999999998535E-5</v>
      </c>
      <c r="E316" s="12">
        <f t="shared" si="30"/>
        <v>5.7760000000000775E-5</v>
      </c>
      <c r="F316" s="12">
        <f t="shared" si="31"/>
        <v>5.9006251465327833E-5</v>
      </c>
      <c r="G316" s="12">
        <f t="shared" si="32"/>
        <v>3.5347847978849485</v>
      </c>
      <c r="I316" s="12">
        <f t="shared" si="33"/>
        <v>7.6815526728212851E-3</v>
      </c>
      <c r="J316" s="12">
        <f t="shared" si="34"/>
        <v>7.4054730214398717E-3</v>
      </c>
    </row>
    <row r="317" spans="1:10">
      <c r="A317" s="15">
        <v>40703</v>
      </c>
      <c r="B317" s="11">
        <v>1.363</v>
      </c>
      <c r="C317" s="11">
        <f t="shared" si="28"/>
        <v>3.4000000000000696E-3</v>
      </c>
      <c r="D317" s="12">
        <f t="shared" si="29"/>
        <v>1.1560000000000474E-5</v>
      </c>
      <c r="E317" s="12">
        <f t="shared" si="30"/>
        <v>4.8999999999998535E-5</v>
      </c>
      <c r="F317" s="12">
        <f t="shared" si="31"/>
        <v>5.8110360891827447E-5</v>
      </c>
      <c r="G317" s="12">
        <f t="shared" si="32"/>
        <v>3.8581788388457512</v>
      </c>
      <c r="I317" s="12">
        <f t="shared" si="33"/>
        <v>7.6230152099958093E-3</v>
      </c>
      <c r="J317" s="12">
        <f t="shared" si="34"/>
        <v>7.4054730214398717E-3</v>
      </c>
    </row>
    <row r="318" spans="1:10">
      <c r="A318" s="15">
        <v>40704</v>
      </c>
      <c r="B318" s="11">
        <v>1.3762000000000001</v>
      </c>
      <c r="C318" s="11">
        <f t="shared" si="28"/>
        <v>1.3200000000000101E-2</v>
      </c>
      <c r="D318" s="12">
        <f t="shared" si="29"/>
        <v>1.7424000000000264E-4</v>
      </c>
      <c r="E318" s="12">
        <f t="shared" si="30"/>
        <v>1.1560000000000474E-5</v>
      </c>
      <c r="F318" s="12">
        <f t="shared" si="31"/>
        <v>5.4252700849816551E-5</v>
      </c>
      <c r="G318" s="12">
        <f t="shared" si="32"/>
        <v>2.3861716787479375</v>
      </c>
      <c r="I318" s="12">
        <f t="shared" si="33"/>
        <v>7.3656432746784959E-3</v>
      </c>
      <c r="J318" s="12">
        <f t="shared" si="34"/>
        <v>7.4054730214398717E-3</v>
      </c>
    </row>
    <row r="319" spans="1:10">
      <c r="A319" s="15">
        <v>40707</v>
      </c>
      <c r="B319" s="11">
        <v>1.3708</v>
      </c>
      <c r="C319" s="11">
        <f t="shared" si="28"/>
        <v>-5.4000000000000714E-3</v>
      </c>
      <c r="D319" s="12">
        <f t="shared" si="29"/>
        <v>2.9160000000000771E-5</v>
      </c>
      <c r="E319" s="12">
        <f t="shared" si="30"/>
        <v>1.7424000000000264E-4</v>
      </c>
      <c r="F319" s="12">
        <f t="shared" si="31"/>
        <v>6.4349455169376762E-5</v>
      </c>
      <c r="G319" s="12">
        <f t="shared" si="32"/>
        <v>3.6800771598125328</v>
      </c>
      <c r="I319" s="12">
        <f t="shared" si="33"/>
        <v>8.0218112150172646E-3</v>
      </c>
      <c r="J319" s="12">
        <f t="shared" si="34"/>
        <v>7.4054730214398717E-3</v>
      </c>
    </row>
    <row r="320" spans="1:10">
      <c r="A320" s="15">
        <v>40708</v>
      </c>
      <c r="B320" s="11">
        <v>1.3695999999999999</v>
      </c>
      <c r="C320" s="11">
        <f t="shared" si="28"/>
        <v>-1.2000000000000899E-3</v>
      </c>
      <c r="D320" s="12">
        <f t="shared" si="29"/>
        <v>1.4400000000002158E-6</v>
      </c>
      <c r="E320" s="12">
        <f t="shared" si="30"/>
        <v>2.9160000000000771E-5</v>
      </c>
      <c r="F320" s="12">
        <f t="shared" si="31"/>
        <v>6.1069402257650347E-5</v>
      </c>
      <c r="G320" s="12">
        <f t="shared" si="32"/>
        <v>3.9210213938440357</v>
      </c>
      <c r="I320" s="12">
        <f t="shared" si="33"/>
        <v>7.8146914371362321E-3</v>
      </c>
      <c r="J320" s="12">
        <f t="shared" si="34"/>
        <v>7.4054730214398717E-3</v>
      </c>
    </row>
    <row r="321" spans="1:10">
      <c r="A321" s="15">
        <v>40709</v>
      </c>
      <c r="B321" s="11">
        <v>1.3846000000000001</v>
      </c>
      <c r="C321" s="11">
        <f t="shared" si="28"/>
        <v>1.5000000000000124E-2</v>
      </c>
      <c r="D321" s="12">
        <f t="shared" si="29"/>
        <v>2.2500000000000373E-4</v>
      </c>
      <c r="E321" s="12">
        <f t="shared" si="30"/>
        <v>1.4400000000002158E-6</v>
      </c>
      <c r="F321" s="12">
        <f t="shared" si="31"/>
        <v>5.5962919816074758E-5</v>
      </c>
      <c r="G321" s="12">
        <f t="shared" si="32"/>
        <v>1.9662124186480103</v>
      </c>
      <c r="I321" s="12">
        <f t="shared" si="33"/>
        <v>7.4808368392897569E-3</v>
      </c>
      <c r="J321" s="12">
        <f t="shared" si="34"/>
        <v>7.4054730214398717E-3</v>
      </c>
    </row>
    <row r="322" spans="1:10">
      <c r="A322" s="15">
        <v>40710</v>
      </c>
      <c r="B322" s="11">
        <v>1.3853</v>
      </c>
      <c r="C322" s="11">
        <f t="shared" si="28"/>
        <v>6.9999999999992291E-4</v>
      </c>
      <c r="D322" s="12">
        <f t="shared" si="29"/>
        <v>4.8999999999989208E-7</v>
      </c>
      <c r="E322" s="12">
        <f t="shared" si="30"/>
        <v>2.2500000000000373E-4</v>
      </c>
      <c r="F322" s="12">
        <f t="shared" si="31"/>
        <v>7.0005752279738237E-5</v>
      </c>
      <c r="G322" s="12">
        <f t="shared" si="32"/>
        <v>3.8610283189324175</v>
      </c>
      <c r="I322" s="12">
        <f t="shared" si="33"/>
        <v>8.3669440227443995E-3</v>
      </c>
      <c r="J322" s="12">
        <f t="shared" si="34"/>
        <v>7.4054730214398717E-3</v>
      </c>
    </row>
    <row r="323" spans="1:10">
      <c r="A323" s="15">
        <v>40711</v>
      </c>
      <c r="B323" s="11">
        <v>1.3759999999999999</v>
      </c>
      <c r="C323" s="11">
        <f t="shared" si="28"/>
        <v>-9.300000000000086E-3</v>
      </c>
      <c r="D323" s="12">
        <f t="shared" si="29"/>
        <v>8.6490000000001593E-5</v>
      </c>
      <c r="E323" s="12">
        <f t="shared" si="30"/>
        <v>4.8999999999989208E-7</v>
      </c>
      <c r="F323" s="12">
        <f t="shared" si="31"/>
        <v>6.3569592831016564E-5</v>
      </c>
      <c r="G323" s="12">
        <f t="shared" si="32"/>
        <v>3.2324710392211577</v>
      </c>
      <c r="I323" s="12">
        <f t="shared" si="33"/>
        <v>7.9730541720859117E-3</v>
      </c>
      <c r="J323" s="12">
        <f t="shared" si="34"/>
        <v>7.4054730214398717E-3</v>
      </c>
    </row>
    <row r="324" spans="1:10">
      <c r="A324" s="15">
        <v>40714</v>
      </c>
      <c r="B324" s="11">
        <v>1.3754</v>
      </c>
      <c r="C324" s="11">
        <f t="shared" si="28"/>
        <v>-5.9999999999993392E-4</v>
      </c>
      <c r="D324" s="12">
        <f t="shared" si="29"/>
        <v>3.5999999999992069E-7</v>
      </c>
      <c r="E324" s="12">
        <f t="shared" si="30"/>
        <v>8.6490000000001593E-5</v>
      </c>
      <c r="F324" s="12">
        <f t="shared" si="31"/>
        <v>6.5126047630117352E-5</v>
      </c>
      <c r="G324" s="12">
        <f t="shared" si="32"/>
        <v>3.8978905741073611</v>
      </c>
      <c r="I324" s="12">
        <f t="shared" si="33"/>
        <v>8.0700711044028196E-3</v>
      </c>
      <c r="J324" s="12">
        <f t="shared" si="34"/>
        <v>7.4054730214398717E-3</v>
      </c>
    </row>
    <row r="325" spans="1:10">
      <c r="A325" s="15">
        <v>40715</v>
      </c>
      <c r="B325" s="11">
        <v>1.3689</v>
      </c>
      <c r="C325" s="11">
        <f t="shared" si="28"/>
        <v>-6.4999999999999503E-3</v>
      </c>
      <c r="D325" s="12">
        <f t="shared" si="29"/>
        <v>4.2249999999999353E-5</v>
      </c>
      <c r="E325" s="12">
        <f t="shared" si="30"/>
        <v>3.5999999999992069E-7</v>
      </c>
      <c r="F325" s="12">
        <f t="shared" si="31"/>
        <v>5.9362465529467445E-5</v>
      </c>
      <c r="G325" s="12">
        <f t="shared" si="32"/>
        <v>3.591121072646176</v>
      </c>
      <c r="I325" s="12">
        <f t="shared" si="33"/>
        <v>7.7047041169319049E-3</v>
      </c>
      <c r="J325" s="12">
        <f t="shared" si="34"/>
        <v>7.4054730214398717E-3</v>
      </c>
    </row>
    <row r="326" spans="1:10">
      <c r="A326" s="15">
        <v>40716</v>
      </c>
      <c r="B326" s="11">
        <v>1.3726</v>
      </c>
      <c r="C326" s="11">
        <f t="shared" si="28"/>
        <v>3.7000000000000366E-3</v>
      </c>
      <c r="D326" s="12">
        <f t="shared" si="29"/>
        <v>1.369000000000027E-5</v>
      </c>
      <c r="E326" s="12">
        <f t="shared" si="30"/>
        <v>4.2249999999999353E-5</v>
      </c>
      <c r="F326" s="12">
        <f t="shared" si="31"/>
        <v>5.7860104839526287E-5</v>
      </c>
      <c r="G326" s="12">
        <f t="shared" si="32"/>
        <v>3.8415000971388542</v>
      </c>
      <c r="I326" s="12">
        <f t="shared" si="33"/>
        <v>7.6065829936658343E-3</v>
      </c>
      <c r="J326" s="12">
        <f t="shared" si="34"/>
        <v>7.4054730214398717E-3</v>
      </c>
    </row>
    <row r="327" spans="1:10">
      <c r="A327" s="15">
        <v>40717</v>
      </c>
      <c r="B327" s="11">
        <v>1.3781000000000001</v>
      </c>
      <c r="C327" s="11">
        <f t="shared" si="28"/>
        <v>5.5000000000000604E-3</v>
      </c>
      <c r="D327" s="12">
        <f t="shared" si="29"/>
        <v>3.0250000000000664E-5</v>
      </c>
      <c r="E327" s="12">
        <f t="shared" si="30"/>
        <v>1.369000000000027E-5</v>
      </c>
      <c r="F327" s="12">
        <f t="shared" si="31"/>
        <v>5.4213122817980013E-5</v>
      </c>
      <c r="G327" s="12">
        <f t="shared" si="32"/>
        <v>3.7133637480015134</v>
      </c>
      <c r="I327" s="12">
        <f t="shared" si="33"/>
        <v>7.3629561195202031E-3</v>
      </c>
      <c r="J327" s="12">
        <f t="shared" si="34"/>
        <v>7.4054730214398717E-3</v>
      </c>
    </row>
    <row r="328" spans="1:10">
      <c r="A328" s="15">
        <v>40718</v>
      </c>
      <c r="B328" s="11">
        <v>1.3832</v>
      </c>
      <c r="C328" s="11">
        <f t="shared" si="28"/>
        <v>5.0999999999998824E-3</v>
      </c>
      <c r="D328" s="12">
        <f t="shared" si="29"/>
        <v>2.6009999999998801E-5</v>
      </c>
      <c r="E328" s="12">
        <f t="shared" si="30"/>
        <v>3.0250000000000664E-5</v>
      </c>
      <c r="F328" s="12">
        <f t="shared" si="31"/>
        <v>5.2442322517065453E-5</v>
      </c>
      <c r="G328" s="12">
        <f t="shared" si="32"/>
        <v>3.7609730363382621</v>
      </c>
      <c r="I328" s="12">
        <f t="shared" si="33"/>
        <v>7.2417071548817446E-3</v>
      </c>
      <c r="J328" s="12">
        <f t="shared" si="34"/>
        <v>7.4054730214398717E-3</v>
      </c>
    </row>
    <row r="329" spans="1:10">
      <c r="A329" s="15">
        <v>40721</v>
      </c>
      <c r="B329" s="11">
        <v>1.3786</v>
      </c>
      <c r="C329" s="11">
        <f t="shared" si="28"/>
        <v>-4.5999999999999375E-3</v>
      </c>
      <c r="D329" s="12">
        <f t="shared" si="29"/>
        <v>2.1159999999999425E-5</v>
      </c>
      <c r="E329" s="12">
        <f t="shared" si="30"/>
        <v>2.6009999999998801E-5</v>
      </c>
      <c r="F329" s="12">
        <f t="shared" si="31"/>
        <v>5.0569863398794154E-5</v>
      </c>
      <c r="G329" s="12">
        <f t="shared" si="32"/>
        <v>3.8179233167478905</v>
      </c>
      <c r="I329" s="12">
        <f t="shared" si="33"/>
        <v>7.1112490744449494E-3</v>
      </c>
      <c r="J329" s="12">
        <f t="shared" si="34"/>
        <v>7.4054730214398717E-3</v>
      </c>
    </row>
    <row r="330" spans="1:10">
      <c r="A330" s="15">
        <v>40722</v>
      </c>
      <c r="B330" s="11">
        <v>1.3745000000000001</v>
      </c>
      <c r="C330" s="11">
        <f t="shared" si="28"/>
        <v>-4.0999999999999925E-3</v>
      </c>
      <c r="D330" s="12">
        <f t="shared" si="29"/>
        <v>1.6809999999999939E-5</v>
      </c>
      <c r="E330" s="12">
        <f t="shared" si="30"/>
        <v>2.1159999999999425E-5</v>
      </c>
      <c r="F330" s="12">
        <f t="shared" si="31"/>
        <v>4.855968132719664E-5</v>
      </c>
      <c r="G330" s="12">
        <f t="shared" si="32"/>
        <v>3.874333966892082</v>
      </c>
      <c r="I330" s="12">
        <f t="shared" si="33"/>
        <v>6.9684776908013873E-3</v>
      </c>
      <c r="J330" s="12">
        <f t="shared" si="34"/>
        <v>7.4054730214398717E-3</v>
      </c>
    </row>
    <row r="331" spans="1:10">
      <c r="A331" s="15">
        <v>40723</v>
      </c>
      <c r="B331" s="11">
        <v>1.3696999999999999</v>
      </c>
      <c r="C331" s="11">
        <f t="shared" si="28"/>
        <v>-4.8000000000001375E-3</v>
      </c>
      <c r="D331" s="12">
        <f t="shared" si="29"/>
        <v>2.3040000000001321E-5</v>
      </c>
      <c r="E331" s="12">
        <f t="shared" si="30"/>
        <v>1.6809999999999939E-5</v>
      </c>
      <c r="F331" s="12">
        <f t="shared" si="31"/>
        <v>4.6472290309715224E-5</v>
      </c>
      <c r="G331" s="12">
        <f t="shared" si="32"/>
        <v>3.8214989698218469</v>
      </c>
      <c r="I331" s="12">
        <f t="shared" si="33"/>
        <v>6.8170587726463991E-3</v>
      </c>
      <c r="J331" s="12">
        <f t="shared" si="34"/>
        <v>7.4054730214398717E-3</v>
      </c>
    </row>
    <row r="332" spans="1:10">
      <c r="A332" s="15">
        <v>40724</v>
      </c>
      <c r="B332" s="11">
        <v>1.3653</v>
      </c>
      <c r="C332" s="11">
        <f t="shared" si="28"/>
        <v>-4.3999999999999595E-3</v>
      </c>
      <c r="D332" s="12">
        <f t="shared" si="29"/>
        <v>1.9359999999999645E-5</v>
      </c>
      <c r="E332" s="12">
        <f t="shared" si="30"/>
        <v>2.3040000000001321E-5</v>
      </c>
      <c r="F332" s="12">
        <f t="shared" si="31"/>
        <v>4.5190905165858085E-5</v>
      </c>
      <c r="G332" s="12">
        <f t="shared" si="32"/>
        <v>3.8691664192949915</v>
      </c>
      <c r="I332" s="12">
        <f t="shared" si="33"/>
        <v>6.7224181040647932E-3</v>
      </c>
      <c r="J332" s="12">
        <f t="shared" si="34"/>
        <v>7.4054730214398717E-3</v>
      </c>
    </row>
    <row r="333" spans="1:10">
      <c r="A333" s="15">
        <v>40725</v>
      </c>
      <c r="B333" s="11">
        <v>1.3646</v>
      </c>
      <c r="C333" s="11">
        <f t="shared" si="28"/>
        <v>-6.9999999999992291E-4</v>
      </c>
      <c r="D333" s="12">
        <f t="shared" si="29"/>
        <v>4.8999999999989208E-7</v>
      </c>
      <c r="E333" s="12">
        <f t="shared" si="30"/>
        <v>1.9359999999999645E-5</v>
      </c>
      <c r="F333" s="12">
        <f t="shared" si="31"/>
        <v>4.3785505581194309E-5</v>
      </c>
      <c r="G333" s="12">
        <f t="shared" si="32"/>
        <v>4.0935698595143526</v>
      </c>
      <c r="I333" s="12">
        <f t="shared" si="33"/>
        <v>6.6170617029913141E-3</v>
      </c>
      <c r="J333" s="12">
        <f t="shared" si="34"/>
        <v>7.4054730214398717E-3</v>
      </c>
    </row>
    <row r="334" spans="1:10">
      <c r="A334" s="15">
        <v>40728</v>
      </c>
      <c r="B334" s="11">
        <v>1.3645</v>
      </c>
      <c r="C334" s="11">
        <f t="shared" ref="C334:C397" si="35">B334-B333</f>
        <v>-9.9999999999988987E-5</v>
      </c>
      <c r="D334" s="12">
        <f t="shared" ref="D334:D397" si="36">C334^2</f>
        <v>9.9999999999977966E-9</v>
      </c>
      <c r="E334" s="12">
        <f t="shared" si="30"/>
        <v>4.8999999999989208E-7</v>
      </c>
      <c r="F334" s="12">
        <f t="shared" si="31"/>
        <v>4.102092331429012E-5</v>
      </c>
      <c r="G334" s="12">
        <f t="shared" si="32"/>
        <v>4.1316537187386659</v>
      </c>
      <c r="I334" s="12">
        <f t="shared" si="33"/>
        <v>6.404757865391175E-3</v>
      </c>
      <c r="J334" s="12">
        <f t="shared" si="34"/>
        <v>7.4054730214398717E-3</v>
      </c>
    </row>
    <row r="335" spans="1:10">
      <c r="A335" s="15">
        <v>40729</v>
      </c>
      <c r="B335" s="11">
        <v>1.3677999999999999</v>
      </c>
      <c r="C335" s="11">
        <f t="shared" si="35"/>
        <v>3.2999999999998586E-3</v>
      </c>
      <c r="D335" s="12">
        <f t="shared" si="36"/>
        <v>1.0889999999999067E-5</v>
      </c>
      <c r="E335" s="12">
        <f t="shared" ref="E335:E398" si="37">D334</f>
        <v>9.9999999999977966E-9</v>
      </c>
      <c r="F335" s="12">
        <f t="shared" ref="F335:F398" si="38">$B$5+$B$6*E335+$B$7*F334</f>
        <v>3.860388112937758E-5</v>
      </c>
      <c r="G335" s="12">
        <f t="shared" ref="G335:G398" si="39">LN((1/SQRT(2*3.1415927*F335))*EXP(-0.5*D335/F335))</f>
        <v>4.02109233482867</v>
      </c>
      <c r="I335" s="12">
        <f t="shared" ref="I335:I398" si="40">SQRT(F335)</f>
        <v>6.2132021638908212E-3</v>
      </c>
      <c r="J335" s="12">
        <f t="shared" si="34"/>
        <v>7.4054730214398717E-3</v>
      </c>
    </row>
    <row r="336" spans="1:10">
      <c r="A336" s="15">
        <v>40730</v>
      </c>
      <c r="B336" s="11">
        <v>1.3725000000000001</v>
      </c>
      <c r="C336" s="11">
        <f t="shared" si="35"/>
        <v>4.7000000000001485E-3</v>
      </c>
      <c r="D336" s="12">
        <f t="shared" si="36"/>
        <v>2.2090000000001396E-5</v>
      </c>
      <c r="E336" s="12">
        <f t="shared" si="37"/>
        <v>1.0889999999999067E-5</v>
      </c>
      <c r="F336" s="12">
        <f t="shared" si="38"/>
        <v>3.7422434025170034E-5</v>
      </c>
      <c r="G336" s="12">
        <f t="shared" si="39"/>
        <v>3.8825377394985869</v>
      </c>
      <c r="I336" s="12">
        <f t="shared" si="40"/>
        <v>6.1173878432849126E-3</v>
      </c>
      <c r="J336" s="12">
        <f t="shared" ref="J336:J399" si="41">J335</f>
        <v>7.4054730214398717E-3</v>
      </c>
    </row>
    <row r="337" spans="1:10">
      <c r="A337" s="15">
        <v>40731</v>
      </c>
      <c r="B337" s="11">
        <v>1.3746</v>
      </c>
      <c r="C337" s="11">
        <f t="shared" si="35"/>
        <v>2.0999999999999908E-3</v>
      </c>
      <c r="D337" s="12">
        <f t="shared" si="36"/>
        <v>4.4099999999999612E-6</v>
      </c>
      <c r="E337" s="12">
        <f t="shared" si="37"/>
        <v>2.2090000000001396E-5</v>
      </c>
      <c r="F337" s="12">
        <f t="shared" si="38"/>
        <v>3.7329950185886659E-5</v>
      </c>
      <c r="G337" s="12">
        <f t="shared" si="39"/>
        <v>4.1198509064110782</v>
      </c>
      <c r="I337" s="12">
        <f t="shared" si="40"/>
        <v>6.1098240715986791E-3</v>
      </c>
      <c r="J337" s="12">
        <f t="shared" si="41"/>
        <v>7.4054730214398717E-3</v>
      </c>
    </row>
    <row r="338" spans="1:10">
      <c r="A338" s="15">
        <v>40732</v>
      </c>
      <c r="B338" s="11">
        <v>1.3813</v>
      </c>
      <c r="C338" s="11">
        <f t="shared" si="35"/>
        <v>6.6999999999999282E-3</v>
      </c>
      <c r="D338" s="12">
        <f t="shared" si="36"/>
        <v>4.4889999999999037E-5</v>
      </c>
      <c r="E338" s="12">
        <f t="shared" si="37"/>
        <v>4.4099999999999612E-6</v>
      </c>
      <c r="F338" s="12">
        <f t="shared" si="38"/>
        <v>3.5792563039731516E-5</v>
      </c>
      <c r="G338" s="12">
        <f t="shared" si="39"/>
        <v>3.5728610949253881</v>
      </c>
      <c r="I338" s="12">
        <f t="shared" si="40"/>
        <v>5.9826886129675438E-3</v>
      </c>
      <c r="J338" s="12">
        <f t="shared" si="41"/>
        <v>7.4054730214398717E-3</v>
      </c>
    </row>
    <row r="339" spans="1:10">
      <c r="A339" s="15">
        <v>40735</v>
      </c>
      <c r="B339" s="11">
        <v>1.3992</v>
      </c>
      <c r="C339" s="11">
        <f t="shared" si="35"/>
        <v>1.7900000000000027E-2</v>
      </c>
      <c r="D339" s="12">
        <f t="shared" si="36"/>
        <v>3.2041000000000095E-4</v>
      </c>
      <c r="E339" s="12">
        <f t="shared" si="37"/>
        <v>4.4889999999999037E-5</v>
      </c>
      <c r="F339" s="12">
        <f t="shared" si="38"/>
        <v>3.7808344832005548E-5</v>
      </c>
      <c r="G339" s="12">
        <f t="shared" si="39"/>
        <v>-6.4740259085034002E-2</v>
      </c>
      <c r="I339" s="12">
        <f t="shared" si="40"/>
        <v>6.1488490656386703E-3</v>
      </c>
      <c r="J339" s="12">
        <f t="shared" si="41"/>
        <v>7.4054730214398717E-3</v>
      </c>
    </row>
    <row r="340" spans="1:10">
      <c r="A340" s="15">
        <v>40736</v>
      </c>
      <c r="B340" s="11">
        <v>1.3943000000000001</v>
      </c>
      <c r="C340" s="11">
        <f t="shared" si="35"/>
        <v>-4.8999999999999044E-3</v>
      </c>
      <c r="D340" s="12">
        <f t="shared" si="36"/>
        <v>2.4009999999999064E-5</v>
      </c>
      <c r="E340" s="12">
        <f t="shared" si="37"/>
        <v>3.2041000000000095E-4</v>
      </c>
      <c r="F340" s="12">
        <f t="shared" si="38"/>
        <v>6.2260629392853011E-5</v>
      </c>
      <c r="G340" s="12">
        <f t="shared" si="39"/>
        <v>3.7303336201268289</v>
      </c>
      <c r="I340" s="12">
        <f t="shared" si="40"/>
        <v>7.8905405006788349E-3</v>
      </c>
      <c r="J340" s="12">
        <f t="shared" si="41"/>
        <v>7.4054730214398717E-3</v>
      </c>
    </row>
    <row r="341" spans="1:10">
      <c r="A341" s="15">
        <v>40737</v>
      </c>
      <c r="B341" s="11">
        <v>1.3882000000000001</v>
      </c>
      <c r="C341" s="11">
        <f t="shared" si="35"/>
        <v>-6.0999999999999943E-3</v>
      </c>
      <c r="D341" s="12">
        <f t="shared" si="36"/>
        <v>3.720999999999993E-5</v>
      </c>
      <c r="E341" s="12">
        <f t="shared" si="37"/>
        <v>2.4009999999999064E-5</v>
      </c>
      <c r="F341" s="12">
        <f t="shared" si="38"/>
        <v>5.8848413652249663E-5</v>
      </c>
      <c r="G341" s="12">
        <f t="shared" si="39"/>
        <v>3.6351830417372111</v>
      </c>
      <c r="I341" s="12">
        <f t="shared" si="40"/>
        <v>7.6712719709478207E-3</v>
      </c>
      <c r="J341" s="12">
        <f t="shared" si="41"/>
        <v>7.4054730214398717E-3</v>
      </c>
    </row>
    <row r="342" spans="1:10">
      <c r="A342" s="15">
        <v>40738</v>
      </c>
      <c r="B342" s="11">
        <v>1.3887</v>
      </c>
      <c r="C342" s="11">
        <f t="shared" si="35"/>
        <v>4.9999999999994493E-4</v>
      </c>
      <c r="D342" s="12">
        <f t="shared" si="36"/>
        <v>2.4999999999994493E-7</v>
      </c>
      <c r="E342" s="12">
        <f t="shared" si="37"/>
        <v>3.720999999999993E-5</v>
      </c>
      <c r="F342" s="12">
        <f t="shared" si="38"/>
        <v>5.7002447541234514E-5</v>
      </c>
      <c r="G342" s="12">
        <f t="shared" si="39"/>
        <v>3.965076746979749</v>
      </c>
      <c r="I342" s="12">
        <f t="shared" si="40"/>
        <v>7.5499965259087712E-3</v>
      </c>
      <c r="J342" s="12">
        <f t="shared" si="41"/>
        <v>7.4054730214398717E-3</v>
      </c>
    </row>
    <row r="343" spans="1:10">
      <c r="A343" s="15">
        <v>40739</v>
      </c>
      <c r="B343" s="11">
        <v>1.3883000000000001</v>
      </c>
      <c r="C343" s="11">
        <f t="shared" si="35"/>
        <v>-3.9999999999995595E-4</v>
      </c>
      <c r="D343" s="12">
        <f t="shared" si="36"/>
        <v>1.5999999999996475E-7</v>
      </c>
      <c r="E343" s="12">
        <f t="shared" si="37"/>
        <v>2.4999999999994493E-7</v>
      </c>
      <c r="F343" s="12">
        <f t="shared" si="38"/>
        <v>5.2367329183718406E-5</v>
      </c>
      <c r="G343" s="12">
        <f t="shared" si="39"/>
        <v>4.0081476143402188</v>
      </c>
      <c r="I343" s="12">
        <f t="shared" si="40"/>
        <v>7.2365274257559752E-3</v>
      </c>
      <c r="J343" s="12">
        <f t="shared" si="41"/>
        <v>7.4054730214398717E-3</v>
      </c>
    </row>
    <row r="344" spans="1:10">
      <c r="A344" s="15">
        <v>40742</v>
      </c>
      <c r="B344" s="11">
        <v>1.3922000000000001</v>
      </c>
      <c r="C344" s="11">
        <f t="shared" si="35"/>
        <v>3.9000000000000146E-3</v>
      </c>
      <c r="D344" s="12">
        <f t="shared" si="36"/>
        <v>1.5210000000000114E-5</v>
      </c>
      <c r="E344" s="12">
        <f t="shared" si="37"/>
        <v>1.5999999999996475E-7</v>
      </c>
      <c r="F344" s="12">
        <f t="shared" si="38"/>
        <v>4.8373837477344064E-5</v>
      </c>
      <c r="G344" s="12">
        <f t="shared" si="39"/>
        <v>3.8921240982105387</v>
      </c>
      <c r="I344" s="12">
        <f t="shared" si="40"/>
        <v>6.9551302990917474E-3</v>
      </c>
      <c r="J344" s="12">
        <f t="shared" si="41"/>
        <v>7.4054730214398717E-3</v>
      </c>
    </row>
    <row r="345" spans="1:10">
      <c r="A345" s="15">
        <v>40743</v>
      </c>
      <c r="B345" s="11">
        <v>1.3926000000000001</v>
      </c>
      <c r="C345" s="11">
        <f t="shared" si="35"/>
        <v>3.9999999999995595E-4</v>
      </c>
      <c r="D345" s="12">
        <f t="shared" si="36"/>
        <v>1.5999999999996475E-7</v>
      </c>
      <c r="E345" s="12">
        <f t="shared" si="37"/>
        <v>1.5210000000000114E-5</v>
      </c>
      <c r="F345" s="12">
        <f t="shared" si="38"/>
        <v>4.6180537404289717E-5</v>
      </c>
      <c r="G345" s="12">
        <f t="shared" si="39"/>
        <v>4.070805186371163</v>
      </c>
      <c r="I345" s="12">
        <f t="shared" si="40"/>
        <v>6.7956263437809559E-3</v>
      </c>
      <c r="J345" s="12">
        <f t="shared" si="41"/>
        <v>7.4054730214398717E-3</v>
      </c>
    </row>
    <row r="346" spans="1:10">
      <c r="A346" s="15">
        <v>40744</v>
      </c>
      <c r="B346" s="11">
        <v>1.3817999999999999</v>
      </c>
      <c r="C346" s="11">
        <f t="shared" si="35"/>
        <v>-1.0800000000000143E-2</v>
      </c>
      <c r="D346" s="12">
        <f t="shared" si="36"/>
        <v>1.1664000000000308E-4</v>
      </c>
      <c r="E346" s="12">
        <f t="shared" si="37"/>
        <v>1.5999999999996475E-7</v>
      </c>
      <c r="F346" s="12">
        <f t="shared" si="38"/>
        <v>4.3053371777420491E-5</v>
      </c>
      <c r="G346" s="12">
        <f t="shared" si="39"/>
        <v>2.7529987258431747</v>
      </c>
      <c r="I346" s="12">
        <f t="shared" si="40"/>
        <v>6.5615068221728228E-3</v>
      </c>
      <c r="J346" s="12">
        <f t="shared" si="41"/>
        <v>7.4054730214398717E-3</v>
      </c>
    </row>
    <row r="347" spans="1:10">
      <c r="A347" s="15">
        <v>40745</v>
      </c>
      <c r="B347" s="11">
        <v>1.3702000000000001</v>
      </c>
      <c r="C347" s="11">
        <f t="shared" si="35"/>
        <v>-1.1599999999999833E-2</v>
      </c>
      <c r="D347" s="12">
        <f t="shared" si="36"/>
        <v>1.3455999999999611E-4</v>
      </c>
      <c r="E347" s="12">
        <f t="shared" si="37"/>
        <v>1.1664000000000308E-4</v>
      </c>
      <c r="F347" s="12">
        <f t="shared" si="38"/>
        <v>4.9968780871608836E-5</v>
      </c>
      <c r="G347" s="12">
        <f t="shared" si="39"/>
        <v>2.686676830366912</v>
      </c>
      <c r="I347" s="12">
        <f t="shared" si="40"/>
        <v>7.0688599414338972E-3</v>
      </c>
      <c r="J347" s="12">
        <f t="shared" si="41"/>
        <v>7.4054730214398717E-3</v>
      </c>
    </row>
    <row r="348" spans="1:10">
      <c r="A348" s="15">
        <v>40746</v>
      </c>
      <c r="B348" s="11">
        <v>1.3693</v>
      </c>
      <c r="C348" s="11">
        <f t="shared" si="35"/>
        <v>-9.0000000000012292E-4</v>
      </c>
      <c r="D348" s="12">
        <f t="shared" si="36"/>
        <v>8.1000000000022126E-7</v>
      </c>
      <c r="E348" s="12">
        <f t="shared" si="37"/>
        <v>1.3455999999999611E-4</v>
      </c>
      <c r="F348" s="12">
        <f t="shared" si="38"/>
        <v>5.7393480357934213E-5</v>
      </c>
      <c r="G348" s="12">
        <f t="shared" si="39"/>
        <v>3.9567948306305891</v>
      </c>
      <c r="I348" s="12">
        <f t="shared" si="40"/>
        <v>7.575848490956918E-3</v>
      </c>
      <c r="J348" s="12">
        <f t="shared" si="41"/>
        <v>7.4054730214398717E-3</v>
      </c>
    </row>
    <row r="349" spans="1:10">
      <c r="A349" s="15">
        <v>40749</v>
      </c>
      <c r="B349" s="11">
        <v>1.3735999999999999</v>
      </c>
      <c r="C349" s="11">
        <f t="shared" si="35"/>
        <v>4.2999999999999705E-3</v>
      </c>
      <c r="D349" s="12">
        <f t="shared" si="36"/>
        <v>1.8489999999999747E-5</v>
      </c>
      <c r="E349" s="12">
        <f t="shared" si="37"/>
        <v>8.1000000000022126E-7</v>
      </c>
      <c r="F349" s="12">
        <f t="shared" si="38"/>
        <v>5.2749782691131246E-5</v>
      </c>
      <c r="G349" s="12">
        <f t="shared" si="39"/>
        <v>3.8307755265031025</v>
      </c>
      <c r="I349" s="12">
        <f t="shared" si="40"/>
        <v>7.262904562992085E-3</v>
      </c>
      <c r="J349" s="12">
        <f t="shared" si="41"/>
        <v>7.4054730214398717E-3</v>
      </c>
    </row>
    <row r="350" spans="1:10">
      <c r="A350" s="15">
        <v>40750</v>
      </c>
      <c r="B350" s="11">
        <v>1.3617999999999999</v>
      </c>
      <c r="C350" s="11">
        <f t="shared" si="35"/>
        <v>-1.1800000000000033E-2</v>
      </c>
      <c r="D350" s="12">
        <f t="shared" si="36"/>
        <v>1.3924000000000076E-4</v>
      </c>
      <c r="E350" s="12">
        <f t="shared" si="37"/>
        <v>1.8489999999999747E-5</v>
      </c>
      <c r="F350" s="12">
        <f t="shared" si="38"/>
        <v>5.0214187886361136E-5</v>
      </c>
      <c r="G350" s="12">
        <f t="shared" si="39"/>
        <v>2.6442071932991267</v>
      </c>
      <c r="I350" s="12">
        <f t="shared" si="40"/>
        <v>7.0861969974282497E-3</v>
      </c>
      <c r="J350" s="12">
        <f t="shared" si="41"/>
        <v>7.4054730214398717E-3</v>
      </c>
    </row>
    <row r="351" spans="1:10">
      <c r="A351" s="15">
        <v>40751</v>
      </c>
      <c r="B351" s="11">
        <v>1.3714999999999999</v>
      </c>
      <c r="C351" s="11">
        <f t="shared" si="35"/>
        <v>9.7000000000000419E-3</v>
      </c>
      <c r="D351" s="12">
        <f t="shared" si="36"/>
        <v>9.4090000000000815E-5</v>
      </c>
      <c r="E351" s="12">
        <f t="shared" si="37"/>
        <v>1.3924000000000076E-4</v>
      </c>
      <c r="F351" s="12">
        <f t="shared" si="38"/>
        <v>5.7990425880306802E-5</v>
      </c>
      <c r="G351" s="12">
        <f t="shared" si="39"/>
        <v>3.1474231711576515</v>
      </c>
      <c r="I351" s="12">
        <f t="shared" si="40"/>
        <v>7.6151445081696773E-3</v>
      </c>
      <c r="J351" s="12">
        <f t="shared" si="41"/>
        <v>7.4054730214398717E-3</v>
      </c>
    </row>
    <row r="352" spans="1:10">
      <c r="A352" s="15">
        <v>40752</v>
      </c>
      <c r="B352" s="11">
        <v>1.3742000000000001</v>
      </c>
      <c r="C352" s="11">
        <f t="shared" si="35"/>
        <v>2.7000000000001467E-3</v>
      </c>
      <c r="D352" s="12">
        <f t="shared" si="36"/>
        <v>7.2900000000007925E-6</v>
      </c>
      <c r="E352" s="12">
        <f t="shared" si="37"/>
        <v>9.4090000000000815E-5</v>
      </c>
      <c r="F352" s="12">
        <f t="shared" si="38"/>
        <v>6.0954801249704043E-5</v>
      </c>
      <c r="G352" s="12">
        <f t="shared" si="39"/>
        <v>3.87395201841393</v>
      </c>
      <c r="I352" s="12">
        <f t="shared" si="40"/>
        <v>7.8073555862214986E-3</v>
      </c>
      <c r="J352" s="12">
        <f t="shared" si="41"/>
        <v>7.4054730214398717E-3</v>
      </c>
    </row>
    <row r="353" spans="1:10">
      <c r="A353" s="15">
        <v>40753</v>
      </c>
      <c r="B353" s="11">
        <v>1.3709</v>
      </c>
      <c r="C353" s="11">
        <f t="shared" si="35"/>
        <v>-3.3000000000000806E-3</v>
      </c>
      <c r="D353" s="12">
        <f t="shared" si="36"/>
        <v>1.0890000000000533E-5</v>
      </c>
      <c r="E353" s="12">
        <f t="shared" si="37"/>
        <v>7.2900000000007925E-6</v>
      </c>
      <c r="F353" s="12">
        <f t="shared" si="38"/>
        <v>5.6346744245648609E-5</v>
      </c>
      <c r="G353" s="12">
        <f t="shared" si="39"/>
        <v>3.8764207079137378</v>
      </c>
      <c r="I353" s="12">
        <f t="shared" si="40"/>
        <v>7.506446845588704E-3</v>
      </c>
      <c r="J353" s="12">
        <f t="shared" si="41"/>
        <v>7.4054730214398717E-3</v>
      </c>
    </row>
    <row r="354" spans="1:10">
      <c r="A354" s="15">
        <v>40756</v>
      </c>
      <c r="B354" s="11">
        <v>1.3796999999999999</v>
      </c>
      <c r="C354" s="11">
        <f t="shared" si="35"/>
        <v>8.799999999999919E-3</v>
      </c>
      <c r="D354" s="12">
        <f t="shared" si="36"/>
        <v>7.7439999999998581E-5</v>
      </c>
      <c r="E354" s="12">
        <f t="shared" si="37"/>
        <v>1.0890000000000533E-5</v>
      </c>
      <c r="F354" s="12">
        <f t="shared" si="38"/>
        <v>5.2680793768655247E-5</v>
      </c>
      <c r="G354" s="12">
        <f t="shared" si="39"/>
        <v>3.2716985443128035</v>
      </c>
      <c r="I354" s="12">
        <f t="shared" si="40"/>
        <v>7.2581536060251058E-3</v>
      </c>
      <c r="J354" s="12">
        <f t="shared" si="41"/>
        <v>7.4054730214398717E-3</v>
      </c>
    </row>
    <row r="355" spans="1:10">
      <c r="A355" s="15">
        <v>40757</v>
      </c>
      <c r="B355" s="11">
        <v>1.3817999999999999</v>
      </c>
      <c r="C355" s="11">
        <f t="shared" si="35"/>
        <v>2.0999999999999908E-3</v>
      </c>
      <c r="D355" s="12">
        <f t="shared" si="36"/>
        <v>4.4099999999999612E-6</v>
      </c>
      <c r="E355" s="12">
        <f t="shared" si="37"/>
        <v>7.7439999999998581E-5</v>
      </c>
      <c r="F355" s="12">
        <f t="shared" si="38"/>
        <v>5.5015745876196921E-5</v>
      </c>
      <c r="G355" s="12">
        <f t="shared" si="39"/>
        <v>3.944927587128841</v>
      </c>
      <c r="I355" s="12">
        <f t="shared" si="40"/>
        <v>7.4172599978831076E-3</v>
      </c>
      <c r="J355" s="12">
        <f t="shared" si="41"/>
        <v>7.4054730214398717E-3</v>
      </c>
    </row>
    <row r="356" spans="1:10">
      <c r="A356" s="15">
        <v>40758</v>
      </c>
      <c r="B356" s="11">
        <v>1.3733</v>
      </c>
      <c r="C356" s="11">
        <f t="shared" si="35"/>
        <v>-8.499999999999952E-3</v>
      </c>
      <c r="D356" s="12">
        <f t="shared" si="36"/>
        <v>7.2249999999999181E-5</v>
      </c>
      <c r="E356" s="12">
        <f t="shared" si="37"/>
        <v>4.4099999999999612E-6</v>
      </c>
      <c r="F356" s="12">
        <f t="shared" si="38"/>
        <v>5.1001846413228407E-5</v>
      </c>
      <c r="G356" s="12">
        <f t="shared" si="39"/>
        <v>3.3145781306325288</v>
      </c>
      <c r="I356" s="12">
        <f t="shared" si="40"/>
        <v>7.1415577021563302E-3</v>
      </c>
      <c r="J356" s="12">
        <f t="shared" si="41"/>
        <v>7.4054730214398717E-3</v>
      </c>
    </row>
    <row r="357" spans="1:10">
      <c r="A357" s="15">
        <v>40759</v>
      </c>
      <c r="B357" s="11">
        <v>1.391</v>
      </c>
      <c r="C357" s="11">
        <f t="shared" si="35"/>
        <v>1.7700000000000049E-2</v>
      </c>
      <c r="D357" s="12">
        <f t="shared" si="36"/>
        <v>3.1329000000000171E-4</v>
      </c>
      <c r="E357" s="12">
        <f t="shared" si="37"/>
        <v>7.2249999999999181E-5</v>
      </c>
      <c r="F357" s="12">
        <f t="shared" si="38"/>
        <v>5.3143942792371993E-5</v>
      </c>
      <c r="G357" s="12">
        <f t="shared" si="39"/>
        <v>1.054753919090762</v>
      </c>
      <c r="I357" s="12">
        <f t="shared" si="40"/>
        <v>7.2899892175758386E-3</v>
      </c>
      <c r="J357" s="12">
        <f t="shared" si="41"/>
        <v>7.4054730214398717E-3</v>
      </c>
    </row>
    <row r="358" spans="1:10">
      <c r="A358" s="15">
        <v>40760</v>
      </c>
      <c r="B358" s="11">
        <v>1.3757999999999999</v>
      </c>
      <c r="C358" s="11">
        <f t="shared" si="35"/>
        <v>-1.5200000000000102E-2</v>
      </c>
      <c r="D358" s="12">
        <f t="shared" si="36"/>
        <v>2.310400000000031E-4</v>
      </c>
      <c r="E358" s="12">
        <f t="shared" si="37"/>
        <v>3.1329000000000171E-4</v>
      </c>
      <c r="F358" s="12">
        <f t="shared" si="38"/>
        <v>7.4861709844687709E-5</v>
      </c>
      <c r="G358" s="12">
        <f t="shared" si="39"/>
        <v>2.2878835044279513</v>
      </c>
      <c r="I358" s="12">
        <f t="shared" si="40"/>
        <v>8.6522661681600905E-3</v>
      </c>
      <c r="J358" s="12">
        <f t="shared" si="41"/>
        <v>7.4054730214398717E-3</v>
      </c>
    </row>
    <row r="359" spans="1:10">
      <c r="A359" s="15">
        <v>40763</v>
      </c>
      <c r="B359" s="11">
        <v>1.3833</v>
      </c>
      <c r="C359" s="11">
        <f t="shared" si="35"/>
        <v>7.5000000000000622E-3</v>
      </c>
      <c r="D359" s="12">
        <f t="shared" si="36"/>
        <v>5.6250000000000934E-5</v>
      </c>
      <c r="E359" s="12">
        <f t="shared" si="37"/>
        <v>2.310400000000031E-4</v>
      </c>
      <c r="F359" s="12">
        <f t="shared" si="38"/>
        <v>8.6756221458115146E-5</v>
      </c>
      <c r="G359" s="12">
        <f t="shared" si="39"/>
        <v>3.4330814284723647</v>
      </c>
      <c r="I359" s="12">
        <f t="shared" si="40"/>
        <v>9.3143019844814535E-3</v>
      </c>
      <c r="J359" s="12">
        <f t="shared" si="41"/>
        <v>7.4054730214398717E-3</v>
      </c>
    </row>
    <row r="360" spans="1:10">
      <c r="A360" s="15">
        <v>40764</v>
      </c>
      <c r="B360" s="11">
        <v>1.3726</v>
      </c>
      <c r="C360" s="11">
        <f t="shared" si="35"/>
        <v>-1.0699999999999932E-2</v>
      </c>
      <c r="D360" s="12">
        <f t="shared" si="36"/>
        <v>1.1448999999999855E-4</v>
      </c>
      <c r="E360" s="12">
        <f t="shared" si="37"/>
        <v>5.6250000000000934E-5</v>
      </c>
      <c r="F360" s="12">
        <f t="shared" si="38"/>
        <v>8.2572368066294899E-5</v>
      </c>
      <c r="G360" s="12">
        <f t="shared" si="39"/>
        <v>3.0887085309289777</v>
      </c>
      <c r="I360" s="12">
        <f t="shared" si="40"/>
        <v>9.0869339199916542E-3</v>
      </c>
      <c r="J360" s="12">
        <f t="shared" si="41"/>
        <v>7.4054730214398717E-3</v>
      </c>
    </row>
    <row r="361" spans="1:10">
      <c r="A361" s="15">
        <v>40765</v>
      </c>
      <c r="B361" s="11">
        <v>1.3861000000000001</v>
      </c>
      <c r="C361" s="11">
        <f t="shared" si="35"/>
        <v>1.3500000000000068E-2</v>
      </c>
      <c r="D361" s="12">
        <f t="shared" si="36"/>
        <v>1.8225000000000183E-4</v>
      </c>
      <c r="E361" s="12">
        <f t="shared" si="37"/>
        <v>1.1448999999999855E-4</v>
      </c>
      <c r="F361" s="12">
        <f t="shared" si="38"/>
        <v>8.3776714130697562E-5</v>
      </c>
      <c r="G361" s="12">
        <f t="shared" si="39"/>
        <v>2.6870264424714079</v>
      </c>
      <c r="I361" s="12">
        <f t="shared" si="40"/>
        <v>9.1529620413665844E-3</v>
      </c>
      <c r="J361" s="12">
        <f t="shared" si="41"/>
        <v>7.4054730214398717E-3</v>
      </c>
    </row>
    <row r="362" spans="1:10">
      <c r="A362" s="15">
        <v>40766</v>
      </c>
      <c r="B362" s="11">
        <v>1.3791</v>
      </c>
      <c r="C362" s="11">
        <f t="shared" si="35"/>
        <v>-7.0000000000001172E-3</v>
      </c>
      <c r="D362" s="12">
        <f t="shared" si="36"/>
        <v>4.9000000000001638E-5</v>
      </c>
      <c r="E362" s="12">
        <f t="shared" si="37"/>
        <v>1.8225000000000183E-4</v>
      </c>
      <c r="F362" s="12">
        <f t="shared" si="38"/>
        <v>9.0399757242512442E-5</v>
      </c>
      <c r="G362" s="12">
        <f t="shared" si="39"/>
        <v>3.465677520479082</v>
      </c>
      <c r="I362" s="12">
        <f t="shared" si="40"/>
        <v>9.5078786930898763E-3</v>
      </c>
      <c r="J362" s="12">
        <f t="shared" si="41"/>
        <v>7.4054730214398717E-3</v>
      </c>
    </row>
    <row r="363" spans="1:10">
      <c r="A363" s="15">
        <v>40767</v>
      </c>
      <c r="B363" s="11">
        <v>1.3808</v>
      </c>
      <c r="C363" s="11">
        <f t="shared" si="35"/>
        <v>1.7000000000000348E-3</v>
      </c>
      <c r="D363" s="12">
        <f t="shared" si="36"/>
        <v>2.8900000000001184E-6</v>
      </c>
      <c r="E363" s="12">
        <f t="shared" si="37"/>
        <v>4.9000000000001638E-5</v>
      </c>
      <c r="F363" s="12">
        <f t="shared" si="38"/>
        <v>8.510788669239496E-5</v>
      </c>
      <c r="G363" s="12">
        <f t="shared" si="39"/>
        <v>3.7498784349413365</v>
      </c>
      <c r="I363" s="12">
        <f t="shared" si="40"/>
        <v>9.2253935792677676E-3</v>
      </c>
      <c r="J363" s="12">
        <f t="shared" si="41"/>
        <v>7.4054730214398717E-3</v>
      </c>
    </row>
    <row r="364" spans="1:10">
      <c r="A364" s="15">
        <v>40770</v>
      </c>
      <c r="B364" s="11">
        <v>1.3681000000000001</v>
      </c>
      <c r="C364" s="11">
        <f t="shared" si="35"/>
        <v>-1.2699999999999934E-2</v>
      </c>
      <c r="D364" s="12">
        <f t="shared" si="36"/>
        <v>1.6128999999999832E-4</v>
      </c>
      <c r="E364" s="12">
        <f t="shared" si="37"/>
        <v>2.8900000000001184E-6</v>
      </c>
      <c r="F364" s="12">
        <f t="shared" si="38"/>
        <v>7.6754899370951808E-5</v>
      </c>
      <c r="G364" s="12">
        <f t="shared" si="39"/>
        <v>2.767826013550144</v>
      </c>
      <c r="I364" s="12">
        <f t="shared" si="40"/>
        <v>8.7609873513749461E-3</v>
      </c>
      <c r="J364" s="12">
        <f t="shared" si="41"/>
        <v>7.4054730214398717E-3</v>
      </c>
    </row>
    <row r="365" spans="1:10">
      <c r="A365" s="15">
        <v>40771</v>
      </c>
      <c r="B365" s="11">
        <v>1.3663000000000001</v>
      </c>
      <c r="C365" s="11">
        <f t="shared" si="35"/>
        <v>-1.8000000000000238E-3</v>
      </c>
      <c r="D365" s="12">
        <f t="shared" si="36"/>
        <v>3.2400000000000859E-6</v>
      </c>
      <c r="E365" s="12">
        <f t="shared" si="37"/>
        <v>1.6128999999999832E-4</v>
      </c>
      <c r="F365" s="12">
        <f t="shared" si="38"/>
        <v>8.2632880226864912E-5</v>
      </c>
      <c r="G365" s="12">
        <f t="shared" si="39"/>
        <v>3.7620081180750407</v>
      </c>
      <c r="I365" s="12">
        <f t="shared" si="40"/>
        <v>9.0902629349686528E-3</v>
      </c>
      <c r="J365" s="12">
        <f t="shared" si="41"/>
        <v>7.4054730214398717E-3</v>
      </c>
    </row>
    <row r="366" spans="1:10">
      <c r="A366" s="15">
        <v>40772</v>
      </c>
      <c r="B366" s="11">
        <v>1.3685</v>
      </c>
      <c r="C366" s="11">
        <f t="shared" si="35"/>
        <v>2.1999999999999797E-3</v>
      </c>
      <c r="D366" s="12">
        <f t="shared" si="36"/>
        <v>4.8399999999999113E-6</v>
      </c>
      <c r="E366" s="12">
        <f t="shared" si="37"/>
        <v>3.2400000000000859E-6</v>
      </c>
      <c r="F366" s="12">
        <f t="shared" si="38"/>
        <v>7.4655324136202074E-5</v>
      </c>
      <c r="G366" s="12">
        <f t="shared" si="39"/>
        <v>3.79996017850294</v>
      </c>
      <c r="I366" s="12">
        <f t="shared" si="40"/>
        <v>8.6403312515320897E-3</v>
      </c>
      <c r="J366" s="12">
        <f t="shared" si="41"/>
        <v>7.4054730214398717E-3</v>
      </c>
    </row>
    <row r="367" spans="1:10">
      <c r="A367" s="15">
        <v>40773</v>
      </c>
      <c r="B367" s="11">
        <v>1.3740000000000001</v>
      </c>
      <c r="C367" s="11">
        <f t="shared" si="35"/>
        <v>5.5000000000000604E-3</v>
      </c>
      <c r="D367" s="12">
        <f t="shared" si="36"/>
        <v>3.0250000000000664E-5</v>
      </c>
      <c r="E367" s="12">
        <f t="shared" si="37"/>
        <v>4.8399999999999113E-6</v>
      </c>
      <c r="F367" s="12">
        <f t="shared" si="38"/>
        <v>6.79267843072435E-5</v>
      </c>
      <c r="G367" s="12">
        <f t="shared" si="39"/>
        <v>3.6569353109083744</v>
      </c>
      <c r="I367" s="12">
        <f t="shared" si="40"/>
        <v>8.2417707021758078E-3</v>
      </c>
      <c r="J367" s="12">
        <f t="shared" si="41"/>
        <v>7.4054730214398717E-3</v>
      </c>
    </row>
    <row r="368" spans="1:10">
      <c r="A368" s="15">
        <v>40774</v>
      </c>
      <c r="B368" s="11">
        <v>1.3681000000000001</v>
      </c>
      <c r="C368" s="11">
        <f t="shared" si="35"/>
        <v>-5.9000000000000163E-3</v>
      </c>
      <c r="D368" s="12">
        <f t="shared" si="36"/>
        <v>3.481000000000019E-5</v>
      </c>
      <c r="E368" s="12">
        <f t="shared" si="37"/>
        <v>3.0250000000000664E-5</v>
      </c>
      <c r="F368" s="12">
        <f t="shared" si="38"/>
        <v>6.4235682981627102E-5</v>
      </c>
      <c r="G368" s="12">
        <f t="shared" si="39"/>
        <v>3.6365819859912385</v>
      </c>
      <c r="I368" s="12">
        <f t="shared" si="40"/>
        <v>8.0147166501147813E-3</v>
      </c>
      <c r="J368" s="12">
        <f t="shared" si="41"/>
        <v>7.4054730214398717E-3</v>
      </c>
    </row>
    <row r="369" spans="1:10">
      <c r="A369" s="15">
        <v>40777</v>
      </c>
      <c r="B369" s="11">
        <v>1.373</v>
      </c>
      <c r="C369" s="11">
        <f t="shared" si="35"/>
        <v>4.8999999999999044E-3</v>
      </c>
      <c r="D369" s="12">
        <f t="shared" si="36"/>
        <v>2.4009999999999064E-5</v>
      </c>
      <c r="E369" s="12">
        <f t="shared" si="37"/>
        <v>3.481000000000019E-5</v>
      </c>
      <c r="F369" s="12">
        <f t="shared" si="38"/>
        <v>6.1437447891835262E-5</v>
      </c>
      <c r="G369" s="12">
        <f t="shared" si="39"/>
        <v>3.7344049666528933</v>
      </c>
      <c r="I369" s="12">
        <f t="shared" si="40"/>
        <v>7.8382043793100518E-3</v>
      </c>
      <c r="J369" s="12">
        <f t="shared" si="41"/>
        <v>7.4054730214398717E-3</v>
      </c>
    </row>
    <row r="370" spans="1:10">
      <c r="A370" s="15">
        <v>40778</v>
      </c>
      <c r="B370" s="11">
        <v>1.3687</v>
      </c>
      <c r="C370" s="11">
        <f t="shared" si="35"/>
        <v>-4.2999999999999705E-3</v>
      </c>
      <c r="D370" s="12">
        <f t="shared" si="36"/>
        <v>1.8489999999999747E-5</v>
      </c>
      <c r="E370" s="12">
        <f t="shared" si="37"/>
        <v>2.4009999999999064E-5</v>
      </c>
      <c r="F370" s="12">
        <f t="shared" si="38"/>
        <v>5.8140500876594401E-5</v>
      </c>
      <c r="G370" s="12">
        <f t="shared" si="39"/>
        <v>3.7983741253260153</v>
      </c>
      <c r="I370" s="12">
        <f t="shared" si="40"/>
        <v>7.6249918607559442E-3</v>
      </c>
      <c r="J370" s="12">
        <f t="shared" si="41"/>
        <v>7.4054730214398717E-3</v>
      </c>
    </row>
    <row r="371" spans="1:10">
      <c r="A371" s="15">
        <v>40779</v>
      </c>
      <c r="B371" s="11">
        <v>1.3665</v>
      </c>
      <c r="C371" s="11">
        <f t="shared" si="35"/>
        <v>-2.1999999999999797E-3</v>
      </c>
      <c r="D371" s="12">
        <f t="shared" si="36"/>
        <v>4.8399999999999113E-6</v>
      </c>
      <c r="E371" s="12">
        <f t="shared" si="37"/>
        <v>1.8489999999999747E-5</v>
      </c>
      <c r="F371" s="12">
        <f t="shared" si="38"/>
        <v>5.485005284290886E-5</v>
      </c>
      <c r="G371" s="12">
        <f t="shared" si="39"/>
        <v>3.9423948776649356</v>
      </c>
      <c r="I371" s="12">
        <f t="shared" si="40"/>
        <v>7.4060821520496823E-3</v>
      </c>
      <c r="J371" s="12">
        <f t="shared" si="41"/>
        <v>7.4054730214398717E-3</v>
      </c>
    </row>
    <row r="372" spans="1:10">
      <c r="A372" s="15">
        <v>40780</v>
      </c>
      <c r="B372" s="11">
        <v>1.3698999999999999</v>
      </c>
      <c r="C372" s="11">
        <f t="shared" si="35"/>
        <v>3.3999999999998476E-3</v>
      </c>
      <c r="D372" s="12">
        <f t="shared" si="36"/>
        <v>1.1559999999998964E-5</v>
      </c>
      <c r="E372" s="12">
        <f t="shared" si="37"/>
        <v>4.8399999999999113E-6</v>
      </c>
      <c r="F372" s="12">
        <f t="shared" si="38"/>
        <v>5.0894811945733342E-5</v>
      </c>
      <c r="G372" s="12">
        <f t="shared" si="39"/>
        <v>3.9103686747393098</v>
      </c>
      <c r="I372" s="12">
        <f t="shared" si="40"/>
        <v>7.1340599903374335E-3</v>
      </c>
      <c r="J372" s="12">
        <f t="shared" si="41"/>
        <v>7.4054730214398717E-3</v>
      </c>
    </row>
    <row r="373" spans="1:10">
      <c r="A373" s="15">
        <v>40781</v>
      </c>
      <c r="B373" s="11">
        <v>1.3647</v>
      </c>
      <c r="C373" s="11">
        <f t="shared" si="35"/>
        <v>-5.1999999999998714E-3</v>
      </c>
      <c r="D373" s="12">
        <f t="shared" si="36"/>
        <v>2.7039999999998664E-5</v>
      </c>
      <c r="E373" s="12">
        <f t="shared" si="37"/>
        <v>1.1559999999998964E-5</v>
      </c>
      <c r="F373" s="12">
        <f t="shared" si="38"/>
        <v>4.8047533124362693E-5</v>
      </c>
      <c r="G373" s="12">
        <f t="shared" si="39"/>
        <v>3.7713333256307107</v>
      </c>
      <c r="I373" s="12">
        <f t="shared" si="40"/>
        <v>6.9316327892036157E-3</v>
      </c>
      <c r="J373" s="12">
        <f t="shared" si="41"/>
        <v>7.4054730214398717E-3</v>
      </c>
    </row>
    <row r="374" spans="1:10">
      <c r="A374" s="15">
        <v>40784</v>
      </c>
      <c r="B374" s="11">
        <v>1.3636999999999999</v>
      </c>
      <c r="C374" s="11">
        <f t="shared" si="35"/>
        <v>-1.0000000000001119E-3</v>
      </c>
      <c r="D374" s="12">
        <f t="shared" si="36"/>
        <v>1.0000000000002238E-6</v>
      </c>
      <c r="E374" s="12">
        <f t="shared" si="37"/>
        <v>2.7039999999998664E-5</v>
      </c>
      <c r="F374" s="12">
        <f t="shared" si="38"/>
        <v>4.6875400516033846E-5</v>
      </c>
      <c r="G374" s="12">
        <f t="shared" si="39"/>
        <v>4.0544036485651871</v>
      </c>
      <c r="I374" s="12">
        <f t="shared" si="40"/>
        <v>6.8465612183076143E-3</v>
      </c>
      <c r="J374" s="12">
        <f t="shared" si="41"/>
        <v>7.4054730214398717E-3</v>
      </c>
    </row>
    <row r="375" spans="1:10">
      <c r="A375" s="15">
        <v>40785</v>
      </c>
      <c r="B375" s="11">
        <v>1.3685</v>
      </c>
      <c r="C375" s="11">
        <f t="shared" si="35"/>
        <v>4.8000000000001375E-3</v>
      </c>
      <c r="D375" s="12">
        <f t="shared" si="36"/>
        <v>2.3040000000001321E-5</v>
      </c>
      <c r="E375" s="12">
        <f t="shared" si="37"/>
        <v>1.0000000000002238E-6</v>
      </c>
      <c r="F375" s="12">
        <f t="shared" si="38"/>
        <v>4.3720198913289921E-5</v>
      </c>
      <c r="G375" s="12">
        <f t="shared" si="39"/>
        <v>3.8364178627294052</v>
      </c>
      <c r="I375" s="12">
        <f t="shared" si="40"/>
        <v>6.6121251434988672E-3</v>
      </c>
      <c r="J375" s="12">
        <f t="shared" si="41"/>
        <v>7.4054730214398717E-3</v>
      </c>
    </row>
    <row r="376" spans="1:10">
      <c r="A376" s="15">
        <v>40786</v>
      </c>
      <c r="B376" s="11">
        <v>1.3704000000000001</v>
      </c>
      <c r="C376" s="11">
        <f t="shared" si="35"/>
        <v>1.9000000000000128E-3</v>
      </c>
      <c r="D376" s="12">
        <f t="shared" si="36"/>
        <v>3.6100000000000484E-6</v>
      </c>
      <c r="E376" s="12">
        <f t="shared" si="37"/>
        <v>2.3040000000001321E-5</v>
      </c>
      <c r="F376" s="12">
        <f t="shared" si="38"/>
        <v>4.2824184513253914E-5</v>
      </c>
      <c r="G376" s="12">
        <f t="shared" si="39"/>
        <v>4.0681161570387614</v>
      </c>
      <c r="I376" s="12">
        <f t="shared" si="40"/>
        <v>6.5440189878433206E-3</v>
      </c>
      <c r="J376" s="12">
        <f t="shared" si="41"/>
        <v>7.4054730214398717E-3</v>
      </c>
    </row>
    <row r="377" spans="1:10">
      <c r="A377" s="15">
        <v>40787</v>
      </c>
      <c r="B377" s="11">
        <v>1.3778999999999999</v>
      </c>
      <c r="C377" s="11">
        <f t="shared" si="35"/>
        <v>7.4999999999998401E-3</v>
      </c>
      <c r="D377" s="12">
        <f t="shared" si="36"/>
        <v>5.62499999999976E-5</v>
      </c>
      <c r="E377" s="12">
        <f t="shared" si="37"/>
        <v>3.6100000000000484E-6</v>
      </c>
      <c r="F377" s="12">
        <f t="shared" si="38"/>
        <v>4.0451482717265516E-5</v>
      </c>
      <c r="G377" s="12">
        <f t="shared" si="39"/>
        <v>3.4434877319588861</v>
      </c>
      <c r="I377" s="12">
        <f t="shared" si="40"/>
        <v>6.3601480106413814E-3</v>
      </c>
      <c r="J377" s="12">
        <f t="shared" si="41"/>
        <v>7.4054730214398717E-3</v>
      </c>
    </row>
    <row r="378" spans="1:10">
      <c r="A378" s="15">
        <v>40788</v>
      </c>
      <c r="B378" s="11">
        <v>1.3841000000000001</v>
      </c>
      <c r="C378" s="11">
        <f t="shared" si="35"/>
        <v>6.2000000000002053E-3</v>
      </c>
      <c r="D378" s="12">
        <f t="shared" si="36"/>
        <v>3.8440000000002546E-5</v>
      </c>
      <c r="E378" s="12">
        <f t="shared" si="37"/>
        <v>5.62499999999976E-5</v>
      </c>
      <c r="F378" s="12">
        <f t="shared" si="38"/>
        <v>4.2751604252361469E-5</v>
      </c>
      <c r="G378" s="12">
        <f t="shared" si="39"/>
        <v>3.6615396054635045</v>
      </c>
      <c r="I378" s="12">
        <f t="shared" si="40"/>
        <v>6.5384710944043694E-3</v>
      </c>
      <c r="J378" s="12">
        <f t="shared" si="41"/>
        <v>7.4054730214398717E-3</v>
      </c>
    </row>
    <row r="379" spans="1:10">
      <c r="A379" s="15">
        <v>40791</v>
      </c>
      <c r="B379" s="11">
        <v>1.3915</v>
      </c>
      <c r="C379" s="11">
        <f t="shared" si="35"/>
        <v>7.3999999999998511E-3</v>
      </c>
      <c r="D379" s="12">
        <f t="shared" si="36"/>
        <v>5.4759999999997795E-5</v>
      </c>
      <c r="E379" s="12">
        <f t="shared" si="37"/>
        <v>3.8440000000002546E-5</v>
      </c>
      <c r="F379" s="12">
        <f t="shared" si="38"/>
        <v>4.3261070449449461E-5</v>
      </c>
      <c r="G379" s="12">
        <f t="shared" si="39"/>
        <v>3.4722885723045085</v>
      </c>
      <c r="I379" s="12">
        <f t="shared" si="40"/>
        <v>6.5773148358163197E-3</v>
      </c>
      <c r="J379" s="12">
        <f t="shared" si="41"/>
        <v>7.4054730214398717E-3</v>
      </c>
    </row>
    <row r="380" spans="1:10">
      <c r="A380" s="15">
        <v>40792</v>
      </c>
      <c r="B380" s="11">
        <v>1.3918999999999999</v>
      </c>
      <c r="C380" s="11">
        <f t="shared" si="35"/>
        <v>3.9999999999995595E-4</v>
      </c>
      <c r="D380" s="12">
        <f t="shared" si="36"/>
        <v>1.5999999999996475E-7</v>
      </c>
      <c r="E380" s="12">
        <f t="shared" si="37"/>
        <v>5.4759999999997795E-5</v>
      </c>
      <c r="F380" s="12">
        <f t="shared" si="38"/>
        <v>4.5044908023473372E-5</v>
      </c>
      <c r="G380" s="12">
        <f t="shared" si="39"/>
        <v>4.0832107588784652</v>
      </c>
      <c r="I380" s="12">
        <f t="shared" si="40"/>
        <v>6.7115503442552954E-3</v>
      </c>
      <c r="J380" s="12">
        <f t="shared" si="41"/>
        <v>7.4054730214398717E-3</v>
      </c>
    </row>
    <row r="381" spans="1:10">
      <c r="A381" s="15">
        <v>40793</v>
      </c>
      <c r="B381" s="11">
        <v>1.3886000000000001</v>
      </c>
      <c r="C381" s="11">
        <f t="shared" si="35"/>
        <v>-3.2999999999998586E-3</v>
      </c>
      <c r="D381" s="12">
        <f t="shared" si="36"/>
        <v>1.0889999999999067E-5</v>
      </c>
      <c r="E381" s="12">
        <f t="shared" si="37"/>
        <v>1.5999999999996475E-7</v>
      </c>
      <c r="F381" s="12">
        <f t="shared" si="38"/>
        <v>4.2076762674694749E-5</v>
      </c>
      <c r="G381" s="12">
        <f t="shared" si="39"/>
        <v>3.9896625785700999</v>
      </c>
      <c r="I381" s="12">
        <f t="shared" si="40"/>
        <v>6.4866603637538127E-3</v>
      </c>
      <c r="J381" s="12">
        <f t="shared" si="41"/>
        <v>7.4054730214398717E-3</v>
      </c>
    </row>
    <row r="382" spans="1:10">
      <c r="A382" s="15">
        <v>40794</v>
      </c>
      <c r="B382" s="11">
        <v>1.4078999999999999</v>
      </c>
      <c r="C382" s="11">
        <f t="shared" si="35"/>
        <v>1.9299999999999873E-2</v>
      </c>
      <c r="D382" s="12">
        <f t="shared" si="36"/>
        <v>3.7248999999999507E-4</v>
      </c>
      <c r="E382" s="12">
        <f t="shared" si="37"/>
        <v>1.0889999999999067E-5</v>
      </c>
      <c r="F382" s="12">
        <f t="shared" si="38"/>
        <v>4.0409013790662621E-5</v>
      </c>
      <c r="G382" s="12">
        <f t="shared" si="39"/>
        <v>-0.46970612101604303</v>
      </c>
      <c r="I382" s="12">
        <f t="shared" si="40"/>
        <v>6.3568084594914937E-3</v>
      </c>
      <c r="J382" s="12">
        <f t="shared" si="41"/>
        <v>7.4054730214398717E-3</v>
      </c>
    </row>
    <row r="383" spans="1:10">
      <c r="A383" s="15">
        <v>40795</v>
      </c>
      <c r="B383" s="11">
        <v>1.4202999999999999</v>
      </c>
      <c r="C383" s="11">
        <f t="shared" si="35"/>
        <v>1.2399999999999967E-2</v>
      </c>
      <c r="D383" s="12">
        <f t="shared" si="36"/>
        <v>1.5375999999999918E-4</v>
      </c>
      <c r="E383" s="12">
        <f t="shared" si="37"/>
        <v>3.7248999999999507E-4</v>
      </c>
      <c r="F383" s="12">
        <f t="shared" si="38"/>
        <v>6.8791532554258951E-5</v>
      </c>
      <c r="G383" s="12">
        <f t="shared" si="39"/>
        <v>2.7556970016837701</v>
      </c>
      <c r="I383" s="12">
        <f t="shared" si="40"/>
        <v>8.2940661050089869E-3</v>
      </c>
      <c r="J383" s="12">
        <f t="shared" si="41"/>
        <v>7.4054730214398717E-3</v>
      </c>
    </row>
    <row r="384" spans="1:10">
      <c r="A384" s="15">
        <v>40798</v>
      </c>
      <c r="B384" s="11">
        <v>1.4188000000000001</v>
      </c>
      <c r="C384" s="11">
        <f t="shared" si="35"/>
        <v>-1.4999999999998348E-3</v>
      </c>
      <c r="D384" s="12">
        <f t="shared" si="36"/>
        <v>2.2499999999995045E-6</v>
      </c>
      <c r="E384" s="12">
        <f t="shared" si="37"/>
        <v>1.5375999999999918E-4</v>
      </c>
      <c r="F384" s="12">
        <f t="shared" si="38"/>
        <v>7.516370318166349E-5</v>
      </c>
      <c r="G384" s="12">
        <f t="shared" si="39"/>
        <v>3.8140151857315905</v>
      </c>
      <c r="I384" s="12">
        <f t="shared" si="40"/>
        <v>8.6697002936470344E-3</v>
      </c>
      <c r="J384" s="12">
        <f t="shared" si="41"/>
        <v>7.4054730214398717E-3</v>
      </c>
    </row>
    <row r="385" spans="1:10">
      <c r="A385" s="15">
        <v>40799</v>
      </c>
      <c r="B385" s="11">
        <v>1.4228000000000001</v>
      </c>
      <c r="C385" s="11">
        <f t="shared" si="35"/>
        <v>4.0000000000000036E-3</v>
      </c>
      <c r="D385" s="12">
        <f t="shared" si="36"/>
        <v>1.600000000000003E-5</v>
      </c>
      <c r="E385" s="12">
        <f t="shared" si="37"/>
        <v>2.2499999999995045E-6</v>
      </c>
      <c r="F385" s="12">
        <f t="shared" si="38"/>
        <v>6.8150410220550823E-5</v>
      </c>
      <c r="G385" s="12">
        <f t="shared" si="39"/>
        <v>3.7605707417859429</v>
      </c>
      <c r="I385" s="12">
        <f t="shared" si="40"/>
        <v>8.2553261728747478E-3</v>
      </c>
      <c r="J385" s="12">
        <f t="shared" si="41"/>
        <v>7.4054730214398717E-3</v>
      </c>
    </row>
    <row r="386" spans="1:10">
      <c r="A386" s="15">
        <v>40800</v>
      </c>
      <c r="B386" s="11">
        <v>1.4177</v>
      </c>
      <c r="C386" s="11">
        <f t="shared" si="35"/>
        <v>-5.1000000000001044E-3</v>
      </c>
      <c r="D386" s="12">
        <f t="shared" si="36"/>
        <v>2.6010000000001064E-5</v>
      </c>
      <c r="E386" s="12">
        <f t="shared" si="37"/>
        <v>1.600000000000003E-5</v>
      </c>
      <c r="F386" s="12">
        <f t="shared" si="38"/>
        <v>6.3252971476831214E-5</v>
      </c>
      <c r="G386" s="12">
        <f t="shared" si="39"/>
        <v>3.7096426961840892</v>
      </c>
      <c r="I386" s="12">
        <f t="shared" si="40"/>
        <v>7.9531736732471273E-3</v>
      </c>
      <c r="J386" s="12">
        <f t="shared" si="41"/>
        <v>7.4054730214398717E-3</v>
      </c>
    </row>
    <row r="387" spans="1:10">
      <c r="A387" s="15">
        <v>40801</v>
      </c>
      <c r="B387" s="11">
        <v>1.4131</v>
      </c>
      <c r="C387" s="11">
        <f t="shared" si="35"/>
        <v>-4.5999999999999375E-3</v>
      </c>
      <c r="D387" s="12">
        <f t="shared" si="36"/>
        <v>2.1159999999999425E-5</v>
      </c>
      <c r="E387" s="12">
        <f t="shared" si="37"/>
        <v>2.6010000000001064E-5</v>
      </c>
      <c r="F387" s="12">
        <f t="shared" si="38"/>
        <v>5.9866715310894676E-5</v>
      </c>
      <c r="G387" s="12">
        <f t="shared" si="39"/>
        <v>3.7660304842107415</v>
      </c>
      <c r="I387" s="12">
        <f t="shared" si="40"/>
        <v>7.7373584194410094E-3</v>
      </c>
      <c r="J387" s="12">
        <f t="shared" si="41"/>
        <v>7.4054730214398717E-3</v>
      </c>
    </row>
    <row r="388" spans="1:10">
      <c r="A388" s="15">
        <v>40802</v>
      </c>
      <c r="B388" s="11">
        <v>1.4140999999999999</v>
      </c>
      <c r="C388" s="11">
        <f t="shared" si="35"/>
        <v>9.9999999999988987E-4</v>
      </c>
      <c r="D388" s="12">
        <f t="shared" si="36"/>
        <v>9.9999999999977973E-7</v>
      </c>
      <c r="E388" s="12">
        <f t="shared" si="37"/>
        <v>2.1159999999999425E-5</v>
      </c>
      <c r="F388" s="12">
        <f t="shared" si="38"/>
        <v>5.6554710654039035E-5</v>
      </c>
      <c r="G388" s="12">
        <f t="shared" si="39"/>
        <v>3.9623714919809192</v>
      </c>
      <c r="I388" s="12">
        <f t="shared" si="40"/>
        <v>7.5202866071738938E-3</v>
      </c>
      <c r="J388" s="12">
        <f t="shared" si="41"/>
        <v>7.4054730214398717E-3</v>
      </c>
    </row>
    <row r="389" spans="1:10">
      <c r="A389" s="15">
        <v>40805</v>
      </c>
      <c r="B389" s="11">
        <v>1.4154</v>
      </c>
      <c r="C389" s="11">
        <f t="shared" si="35"/>
        <v>1.3000000000000789E-3</v>
      </c>
      <c r="D389" s="12">
        <f t="shared" si="36"/>
        <v>1.6900000000002051E-6</v>
      </c>
      <c r="E389" s="12">
        <f t="shared" si="37"/>
        <v>9.9999999999977973E-7</v>
      </c>
      <c r="F389" s="12">
        <f t="shared" si="38"/>
        <v>5.2044131481929638E-5</v>
      </c>
      <c r="G389" s="12">
        <f t="shared" si="39"/>
        <v>3.9965344972853258</v>
      </c>
      <c r="I389" s="12">
        <f t="shared" si="40"/>
        <v>7.2141618696789471E-3</v>
      </c>
      <c r="J389" s="12">
        <f t="shared" si="41"/>
        <v>7.4054730214398717E-3</v>
      </c>
    </row>
    <row r="390" spans="1:10">
      <c r="A390" s="15">
        <v>40806</v>
      </c>
      <c r="B390" s="11">
        <v>1.4164000000000001</v>
      </c>
      <c r="C390" s="11">
        <f t="shared" si="35"/>
        <v>1.0000000000001119E-3</v>
      </c>
      <c r="D390" s="12">
        <f t="shared" si="36"/>
        <v>1.0000000000002238E-6</v>
      </c>
      <c r="E390" s="12">
        <f t="shared" si="37"/>
        <v>1.6900000000002051E-6</v>
      </c>
      <c r="F390" s="12">
        <f t="shared" si="38"/>
        <v>4.8222057021047667E-5</v>
      </c>
      <c r="G390" s="12">
        <f t="shared" si="39"/>
        <v>4.0405397738114148</v>
      </c>
      <c r="I390" s="12">
        <f t="shared" si="40"/>
        <v>6.9442103237911555E-3</v>
      </c>
      <c r="J390" s="12">
        <f t="shared" si="41"/>
        <v>7.4054730214398717E-3</v>
      </c>
    </row>
    <row r="391" spans="1:10">
      <c r="A391" s="15">
        <v>40807</v>
      </c>
      <c r="B391" s="11">
        <v>1.4241999999999999</v>
      </c>
      <c r="C391" s="11">
        <f t="shared" si="35"/>
        <v>7.7999999999998071E-3</v>
      </c>
      <c r="D391" s="12">
        <f t="shared" si="36"/>
        <v>6.0839999999996992E-5</v>
      </c>
      <c r="E391" s="12">
        <f t="shared" si="37"/>
        <v>1.0000000000002238E-6</v>
      </c>
      <c r="F391" s="12">
        <f t="shared" si="38"/>
        <v>4.4878285365840068E-5</v>
      </c>
      <c r="G391" s="12">
        <f t="shared" si="39"/>
        <v>3.4090063274180817</v>
      </c>
      <c r="I391" s="12">
        <f t="shared" si="40"/>
        <v>6.6991257165274981E-3</v>
      </c>
      <c r="J391" s="12">
        <f t="shared" si="41"/>
        <v>7.4054730214398717E-3</v>
      </c>
    </row>
    <row r="392" spans="1:10">
      <c r="A392" s="15">
        <v>40808</v>
      </c>
      <c r="B392" s="11">
        <v>1.4298999999999999</v>
      </c>
      <c r="C392" s="11">
        <f t="shared" si="35"/>
        <v>5.7000000000000384E-3</v>
      </c>
      <c r="D392" s="12">
        <f t="shared" si="36"/>
        <v>3.2490000000000436E-5</v>
      </c>
      <c r="E392" s="12">
        <f t="shared" si="37"/>
        <v>6.0839999999996992E-5</v>
      </c>
      <c r="F392" s="12">
        <f t="shared" si="38"/>
        <v>4.6937010388103221E-5</v>
      </c>
      <c r="G392" s="12">
        <f t="shared" si="39"/>
        <v>3.7183113437007145</v>
      </c>
      <c r="I392" s="12">
        <f t="shared" si="40"/>
        <v>6.8510590705454597E-3</v>
      </c>
      <c r="J392" s="12">
        <f t="shared" si="41"/>
        <v>7.4054730214398717E-3</v>
      </c>
    </row>
    <row r="393" spans="1:10">
      <c r="A393" s="15">
        <v>40809</v>
      </c>
      <c r="B393" s="11">
        <v>1.4302999999999999</v>
      </c>
      <c r="C393" s="11">
        <f t="shared" si="35"/>
        <v>3.9999999999995595E-4</v>
      </c>
      <c r="D393" s="12">
        <f t="shared" si="36"/>
        <v>1.5999999999996475E-7</v>
      </c>
      <c r="E393" s="12">
        <f t="shared" si="37"/>
        <v>3.2490000000000436E-5</v>
      </c>
      <c r="F393" s="12">
        <f t="shared" si="38"/>
        <v>4.6369777352486413E-5</v>
      </c>
      <c r="G393" s="12">
        <f t="shared" si="39"/>
        <v>4.0687675282857398</v>
      </c>
      <c r="I393" s="12">
        <f t="shared" si="40"/>
        <v>6.8095357662976124E-3</v>
      </c>
      <c r="J393" s="12">
        <f t="shared" si="41"/>
        <v>7.4054730214398717E-3</v>
      </c>
    </row>
    <row r="394" spans="1:10">
      <c r="A394" s="15">
        <v>40812</v>
      </c>
      <c r="B394" s="11">
        <v>1.4332</v>
      </c>
      <c r="C394" s="11">
        <f t="shared" si="35"/>
        <v>2.9000000000001247E-3</v>
      </c>
      <c r="D394" s="12">
        <f t="shared" si="36"/>
        <v>8.4100000000007225E-6</v>
      </c>
      <c r="E394" s="12">
        <f t="shared" si="37"/>
        <v>1.5999999999996475E-7</v>
      </c>
      <c r="F394" s="12">
        <f t="shared" si="38"/>
        <v>4.3216112772969044E-5</v>
      </c>
      <c r="G394" s="12">
        <f t="shared" si="39"/>
        <v>4.0084083638058283</v>
      </c>
      <c r="I394" s="12">
        <f t="shared" si="40"/>
        <v>6.5738963159582189E-3</v>
      </c>
      <c r="J394" s="12">
        <f t="shared" si="41"/>
        <v>7.4054730214398717E-3</v>
      </c>
    </row>
    <row r="395" spans="1:10">
      <c r="A395" s="15">
        <v>40813</v>
      </c>
      <c r="B395" s="11">
        <v>1.4248000000000001</v>
      </c>
      <c r="C395" s="11">
        <f t="shared" si="35"/>
        <v>-8.3999999999999631E-3</v>
      </c>
      <c r="D395" s="12">
        <f t="shared" si="36"/>
        <v>7.0559999999999379E-5</v>
      </c>
      <c r="E395" s="12">
        <f t="shared" si="37"/>
        <v>8.4100000000007225E-6</v>
      </c>
      <c r="F395" s="12">
        <f t="shared" si="38"/>
        <v>4.1184327294709839E-5</v>
      </c>
      <c r="G395" s="12">
        <f t="shared" si="39"/>
        <v>3.2731513002945833</v>
      </c>
      <c r="I395" s="12">
        <f t="shared" si="40"/>
        <v>6.4175016396343706E-3</v>
      </c>
      <c r="J395" s="12">
        <f t="shared" si="41"/>
        <v>7.4054730214398717E-3</v>
      </c>
    </row>
    <row r="396" spans="1:10">
      <c r="A396" s="15">
        <v>40814</v>
      </c>
      <c r="B396" s="11">
        <v>1.4315</v>
      </c>
      <c r="C396" s="11">
        <f t="shared" si="35"/>
        <v>6.6999999999999282E-3</v>
      </c>
      <c r="D396" s="12">
        <f t="shared" si="36"/>
        <v>4.4889999999999037E-5</v>
      </c>
      <c r="E396" s="12">
        <f t="shared" si="37"/>
        <v>7.0559999999999379E-5</v>
      </c>
      <c r="F396" s="12">
        <f t="shared" si="38"/>
        <v>4.4561800755984187E-5</v>
      </c>
      <c r="G396" s="12">
        <f t="shared" si="39"/>
        <v>3.5866957172760796</v>
      </c>
      <c r="I396" s="12">
        <f t="shared" si="40"/>
        <v>6.6754625874155113E-3</v>
      </c>
      <c r="J396" s="12">
        <f t="shared" si="41"/>
        <v>7.4054730214398717E-3</v>
      </c>
    </row>
    <row r="397" spans="1:10">
      <c r="A397" s="15">
        <v>40815</v>
      </c>
      <c r="B397" s="11">
        <v>1.4273</v>
      </c>
      <c r="C397" s="11">
        <f t="shared" si="35"/>
        <v>-4.1999999999999815E-3</v>
      </c>
      <c r="D397" s="12">
        <f t="shared" si="36"/>
        <v>1.7639999999999845E-5</v>
      </c>
      <c r="E397" s="12">
        <f t="shared" si="37"/>
        <v>4.4889999999999037E-5</v>
      </c>
      <c r="F397" s="12">
        <f t="shared" si="38"/>
        <v>4.5349640894196114E-5</v>
      </c>
      <c r="G397" s="12">
        <f t="shared" si="39"/>
        <v>3.8871267484905037</v>
      </c>
      <c r="I397" s="12">
        <f t="shared" si="40"/>
        <v>6.7342142002015434E-3</v>
      </c>
      <c r="J397" s="12">
        <f t="shared" si="41"/>
        <v>7.4054730214398717E-3</v>
      </c>
    </row>
    <row r="398" spans="1:10">
      <c r="A398" s="15">
        <v>40816</v>
      </c>
      <c r="B398" s="11">
        <v>1.4387000000000001</v>
      </c>
      <c r="C398" s="11">
        <f t="shared" ref="C398:C461" si="42">B398-B397</f>
        <v>1.1400000000000077E-2</v>
      </c>
      <c r="D398" s="12">
        <f t="shared" ref="D398:D461" si="43">C398^2</f>
        <v>1.2996000000000174E-4</v>
      </c>
      <c r="E398" s="12">
        <f t="shared" si="37"/>
        <v>1.7639999999999845E-5</v>
      </c>
      <c r="F398" s="12">
        <f t="shared" si="38"/>
        <v>4.3780186419010726E-5</v>
      </c>
      <c r="G398" s="12">
        <f t="shared" si="39"/>
        <v>2.6149930045855996</v>
      </c>
      <c r="I398" s="12">
        <f t="shared" si="40"/>
        <v>6.6166597629778974E-3</v>
      </c>
      <c r="J398" s="12">
        <f t="shared" si="41"/>
        <v>7.4054730214398717E-3</v>
      </c>
    </row>
    <row r="399" spans="1:10">
      <c r="A399" s="15">
        <v>40819</v>
      </c>
      <c r="B399" s="11">
        <v>1.4543999999999999</v>
      </c>
      <c r="C399" s="11">
        <f t="shared" si="42"/>
        <v>1.5699999999999825E-2</v>
      </c>
      <c r="D399" s="12">
        <f t="shared" si="43"/>
        <v>2.464899999999945E-4</v>
      </c>
      <c r="E399" s="12">
        <f t="shared" ref="E399:E462" si="44">D398</f>
        <v>1.2996000000000174E-4</v>
      </c>
      <c r="F399" s="12">
        <f t="shared" ref="F399:F462" si="45">$B$5+$B$6*E399+$B$7*F398</f>
        <v>5.1692158592633525E-5</v>
      </c>
      <c r="G399" s="12">
        <f t="shared" ref="G399:G462" si="46">LN((1/SQRT(2*3.1415927*F399))*EXP(-0.5*D399/F399))</f>
        <v>1.6319529430562645</v>
      </c>
      <c r="I399" s="12">
        <f t="shared" ref="I399:I462" si="47">SQRT(F399)</f>
        <v>7.1897259052507365E-3</v>
      </c>
      <c r="J399" s="12">
        <f t="shared" si="41"/>
        <v>7.4054730214398717E-3</v>
      </c>
    </row>
    <row r="400" spans="1:10">
      <c r="A400" s="15">
        <v>40820</v>
      </c>
      <c r="B400" s="11">
        <v>1.4458</v>
      </c>
      <c r="C400" s="11">
        <f t="shared" si="42"/>
        <v>-8.599999999999941E-3</v>
      </c>
      <c r="D400" s="12">
        <f t="shared" si="43"/>
        <v>7.3959999999998987E-5</v>
      </c>
      <c r="E400" s="12">
        <f t="shared" si="44"/>
        <v>2.464899999999945E-4</v>
      </c>
      <c r="F400" s="12">
        <f t="shared" si="45"/>
        <v>6.8105036419707784E-5</v>
      </c>
      <c r="G400" s="12">
        <f t="shared" si="46"/>
        <v>3.3353063488858505</v>
      </c>
      <c r="I400" s="12">
        <f t="shared" si="47"/>
        <v>8.2525775621746077E-3</v>
      </c>
      <c r="J400" s="12">
        <f t="shared" ref="J400:J463" si="48">J399</f>
        <v>7.4054730214398717E-3</v>
      </c>
    </row>
    <row r="401" spans="1:10">
      <c r="A401" s="15">
        <v>40821</v>
      </c>
      <c r="B401" s="11">
        <v>1.4440999999999999</v>
      </c>
      <c r="C401" s="11">
        <f t="shared" si="42"/>
        <v>-1.7000000000000348E-3</v>
      </c>
      <c r="D401" s="12">
        <f t="shared" si="43"/>
        <v>2.8900000000001184E-6</v>
      </c>
      <c r="E401" s="12">
        <f t="shared" si="44"/>
        <v>7.3959999999998987E-5</v>
      </c>
      <c r="F401" s="12">
        <f t="shared" si="45"/>
        <v>6.7993204593862113E-5</v>
      </c>
      <c r="G401" s="12">
        <f t="shared" si="46"/>
        <v>3.8578607307447359</v>
      </c>
      <c r="I401" s="12">
        <f t="shared" si="47"/>
        <v>8.2457992089222075E-3</v>
      </c>
      <c r="J401" s="12">
        <f t="shared" si="48"/>
        <v>7.4054730214398717E-3</v>
      </c>
    </row>
    <row r="402" spans="1:10">
      <c r="A402" s="15">
        <v>40822</v>
      </c>
      <c r="B402" s="11">
        <v>1.4367000000000001</v>
      </c>
      <c r="C402" s="11">
        <f t="shared" si="42"/>
        <v>-7.3999999999998511E-3</v>
      </c>
      <c r="D402" s="12">
        <f t="shared" si="43"/>
        <v>5.4759999999997795E-5</v>
      </c>
      <c r="E402" s="12">
        <f t="shared" si="44"/>
        <v>2.8900000000001184E-6</v>
      </c>
      <c r="F402" s="12">
        <f t="shared" si="45"/>
        <v>6.2036757510559556E-5</v>
      </c>
      <c r="G402" s="12">
        <f t="shared" si="46"/>
        <v>3.4836019597969501</v>
      </c>
      <c r="I402" s="12">
        <f t="shared" si="47"/>
        <v>7.8763416324179047E-3</v>
      </c>
      <c r="J402" s="12">
        <f t="shared" si="48"/>
        <v>7.4054730214398717E-3</v>
      </c>
    </row>
    <row r="403" spans="1:10">
      <c r="A403" s="15">
        <v>40823</v>
      </c>
      <c r="B403" s="11">
        <v>1.4472</v>
      </c>
      <c r="C403" s="11">
        <f t="shared" si="42"/>
        <v>1.0499999999999954E-2</v>
      </c>
      <c r="D403" s="12">
        <f t="shared" si="43"/>
        <v>1.1024999999999903E-4</v>
      </c>
      <c r="E403" s="12">
        <f t="shared" si="44"/>
        <v>5.4759999999997795E-5</v>
      </c>
      <c r="F403" s="12">
        <f t="shared" si="45"/>
        <v>6.1191467106533375E-5</v>
      </c>
      <c r="G403" s="12">
        <f t="shared" si="46"/>
        <v>3.0309519637972566</v>
      </c>
      <c r="I403" s="12">
        <f t="shared" si="47"/>
        <v>7.8224974980202686E-3</v>
      </c>
      <c r="J403" s="12">
        <f t="shared" si="48"/>
        <v>7.4054730214398717E-3</v>
      </c>
    </row>
    <row r="404" spans="1:10">
      <c r="A404" s="15">
        <v>40826</v>
      </c>
      <c r="B404" s="11">
        <v>1.4258999999999999</v>
      </c>
      <c r="C404" s="11">
        <f t="shared" si="42"/>
        <v>-2.1300000000000097E-2</v>
      </c>
      <c r="D404" s="12">
        <f t="shared" si="43"/>
        <v>4.5369000000000409E-4</v>
      </c>
      <c r="E404" s="12">
        <f t="shared" si="44"/>
        <v>1.1024999999999903E-4</v>
      </c>
      <c r="F404" s="12">
        <f t="shared" si="45"/>
        <v>6.5040123868662845E-5</v>
      </c>
      <c r="G404" s="12">
        <f t="shared" si="46"/>
        <v>0.41354444321200795</v>
      </c>
      <c r="I404" s="12">
        <f t="shared" si="47"/>
        <v>8.0647457411044798E-3</v>
      </c>
      <c r="J404" s="12">
        <f t="shared" si="48"/>
        <v>7.4054730214398717E-3</v>
      </c>
    </row>
    <row r="405" spans="1:10">
      <c r="A405" s="15">
        <v>40827</v>
      </c>
      <c r="B405" s="11">
        <v>1.4253</v>
      </c>
      <c r="C405" s="11">
        <f t="shared" si="42"/>
        <v>-5.9999999999993392E-4</v>
      </c>
      <c r="D405" s="12">
        <f t="shared" si="43"/>
        <v>3.5999999999992069E-7</v>
      </c>
      <c r="E405" s="12">
        <f t="shared" si="44"/>
        <v>4.5369000000000409E-4</v>
      </c>
      <c r="F405" s="12">
        <f t="shared" si="45"/>
        <v>9.6669161843825646E-5</v>
      </c>
      <c r="G405" s="12">
        <f t="shared" si="46"/>
        <v>3.7013074944099538</v>
      </c>
      <c r="I405" s="12">
        <f t="shared" si="47"/>
        <v>9.8320476933254162E-3</v>
      </c>
      <c r="J405" s="12">
        <f t="shared" si="48"/>
        <v>7.4054730214398717E-3</v>
      </c>
    </row>
    <row r="406" spans="1:10">
      <c r="A406" s="15">
        <v>40828</v>
      </c>
      <c r="B406" s="11">
        <v>1.4188000000000001</v>
      </c>
      <c r="C406" s="11">
        <f t="shared" si="42"/>
        <v>-6.4999999999999503E-3</v>
      </c>
      <c r="D406" s="12">
        <f t="shared" si="43"/>
        <v>4.2249999999999353E-5</v>
      </c>
      <c r="E406" s="12">
        <f t="shared" si="44"/>
        <v>3.5999999999992069E-7</v>
      </c>
      <c r="F406" s="12">
        <f t="shared" si="45"/>
        <v>8.6488650348039828E-5</v>
      </c>
      <c r="G406" s="12">
        <f t="shared" si="46"/>
        <v>3.514558439243034</v>
      </c>
      <c r="I406" s="12">
        <f t="shared" si="47"/>
        <v>9.299927437783578E-3</v>
      </c>
      <c r="J406" s="12">
        <f t="shared" si="48"/>
        <v>7.4054730214398717E-3</v>
      </c>
    </row>
    <row r="407" spans="1:10">
      <c r="A407" s="15">
        <v>40829</v>
      </c>
      <c r="B407" s="11">
        <v>1.4204000000000001</v>
      </c>
      <c r="C407" s="11">
        <f t="shared" si="42"/>
        <v>1.6000000000000458E-3</v>
      </c>
      <c r="D407" s="12">
        <f t="shared" si="43"/>
        <v>2.5600000000001466E-6</v>
      </c>
      <c r="E407" s="12">
        <f t="shared" si="44"/>
        <v>4.2249999999999353E-5</v>
      </c>
      <c r="F407" s="12">
        <f t="shared" si="45"/>
        <v>8.1187855480316314E-5</v>
      </c>
      <c r="G407" s="12">
        <f t="shared" si="46"/>
        <v>3.7746679971303725</v>
      </c>
      <c r="I407" s="12">
        <f t="shared" si="47"/>
        <v>9.0104303715369954E-3</v>
      </c>
      <c r="J407" s="12">
        <f t="shared" si="48"/>
        <v>7.4054730214398717E-3</v>
      </c>
    </row>
    <row r="408" spans="1:10">
      <c r="A408" s="15">
        <v>40830</v>
      </c>
      <c r="B408" s="11">
        <v>1.4192</v>
      </c>
      <c r="C408" s="11">
        <f t="shared" si="42"/>
        <v>-1.2000000000000899E-3</v>
      </c>
      <c r="D408" s="12">
        <f t="shared" si="43"/>
        <v>1.4400000000002158E-6</v>
      </c>
      <c r="E408" s="12">
        <f t="shared" si="44"/>
        <v>2.5600000000001466E-6</v>
      </c>
      <c r="F408" s="12">
        <f t="shared" si="45"/>
        <v>7.3356572487283362E-5</v>
      </c>
      <c r="G408" s="12">
        <f t="shared" si="46"/>
        <v>3.8313356144266537</v>
      </c>
      <c r="I408" s="12">
        <f t="shared" si="47"/>
        <v>8.5648451525572461E-3</v>
      </c>
      <c r="J408" s="12">
        <f t="shared" si="48"/>
        <v>7.4054730214398717E-3</v>
      </c>
    </row>
    <row r="409" spans="1:10">
      <c r="A409" s="15">
        <v>40833</v>
      </c>
      <c r="B409" s="11">
        <v>1.4260999999999999</v>
      </c>
      <c r="C409" s="11">
        <f t="shared" si="42"/>
        <v>6.8999999999999062E-3</v>
      </c>
      <c r="D409" s="12">
        <f t="shared" si="43"/>
        <v>4.7609999999998706E-5</v>
      </c>
      <c r="E409" s="12">
        <f t="shared" si="44"/>
        <v>1.4400000000002158E-6</v>
      </c>
      <c r="F409" s="12">
        <f t="shared" si="45"/>
        <v>6.6529538200299973E-5</v>
      </c>
      <c r="G409" s="12">
        <f t="shared" si="46"/>
        <v>3.5321827310518601</v>
      </c>
      <c r="I409" s="12">
        <f t="shared" si="47"/>
        <v>8.1565641173413188E-3</v>
      </c>
      <c r="J409" s="12">
        <f t="shared" si="48"/>
        <v>7.4054730214398717E-3</v>
      </c>
    </row>
    <row r="410" spans="1:10">
      <c r="A410" s="15">
        <v>40834</v>
      </c>
      <c r="B410" s="11">
        <v>1.4219999999999999</v>
      </c>
      <c r="C410" s="11">
        <f t="shared" si="42"/>
        <v>-4.0999999999999925E-3</v>
      </c>
      <c r="D410" s="12">
        <f t="shared" si="43"/>
        <v>1.6809999999999939E-5</v>
      </c>
      <c r="E410" s="12">
        <f t="shared" si="44"/>
        <v>4.7609999999998706E-5</v>
      </c>
      <c r="F410" s="12">
        <f t="shared" si="45"/>
        <v>6.4465558076448308E-5</v>
      </c>
      <c r="G410" s="12">
        <f t="shared" si="46"/>
        <v>3.7753714913533138</v>
      </c>
      <c r="I410" s="12">
        <f t="shared" si="47"/>
        <v>8.0290446552780063E-3</v>
      </c>
      <c r="J410" s="12">
        <f t="shared" si="48"/>
        <v>7.4054730214398717E-3</v>
      </c>
    </row>
    <row r="411" spans="1:10">
      <c r="A411" s="15">
        <v>40835</v>
      </c>
      <c r="B411" s="11">
        <v>1.4124000000000001</v>
      </c>
      <c r="C411" s="11">
        <f t="shared" si="42"/>
        <v>-9.5999999999998309E-3</v>
      </c>
      <c r="D411" s="12">
        <f t="shared" si="43"/>
        <v>9.2159999999996759E-5</v>
      </c>
      <c r="E411" s="12">
        <f t="shared" si="44"/>
        <v>1.6809999999999939E-5</v>
      </c>
      <c r="F411" s="12">
        <f t="shared" si="45"/>
        <v>6.01508938070872E-5</v>
      </c>
      <c r="G411" s="12">
        <f t="shared" si="46"/>
        <v>3.174315182959869</v>
      </c>
      <c r="I411" s="12">
        <f t="shared" si="47"/>
        <v>7.7557007295980165E-3</v>
      </c>
      <c r="J411" s="12">
        <f t="shared" si="48"/>
        <v>7.4054730214398717E-3</v>
      </c>
    </row>
    <row r="412" spans="1:10">
      <c r="A412" s="15">
        <v>40836</v>
      </c>
      <c r="B412" s="11">
        <v>1.421</v>
      </c>
      <c r="C412" s="11">
        <f t="shared" si="42"/>
        <v>8.599999999999941E-3</v>
      </c>
      <c r="D412" s="12">
        <f t="shared" si="43"/>
        <v>7.3959999999998987E-5</v>
      </c>
      <c r="E412" s="12">
        <f t="shared" si="44"/>
        <v>9.2159999999996759E-5</v>
      </c>
      <c r="F412" s="12">
        <f t="shared" si="45"/>
        <v>6.2653598947363546E-5</v>
      </c>
      <c r="G412" s="12">
        <f t="shared" si="46"/>
        <v>3.3297767138855123</v>
      </c>
      <c r="I412" s="12">
        <f t="shared" si="47"/>
        <v>7.9154026396238072E-3</v>
      </c>
      <c r="J412" s="12">
        <f t="shared" si="48"/>
        <v>7.4054730214398717E-3</v>
      </c>
    </row>
    <row r="413" spans="1:10">
      <c r="A413" s="15">
        <v>40837</v>
      </c>
      <c r="B413" s="11">
        <v>1.4029</v>
      </c>
      <c r="C413" s="11">
        <f t="shared" si="42"/>
        <v>-1.8100000000000005E-2</v>
      </c>
      <c r="D413" s="12">
        <f t="shared" si="43"/>
        <v>3.2761000000000021E-4</v>
      </c>
      <c r="E413" s="12">
        <f t="shared" si="44"/>
        <v>7.3959999999998987E-5</v>
      </c>
      <c r="F413" s="12">
        <f t="shared" si="45"/>
        <v>6.3305122770367499E-5</v>
      </c>
      <c r="G413" s="12">
        <f t="shared" si="46"/>
        <v>1.3272863033440798</v>
      </c>
      <c r="I413" s="12">
        <f t="shared" si="47"/>
        <v>7.9564516444434897E-3</v>
      </c>
      <c r="J413" s="12">
        <f t="shared" si="48"/>
        <v>7.4054730214398717E-3</v>
      </c>
    </row>
    <row r="414" spans="1:10">
      <c r="A414" s="15">
        <v>40840</v>
      </c>
      <c r="B414" s="11">
        <v>1.4019999999999999</v>
      </c>
      <c r="C414" s="11">
        <f t="shared" si="42"/>
        <v>-9.0000000000012292E-4</v>
      </c>
      <c r="D414" s="12">
        <f t="shared" si="43"/>
        <v>8.1000000000022126E-7</v>
      </c>
      <c r="E414" s="12">
        <f t="shared" si="44"/>
        <v>3.2761000000000021E-4</v>
      </c>
      <c r="F414" s="12">
        <f t="shared" si="45"/>
        <v>8.4780832329037437E-5</v>
      </c>
      <c r="G414" s="12">
        <f t="shared" si="46"/>
        <v>3.7640049735295258</v>
      </c>
      <c r="I414" s="12">
        <f t="shared" si="47"/>
        <v>9.2076507497318473E-3</v>
      </c>
      <c r="J414" s="12">
        <f t="shared" si="48"/>
        <v>7.4054730214398717E-3</v>
      </c>
    </row>
    <row r="415" spans="1:10">
      <c r="A415" s="15">
        <v>40841</v>
      </c>
      <c r="B415" s="11">
        <v>1.4083000000000001</v>
      </c>
      <c r="C415" s="11">
        <f t="shared" si="42"/>
        <v>6.3000000000001943E-3</v>
      </c>
      <c r="D415" s="12">
        <f t="shared" si="43"/>
        <v>3.9690000000002447E-5</v>
      </c>
      <c r="E415" s="12">
        <f t="shared" si="44"/>
        <v>8.1000000000022126E-7</v>
      </c>
      <c r="F415" s="12">
        <f t="shared" si="45"/>
        <v>7.63021296859811E-5</v>
      </c>
      <c r="G415" s="12">
        <f t="shared" si="46"/>
        <v>3.561381829798238</v>
      </c>
      <c r="I415" s="12">
        <f t="shared" si="47"/>
        <v>8.7351090254204102E-3</v>
      </c>
      <c r="J415" s="12">
        <f t="shared" si="48"/>
        <v>7.4054730214398717E-3</v>
      </c>
    </row>
    <row r="416" spans="1:10">
      <c r="A416" s="15">
        <v>40842</v>
      </c>
      <c r="B416" s="11">
        <v>1.4056</v>
      </c>
      <c r="C416" s="11">
        <f t="shared" si="42"/>
        <v>-2.7000000000001467E-3</v>
      </c>
      <c r="D416" s="12">
        <f t="shared" si="43"/>
        <v>7.2900000000007925E-6</v>
      </c>
      <c r="E416" s="12">
        <f t="shared" si="44"/>
        <v>3.9690000000002447E-5</v>
      </c>
      <c r="F416" s="12">
        <f t="shared" si="45"/>
        <v>7.2216644293645997E-5</v>
      </c>
      <c r="G416" s="12">
        <f t="shared" si="46"/>
        <v>3.7985083345810313</v>
      </c>
      <c r="I416" s="12">
        <f t="shared" si="47"/>
        <v>8.4980376731128935E-3</v>
      </c>
      <c r="J416" s="12">
        <f t="shared" si="48"/>
        <v>7.4054730214398717E-3</v>
      </c>
    </row>
    <row r="417" spans="1:10">
      <c r="A417" s="15">
        <v>40843</v>
      </c>
      <c r="B417" s="11">
        <v>1.3878999999999999</v>
      </c>
      <c r="C417" s="11">
        <f t="shared" si="42"/>
        <v>-1.7700000000000049E-2</v>
      </c>
      <c r="D417" s="12">
        <f t="shared" si="43"/>
        <v>3.1329000000000171E-4</v>
      </c>
      <c r="E417" s="12">
        <f t="shared" si="44"/>
        <v>7.2900000000007925E-6</v>
      </c>
      <c r="F417" s="12">
        <f t="shared" si="45"/>
        <v>6.6031610290833201E-5</v>
      </c>
      <c r="G417" s="12">
        <f t="shared" si="46"/>
        <v>1.5214770472981636</v>
      </c>
      <c r="I417" s="12">
        <f t="shared" si="47"/>
        <v>8.1259836506624352E-3</v>
      </c>
      <c r="J417" s="12">
        <f t="shared" si="48"/>
        <v>7.4054730214398717E-3</v>
      </c>
    </row>
    <row r="418" spans="1:10">
      <c r="A418" s="15">
        <v>40844</v>
      </c>
      <c r="B418" s="11">
        <v>1.3900999999999999</v>
      </c>
      <c r="C418" s="11">
        <f t="shared" si="42"/>
        <v>2.1999999999999797E-3</v>
      </c>
      <c r="D418" s="12">
        <f t="shared" si="43"/>
        <v>4.8399999999999113E-6</v>
      </c>
      <c r="E418" s="12">
        <f t="shared" si="44"/>
        <v>3.1329000000000171E-4</v>
      </c>
      <c r="F418" s="12">
        <f t="shared" si="45"/>
        <v>8.5944738872038398E-5</v>
      </c>
      <c r="G418" s="12">
        <f t="shared" si="46"/>
        <v>3.7338068509944762</v>
      </c>
      <c r="I418" s="12">
        <f t="shared" si="47"/>
        <v>9.2706385363705342E-3</v>
      </c>
      <c r="J418" s="12">
        <f t="shared" si="48"/>
        <v>7.4054730214398717E-3</v>
      </c>
    </row>
    <row r="419" spans="1:10">
      <c r="A419" s="15">
        <v>40847</v>
      </c>
      <c r="B419" s="11">
        <v>1.4137</v>
      </c>
      <c r="C419" s="11">
        <f t="shared" si="42"/>
        <v>2.3600000000000065E-2</v>
      </c>
      <c r="D419" s="12">
        <f t="shared" si="43"/>
        <v>5.5696000000000304E-4</v>
      </c>
      <c r="E419" s="12">
        <f t="shared" si="44"/>
        <v>4.8399999999999113E-6</v>
      </c>
      <c r="F419" s="12">
        <f t="shared" si="45"/>
        <v>7.7635361226535837E-5</v>
      </c>
      <c r="G419" s="12">
        <f t="shared" si="46"/>
        <v>0.22577999677976568</v>
      </c>
      <c r="I419" s="12">
        <f t="shared" si="47"/>
        <v>8.8110930778499807E-3</v>
      </c>
      <c r="J419" s="12">
        <f t="shared" si="48"/>
        <v>7.4054730214398717E-3</v>
      </c>
    </row>
    <row r="420" spans="1:10">
      <c r="A420" s="15">
        <v>40848</v>
      </c>
      <c r="B420" s="11">
        <v>1.4200999999999999</v>
      </c>
      <c r="C420" s="11">
        <f t="shared" si="42"/>
        <v>6.3999999999999613E-3</v>
      </c>
      <c r="D420" s="12">
        <f t="shared" si="43"/>
        <v>4.0959999999999506E-5</v>
      </c>
      <c r="E420" s="12">
        <f t="shared" si="44"/>
        <v>5.5696000000000304E-4</v>
      </c>
      <c r="F420" s="12">
        <f t="shared" si="45"/>
        <v>1.1601612483594708E-4</v>
      </c>
      <c r="G420" s="12">
        <f t="shared" si="46"/>
        <v>3.4354249584779515</v>
      </c>
      <c r="I420" s="12">
        <f t="shared" si="47"/>
        <v>1.0771078164972487E-2</v>
      </c>
      <c r="J420" s="12">
        <f t="shared" si="48"/>
        <v>7.4054730214398717E-3</v>
      </c>
    </row>
    <row r="421" spans="1:10">
      <c r="A421" s="15">
        <v>40849</v>
      </c>
      <c r="B421" s="11">
        <v>1.4311</v>
      </c>
      <c r="C421" s="11">
        <f t="shared" si="42"/>
        <v>1.1000000000000121E-2</v>
      </c>
      <c r="D421" s="12">
        <f t="shared" si="43"/>
        <v>1.2100000000000266E-4</v>
      </c>
      <c r="E421" s="12">
        <f t="shared" si="44"/>
        <v>4.0959999999999506E-5</v>
      </c>
      <c r="F421" s="12">
        <f t="shared" si="45"/>
        <v>1.0647427667980125E-4</v>
      </c>
      <c r="G421" s="12">
        <f t="shared" si="46"/>
        <v>3.0866526674608146</v>
      </c>
      <c r="I421" s="12">
        <f t="shared" si="47"/>
        <v>1.0318637346074395E-2</v>
      </c>
      <c r="J421" s="12">
        <f t="shared" si="48"/>
        <v>7.4054730214398717E-3</v>
      </c>
    </row>
    <row r="422" spans="1:10">
      <c r="A422" s="15">
        <v>40850</v>
      </c>
      <c r="B422" s="11">
        <v>1.4147000000000001</v>
      </c>
      <c r="C422" s="11">
        <f t="shared" si="42"/>
        <v>-1.639999999999997E-2</v>
      </c>
      <c r="D422" s="12">
        <f t="shared" si="43"/>
        <v>2.6895999999999902E-4</v>
      </c>
      <c r="E422" s="12">
        <f t="shared" si="44"/>
        <v>1.2100000000000266E-4</v>
      </c>
      <c r="F422" s="12">
        <f t="shared" si="45"/>
        <v>1.0486847874684906E-4</v>
      </c>
      <c r="G422" s="12">
        <f t="shared" si="46"/>
        <v>2.3800950697559808</v>
      </c>
      <c r="I422" s="12">
        <f t="shared" si="47"/>
        <v>1.0240531175034285E-2</v>
      </c>
      <c r="J422" s="12">
        <f t="shared" si="48"/>
        <v>7.4054730214398717E-3</v>
      </c>
    </row>
    <row r="423" spans="1:10">
      <c r="A423" s="15">
        <v>40851</v>
      </c>
      <c r="B423" s="11">
        <v>1.4305000000000001</v>
      </c>
      <c r="C423" s="11">
        <f t="shared" si="42"/>
        <v>1.5800000000000036E-2</v>
      </c>
      <c r="D423" s="12">
        <f t="shared" si="43"/>
        <v>2.4964000000000117E-4</v>
      </c>
      <c r="E423" s="12">
        <f t="shared" si="44"/>
        <v>2.6895999999999902E-4</v>
      </c>
      <c r="F423" s="12">
        <f t="shared" si="45"/>
        <v>1.1568799208399345E-4</v>
      </c>
      <c r="G423" s="12">
        <f t="shared" si="46"/>
        <v>2.5344317928593663</v>
      </c>
      <c r="I423" s="12">
        <f t="shared" si="47"/>
        <v>1.0755835257384406E-2</v>
      </c>
      <c r="J423" s="12">
        <f t="shared" si="48"/>
        <v>7.4054730214398717E-3</v>
      </c>
    </row>
    <row r="424" spans="1:10">
      <c r="A424" s="15">
        <v>40854</v>
      </c>
      <c r="B424" s="11">
        <v>1.4308000000000001</v>
      </c>
      <c r="C424" s="11">
        <f t="shared" si="42"/>
        <v>2.9999999999996696E-4</v>
      </c>
      <c r="D424" s="12">
        <f t="shared" si="43"/>
        <v>8.9999999999980173E-8</v>
      </c>
      <c r="E424" s="12">
        <f t="shared" si="44"/>
        <v>2.4964000000000117E-4</v>
      </c>
      <c r="F424" s="12">
        <f t="shared" si="45"/>
        <v>1.2339938267603111E-4</v>
      </c>
      <c r="G424" s="12">
        <f t="shared" si="46"/>
        <v>3.5807390144028726</v>
      </c>
      <c r="I424" s="12">
        <f t="shared" si="47"/>
        <v>1.1108527475594194E-2</v>
      </c>
      <c r="J424" s="12">
        <f t="shared" si="48"/>
        <v>7.4054730214398717E-3</v>
      </c>
    </row>
    <row r="425" spans="1:10">
      <c r="A425" s="15">
        <v>40855</v>
      </c>
      <c r="B425" s="11">
        <v>1.4249000000000001</v>
      </c>
      <c r="C425" s="11">
        <f t="shared" si="42"/>
        <v>-5.9000000000000163E-3</v>
      </c>
      <c r="D425" s="12">
        <f t="shared" si="43"/>
        <v>3.481000000000019E-5</v>
      </c>
      <c r="E425" s="12">
        <f t="shared" si="44"/>
        <v>8.9999999999980173E-8</v>
      </c>
      <c r="F425" s="12">
        <f t="shared" si="45"/>
        <v>1.0945361957323062E-4</v>
      </c>
      <c r="G425" s="12">
        <f t="shared" si="46"/>
        <v>3.4820491655335335</v>
      </c>
      <c r="I425" s="12">
        <f t="shared" si="47"/>
        <v>1.0462008390994084E-2</v>
      </c>
      <c r="J425" s="12">
        <f t="shared" si="48"/>
        <v>7.4054730214398717E-3</v>
      </c>
    </row>
    <row r="426" spans="1:10">
      <c r="A426" s="15">
        <v>40856</v>
      </c>
      <c r="B426" s="11">
        <v>1.444</v>
      </c>
      <c r="C426" s="11">
        <f t="shared" si="42"/>
        <v>1.9099999999999895E-2</v>
      </c>
      <c r="D426" s="12">
        <f t="shared" si="43"/>
        <v>3.6480999999999596E-4</v>
      </c>
      <c r="E426" s="12">
        <f t="shared" si="44"/>
        <v>3.481000000000019E-5</v>
      </c>
      <c r="F426" s="12">
        <f t="shared" si="45"/>
        <v>1.0032359263924454E-4</v>
      </c>
      <c r="G426" s="12">
        <f t="shared" si="46"/>
        <v>1.8664497474869546</v>
      </c>
      <c r="I426" s="12">
        <f t="shared" si="47"/>
        <v>1.0016166564072532E-2</v>
      </c>
      <c r="J426" s="12">
        <f t="shared" si="48"/>
        <v>7.4054730214398717E-3</v>
      </c>
    </row>
    <row r="427" spans="1:10">
      <c r="A427" s="15">
        <v>40857</v>
      </c>
      <c r="B427" s="11">
        <v>1.4413</v>
      </c>
      <c r="C427" s="11">
        <f t="shared" si="42"/>
        <v>-2.6999999999999247E-3</v>
      </c>
      <c r="D427" s="12">
        <f t="shared" si="43"/>
        <v>7.2899999999995931E-6</v>
      </c>
      <c r="E427" s="12">
        <f t="shared" si="44"/>
        <v>3.6480999999999596E-4</v>
      </c>
      <c r="F427" s="12">
        <f t="shared" si="45"/>
        <v>1.1968309758553347E-4</v>
      </c>
      <c r="G427" s="12">
        <f t="shared" si="46"/>
        <v>3.5659376120063291</v>
      </c>
      <c r="I427" s="12">
        <f t="shared" si="47"/>
        <v>1.0939977037705951E-2</v>
      </c>
      <c r="J427" s="12">
        <f t="shared" si="48"/>
        <v>7.4054730214398717E-3</v>
      </c>
    </row>
    <row r="428" spans="1:10">
      <c r="A428" s="15">
        <v>40858</v>
      </c>
      <c r="B428" s="11">
        <v>1.4301999999999999</v>
      </c>
      <c r="C428" s="11">
        <f t="shared" si="42"/>
        <v>-1.110000000000011E-2</v>
      </c>
      <c r="D428" s="12">
        <f t="shared" si="43"/>
        <v>1.2321000000000245E-4</v>
      </c>
      <c r="E428" s="12">
        <f t="shared" si="44"/>
        <v>7.2899999999995931E-6</v>
      </c>
      <c r="F428" s="12">
        <f t="shared" si="45"/>
        <v>1.0685141571506427E-4</v>
      </c>
      <c r="G428" s="12">
        <f t="shared" si="46"/>
        <v>3.0765488422697449</v>
      </c>
      <c r="I428" s="12">
        <f t="shared" si="47"/>
        <v>1.0336895845226663E-2</v>
      </c>
      <c r="J428" s="12">
        <f t="shared" si="48"/>
        <v>7.4054730214398717E-3</v>
      </c>
    </row>
    <row r="429" spans="1:10">
      <c r="A429" s="15">
        <v>40861</v>
      </c>
      <c r="B429" s="11">
        <v>1.4398</v>
      </c>
      <c r="C429" s="11">
        <f t="shared" si="42"/>
        <v>9.6000000000000529E-3</v>
      </c>
      <c r="D429" s="12">
        <f t="shared" si="43"/>
        <v>9.2160000000001015E-5</v>
      </c>
      <c r="E429" s="12">
        <f t="shared" si="44"/>
        <v>1.2321000000000245E-4</v>
      </c>
      <c r="F429" s="12">
        <f t="shared" si="45"/>
        <v>1.0537503934332906E-4</v>
      </c>
      <c r="G429" s="12">
        <f t="shared" si="46"/>
        <v>3.2227586331528215</v>
      </c>
      <c r="I429" s="12">
        <f t="shared" si="47"/>
        <v>1.0265234500162626E-2</v>
      </c>
      <c r="J429" s="12">
        <f t="shared" si="48"/>
        <v>7.4054730214398717E-3</v>
      </c>
    </row>
    <row r="430" spans="1:10">
      <c r="A430" s="15">
        <v>40862</v>
      </c>
      <c r="B430" s="11">
        <v>1.4482999999999999</v>
      </c>
      <c r="C430" s="11">
        <f t="shared" si="42"/>
        <v>8.499999999999952E-3</v>
      </c>
      <c r="D430" s="12">
        <f t="shared" si="43"/>
        <v>7.2249999999999181E-5</v>
      </c>
      <c r="E430" s="12">
        <f t="shared" si="44"/>
        <v>9.2160000000001015E-5</v>
      </c>
      <c r="F430" s="12">
        <f t="shared" si="45"/>
        <v>1.0154508321130432E-4</v>
      </c>
      <c r="G430" s="12">
        <f t="shared" si="46"/>
        <v>3.322811988420058</v>
      </c>
      <c r="I430" s="12">
        <f t="shared" si="47"/>
        <v>1.0076958033618296E-2</v>
      </c>
      <c r="J430" s="12">
        <f t="shared" si="48"/>
        <v>7.4054730214398717E-3</v>
      </c>
    </row>
    <row r="431" spans="1:10">
      <c r="A431" s="15">
        <v>40863</v>
      </c>
      <c r="B431" s="11">
        <v>1.4503999999999999</v>
      </c>
      <c r="C431" s="11">
        <f t="shared" si="42"/>
        <v>2.0999999999999908E-3</v>
      </c>
      <c r="D431" s="12">
        <f t="shared" si="43"/>
        <v>4.4099999999999612E-6</v>
      </c>
      <c r="E431" s="12">
        <f t="shared" si="44"/>
        <v>7.2249999999999181E-5</v>
      </c>
      <c r="F431" s="12">
        <f t="shared" si="45"/>
        <v>9.6609694887250263E-5</v>
      </c>
      <c r="G431" s="12">
        <f t="shared" si="46"/>
        <v>3.6806533933898704</v>
      </c>
      <c r="I431" s="12">
        <f t="shared" si="47"/>
        <v>9.8290230891605029E-3</v>
      </c>
      <c r="J431" s="12">
        <f t="shared" si="48"/>
        <v>7.4054730214398717E-3</v>
      </c>
    </row>
    <row r="432" spans="1:10">
      <c r="A432" s="15">
        <v>40864</v>
      </c>
      <c r="B432" s="11">
        <v>1.4495</v>
      </c>
      <c r="C432" s="11">
        <f t="shared" si="42"/>
        <v>-8.9999999999990088E-4</v>
      </c>
      <c r="D432" s="12">
        <f t="shared" si="43"/>
        <v>8.0999999999982157E-7</v>
      </c>
      <c r="E432" s="12">
        <f t="shared" si="44"/>
        <v>4.4099999999999612E-6</v>
      </c>
      <c r="F432" s="12">
        <f t="shared" si="45"/>
        <v>8.6771464484666915E-5</v>
      </c>
      <c r="G432" s="12">
        <f t="shared" si="46"/>
        <v>3.7525103966343698</v>
      </c>
      <c r="I432" s="12">
        <f t="shared" si="47"/>
        <v>9.3151202077411174E-3</v>
      </c>
      <c r="J432" s="12">
        <f t="shared" si="48"/>
        <v>7.4054730214398717E-3</v>
      </c>
    </row>
    <row r="433" spans="1:10">
      <c r="A433" s="15">
        <v>40865</v>
      </c>
      <c r="B433" s="11">
        <v>1.4534</v>
      </c>
      <c r="C433" s="11">
        <f t="shared" si="42"/>
        <v>3.9000000000000146E-3</v>
      </c>
      <c r="D433" s="12">
        <f t="shared" si="43"/>
        <v>1.5210000000000114E-5</v>
      </c>
      <c r="E433" s="12">
        <f t="shared" si="44"/>
        <v>8.0999999999982157E-7</v>
      </c>
      <c r="F433" s="12">
        <f t="shared" si="45"/>
        <v>7.8014016958542496E-5</v>
      </c>
      <c r="G433" s="12">
        <f t="shared" si="46"/>
        <v>3.7128899988704771</v>
      </c>
      <c r="I433" s="12">
        <f t="shared" si="47"/>
        <v>8.8325543846920346E-3</v>
      </c>
      <c r="J433" s="12">
        <f t="shared" si="48"/>
        <v>7.4054730214398717E-3</v>
      </c>
    </row>
    <row r="434" spans="1:10">
      <c r="A434" s="15">
        <v>40868</v>
      </c>
      <c r="B434" s="11">
        <v>1.4505999999999999</v>
      </c>
      <c r="C434" s="11">
        <f t="shared" si="42"/>
        <v>-2.8000000000001357E-3</v>
      </c>
      <c r="D434" s="12">
        <f t="shared" si="43"/>
        <v>7.8400000000007601E-6</v>
      </c>
      <c r="E434" s="12">
        <f t="shared" si="44"/>
        <v>1.5210000000000114E-5</v>
      </c>
      <c r="F434" s="12">
        <f t="shared" si="45"/>
        <v>7.1670252250302768E-5</v>
      </c>
      <c r="G434" s="12">
        <f t="shared" si="46"/>
        <v>3.7980839156329371</v>
      </c>
      <c r="I434" s="12">
        <f t="shared" si="47"/>
        <v>8.4658285034781306E-3</v>
      </c>
      <c r="J434" s="12">
        <f t="shared" si="48"/>
        <v>7.4054730214398717E-3</v>
      </c>
    </row>
    <row r="435" spans="1:10">
      <c r="A435" s="15">
        <v>40869</v>
      </c>
      <c r="B435" s="11">
        <v>1.4505999999999999</v>
      </c>
      <c r="C435" s="11">
        <f t="shared" si="42"/>
        <v>0</v>
      </c>
      <c r="D435" s="12">
        <f t="shared" si="43"/>
        <v>0</v>
      </c>
      <c r="E435" s="12">
        <f t="shared" si="44"/>
        <v>7.8400000000007601E-6</v>
      </c>
      <c r="F435" s="12">
        <f t="shared" si="45"/>
        <v>6.5607080391714347E-5</v>
      </c>
      <c r="G435" s="12">
        <f t="shared" si="46"/>
        <v>3.8969749269279301</v>
      </c>
      <c r="I435" s="12">
        <f t="shared" si="47"/>
        <v>8.0998197752613198E-3</v>
      </c>
      <c r="J435" s="12">
        <f t="shared" si="48"/>
        <v>7.4054730214398717E-3</v>
      </c>
    </row>
    <row r="436" spans="1:10">
      <c r="A436" s="15">
        <v>40870</v>
      </c>
      <c r="B436" s="11">
        <v>1.4686999999999999</v>
      </c>
      <c r="C436" s="11">
        <f t="shared" si="42"/>
        <v>1.8100000000000005E-2</v>
      </c>
      <c r="D436" s="12">
        <f t="shared" si="43"/>
        <v>3.2761000000000021E-4</v>
      </c>
      <c r="E436" s="12">
        <f t="shared" si="44"/>
        <v>0</v>
      </c>
      <c r="F436" s="12">
        <f t="shared" si="45"/>
        <v>5.9746455276894222E-5</v>
      </c>
      <c r="G436" s="12">
        <f t="shared" si="46"/>
        <v>1.2020928786660827</v>
      </c>
      <c r="I436" s="12">
        <f t="shared" si="47"/>
        <v>7.7295831243925578E-3</v>
      </c>
      <c r="J436" s="12">
        <f t="shared" si="48"/>
        <v>7.4054730214398717E-3</v>
      </c>
    </row>
    <row r="437" spans="1:10">
      <c r="A437" s="15">
        <v>40871</v>
      </c>
      <c r="B437" s="11">
        <v>1.4681</v>
      </c>
      <c r="C437" s="11">
        <f t="shared" si="42"/>
        <v>-5.9999999999993392E-4</v>
      </c>
      <c r="D437" s="12">
        <f t="shared" si="43"/>
        <v>3.5999999999992069E-7</v>
      </c>
      <c r="E437" s="12">
        <f t="shared" si="44"/>
        <v>3.2761000000000021E-4</v>
      </c>
      <c r="F437" s="12">
        <f t="shared" si="45"/>
        <v>8.1720479077872097E-5</v>
      </c>
      <c r="G437" s="12">
        <f t="shared" si="46"/>
        <v>3.7849617919503284</v>
      </c>
      <c r="I437" s="12">
        <f t="shared" si="47"/>
        <v>9.0399380018820977E-3</v>
      </c>
      <c r="J437" s="12">
        <f t="shared" si="48"/>
        <v>7.4054730214398717E-3</v>
      </c>
    </row>
    <row r="438" spans="1:10">
      <c r="A438" s="15">
        <v>40872</v>
      </c>
      <c r="B438" s="11">
        <v>1.4755</v>
      </c>
      <c r="C438" s="11">
        <f t="shared" si="42"/>
        <v>7.4000000000000732E-3</v>
      </c>
      <c r="D438" s="12">
        <f t="shared" si="43"/>
        <v>5.4760000000001082E-5</v>
      </c>
      <c r="E438" s="12">
        <f t="shared" si="44"/>
        <v>3.5999999999992069E-7</v>
      </c>
      <c r="F438" s="12">
        <f t="shared" si="45"/>
        <v>7.3633206565407945E-5</v>
      </c>
      <c r="G438" s="12">
        <f t="shared" si="46"/>
        <v>3.4674255854962888</v>
      </c>
      <c r="I438" s="12">
        <f t="shared" si="47"/>
        <v>8.5809793476856674E-3</v>
      </c>
      <c r="J438" s="12">
        <f t="shared" si="48"/>
        <v>7.4054730214398717E-3</v>
      </c>
    </row>
    <row r="439" spans="1:10">
      <c r="A439" s="15">
        <v>40875</v>
      </c>
      <c r="B439" s="11">
        <v>1.4734</v>
      </c>
      <c r="C439" s="11">
        <f t="shared" si="42"/>
        <v>-2.0999999999999908E-3</v>
      </c>
      <c r="D439" s="12">
        <f t="shared" si="43"/>
        <v>4.4099999999999612E-6</v>
      </c>
      <c r="E439" s="12">
        <f t="shared" si="44"/>
        <v>5.4760000000001082E-5</v>
      </c>
      <c r="F439" s="12">
        <f t="shared" si="45"/>
        <v>7.1164084843949966E-5</v>
      </c>
      <c r="G439" s="12">
        <f t="shared" si="46"/>
        <v>3.825337875351333</v>
      </c>
      <c r="I439" s="12">
        <f t="shared" si="47"/>
        <v>8.4358807983487983E-3</v>
      </c>
      <c r="J439" s="12">
        <f t="shared" si="48"/>
        <v>7.4054730214398717E-3</v>
      </c>
    </row>
    <row r="440" spans="1:10">
      <c r="A440" s="15">
        <v>40876</v>
      </c>
      <c r="B440" s="11">
        <v>1.4733000000000001</v>
      </c>
      <c r="C440" s="11">
        <f t="shared" si="42"/>
        <v>-9.9999999999988987E-5</v>
      </c>
      <c r="D440" s="12">
        <f t="shared" si="43"/>
        <v>9.9999999999977966E-9</v>
      </c>
      <c r="E440" s="12">
        <f t="shared" si="44"/>
        <v>4.4099999999999612E-6</v>
      </c>
      <c r="F440" s="12">
        <f t="shared" si="45"/>
        <v>6.4888960551180418E-5</v>
      </c>
      <c r="G440" s="12">
        <f t="shared" si="46"/>
        <v>3.9024009287436141</v>
      </c>
      <c r="I440" s="12">
        <f t="shared" si="47"/>
        <v>8.0553684305052376E-3</v>
      </c>
      <c r="J440" s="12">
        <f t="shared" si="48"/>
        <v>7.4054730214398717E-3</v>
      </c>
    </row>
    <row r="441" spans="1:10">
      <c r="A441" s="15">
        <v>40877</v>
      </c>
      <c r="B441" s="11">
        <v>1.4628000000000001</v>
      </c>
      <c r="C441" s="11">
        <f t="shared" si="42"/>
        <v>-1.0499999999999954E-2</v>
      </c>
      <c r="D441" s="12">
        <f t="shared" si="43"/>
        <v>1.1024999999999903E-4</v>
      </c>
      <c r="E441" s="12">
        <f t="shared" si="44"/>
        <v>9.9999999999977966E-9</v>
      </c>
      <c r="F441" s="12">
        <f t="shared" si="45"/>
        <v>5.9129717131425839E-5</v>
      </c>
      <c r="G441" s="12">
        <f t="shared" si="46"/>
        <v>3.0166775812351605</v>
      </c>
      <c r="I441" s="12">
        <f t="shared" si="47"/>
        <v>7.6895849778402109E-3</v>
      </c>
      <c r="J441" s="12">
        <f t="shared" si="48"/>
        <v>7.4054730214398717E-3</v>
      </c>
    </row>
    <row r="442" spans="1:10">
      <c r="A442" s="15">
        <v>40878</v>
      </c>
      <c r="B442" s="11">
        <v>1.4643999999999999</v>
      </c>
      <c r="C442" s="11">
        <f t="shared" si="42"/>
        <v>1.5999999999998238E-3</v>
      </c>
      <c r="D442" s="12">
        <f t="shared" si="43"/>
        <v>2.5599999999994359E-6</v>
      </c>
      <c r="E442" s="12">
        <f t="shared" si="44"/>
        <v>1.1024999999999903E-4</v>
      </c>
      <c r="F442" s="12">
        <f t="shared" si="45"/>
        <v>6.3267077285641932E-5</v>
      </c>
      <c r="G442" s="12">
        <f t="shared" si="46"/>
        <v>3.8949025028410178</v>
      </c>
      <c r="I442" s="12">
        <f t="shared" si="47"/>
        <v>7.9540604275830044E-3</v>
      </c>
      <c r="J442" s="12">
        <f t="shared" si="48"/>
        <v>7.4054730214398717E-3</v>
      </c>
    </row>
    <row r="443" spans="1:10">
      <c r="A443" s="15">
        <v>40879</v>
      </c>
      <c r="B443" s="11">
        <v>1.4671000000000001</v>
      </c>
      <c r="C443" s="11">
        <f t="shared" si="42"/>
        <v>2.7000000000001467E-3</v>
      </c>
      <c r="D443" s="12">
        <f t="shared" si="43"/>
        <v>7.2900000000007925E-6</v>
      </c>
      <c r="E443" s="12">
        <f t="shared" si="44"/>
        <v>2.5599999999994359E-6</v>
      </c>
      <c r="F443" s="12">
        <f t="shared" si="45"/>
        <v>5.794521081551421E-5</v>
      </c>
      <c r="G443" s="12">
        <f t="shared" si="46"/>
        <v>3.8961635273746262</v>
      </c>
      <c r="I443" s="12">
        <f t="shared" si="47"/>
        <v>7.6121751697865057E-3</v>
      </c>
      <c r="J443" s="12">
        <f t="shared" si="48"/>
        <v>7.4054730214398717E-3</v>
      </c>
    </row>
    <row r="444" spans="1:10">
      <c r="A444" s="15">
        <v>40882</v>
      </c>
      <c r="B444" s="11">
        <v>1.4679</v>
      </c>
      <c r="C444" s="11">
        <f t="shared" si="42"/>
        <v>7.9999999999991189E-4</v>
      </c>
      <c r="D444" s="12">
        <f t="shared" si="43"/>
        <v>6.3999999999985898E-7</v>
      </c>
      <c r="E444" s="12">
        <f t="shared" si="44"/>
        <v>7.2900000000007925E-6</v>
      </c>
      <c r="F444" s="12">
        <f t="shared" si="45"/>
        <v>5.3758581713790496E-5</v>
      </c>
      <c r="G444" s="12">
        <f t="shared" si="46"/>
        <v>3.9906125433724555</v>
      </c>
      <c r="I444" s="12">
        <f t="shared" si="47"/>
        <v>7.3320243939713195E-3</v>
      </c>
      <c r="J444" s="12">
        <f t="shared" si="48"/>
        <v>7.4054730214398717E-3</v>
      </c>
    </row>
    <row r="445" spans="1:10">
      <c r="A445" s="15">
        <v>40883</v>
      </c>
      <c r="B445" s="11">
        <v>1.4692000000000001</v>
      </c>
      <c r="C445" s="11">
        <f t="shared" si="42"/>
        <v>1.3000000000000789E-3</v>
      </c>
      <c r="D445" s="12">
        <f t="shared" si="43"/>
        <v>1.6900000000002051E-6</v>
      </c>
      <c r="E445" s="12">
        <f t="shared" si="44"/>
        <v>6.3999999999985898E-7</v>
      </c>
      <c r="F445" s="12">
        <f t="shared" si="45"/>
        <v>4.9609854985816797E-5</v>
      </c>
      <c r="G445" s="12">
        <f t="shared" si="46"/>
        <v>4.019689080710978</v>
      </c>
      <c r="I445" s="12">
        <f t="shared" si="47"/>
        <v>7.0434263668911028E-3</v>
      </c>
      <c r="J445" s="12">
        <f t="shared" si="48"/>
        <v>7.4054730214398717E-3</v>
      </c>
    </row>
    <row r="446" spans="1:10">
      <c r="A446" s="15">
        <v>40884</v>
      </c>
      <c r="B446" s="11">
        <v>1.4678</v>
      </c>
      <c r="C446" s="11">
        <f t="shared" si="42"/>
        <v>-1.4000000000000679E-3</v>
      </c>
      <c r="D446" s="12">
        <f t="shared" si="43"/>
        <v>1.96000000000019E-6</v>
      </c>
      <c r="E446" s="12">
        <f t="shared" si="44"/>
        <v>1.6900000000002051E-6</v>
      </c>
      <c r="F446" s="12">
        <f t="shared" si="45"/>
        <v>4.612864818114413E-5</v>
      </c>
      <c r="G446" s="12">
        <f t="shared" si="46"/>
        <v>4.0518547099623925</v>
      </c>
      <c r="I446" s="12">
        <f t="shared" si="47"/>
        <v>6.7918074310999227E-3</v>
      </c>
      <c r="J446" s="12">
        <f t="shared" si="48"/>
        <v>7.4054730214398717E-3</v>
      </c>
    </row>
    <row r="447" spans="1:10">
      <c r="A447" s="15">
        <v>40885</v>
      </c>
      <c r="B447" s="11">
        <v>1.47</v>
      </c>
      <c r="C447" s="11">
        <f t="shared" si="42"/>
        <v>2.1999999999999797E-3</v>
      </c>
      <c r="D447" s="12">
        <f t="shared" si="43"/>
        <v>4.8399999999999113E-6</v>
      </c>
      <c r="E447" s="12">
        <f t="shared" si="44"/>
        <v>1.96000000000019E-6</v>
      </c>
      <c r="F447" s="12">
        <f t="shared" si="45"/>
        <v>4.3157172530736754E-5</v>
      </c>
      <c r="G447" s="12">
        <f t="shared" si="46"/>
        <v>4.0503183158587719</v>
      </c>
      <c r="I447" s="12">
        <f t="shared" si="47"/>
        <v>6.5694118862145304E-3</v>
      </c>
      <c r="J447" s="12">
        <f t="shared" si="48"/>
        <v>7.4054730214398717E-3</v>
      </c>
    </row>
    <row r="448" spans="1:10">
      <c r="A448" s="15">
        <v>40886</v>
      </c>
      <c r="B448" s="11">
        <v>1.4744999999999999</v>
      </c>
      <c r="C448" s="11">
        <f t="shared" si="42"/>
        <v>4.4999999999999485E-3</v>
      </c>
      <c r="D448" s="12">
        <f t="shared" si="43"/>
        <v>2.0249999999999537E-5</v>
      </c>
      <c r="E448" s="12">
        <f t="shared" si="44"/>
        <v>4.8399999999999113E-6</v>
      </c>
      <c r="F448" s="12">
        <f t="shared" si="45"/>
        <v>4.0839266058270447E-5</v>
      </c>
      <c r="G448" s="12">
        <f t="shared" si="46"/>
        <v>3.8860715647841433</v>
      </c>
      <c r="I448" s="12">
        <f t="shared" si="47"/>
        <v>6.3905606998345965E-3</v>
      </c>
      <c r="J448" s="12">
        <f t="shared" si="48"/>
        <v>7.4054730214398717E-3</v>
      </c>
    </row>
    <row r="449" spans="1:10">
      <c r="A449" s="15">
        <v>40889</v>
      </c>
      <c r="B449" s="11">
        <v>1.4804999999999999</v>
      </c>
      <c r="C449" s="11">
        <f t="shared" si="42"/>
        <v>6.0000000000000053E-3</v>
      </c>
      <c r="D449" s="12">
        <f t="shared" si="43"/>
        <v>3.6000000000000062E-5</v>
      </c>
      <c r="E449" s="12">
        <f t="shared" si="44"/>
        <v>2.0249999999999537E-5</v>
      </c>
      <c r="F449" s="12">
        <f t="shared" si="45"/>
        <v>4.0116606631376249E-5</v>
      </c>
      <c r="G449" s="12">
        <f t="shared" si="46"/>
        <v>3.6942295604023507</v>
      </c>
      <c r="I449" s="12">
        <f t="shared" si="47"/>
        <v>6.3337671753369851E-3</v>
      </c>
      <c r="J449" s="12">
        <f t="shared" si="48"/>
        <v>7.4054730214398717E-3</v>
      </c>
    </row>
    <row r="450" spans="1:10">
      <c r="A450" s="15">
        <v>40890</v>
      </c>
      <c r="B450" s="11">
        <v>1.494</v>
      </c>
      <c r="C450" s="11">
        <f t="shared" si="42"/>
        <v>1.3500000000000068E-2</v>
      </c>
      <c r="D450" s="12">
        <f t="shared" si="43"/>
        <v>1.8225000000000183E-4</v>
      </c>
      <c r="E450" s="12">
        <f t="shared" si="44"/>
        <v>3.6000000000000062E-5</v>
      </c>
      <c r="F450" s="12">
        <f t="shared" si="45"/>
        <v>4.0793850128388056E-5</v>
      </c>
      <c r="G450" s="12">
        <f t="shared" si="46"/>
        <v>1.9007584827339887</v>
      </c>
      <c r="I450" s="12">
        <f t="shared" si="47"/>
        <v>6.3870063510527413E-3</v>
      </c>
      <c r="J450" s="12">
        <f t="shared" si="48"/>
        <v>7.4054730214398717E-3</v>
      </c>
    </row>
    <row r="451" spans="1:10">
      <c r="A451" s="15">
        <v>40891</v>
      </c>
      <c r="B451" s="11">
        <v>1.4952000000000001</v>
      </c>
      <c r="C451" s="11">
        <f t="shared" si="42"/>
        <v>1.2000000000000899E-3</v>
      </c>
      <c r="D451" s="12">
        <f t="shared" si="43"/>
        <v>1.4400000000002158E-6</v>
      </c>
      <c r="E451" s="12">
        <f t="shared" si="44"/>
        <v>1.8225000000000183E-4</v>
      </c>
      <c r="F451" s="12">
        <f t="shared" si="45"/>
        <v>5.3435711617255342E-5</v>
      </c>
      <c r="G451" s="12">
        <f t="shared" si="46"/>
        <v>3.9861029635815015</v>
      </c>
      <c r="I451" s="12">
        <f t="shared" si="47"/>
        <v>7.3099734347845165E-3</v>
      </c>
      <c r="J451" s="12">
        <f t="shared" si="48"/>
        <v>7.4054730214398717E-3</v>
      </c>
    </row>
    <row r="452" spans="1:10">
      <c r="A452" s="15">
        <v>40892</v>
      </c>
      <c r="B452" s="11">
        <v>1.4922</v>
      </c>
      <c r="C452" s="11">
        <f t="shared" si="42"/>
        <v>-3.0000000000001137E-3</v>
      </c>
      <c r="D452" s="12">
        <f t="shared" si="43"/>
        <v>9.0000000000006829E-6</v>
      </c>
      <c r="E452" s="12">
        <f t="shared" si="44"/>
        <v>1.4400000000002158E-6</v>
      </c>
      <c r="F452" s="12">
        <f t="shared" si="45"/>
        <v>4.9398162076676614E-5</v>
      </c>
      <c r="G452" s="12">
        <f t="shared" si="46"/>
        <v>3.9477636224552959</v>
      </c>
      <c r="I452" s="12">
        <f t="shared" si="47"/>
        <v>7.0283826074479337E-3</v>
      </c>
      <c r="J452" s="12">
        <f t="shared" si="48"/>
        <v>7.4054730214398717E-3</v>
      </c>
    </row>
    <row r="453" spans="1:10">
      <c r="A453" s="15">
        <v>40893</v>
      </c>
      <c r="B453" s="11">
        <v>1.4896</v>
      </c>
      <c r="C453" s="11">
        <f t="shared" si="42"/>
        <v>-2.5999999999999357E-3</v>
      </c>
      <c r="D453" s="12">
        <f t="shared" si="43"/>
        <v>6.7599999999996659E-6</v>
      </c>
      <c r="E453" s="12">
        <f t="shared" si="44"/>
        <v>9.0000000000006829E-6</v>
      </c>
      <c r="F453" s="12">
        <f t="shared" si="45"/>
        <v>4.6549364693820754E-5</v>
      </c>
      <c r="G453" s="12">
        <f t="shared" si="46"/>
        <v>3.9959489728342339</v>
      </c>
      <c r="I453" s="12">
        <f t="shared" si="47"/>
        <v>6.8227094833226446E-3</v>
      </c>
      <c r="J453" s="12">
        <f t="shared" si="48"/>
        <v>7.4054730214398717E-3</v>
      </c>
    </row>
    <row r="454" spans="1:10">
      <c r="A454" s="15">
        <v>40896</v>
      </c>
      <c r="B454" s="11">
        <v>1.4919</v>
      </c>
      <c r="C454" s="11">
        <f t="shared" si="42"/>
        <v>2.2999999999999687E-3</v>
      </c>
      <c r="D454" s="12">
        <f t="shared" si="43"/>
        <v>5.2899999999998562E-6</v>
      </c>
      <c r="E454" s="12">
        <f t="shared" si="44"/>
        <v>6.7599999999996659E-6</v>
      </c>
      <c r="F454" s="12">
        <f t="shared" si="45"/>
        <v>4.3914774190349422E-5</v>
      </c>
      <c r="G454" s="12">
        <f t="shared" si="46"/>
        <v>4.0374610362431778</v>
      </c>
      <c r="I454" s="12">
        <f t="shared" si="47"/>
        <v>6.6268223297708401E-3</v>
      </c>
      <c r="J454" s="12">
        <f t="shared" si="48"/>
        <v>7.4054730214398717E-3</v>
      </c>
    </row>
    <row r="455" spans="1:10">
      <c r="A455" s="15">
        <v>40897</v>
      </c>
      <c r="B455" s="11">
        <v>1.4872000000000001</v>
      </c>
      <c r="C455" s="11">
        <f t="shared" si="42"/>
        <v>-4.6999999999999265E-3</v>
      </c>
      <c r="D455" s="12">
        <f t="shared" si="43"/>
        <v>2.2089999999999309E-5</v>
      </c>
      <c r="E455" s="12">
        <f t="shared" si="44"/>
        <v>5.2899999999998562E-6</v>
      </c>
      <c r="F455" s="12">
        <f t="shared" si="45"/>
        <v>4.1527888031641932E-5</v>
      </c>
      <c r="G455" s="12">
        <f t="shared" si="46"/>
        <v>3.859668288177311</v>
      </c>
      <c r="I455" s="12">
        <f t="shared" si="47"/>
        <v>6.4442135308850476E-3</v>
      </c>
      <c r="J455" s="12">
        <f t="shared" si="48"/>
        <v>7.4054730214398717E-3</v>
      </c>
    </row>
    <row r="456" spans="1:10">
      <c r="A456" s="15">
        <v>40898</v>
      </c>
      <c r="B456" s="11">
        <v>1.4879</v>
      </c>
      <c r="C456" s="11">
        <f t="shared" si="42"/>
        <v>6.9999999999992291E-4</v>
      </c>
      <c r="D456" s="12">
        <f t="shared" si="43"/>
        <v>4.8999999999989208E-7</v>
      </c>
      <c r="E456" s="12">
        <f t="shared" si="44"/>
        <v>2.2089999999999309E-5</v>
      </c>
      <c r="F456" s="12">
        <f t="shared" si="45"/>
        <v>4.0860524351429943E-5</v>
      </c>
      <c r="G456" s="12">
        <f t="shared" si="46"/>
        <v>4.1277385200541756</v>
      </c>
      <c r="I456" s="12">
        <f t="shared" si="47"/>
        <v>6.3922237407204345E-3</v>
      </c>
      <c r="J456" s="12">
        <f t="shared" si="48"/>
        <v>7.4054730214398717E-3</v>
      </c>
    </row>
    <row r="457" spans="1:10">
      <c r="A457" s="15">
        <v>40899</v>
      </c>
      <c r="B457" s="11">
        <v>1.4866999999999999</v>
      </c>
      <c r="C457" s="11">
        <f t="shared" si="42"/>
        <v>-1.2000000000000899E-3</v>
      </c>
      <c r="D457" s="12">
        <f t="shared" si="43"/>
        <v>1.4400000000002158E-6</v>
      </c>
      <c r="E457" s="12">
        <f t="shared" si="44"/>
        <v>4.8999999999989208E-7</v>
      </c>
      <c r="F457" s="12">
        <f t="shared" si="45"/>
        <v>3.8505522301825675E-5</v>
      </c>
      <c r="G457" s="12">
        <f t="shared" si="46"/>
        <v>4.1447172880428234</v>
      </c>
      <c r="I457" s="12">
        <f t="shared" si="47"/>
        <v>6.2052818068018215E-3</v>
      </c>
      <c r="J457" s="12">
        <f t="shared" si="48"/>
        <v>7.4054730214398717E-3</v>
      </c>
    </row>
    <row r="458" spans="1:10">
      <c r="A458" s="15">
        <v>40900</v>
      </c>
      <c r="B458" s="11">
        <v>1.4875</v>
      </c>
      <c r="C458" s="11">
        <f t="shared" si="42"/>
        <v>8.0000000000013394E-4</v>
      </c>
      <c r="D458" s="12">
        <f t="shared" si="43"/>
        <v>6.4000000000021431E-7</v>
      </c>
      <c r="E458" s="12">
        <f t="shared" si="44"/>
        <v>1.4400000000002158E-6</v>
      </c>
      <c r="F458" s="12">
        <f t="shared" si="45"/>
        <v>3.6558622137699645E-5</v>
      </c>
      <c r="G458" s="12">
        <f t="shared" si="46"/>
        <v>4.1806051441903644</v>
      </c>
      <c r="I458" s="12">
        <f t="shared" si="47"/>
        <v>6.046372642973607E-3</v>
      </c>
      <c r="J458" s="12">
        <f t="shared" si="48"/>
        <v>7.4054730214398717E-3</v>
      </c>
    </row>
    <row r="459" spans="1:10">
      <c r="A459" s="15">
        <v>40903</v>
      </c>
      <c r="B459" s="11">
        <v>1.4794</v>
      </c>
      <c r="C459" s="11">
        <f t="shared" si="42"/>
        <v>-8.0999999999999961E-3</v>
      </c>
      <c r="D459" s="12">
        <f t="shared" si="43"/>
        <v>6.5609999999999936E-5</v>
      </c>
      <c r="E459" s="12">
        <f t="shared" si="44"/>
        <v>6.4000000000021431E-7</v>
      </c>
      <c r="F459" s="12">
        <f t="shared" si="45"/>
        <v>3.4818376910064605E-5</v>
      </c>
      <c r="G459" s="12">
        <f t="shared" si="46"/>
        <v>3.2715692011268831</v>
      </c>
      <c r="I459" s="12">
        <f t="shared" si="47"/>
        <v>5.9007098649285078E-3</v>
      </c>
      <c r="J459" s="12">
        <f t="shared" si="48"/>
        <v>7.4054730214398717E-3</v>
      </c>
    </row>
    <row r="460" spans="1:10">
      <c r="A460" s="15">
        <v>40904</v>
      </c>
      <c r="B460" s="11">
        <v>1.4854000000000001</v>
      </c>
      <c r="C460" s="11">
        <f t="shared" si="42"/>
        <v>6.0000000000000053E-3</v>
      </c>
      <c r="D460" s="12">
        <f t="shared" si="43"/>
        <v>3.6000000000000062E-5</v>
      </c>
      <c r="E460" s="12">
        <f t="shared" si="44"/>
        <v>6.5609999999999936E-5</v>
      </c>
      <c r="F460" s="12">
        <f t="shared" si="45"/>
        <v>3.8679097687183274E-5</v>
      </c>
      <c r="G460" s="12">
        <f t="shared" si="46"/>
        <v>3.6957994375993848</v>
      </c>
      <c r="I460" s="12">
        <f t="shared" si="47"/>
        <v>6.2192521807033418E-3</v>
      </c>
      <c r="J460" s="12">
        <f t="shared" si="48"/>
        <v>7.4054730214398717E-3</v>
      </c>
    </row>
    <row r="461" spans="1:10">
      <c r="A461" s="15">
        <v>40905</v>
      </c>
      <c r="B461" s="11">
        <v>1.4975000000000001</v>
      </c>
      <c r="C461" s="11">
        <f t="shared" si="42"/>
        <v>1.21E-2</v>
      </c>
      <c r="D461" s="12">
        <f t="shared" si="43"/>
        <v>1.4641E-4</v>
      </c>
      <c r="E461" s="12">
        <f t="shared" si="44"/>
        <v>3.6000000000000062E-5</v>
      </c>
      <c r="F461" s="12">
        <f t="shared" si="45"/>
        <v>3.9557633151385102E-5</v>
      </c>
      <c r="G461" s="12">
        <f t="shared" si="46"/>
        <v>2.2993463978287343</v>
      </c>
      <c r="I461" s="12">
        <f t="shared" si="47"/>
        <v>6.289485921073765E-3</v>
      </c>
      <c r="J461" s="12">
        <f t="shared" si="48"/>
        <v>7.4054730214398717E-3</v>
      </c>
    </row>
    <row r="462" spans="1:10">
      <c r="A462" s="15">
        <v>40906</v>
      </c>
      <c r="B462" s="11">
        <v>1.4971000000000001</v>
      </c>
      <c r="C462" s="11">
        <f t="shared" ref="C462:C525" si="49">B462-B461</f>
        <v>-3.9999999999995595E-4</v>
      </c>
      <c r="D462" s="12">
        <f t="shared" ref="D462:D525" si="50">C462^2</f>
        <v>1.5999999999996475E-7</v>
      </c>
      <c r="E462" s="12">
        <f t="shared" si="44"/>
        <v>1.4641E-4</v>
      </c>
      <c r="F462" s="12">
        <f t="shared" si="45"/>
        <v>4.9417312965664348E-5</v>
      </c>
      <c r="G462" s="12">
        <f t="shared" si="46"/>
        <v>4.0370474587046168</v>
      </c>
      <c r="I462" s="12">
        <f t="shared" si="47"/>
        <v>7.0297448720180698E-3</v>
      </c>
      <c r="J462" s="12">
        <f t="shared" si="48"/>
        <v>7.4054730214398717E-3</v>
      </c>
    </row>
    <row r="463" spans="1:10">
      <c r="A463" s="15">
        <v>40907</v>
      </c>
      <c r="B463" s="11">
        <v>1.498</v>
      </c>
      <c r="C463" s="11">
        <f t="shared" si="49"/>
        <v>8.9999999999990088E-4</v>
      </c>
      <c r="D463" s="12">
        <f t="shared" si="50"/>
        <v>8.0999999999982157E-7</v>
      </c>
      <c r="E463" s="12">
        <f t="shared" ref="E463:E526" si="51">D462</f>
        <v>1.5999999999996475E-7</v>
      </c>
      <c r="F463" s="12">
        <f t="shared" ref="F463:F526" si="52">$B$5+$B$6*E463+$B$7*F462</f>
        <v>4.5836907084024077E-5</v>
      </c>
      <c r="G463" s="12">
        <f t="shared" ref="G463:G526" si="53">LN((1/SQRT(2*3.1415927*F463))*EXP(-0.5*D463/F463))</f>
        <v>4.0674362646259032</v>
      </c>
      <c r="I463" s="12">
        <f t="shared" ref="I463:I526" si="54">SQRT(F463)</f>
        <v>6.7702959376990364E-3</v>
      </c>
      <c r="J463" s="12">
        <f t="shared" si="48"/>
        <v>7.4054730214398717E-3</v>
      </c>
    </row>
    <row r="464" spans="1:10">
      <c r="A464" s="15">
        <v>40910</v>
      </c>
      <c r="B464" s="11">
        <v>1.5004999999999999</v>
      </c>
      <c r="C464" s="11">
        <f t="shared" si="49"/>
        <v>2.4999999999999467E-3</v>
      </c>
      <c r="D464" s="12">
        <f t="shared" si="50"/>
        <v>6.2499999999997335E-6</v>
      </c>
      <c r="E464" s="12">
        <f t="shared" si="51"/>
        <v>8.0999999999982157E-7</v>
      </c>
      <c r="F464" s="12">
        <f t="shared" si="52"/>
        <v>4.2811456995907913E-5</v>
      </c>
      <c r="G464" s="12">
        <f t="shared" si="53"/>
        <v>4.0374193825663021</v>
      </c>
      <c r="I464" s="12">
        <f t="shared" si="54"/>
        <v>6.5430464613899777E-3</v>
      </c>
      <c r="J464" s="12">
        <f t="shared" ref="J464:J527" si="55">J463</f>
        <v>7.4054730214398717E-3</v>
      </c>
    </row>
    <row r="465" spans="1:10">
      <c r="A465" s="15">
        <v>40911</v>
      </c>
      <c r="B465" s="11">
        <v>1.4906999999999999</v>
      </c>
      <c r="C465" s="11">
        <f t="shared" si="49"/>
        <v>-9.8000000000000309E-3</v>
      </c>
      <c r="D465" s="12">
        <f t="shared" si="50"/>
        <v>9.6040000000000605E-5</v>
      </c>
      <c r="E465" s="12">
        <f t="shared" si="51"/>
        <v>6.2499999999997335E-6</v>
      </c>
      <c r="F465" s="12">
        <f t="shared" si="52"/>
        <v>4.0658225968969173E-5</v>
      </c>
      <c r="G465" s="12">
        <f t="shared" si="53"/>
        <v>2.9551513384532928</v>
      </c>
      <c r="I465" s="12">
        <f t="shared" si="54"/>
        <v>6.3763803187207374E-3</v>
      </c>
      <c r="J465" s="12">
        <f t="shared" si="55"/>
        <v>7.4054730214398717E-3</v>
      </c>
    </row>
    <row r="466" spans="1:10">
      <c r="A466" s="15">
        <v>40912</v>
      </c>
      <c r="B466" s="11">
        <v>1.5003</v>
      </c>
      <c r="C466" s="11">
        <f t="shared" si="49"/>
        <v>9.6000000000000529E-3</v>
      </c>
      <c r="D466" s="12">
        <f t="shared" si="50"/>
        <v>9.2160000000001015E-5</v>
      </c>
      <c r="E466" s="12">
        <f t="shared" si="51"/>
        <v>9.6040000000000605E-5</v>
      </c>
      <c r="F466" s="12">
        <f t="shared" si="52"/>
        <v>4.6210392914632287E-5</v>
      </c>
      <c r="G466" s="12">
        <f t="shared" si="53"/>
        <v>3.0750360972647153</v>
      </c>
      <c r="I466" s="12">
        <f t="shared" si="54"/>
        <v>6.7978226598398609E-3</v>
      </c>
      <c r="J466" s="12">
        <f t="shared" si="55"/>
        <v>7.4054730214398717E-3</v>
      </c>
    </row>
    <row r="467" spans="1:10">
      <c r="A467" s="15">
        <v>40913</v>
      </c>
      <c r="B467" s="11">
        <v>1.5118</v>
      </c>
      <c r="C467" s="11">
        <f t="shared" si="49"/>
        <v>1.1500000000000066E-2</v>
      </c>
      <c r="D467" s="12">
        <f t="shared" si="50"/>
        <v>1.3225000000000151E-4</v>
      </c>
      <c r="E467" s="12">
        <f t="shared" si="51"/>
        <v>9.2160000000001015E-5</v>
      </c>
      <c r="F467" s="12">
        <f t="shared" si="52"/>
        <v>5.066516302089903E-5</v>
      </c>
      <c r="G467" s="12">
        <f t="shared" si="53"/>
        <v>2.7210600440720847</v>
      </c>
      <c r="I467" s="12">
        <f t="shared" si="54"/>
        <v>7.1179465452403494E-3</v>
      </c>
      <c r="J467" s="12">
        <f t="shared" si="55"/>
        <v>7.4054730214398717E-3</v>
      </c>
    </row>
    <row r="468" spans="1:10">
      <c r="A468" s="15">
        <v>40914</v>
      </c>
      <c r="B468" s="11">
        <v>1.5174000000000001</v>
      </c>
      <c r="C468" s="11">
        <f t="shared" si="49"/>
        <v>5.6000000000000494E-3</v>
      </c>
      <c r="D468" s="12">
        <f t="shared" si="50"/>
        <v>3.1360000000000554E-5</v>
      </c>
      <c r="E468" s="12">
        <f t="shared" si="51"/>
        <v>1.3225000000000151E-4</v>
      </c>
      <c r="F468" s="12">
        <f t="shared" si="52"/>
        <v>5.7801871795861912E-5</v>
      </c>
      <c r="G468" s="12">
        <f t="shared" si="53"/>
        <v>3.6890346668508225</v>
      </c>
      <c r="I468" s="12">
        <f t="shared" si="54"/>
        <v>7.6027542243493514E-3</v>
      </c>
      <c r="J468" s="12">
        <f t="shared" si="55"/>
        <v>7.4054730214398717E-3</v>
      </c>
    </row>
    <row r="469" spans="1:10">
      <c r="A469" s="15">
        <v>40917</v>
      </c>
      <c r="B469" s="11">
        <v>1.52</v>
      </c>
      <c r="C469" s="11">
        <f t="shared" si="49"/>
        <v>2.5999999999999357E-3</v>
      </c>
      <c r="D469" s="12">
        <f t="shared" si="50"/>
        <v>6.7599999999996659E-6</v>
      </c>
      <c r="E469" s="12">
        <f t="shared" si="51"/>
        <v>3.1360000000000554E-5</v>
      </c>
      <c r="F469" s="12">
        <f t="shared" si="52"/>
        <v>5.5620073135735951E-5</v>
      </c>
      <c r="G469" s="12">
        <f t="shared" si="53"/>
        <v>3.9187752290649667</v>
      </c>
      <c r="I469" s="12">
        <f t="shared" si="54"/>
        <v>7.457886640043274E-3</v>
      </c>
      <c r="J469" s="12">
        <f t="shared" si="55"/>
        <v>7.4054730214398717E-3</v>
      </c>
    </row>
    <row r="470" spans="1:10">
      <c r="A470" s="15">
        <v>40918</v>
      </c>
      <c r="B470" s="11">
        <v>1.5170999999999999</v>
      </c>
      <c r="C470" s="11">
        <f t="shared" si="49"/>
        <v>-2.9000000000001247E-3</v>
      </c>
      <c r="D470" s="12">
        <f t="shared" si="50"/>
        <v>8.4100000000007225E-6</v>
      </c>
      <c r="E470" s="12">
        <f t="shared" si="51"/>
        <v>6.7599999999996659E-6</v>
      </c>
      <c r="F470" s="12">
        <f t="shared" si="52"/>
        <v>5.1715326537962707E-5</v>
      </c>
      <c r="G470" s="12">
        <f t="shared" si="53"/>
        <v>3.9346291256886237</v>
      </c>
      <c r="I470" s="12">
        <f t="shared" si="54"/>
        <v>7.1913369089455616E-3</v>
      </c>
      <c r="J470" s="12">
        <f t="shared" si="55"/>
        <v>7.4054730214398717E-3</v>
      </c>
    </row>
    <row r="471" spans="1:10">
      <c r="A471" s="15">
        <v>40919</v>
      </c>
      <c r="B471" s="11">
        <v>1.5241</v>
      </c>
      <c r="C471" s="11">
        <f t="shared" si="49"/>
        <v>7.0000000000001172E-3</v>
      </c>
      <c r="D471" s="12">
        <f t="shared" si="50"/>
        <v>4.9000000000001638E-5</v>
      </c>
      <c r="E471" s="12">
        <f t="shared" si="51"/>
        <v>8.4100000000007225E-6</v>
      </c>
      <c r="F471" s="12">
        <f t="shared" si="52"/>
        <v>4.8493410406788142E-5</v>
      </c>
      <c r="G471" s="12">
        <f t="shared" si="53"/>
        <v>3.5428794951830249</v>
      </c>
      <c r="I471" s="12">
        <f t="shared" si="54"/>
        <v>6.9637210173001717E-3</v>
      </c>
      <c r="J471" s="12">
        <f t="shared" si="55"/>
        <v>7.4054730214398717E-3</v>
      </c>
    </row>
    <row r="472" spans="1:10">
      <c r="A472" s="15">
        <v>40920</v>
      </c>
      <c r="B472" s="11">
        <v>1.5161</v>
      </c>
      <c r="C472" s="11">
        <f t="shared" si="49"/>
        <v>-8.0000000000000071E-3</v>
      </c>
      <c r="D472" s="12">
        <f t="shared" si="50"/>
        <v>6.4000000000000119E-5</v>
      </c>
      <c r="E472" s="12">
        <f t="shared" si="51"/>
        <v>4.9000000000001638E-5</v>
      </c>
      <c r="F472" s="12">
        <f t="shared" si="52"/>
        <v>4.9069615339878031E-5</v>
      </c>
      <c r="G472" s="12">
        <f t="shared" si="53"/>
        <v>3.3900620100100598</v>
      </c>
      <c r="I472" s="12">
        <f t="shared" si="54"/>
        <v>7.0049707593877958E-3</v>
      </c>
      <c r="J472" s="12">
        <f t="shared" si="55"/>
        <v>7.4054730214398717E-3</v>
      </c>
    </row>
    <row r="473" spans="1:10">
      <c r="A473" s="15">
        <v>40921</v>
      </c>
      <c r="B473" s="11">
        <v>1.5319</v>
      </c>
      <c r="C473" s="11">
        <f t="shared" si="49"/>
        <v>1.5800000000000036E-2</v>
      </c>
      <c r="D473" s="12">
        <f t="shared" si="50"/>
        <v>2.4964000000000117E-4</v>
      </c>
      <c r="E473" s="12">
        <f t="shared" si="51"/>
        <v>6.4000000000000119E-5</v>
      </c>
      <c r="F473" s="12">
        <f t="shared" si="52"/>
        <v>5.0802002058534372E-5</v>
      </c>
      <c r="G473" s="12">
        <f t="shared" si="53"/>
        <v>1.5678590734575071</v>
      </c>
      <c r="I473" s="12">
        <f t="shared" si="54"/>
        <v>7.1275523188914138E-3</v>
      </c>
      <c r="J473" s="12">
        <f t="shared" si="55"/>
        <v>7.4054730214398717E-3</v>
      </c>
    </row>
    <row r="474" spans="1:10">
      <c r="A474" s="15">
        <v>40924</v>
      </c>
      <c r="B474" s="11">
        <v>1.5298</v>
      </c>
      <c r="C474" s="11">
        <f t="shared" si="49"/>
        <v>-2.0999999999999908E-3</v>
      </c>
      <c r="D474" s="12">
        <f t="shared" si="50"/>
        <v>4.4099999999999612E-6</v>
      </c>
      <c r="E474" s="12">
        <f t="shared" si="51"/>
        <v>2.4964000000000117E-4</v>
      </c>
      <c r="F474" s="12">
        <f t="shared" si="52"/>
        <v>6.75992690397649E-5</v>
      </c>
      <c r="G474" s="12">
        <f t="shared" si="53"/>
        <v>3.8493994575045192</v>
      </c>
      <c r="I474" s="12">
        <f t="shared" si="54"/>
        <v>8.2218774644095063E-3</v>
      </c>
      <c r="J474" s="12">
        <f t="shared" si="55"/>
        <v>7.4054730214398717E-3</v>
      </c>
    </row>
    <row r="475" spans="1:10">
      <c r="A475" s="15">
        <v>40925</v>
      </c>
      <c r="B475" s="11">
        <v>1.5284</v>
      </c>
      <c r="C475" s="11">
        <f t="shared" si="49"/>
        <v>-1.4000000000000679E-3</v>
      </c>
      <c r="D475" s="12">
        <f t="shared" si="50"/>
        <v>1.96000000000019E-6</v>
      </c>
      <c r="E475" s="12">
        <f t="shared" si="51"/>
        <v>4.4099999999999612E-6</v>
      </c>
      <c r="F475" s="12">
        <f t="shared" si="52"/>
        <v>6.1823319926943411E-5</v>
      </c>
      <c r="G475" s="12">
        <f t="shared" si="53"/>
        <v>3.9108247955539737</v>
      </c>
      <c r="I475" s="12">
        <f t="shared" si="54"/>
        <v>7.862780673969191E-3</v>
      </c>
      <c r="J475" s="12">
        <f t="shared" si="55"/>
        <v>7.4054730214398717E-3</v>
      </c>
    </row>
    <row r="476" spans="1:10">
      <c r="A476" s="15">
        <v>40926</v>
      </c>
      <c r="B476" s="11">
        <v>1.5194000000000001</v>
      </c>
      <c r="C476" s="11">
        <f t="shared" si="49"/>
        <v>-8.999999999999897E-3</v>
      </c>
      <c r="D476" s="12">
        <f t="shared" si="50"/>
        <v>8.0999999999998147E-5</v>
      </c>
      <c r="E476" s="12">
        <f t="shared" si="51"/>
        <v>1.96000000000019E-6</v>
      </c>
      <c r="F476" s="12">
        <f t="shared" si="52"/>
        <v>5.6654145707163223E-5</v>
      </c>
      <c r="G476" s="12">
        <f t="shared" si="53"/>
        <v>3.2554703181473088</v>
      </c>
      <c r="I476" s="12">
        <f t="shared" si="54"/>
        <v>7.5268948250366311E-3</v>
      </c>
      <c r="J476" s="12">
        <f t="shared" si="55"/>
        <v>7.4054730214398717E-3</v>
      </c>
    </row>
    <row r="477" spans="1:10">
      <c r="A477" s="15">
        <v>40927</v>
      </c>
      <c r="B477" s="11">
        <v>1.5119</v>
      </c>
      <c r="C477" s="11">
        <f t="shared" si="49"/>
        <v>-7.5000000000000622E-3</v>
      </c>
      <c r="D477" s="12">
        <f t="shared" si="50"/>
        <v>5.6250000000000934E-5</v>
      </c>
      <c r="E477" s="12">
        <f t="shared" si="51"/>
        <v>8.0999999999998147E-5</v>
      </c>
      <c r="F477" s="12">
        <f t="shared" si="52"/>
        <v>5.8726265724496219E-5</v>
      </c>
      <c r="G477" s="12">
        <f t="shared" si="53"/>
        <v>3.4734563157562661</v>
      </c>
      <c r="I477" s="12">
        <f t="shared" si="54"/>
        <v>7.6633064485570604E-3</v>
      </c>
      <c r="J477" s="12">
        <f t="shared" si="55"/>
        <v>7.4054730214398717E-3</v>
      </c>
    </row>
    <row r="478" spans="1:10">
      <c r="A478" s="15">
        <v>40928</v>
      </c>
      <c r="B478" s="11">
        <v>1.5147999999999999</v>
      </c>
      <c r="C478" s="11">
        <f t="shared" si="49"/>
        <v>2.8999999999999027E-3</v>
      </c>
      <c r="D478" s="12">
        <f t="shared" si="50"/>
        <v>8.409999999999435E-6</v>
      </c>
      <c r="E478" s="12">
        <f t="shared" si="51"/>
        <v>5.6250000000000934E-5</v>
      </c>
      <c r="F478" s="12">
        <f t="shared" si="52"/>
        <v>5.8467400036343319E-5</v>
      </c>
      <c r="G478" s="12">
        <f t="shared" si="53"/>
        <v>3.8826616505391414</v>
      </c>
      <c r="I478" s="12">
        <f t="shared" si="54"/>
        <v>7.6463978471135886E-3</v>
      </c>
      <c r="J478" s="12">
        <f t="shared" si="55"/>
        <v>7.4054730214398717E-3</v>
      </c>
    </row>
    <row r="479" spans="1:10">
      <c r="A479" s="15">
        <v>40931</v>
      </c>
      <c r="B479" s="11">
        <v>1.5056</v>
      </c>
      <c r="C479" s="11">
        <f t="shared" si="49"/>
        <v>-9.1999999999998749E-3</v>
      </c>
      <c r="D479" s="12">
        <f t="shared" si="50"/>
        <v>8.4639999999997699E-5</v>
      </c>
      <c r="E479" s="12">
        <f t="shared" si="51"/>
        <v>8.409999999999435E-6</v>
      </c>
      <c r="F479" s="12">
        <f t="shared" si="52"/>
        <v>5.4300002374364233E-5</v>
      </c>
      <c r="G479" s="12">
        <f t="shared" si="53"/>
        <v>3.2121807881501367</v>
      </c>
      <c r="I479" s="12">
        <f t="shared" si="54"/>
        <v>7.368853531884335E-3</v>
      </c>
      <c r="J479" s="12">
        <f t="shared" si="55"/>
        <v>7.4054730214398717E-3</v>
      </c>
    </row>
    <row r="480" spans="1:10">
      <c r="A480" s="15">
        <v>40932</v>
      </c>
      <c r="B480" s="11">
        <v>1.5076000000000001</v>
      </c>
      <c r="C480" s="11">
        <f t="shared" si="49"/>
        <v>2.0000000000000018E-3</v>
      </c>
      <c r="D480" s="12">
        <f t="shared" si="50"/>
        <v>4.0000000000000074E-6</v>
      </c>
      <c r="E480" s="12">
        <f t="shared" si="51"/>
        <v>8.4639999999997699E-5</v>
      </c>
      <c r="F480" s="12">
        <f t="shared" si="52"/>
        <v>5.7001915477957634E-5</v>
      </c>
      <c r="G480" s="12">
        <f t="shared" si="53"/>
        <v>3.9321877620984695</v>
      </c>
      <c r="I480" s="12">
        <f t="shared" si="54"/>
        <v>7.5499612898317324E-3</v>
      </c>
      <c r="J480" s="12">
        <f t="shared" si="55"/>
        <v>7.4054730214398717E-3</v>
      </c>
    </row>
    <row r="481" spans="1:10">
      <c r="A481" s="15">
        <v>40933</v>
      </c>
      <c r="B481" s="11">
        <v>1.4985999999999999</v>
      </c>
      <c r="C481" s="11">
        <f t="shared" si="49"/>
        <v>-9.000000000000119E-3</v>
      </c>
      <c r="D481" s="12">
        <f t="shared" si="50"/>
        <v>8.1000000000002145E-5</v>
      </c>
      <c r="E481" s="12">
        <f t="shared" si="51"/>
        <v>4.0000000000000074E-6</v>
      </c>
      <c r="F481" s="12">
        <f t="shared" si="52"/>
        <v>5.267608832342676E-5</v>
      </c>
      <c r="G481" s="12">
        <f t="shared" si="53"/>
        <v>3.2378861275759485</v>
      </c>
      <c r="I481" s="12">
        <f t="shared" si="54"/>
        <v>7.2578294498718251E-3</v>
      </c>
      <c r="J481" s="12">
        <f t="shared" si="55"/>
        <v>7.4054730214398717E-3</v>
      </c>
    </row>
    <row r="482" spans="1:10">
      <c r="A482" s="15">
        <v>40934</v>
      </c>
      <c r="B482" s="11">
        <v>1.5031000000000001</v>
      </c>
      <c r="C482" s="11">
        <f t="shared" si="49"/>
        <v>4.5000000000001705E-3</v>
      </c>
      <c r="D482" s="12">
        <f t="shared" si="50"/>
        <v>2.0250000000001536E-5</v>
      </c>
      <c r="E482" s="12">
        <f t="shared" si="51"/>
        <v>8.1000000000002145E-5</v>
      </c>
      <c r="F482" s="12">
        <f t="shared" si="52"/>
        <v>5.5305249046212282E-5</v>
      </c>
      <c r="G482" s="12">
        <f t="shared" si="53"/>
        <v>3.7993079797828893</v>
      </c>
      <c r="I482" s="12">
        <f t="shared" si="54"/>
        <v>7.4367498980544107E-3</v>
      </c>
      <c r="J482" s="12">
        <f t="shared" si="55"/>
        <v>7.4054730214398717E-3</v>
      </c>
    </row>
    <row r="483" spans="1:10">
      <c r="A483" s="15">
        <v>40935</v>
      </c>
      <c r="B483" s="11">
        <v>1.4972000000000001</v>
      </c>
      <c r="C483" s="11">
        <f t="shared" si="49"/>
        <v>-5.9000000000000163E-3</v>
      </c>
      <c r="D483" s="12">
        <f t="shared" si="50"/>
        <v>3.481000000000019E-5</v>
      </c>
      <c r="E483" s="12">
        <f t="shared" si="51"/>
        <v>2.0250000000001536E-5</v>
      </c>
      <c r="F483" s="12">
        <f t="shared" si="52"/>
        <v>5.2556942276570833E-5</v>
      </c>
      <c r="G483" s="12">
        <f t="shared" si="53"/>
        <v>3.676703516606517</v>
      </c>
      <c r="I483" s="12">
        <f t="shared" si="54"/>
        <v>7.2496166985966115E-3</v>
      </c>
      <c r="J483" s="12">
        <f t="shared" si="55"/>
        <v>7.4054730214398717E-3</v>
      </c>
    </row>
    <row r="484" spans="1:10">
      <c r="A484" s="15">
        <v>40938</v>
      </c>
      <c r="B484" s="11">
        <v>1.5029999999999999</v>
      </c>
      <c r="C484" s="11">
        <f t="shared" si="49"/>
        <v>5.7999999999998053E-3</v>
      </c>
      <c r="D484" s="12">
        <f t="shared" si="50"/>
        <v>3.363999999999774E-5</v>
      </c>
      <c r="E484" s="12">
        <f t="shared" si="51"/>
        <v>3.481000000000019E-5</v>
      </c>
      <c r="F484" s="12">
        <f t="shared" si="52"/>
        <v>5.1394061666011594E-5</v>
      </c>
      <c r="G484" s="12">
        <f t="shared" si="53"/>
        <v>3.6917802566213975</v>
      </c>
      <c r="I484" s="12">
        <f t="shared" si="54"/>
        <v>7.1689651739990758E-3</v>
      </c>
      <c r="J484" s="12">
        <f t="shared" si="55"/>
        <v>7.4054730214398717E-3</v>
      </c>
    </row>
    <row r="485" spans="1:10">
      <c r="A485" s="15">
        <v>40939</v>
      </c>
      <c r="B485" s="11">
        <v>1.5108999999999999</v>
      </c>
      <c r="C485" s="11">
        <f t="shared" si="49"/>
        <v>7.9000000000000181E-3</v>
      </c>
      <c r="D485" s="12">
        <f t="shared" si="50"/>
        <v>6.2410000000000292E-5</v>
      </c>
      <c r="E485" s="12">
        <f t="shared" si="51"/>
        <v>3.363999999999774E-5</v>
      </c>
      <c r="F485" s="12">
        <f t="shared" si="52"/>
        <v>5.0297541667445953E-5</v>
      </c>
      <c r="G485" s="12">
        <f t="shared" si="53"/>
        <v>3.4094305820846471</v>
      </c>
      <c r="I485" s="12">
        <f t="shared" si="54"/>
        <v>7.0920759772753385E-3</v>
      </c>
      <c r="J485" s="12">
        <f t="shared" si="55"/>
        <v>7.4054730214398717E-3</v>
      </c>
    </row>
    <row r="486" spans="1:10">
      <c r="A486" s="15">
        <v>40940</v>
      </c>
      <c r="B486" s="11">
        <v>1.5023</v>
      </c>
      <c r="C486" s="11">
        <f t="shared" si="49"/>
        <v>-8.599999999999941E-3</v>
      </c>
      <c r="D486" s="12">
        <f t="shared" si="50"/>
        <v>7.3959999999998987E-5</v>
      </c>
      <c r="E486" s="12">
        <f t="shared" si="51"/>
        <v>6.2410000000000292E-5</v>
      </c>
      <c r="F486" s="12">
        <f t="shared" si="52"/>
        <v>5.1726876040911958E-5</v>
      </c>
      <c r="G486" s="12">
        <f t="shared" si="53"/>
        <v>3.3009191704564014</v>
      </c>
      <c r="I486" s="12">
        <f t="shared" si="54"/>
        <v>7.1921398791258192E-3</v>
      </c>
      <c r="J486" s="12">
        <f t="shared" si="55"/>
        <v>7.4054730214398717E-3</v>
      </c>
    </row>
    <row r="487" spans="1:10">
      <c r="A487" s="15">
        <v>40941</v>
      </c>
      <c r="B487" s="11">
        <v>1.5061</v>
      </c>
      <c r="C487" s="11">
        <f t="shared" si="49"/>
        <v>3.8000000000000256E-3</v>
      </c>
      <c r="D487" s="12">
        <f t="shared" si="50"/>
        <v>1.4440000000000194E-5</v>
      </c>
      <c r="E487" s="12">
        <f t="shared" si="51"/>
        <v>7.3959999999998987E-5</v>
      </c>
      <c r="F487" s="12">
        <f t="shared" si="52"/>
        <v>5.3908450551715036E-5</v>
      </c>
      <c r="G487" s="12">
        <f t="shared" si="53"/>
        <v>3.8612423499750186</v>
      </c>
      <c r="I487" s="12">
        <f t="shared" si="54"/>
        <v>7.3422374349863566E-3</v>
      </c>
      <c r="J487" s="12">
        <f t="shared" si="55"/>
        <v>7.4054730214398717E-3</v>
      </c>
    </row>
    <row r="488" spans="1:10">
      <c r="A488" s="15">
        <v>40942</v>
      </c>
      <c r="B488" s="11">
        <v>1.5068999999999999</v>
      </c>
      <c r="C488" s="11">
        <f t="shared" si="49"/>
        <v>7.9999999999991189E-4</v>
      </c>
      <c r="D488" s="12">
        <f t="shared" si="50"/>
        <v>6.3999999999985898E-7</v>
      </c>
      <c r="E488" s="12">
        <f t="shared" si="51"/>
        <v>1.4440000000000194E-5</v>
      </c>
      <c r="F488" s="12">
        <f t="shared" si="52"/>
        <v>5.087665539417983E-5</v>
      </c>
      <c r="G488" s="12">
        <f t="shared" si="53"/>
        <v>4.0178249259120182</v>
      </c>
      <c r="I488" s="12">
        <f t="shared" si="54"/>
        <v>7.1327873509715563E-3</v>
      </c>
      <c r="J488" s="12">
        <f t="shared" si="55"/>
        <v>7.4054730214398717E-3</v>
      </c>
    </row>
    <row r="489" spans="1:10">
      <c r="A489" s="15">
        <v>40945</v>
      </c>
      <c r="B489" s="11">
        <v>1.5055000000000001</v>
      </c>
      <c r="C489" s="11">
        <f t="shared" si="49"/>
        <v>-1.3999999999998458E-3</v>
      </c>
      <c r="D489" s="12">
        <f t="shared" si="50"/>
        <v>1.9599999999995683E-6</v>
      </c>
      <c r="E489" s="12">
        <f t="shared" si="51"/>
        <v>6.3999999999985898E-7</v>
      </c>
      <c r="F489" s="12">
        <f t="shared" si="52"/>
        <v>4.7131479976627223E-5</v>
      </c>
      <c r="G489" s="12">
        <f t="shared" si="53"/>
        <v>4.0415532703485697</v>
      </c>
      <c r="I489" s="12">
        <f t="shared" si="54"/>
        <v>6.8652370663093076E-3</v>
      </c>
      <c r="J489" s="12">
        <f t="shared" si="55"/>
        <v>7.4054730214398717E-3</v>
      </c>
    </row>
    <row r="490" spans="1:10">
      <c r="A490" s="15">
        <v>40946</v>
      </c>
      <c r="B490" s="11">
        <v>1.5031000000000001</v>
      </c>
      <c r="C490" s="11">
        <f t="shared" si="49"/>
        <v>-2.3999999999999577E-3</v>
      </c>
      <c r="D490" s="12">
        <f t="shared" si="50"/>
        <v>5.7599999999997975E-6</v>
      </c>
      <c r="E490" s="12">
        <f t="shared" si="51"/>
        <v>1.9599999999995683E-6</v>
      </c>
      <c r="F490" s="12">
        <f t="shared" si="52"/>
        <v>4.4019579471342241E-5</v>
      </c>
      <c r="G490" s="12">
        <f t="shared" si="53"/>
        <v>4.0310740450048703</v>
      </c>
      <c r="I490" s="12">
        <f t="shared" si="54"/>
        <v>6.63472527474516E-3</v>
      </c>
      <c r="J490" s="12">
        <f t="shared" si="55"/>
        <v>7.4054730214398717E-3</v>
      </c>
    </row>
    <row r="491" spans="1:10">
      <c r="A491" s="15">
        <v>40947</v>
      </c>
      <c r="B491" s="11">
        <v>1.4965999999999999</v>
      </c>
      <c r="C491" s="11">
        <f t="shared" si="49"/>
        <v>-6.5000000000001723E-3</v>
      </c>
      <c r="D491" s="12">
        <f t="shared" si="50"/>
        <v>4.225000000000224E-5</v>
      </c>
      <c r="E491" s="12">
        <f t="shared" si="51"/>
        <v>5.7599999999997975E-6</v>
      </c>
      <c r="F491" s="12">
        <f t="shared" si="52"/>
        <v>4.165677276447901E-5</v>
      </c>
      <c r="G491" s="12">
        <f t="shared" si="53"/>
        <v>3.6169643374030538</v>
      </c>
      <c r="I491" s="12">
        <f t="shared" si="54"/>
        <v>6.4542058198107542E-3</v>
      </c>
      <c r="J491" s="12">
        <f t="shared" si="55"/>
        <v>7.4054730214398717E-3</v>
      </c>
    </row>
    <row r="492" spans="1:10">
      <c r="A492" s="15">
        <v>40948</v>
      </c>
      <c r="B492" s="11">
        <v>1.4948999999999999</v>
      </c>
      <c r="C492" s="11">
        <f t="shared" si="49"/>
        <v>-1.7000000000000348E-3</v>
      </c>
      <c r="D492" s="12">
        <f t="shared" si="50"/>
        <v>2.8900000000001184E-6</v>
      </c>
      <c r="E492" s="12">
        <f t="shared" si="51"/>
        <v>4.225000000000224E-5</v>
      </c>
      <c r="F492" s="12">
        <f t="shared" si="52"/>
        <v>4.2633710545357296E-5</v>
      </c>
      <c r="G492" s="12">
        <f t="shared" si="53"/>
        <v>4.0786007374977871</v>
      </c>
      <c r="I492" s="12">
        <f t="shared" si="54"/>
        <v>6.5294494825641541E-3</v>
      </c>
      <c r="J492" s="12">
        <f t="shared" si="55"/>
        <v>7.4054730214398717E-3</v>
      </c>
    </row>
    <row r="493" spans="1:10">
      <c r="A493" s="15">
        <v>40949</v>
      </c>
      <c r="B493" s="11">
        <v>1.5048999999999999</v>
      </c>
      <c r="C493" s="11">
        <f t="shared" si="49"/>
        <v>1.0000000000000009E-2</v>
      </c>
      <c r="D493" s="12">
        <f t="shared" si="50"/>
        <v>1.0000000000000018E-4</v>
      </c>
      <c r="E493" s="12">
        <f t="shared" si="51"/>
        <v>2.8900000000001184E-6</v>
      </c>
      <c r="F493" s="12">
        <f t="shared" si="52"/>
        <v>4.0228310893507663E-5</v>
      </c>
      <c r="G493" s="12">
        <f t="shared" si="53"/>
        <v>2.8986254621827463</v>
      </c>
      <c r="I493" s="12">
        <f t="shared" si="54"/>
        <v>6.3425791988360432E-3</v>
      </c>
      <c r="J493" s="12">
        <f t="shared" si="55"/>
        <v>7.4054730214398717E-3</v>
      </c>
    </row>
    <row r="494" spans="1:10">
      <c r="A494" s="15">
        <v>40952</v>
      </c>
      <c r="B494" s="11">
        <v>1.5012000000000001</v>
      </c>
      <c r="C494" s="11">
        <f t="shared" si="49"/>
        <v>-3.6999999999998145E-3</v>
      </c>
      <c r="D494" s="12">
        <f t="shared" si="50"/>
        <v>1.3689999999998627E-5</v>
      </c>
      <c r="E494" s="12">
        <f t="shared" si="51"/>
        <v>1.0000000000000018E-4</v>
      </c>
      <c r="F494" s="12">
        <f t="shared" si="52"/>
        <v>4.6167210960554635E-5</v>
      </c>
      <c r="G494" s="12">
        <f t="shared" si="53"/>
        <v>3.9244164250654592</v>
      </c>
      <c r="I494" s="12">
        <f t="shared" si="54"/>
        <v>6.7946457568113612E-3</v>
      </c>
      <c r="J494" s="12">
        <f t="shared" si="55"/>
        <v>7.4054730214398717E-3</v>
      </c>
    </row>
    <row r="495" spans="1:10">
      <c r="A495" s="15">
        <v>40953</v>
      </c>
      <c r="B495" s="11">
        <v>1.5044</v>
      </c>
      <c r="C495" s="11">
        <f t="shared" si="49"/>
        <v>3.1999999999998696E-3</v>
      </c>
      <c r="D495" s="12">
        <f t="shared" si="50"/>
        <v>1.0239999999999165E-5</v>
      </c>
      <c r="E495" s="12">
        <f t="shared" si="51"/>
        <v>1.3689999999998627E-5</v>
      </c>
      <c r="F495" s="12">
        <f t="shared" si="52"/>
        <v>4.415756526345363E-5</v>
      </c>
      <c r="G495" s="12">
        <f t="shared" si="53"/>
        <v>3.9789861836469931</v>
      </c>
      <c r="I495" s="12">
        <f t="shared" si="54"/>
        <v>6.6451158954117292E-3</v>
      </c>
      <c r="J495" s="12">
        <f t="shared" si="55"/>
        <v>7.4054730214398717E-3</v>
      </c>
    </row>
    <row r="496" spans="1:10">
      <c r="A496" s="15">
        <v>40954</v>
      </c>
      <c r="B496" s="11">
        <v>1.5129999999999999</v>
      </c>
      <c r="C496" s="11">
        <f t="shared" si="49"/>
        <v>8.599999999999941E-3</v>
      </c>
      <c r="D496" s="12">
        <f t="shared" si="50"/>
        <v>7.3959999999998987E-5</v>
      </c>
      <c r="E496" s="12">
        <f t="shared" si="51"/>
        <v>1.0239999999999165E-5</v>
      </c>
      <c r="F496" s="12">
        <f t="shared" si="52"/>
        <v>4.2144847520620912E-5</v>
      </c>
      <c r="G496" s="12">
        <f t="shared" si="53"/>
        <v>3.2408104365870534</v>
      </c>
      <c r="I496" s="12">
        <f t="shared" si="54"/>
        <v>6.4919063086755118E-3</v>
      </c>
      <c r="J496" s="12">
        <f t="shared" si="55"/>
        <v>7.4054730214398717E-3</v>
      </c>
    </row>
    <row r="497" spans="1:10">
      <c r="A497" s="15">
        <v>40955</v>
      </c>
      <c r="B497" s="11">
        <v>1.5038</v>
      </c>
      <c r="C497" s="11">
        <f t="shared" si="49"/>
        <v>-9.1999999999998749E-3</v>
      </c>
      <c r="D497" s="12">
        <f t="shared" si="50"/>
        <v>8.4639999999997699E-5</v>
      </c>
      <c r="E497" s="12">
        <f t="shared" si="51"/>
        <v>7.3959999999998987E-5</v>
      </c>
      <c r="F497" s="12">
        <f t="shared" si="52"/>
        <v>4.5668177418972597E-5</v>
      </c>
      <c r="G497" s="12">
        <f t="shared" si="53"/>
        <v>3.1514312072712038</v>
      </c>
      <c r="I497" s="12">
        <f t="shared" si="54"/>
        <v>6.7578234231868324E-3</v>
      </c>
      <c r="J497" s="12">
        <f t="shared" si="55"/>
        <v>7.4054730214398717E-3</v>
      </c>
    </row>
    <row r="498" spans="1:10">
      <c r="A498" s="15">
        <v>40956</v>
      </c>
      <c r="B498" s="11">
        <v>1.5098</v>
      </c>
      <c r="C498" s="11">
        <f t="shared" si="49"/>
        <v>6.0000000000000053E-3</v>
      </c>
      <c r="D498" s="12">
        <f t="shared" si="50"/>
        <v>3.6000000000000062E-5</v>
      </c>
      <c r="E498" s="12">
        <f t="shared" si="51"/>
        <v>8.4639999999997699E-5</v>
      </c>
      <c r="F498" s="12">
        <f t="shared" si="52"/>
        <v>4.9578790498124145E-5</v>
      </c>
      <c r="G498" s="12">
        <f t="shared" si="53"/>
        <v>3.6739766991377425</v>
      </c>
      <c r="I498" s="12">
        <f t="shared" si="54"/>
        <v>7.0412208102092737E-3</v>
      </c>
      <c r="J498" s="12">
        <f t="shared" si="55"/>
        <v>7.4054730214398717E-3</v>
      </c>
    </row>
    <row r="499" spans="1:10">
      <c r="A499" s="15">
        <v>40959</v>
      </c>
      <c r="B499" s="11">
        <v>1.5026999999999999</v>
      </c>
      <c r="C499" s="11">
        <f t="shared" si="49"/>
        <v>-7.1000000000001062E-3</v>
      </c>
      <c r="D499" s="12">
        <f t="shared" si="50"/>
        <v>5.0410000000001511E-5</v>
      </c>
      <c r="E499" s="12">
        <f t="shared" si="51"/>
        <v>3.6000000000000062E-5</v>
      </c>
      <c r="F499" s="12">
        <f t="shared" si="52"/>
        <v>4.8931060253479956E-5</v>
      </c>
      <c r="G499" s="12">
        <f t="shared" si="53"/>
        <v>3.5284980673020856</v>
      </c>
      <c r="I499" s="12">
        <f t="shared" si="54"/>
        <v>6.9950739991425362E-3</v>
      </c>
      <c r="J499" s="12">
        <f t="shared" si="55"/>
        <v>7.4054730214398717E-3</v>
      </c>
    </row>
    <row r="500" spans="1:10">
      <c r="A500" s="15">
        <v>40960</v>
      </c>
      <c r="B500" s="11">
        <v>1.5012000000000001</v>
      </c>
      <c r="C500" s="11">
        <f t="shared" si="49"/>
        <v>-1.4999999999998348E-3</v>
      </c>
      <c r="D500" s="12">
        <f t="shared" si="50"/>
        <v>2.2499999999995045E-6</v>
      </c>
      <c r="E500" s="12">
        <f t="shared" si="51"/>
        <v>5.0410000000001511E-5</v>
      </c>
      <c r="F500" s="12">
        <f t="shared" si="52"/>
        <v>4.9562247291188582E-5</v>
      </c>
      <c r="G500" s="12">
        <f t="shared" si="53"/>
        <v>4.0145033094967326</v>
      </c>
      <c r="I500" s="12">
        <f t="shared" si="54"/>
        <v>7.0400459722354501E-3</v>
      </c>
      <c r="J500" s="12">
        <f t="shared" si="55"/>
        <v>7.4054730214398717E-3</v>
      </c>
    </row>
    <row r="501" spans="1:10">
      <c r="A501" s="15">
        <v>40961</v>
      </c>
      <c r="B501" s="11">
        <v>1.5044</v>
      </c>
      <c r="C501" s="11">
        <f t="shared" si="49"/>
        <v>3.1999999999998696E-3</v>
      </c>
      <c r="D501" s="12">
        <f t="shared" si="50"/>
        <v>1.0239999999999165E-5</v>
      </c>
      <c r="E501" s="12">
        <f t="shared" si="51"/>
        <v>2.2499999999995045E-6</v>
      </c>
      <c r="F501" s="12">
        <f t="shared" si="52"/>
        <v>4.6133883272563489E-5</v>
      </c>
      <c r="G501" s="12">
        <f t="shared" si="53"/>
        <v>3.9620615648547379</v>
      </c>
      <c r="I501" s="12">
        <f t="shared" si="54"/>
        <v>6.792192817681451E-3</v>
      </c>
      <c r="J501" s="12">
        <f t="shared" si="55"/>
        <v>7.4054730214398717E-3</v>
      </c>
    </row>
    <row r="502" spans="1:10">
      <c r="A502" s="15">
        <v>40962</v>
      </c>
      <c r="B502" s="11">
        <v>1.4967999999999999</v>
      </c>
      <c r="C502" s="11">
        <f t="shared" si="49"/>
        <v>-7.6000000000000512E-3</v>
      </c>
      <c r="D502" s="12">
        <f t="shared" si="50"/>
        <v>5.7760000000000775E-5</v>
      </c>
      <c r="E502" s="12">
        <f t="shared" si="51"/>
        <v>1.0239999999999165E-5</v>
      </c>
      <c r="F502" s="12">
        <f t="shared" si="52"/>
        <v>4.3844425032599383E-5</v>
      </c>
      <c r="G502" s="12">
        <f t="shared" si="53"/>
        <v>3.4398003133246182</v>
      </c>
      <c r="I502" s="12">
        <f t="shared" si="54"/>
        <v>6.6215122919616618E-3</v>
      </c>
      <c r="J502" s="12">
        <f t="shared" si="55"/>
        <v>7.4054730214398717E-3</v>
      </c>
    </row>
    <row r="503" spans="1:10">
      <c r="A503" s="15">
        <v>40963</v>
      </c>
      <c r="B503" s="11">
        <v>1.4891000000000001</v>
      </c>
      <c r="C503" s="11">
        <f t="shared" si="49"/>
        <v>-7.6999999999998181E-3</v>
      </c>
      <c r="D503" s="12">
        <f t="shared" si="50"/>
        <v>5.9289999999997198E-5</v>
      </c>
      <c r="E503" s="12">
        <f t="shared" si="51"/>
        <v>5.7760000000000775E-5</v>
      </c>
      <c r="F503" s="12">
        <f t="shared" si="52"/>
        <v>4.5793949801698622E-5</v>
      </c>
      <c r="G503" s="12">
        <f t="shared" si="53"/>
        <v>3.4293844890153315</v>
      </c>
      <c r="I503" s="12">
        <f t="shared" si="54"/>
        <v>6.767122712179721E-3</v>
      </c>
      <c r="J503" s="12">
        <f t="shared" si="55"/>
        <v>7.4054730214398717E-3</v>
      </c>
    </row>
    <row r="504" spans="1:10">
      <c r="A504" s="15">
        <v>40966</v>
      </c>
      <c r="B504" s="11">
        <v>1.4936</v>
      </c>
      <c r="C504" s="11">
        <f t="shared" si="49"/>
        <v>4.4999999999999485E-3</v>
      </c>
      <c r="D504" s="12">
        <f t="shared" si="50"/>
        <v>2.0249999999999537E-5</v>
      </c>
      <c r="E504" s="12">
        <f t="shared" si="51"/>
        <v>5.9289999999997198E-5</v>
      </c>
      <c r="F504" s="12">
        <f t="shared" si="52"/>
        <v>4.7596646299355881E-5</v>
      </c>
      <c r="G504" s="12">
        <f t="shared" si="53"/>
        <v>3.8447105151922552</v>
      </c>
      <c r="I504" s="12">
        <f t="shared" si="54"/>
        <v>6.8990322726709928E-3</v>
      </c>
      <c r="J504" s="12">
        <f t="shared" si="55"/>
        <v>7.4054730214398717E-3</v>
      </c>
    </row>
    <row r="505" spans="1:10">
      <c r="A505" s="15">
        <v>40967</v>
      </c>
      <c r="B505" s="11">
        <v>1.4879</v>
      </c>
      <c r="C505" s="11">
        <f t="shared" si="49"/>
        <v>-5.7000000000000384E-3</v>
      </c>
      <c r="D505" s="12">
        <f t="shared" si="50"/>
        <v>3.2490000000000436E-5</v>
      </c>
      <c r="E505" s="12">
        <f t="shared" si="51"/>
        <v>2.0249999999999537E-5</v>
      </c>
      <c r="F505" s="12">
        <f t="shared" si="52"/>
        <v>4.5927762247374102E-5</v>
      </c>
      <c r="G505" s="12">
        <f t="shared" si="53"/>
        <v>3.72157421888449</v>
      </c>
      <c r="I505" s="12">
        <f t="shared" si="54"/>
        <v>6.777002452956182E-3</v>
      </c>
      <c r="J505" s="12">
        <f t="shared" si="55"/>
        <v>7.4054730214398717E-3</v>
      </c>
    </row>
    <row r="506" spans="1:10">
      <c r="A506" s="15">
        <v>40968</v>
      </c>
      <c r="B506" s="11">
        <v>1.4992000000000001</v>
      </c>
      <c r="C506" s="11">
        <f t="shared" si="49"/>
        <v>1.1300000000000088E-2</v>
      </c>
      <c r="D506" s="12">
        <f t="shared" si="50"/>
        <v>1.2769000000000197E-4</v>
      </c>
      <c r="E506" s="12">
        <f t="shared" si="51"/>
        <v>3.2490000000000436E-5</v>
      </c>
      <c r="F506" s="12">
        <f t="shared" si="52"/>
        <v>4.5501852536701394E-5</v>
      </c>
      <c r="G506" s="12">
        <f t="shared" si="53"/>
        <v>2.6768105336486849</v>
      </c>
      <c r="I506" s="12">
        <f t="shared" si="54"/>
        <v>6.7455060993747082E-3</v>
      </c>
      <c r="J506" s="12">
        <f t="shared" si="55"/>
        <v>7.4054730214398717E-3</v>
      </c>
    </row>
    <row r="507" spans="1:10">
      <c r="A507" s="15">
        <v>40969</v>
      </c>
      <c r="B507" s="11">
        <v>1.4977</v>
      </c>
      <c r="C507" s="11">
        <f t="shared" si="49"/>
        <v>-1.5000000000000568E-3</v>
      </c>
      <c r="D507" s="12">
        <f t="shared" si="50"/>
        <v>2.2500000000001707E-6</v>
      </c>
      <c r="E507" s="12">
        <f t="shared" si="51"/>
        <v>1.2769000000000197E-4</v>
      </c>
      <c r="F507" s="12">
        <f t="shared" si="52"/>
        <v>5.2985563515412164E-5</v>
      </c>
      <c r="G507" s="12">
        <f t="shared" si="53"/>
        <v>3.982574794959187</v>
      </c>
      <c r="I507" s="12">
        <f t="shared" si="54"/>
        <v>7.2791183199211818E-3</v>
      </c>
      <c r="J507" s="12">
        <f t="shared" si="55"/>
        <v>7.4054730214398717E-3</v>
      </c>
    </row>
    <row r="508" spans="1:10">
      <c r="A508" s="15">
        <v>40970</v>
      </c>
      <c r="B508" s="11">
        <v>1.5061</v>
      </c>
      <c r="C508" s="11">
        <f t="shared" si="49"/>
        <v>8.3999999999999631E-3</v>
      </c>
      <c r="D508" s="12">
        <f t="shared" si="50"/>
        <v>7.0559999999999379E-5</v>
      </c>
      <c r="E508" s="12">
        <f t="shared" si="51"/>
        <v>2.2500000000001707E-6</v>
      </c>
      <c r="F508" s="12">
        <f t="shared" si="52"/>
        <v>4.907783826576931E-5</v>
      </c>
      <c r="G508" s="12">
        <f t="shared" si="53"/>
        <v>3.3232548834580222</v>
      </c>
      <c r="I508" s="12">
        <f t="shared" si="54"/>
        <v>7.0055576698625005E-3</v>
      </c>
      <c r="J508" s="12">
        <f t="shared" si="55"/>
        <v>7.4054730214398717E-3</v>
      </c>
    </row>
    <row r="509" spans="1:10">
      <c r="A509" s="15">
        <v>40973</v>
      </c>
      <c r="B509" s="11">
        <v>1.5058</v>
      </c>
      <c r="C509" s="11">
        <f t="shared" si="49"/>
        <v>-2.9999999999996696E-4</v>
      </c>
      <c r="D509" s="12">
        <f t="shared" si="50"/>
        <v>8.9999999999980173E-8</v>
      </c>
      <c r="E509" s="12">
        <f t="shared" si="51"/>
        <v>7.0559999999999379E-5</v>
      </c>
      <c r="F509" s="12">
        <f t="shared" si="52"/>
        <v>5.1349996620783532E-5</v>
      </c>
      <c r="G509" s="12">
        <f t="shared" si="53"/>
        <v>4.0186079641988393</v>
      </c>
      <c r="I509" s="12">
        <f t="shared" si="54"/>
        <v>7.1658911951538538E-3</v>
      </c>
      <c r="J509" s="12">
        <f t="shared" si="55"/>
        <v>7.4054730214398717E-3</v>
      </c>
    </row>
    <row r="510" spans="1:10">
      <c r="A510" s="15">
        <v>40974</v>
      </c>
      <c r="B510" s="11">
        <v>1.5137</v>
      </c>
      <c r="C510" s="11">
        <f t="shared" si="49"/>
        <v>7.9000000000000181E-3</v>
      </c>
      <c r="D510" s="12">
        <f t="shared" si="50"/>
        <v>6.2410000000000292E-5</v>
      </c>
      <c r="E510" s="12">
        <f t="shared" si="51"/>
        <v>8.9999999999980173E-8</v>
      </c>
      <c r="F510" s="12">
        <f t="shared" si="52"/>
        <v>4.7493188242390589E-5</v>
      </c>
      <c r="G510" s="12">
        <f t="shared" si="53"/>
        <v>3.4014819989755183</v>
      </c>
      <c r="I510" s="12">
        <f t="shared" si="54"/>
        <v>6.8915301814902177E-3</v>
      </c>
      <c r="J510" s="12">
        <f t="shared" si="55"/>
        <v>7.4054730214398717E-3</v>
      </c>
    </row>
    <row r="511" spans="1:10">
      <c r="A511" s="15">
        <v>40975</v>
      </c>
      <c r="B511" s="11">
        <v>1.512</v>
      </c>
      <c r="C511" s="11">
        <f t="shared" si="49"/>
        <v>-1.7000000000000348E-3</v>
      </c>
      <c r="D511" s="12">
        <f t="shared" si="50"/>
        <v>2.8900000000001184E-6</v>
      </c>
      <c r="E511" s="12">
        <f t="shared" si="51"/>
        <v>6.2410000000000292E-5</v>
      </c>
      <c r="F511" s="12">
        <f t="shared" si="52"/>
        <v>4.9315211523919255E-5</v>
      </c>
      <c r="G511" s="12">
        <f t="shared" si="53"/>
        <v>4.0103991426672119</v>
      </c>
      <c r="I511" s="12">
        <f t="shared" si="54"/>
        <v>7.0224790155556356E-3</v>
      </c>
      <c r="J511" s="12">
        <f t="shared" si="55"/>
        <v>7.4054730214398717E-3</v>
      </c>
    </row>
    <row r="512" spans="1:10">
      <c r="A512" s="15">
        <v>40976</v>
      </c>
      <c r="B512" s="11">
        <v>1.5019</v>
      </c>
      <c r="C512" s="11">
        <f t="shared" si="49"/>
        <v>-1.0099999999999998E-2</v>
      </c>
      <c r="D512" s="12">
        <f t="shared" si="50"/>
        <v>1.0200999999999995E-4</v>
      </c>
      <c r="E512" s="12">
        <f t="shared" si="51"/>
        <v>2.8900000000001184E-6</v>
      </c>
      <c r="F512" s="12">
        <f t="shared" si="52"/>
        <v>4.5974212492886762E-5</v>
      </c>
      <c r="G512" s="12">
        <f t="shared" si="53"/>
        <v>2.9653501277697631</v>
      </c>
      <c r="I512" s="12">
        <f t="shared" si="54"/>
        <v>6.7804286363685566E-3</v>
      </c>
      <c r="J512" s="12">
        <f t="shared" si="55"/>
        <v>7.4054730214398717E-3</v>
      </c>
    </row>
    <row r="513" spans="1:10">
      <c r="A513" s="15">
        <v>40977</v>
      </c>
      <c r="B513" s="11">
        <v>1.5147999999999999</v>
      </c>
      <c r="C513" s="11">
        <f t="shared" si="49"/>
        <v>1.2899999999999912E-2</v>
      </c>
      <c r="D513" s="12">
        <f t="shared" si="50"/>
        <v>1.6640999999999772E-4</v>
      </c>
      <c r="E513" s="12">
        <f t="shared" si="51"/>
        <v>1.0200999999999995E-4</v>
      </c>
      <c r="F513" s="12">
        <f t="shared" si="52"/>
        <v>5.1274263743796582E-5</v>
      </c>
      <c r="G513" s="12">
        <f t="shared" si="53"/>
        <v>2.3974783409308822</v>
      </c>
      <c r="I513" s="12">
        <f t="shared" si="54"/>
        <v>7.1606049844825667E-3</v>
      </c>
      <c r="J513" s="12">
        <f t="shared" si="55"/>
        <v>7.4054730214398717E-3</v>
      </c>
    </row>
    <row r="514" spans="1:10">
      <c r="A514" s="15">
        <v>40980</v>
      </c>
      <c r="B514" s="11">
        <v>1.512</v>
      </c>
      <c r="C514" s="11">
        <f t="shared" si="49"/>
        <v>-2.7999999999999137E-3</v>
      </c>
      <c r="D514" s="12">
        <f t="shared" si="50"/>
        <v>7.8399999999995167E-6</v>
      </c>
      <c r="E514" s="12">
        <f t="shared" si="51"/>
        <v>1.6640999999999772E-4</v>
      </c>
      <c r="F514" s="12">
        <f t="shared" si="52"/>
        <v>6.1142439149748797E-5</v>
      </c>
      <c r="G514" s="12">
        <f t="shared" si="53"/>
        <v>3.8681010454795439</v>
      </c>
      <c r="I514" s="12">
        <f t="shared" si="54"/>
        <v>7.8193630910547186E-3</v>
      </c>
      <c r="J514" s="12">
        <f t="shared" si="55"/>
        <v>7.4054730214398717E-3</v>
      </c>
    </row>
    <row r="515" spans="1:10">
      <c r="A515" s="15">
        <v>40981</v>
      </c>
      <c r="B515" s="11">
        <v>1.5175000000000001</v>
      </c>
      <c r="C515" s="11">
        <f t="shared" si="49"/>
        <v>5.5000000000000604E-3</v>
      </c>
      <c r="D515" s="12">
        <f t="shared" si="50"/>
        <v>3.0250000000000664E-5</v>
      </c>
      <c r="E515" s="12">
        <f t="shared" si="51"/>
        <v>7.8399999999995167E-6</v>
      </c>
      <c r="F515" s="12">
        <f t="shared" si="52"/>
        <v>5.6553459307689998E-5</v>
      </c>
      <c r="G515" s="12">
        <f t="shared" si="53"/>
        <v>3.703777489493294</v>
      </c>
      <c r="I515" s="12">
        <f t="shared" si="54"/>
        <v>7.5202034086645558E-3</v>
      </c>
      <c r="J515" s="12">
        <f t="shared" si="55"/>
        <v>7.4054730214398717E-3</v>
      </c>
    </row>
    <row r="516" spans="1:10">
      <c r="A516" s="15">
        <v>40982</v>
      </c>
      <c r="B516" s="11">
        <v>1.5236000000000001</v>
      </c>
      <c r="C516" s="11">
        <f t="shared" si="49"/>
        <v>6.0999999999999943E-3</v>
      </c>
      <c r="D516" s="12">
        <f t="shared" si="50"/>
        <v>3.720999999999993E-5</v>
      </c>
      <c r="E516" s="12">
        <f t="shared" si="51"/>
        <v>3.0250000000000664E-5</v>
      </c>
      <c r="F516" s="12">
        <f t="shared" si="52"/>
        <v>5.4454945612153905E-5</v>
      </c>
      <c r="G516" s="12">
        <f t="shared" si="53"/>
        <v>3.6484713103424822</v>
      </c>
      <c r="I516" s="12">
        <f t="shared" si="54"/>
        <v>7.3793594310179733E-3</v>
      </c>
      <c r="J516" s="12">
        <f t="shared" si="55"/>
        <v>7.4054730214398717E-3</v>
      </c>
    </row>
    <row r="517" spans="1:10">
      <c r="A517" s="15">
        <v>40983</v>
      </c>
      <c r="B517" s="11">
        <v>1.5279</v>
      </c>
      <c r="C517" s="11">
        <f t="shared" si="49"/>
        <v>4.2999999999999705E-3</v>
      </c>
      <c r="D517" s="12">
        <f t="shared" si="50"/>
        <v>1.8489999999999747E-5</v>
      </c>
      <c r="E517" s="12">
        <f t="shared" si="51"/>
        <v>3.720999999999993E-5</v>
      </c>
      <c r="F517" s="12">
        <f t="shared" si="52"/>
        <v>5.3224189464283601E-5</v>
      </c>
      <c r="G517" s="12">
        <f t="shared" si="53"/>
        <v>3.8278610309632408</v>
      </c>
      <c r="I517" s="12">
        <f t="shared" si="54"/>
        <v>7.2954910365432973E-3</v>
      </c>
      <c r="J517" s="12">
        <f t="shared" si="55"/>
        <v>7.4054730214398717E-3</v>
      </c>
    </row>
    <row r="518" spans="1:10">
      <c r="A518" s="15">
        <v>40984</v>
      </c>
      <c r="B518" s="11">
        <v>1.5134000000000001</v>
      </c>
      <c r="C518" s="11">
        <f t="shared" si="49"/>
        <v>-1.4499999999999957E-2</v>
      </c>
      <c r="D518" s="12">
        <f t="shared" si="50"/>
        <v>2.1024999999999877E-4</v>
      </c>
      <c r="E518" s="12">
        <f t="shared" si="51"/>
        <v>1.8489999999999747E-5</v>
      </c>
      <c r="F518" s="12">
        <f t="shared" si="52"/>
        <v>5.0622164274504851E-5</v>
      </c>
      <c r="G518" s="12">
        <f t="shared" si="53"/>
        <v>1.9499624510570319</v>
      </c>
      <c r="I518" s="12">
        <f t="shared" si="54"/>
        <v>7.1149254581130261E-3</v>
      </c>
      <c r="J518" s="12">
        <f t="shared" si="55"/>
        <v>7.4054730214398717E-3</v>
      </c>
    </row>
    <row r="519" spans="1:10">
      <c r="A519" s="15">
        <v>40987</v>
      </c>
      <c r="B519" s="11">
        <v>1.5075000000000001</v>
      </c>
      <c r="C519" s="11">
        <f t="shared" si="49"/>
        <v>-5.9000000000000163E-3</v>
      </c>
      <c r="D519" s="12">
        <f t="shared" si="50"/>
        <v>3.481000000000019E-5</v>
      </c>
      <c r="E519" s="12">
        <f t="shared" si="51"/>
        <v>2.1024999999999877E-4</v>
      </c>
      <c r="F519" s="12">
        <f t="shared" si="52"/>
        <v>6.4196601432208201E-5</v>
      </c>
      <c r="G519" s="12">
        <f t="shared" si="53"/>
        <v>3.636721330990961</v>
      </c>
      <c r="I519" s="12">
        <f t="shared" si="54"/>
        <v>8.0122781674258035E-3</v>
      </c>
      <c r="J519" s="12">
        <f t="shared" si="55"/>
        <v>7.4054730214398717E-3</v>
      </c>
    </row>
    <row r="520" spans="1:10">
      <c r="A520" s="15">
        <v>40988</v>
      </c>
      <c r="B520" s="11">
        <v>1.5081</v>
      </c>
      <c r="C520" s="11">
        <f t="shared" si="49"/>
        <v>5.9999999999993392E-4</v>
      </c>
      <c r="D520" s="12">
        <f t="shared" si="50"/>
        <v>3.5999999999992069E-7</v>
      </c>
      <c r="E520" s="12">
        <f t="shared" si="51"/>
        <v>3.481000000000019E-5</v>
      </c>
      <c r="F520" s="12">
        <f t="shared" si="52"/>
        <v>6.1403838866253623E-5</v>
      </c>
      <c r="G520" s="12">
        <f t="shared" si="53"/>
        <v>3.9271491478532008</v>
      </c>
      <c r="I520" s="12">
        <f t="shared" si="54"/>
        <v>7.8360601622405653E-3</v>
      </c>
      <c r="J520" s="12">
        <f t="shared" si="55"/>
        <v>7.4054730214398717E-3</v>
      </c>
    </row>
    <row r="521" spans="1:10">
      <c r="A521" s="15">
        <v>40989</v>
      </c>
      <c r="B521" s="11">
        <v>1.5125999999999999</v>
      </c>
      <c r="C521" s="11">
        <f t="shared" si="49"/>
        <v>4.4999999999999485E-3</v>
      </c>
      <c r="D521" s="12">
        <f t="shared" si="50"/>
        <v>2.0249999999999537E-5</v>
      </c>
      <c r="E521" s="12">
        <f t="shared" si="51"/>
        <v>3.5999999999992069E-7</v>
      </c>
      <c r="F521" s="12">
        <f t="shared" si="52"/>
        <v>5.6161471417795452E-5</v>
      </c>
      <c r="G521" s="12">
        <f t="shared" si="53"/>
        <v>3.7944175204525123</v>
      </c>
      <c r="I521" s="12">
        <f t="shared" si="54"/>
        <v>7.4940957705246503E-3</v>
      </c>
      <c r="J521" s="12">
        <f t="shared" si="55"/>
        <v>7.4054730214398717E-3</v>
      </c>
    </row>
    <row r="522" spans="1:10">
      <c r="A522" s="15">
        <v>40990</v>
      </c>
      <c r="B522" s="11">
        <v>1.5082</v>
      </c>
      <c r="C522" s="11">
        <f t="shared" si="49"/>
        <v>-4.3999999999999595E-3</v>
      </c>
      <c r="D522" s="12">
        <f t="shared" si="50"/>
        <v>1.9359999999999645E-5</v>
      </c>
      <c r="E522" s="12">
        <f t="shared" si="51"/>
        <v>2.0249999999999537E-5</v>
      </c>
      <c r="F522" s="12">
        <f t="shared" si="52"/>
        <v>5.3293269265085577E-5</v>
      </c>
      <c r="G522" s="12">
        <f t="shared" si="53"/>
        <v>3.8192752713642366</v>
      </c>
      <c r="I522" s="12">
        <f t="shared" si="54"/>
        <v>7.3002239188319131E-3</v>
      </c>
      <c r="J522" s="12">
        <f t="shared" si="55"/>
        <v>7.4054730214398717E-3</v>
      </c>
    </row>
    <row r="523" spans="1:10">
      <c r="A523" s="15">
        <v>40991</v>
      </c>
      <c r="B523" s="11">
        <v>1.5065999999999999</v>
      </c>
      <c r="C523" s="11">
        <f t="shared" si="49"/>
        <v>-1.6000000000000458E-3</v>
      </c>
      <c r="D523" s="12">
        <f t="shared" si="50"/>
        <v>2.5600000000001466E-6</v>
      </c>
      <c r="E523" s="12">
        <f t="shared" si="51"/>
        <v>1.9359999999999645E-5</v>
      </c>
      <c r="F523" s="12">
        <f t="shared" si="52"/>
        <v>5.0753309220807481E-5</v>
      </c>
      <c r="G523" s="12">
        <f t="shared" si="53"/>
        <v>4.0001082969609127</v>
      </c>
      <c r="I523" s="12">
        <f t="shared" si="54"/>
        <v>7.1241356823692993E-3</v>
      </c>
      <c r="J523" s="12">
        <f t="shared" si="55"/>
        <v>7.4054730214398717E-3</v>
      </c>
    </row>
    <row r="524" spans="1:10">
      <c r="A524" s="15">
        <v>40994</v>
      </c>
      <c r="B524" s="11">
        <v>1.5009999999999999</v>
      </c>
      <c r="C524" s="11">
        <f t="shared" si="49"/>
        <v>-5.6000000000000494E-3</v>
      </c>
      <c r="D524" s="12">
        <f t="shared" si="50"/>
        <v>3.1360000000000554E-5</v>
      </c>
      <c r="E524" s="12">
        <f t="shared" si="51"/>
        <v>2.5600000000001466E-6</v>
      </c>
      <c r="F524" s="12">
        <f t="shared" si="52"/>
        <v>4.7183724711015223E-5</v>
      </c>
      <c r="G524" s="12">
        <f t="shared" si="53"/>
        <v>3.7294742513469354</v>
      </c>
      <c r="I524" s="12">
        <f t="shared" si="54"/>
        <v>6.8690410328527823E-3</v>
      </c>
      <c r="J524" s="12">
        <f t="shared" si="55"/>
        <v>7.4054730214398717E-3</v>
      </c>
    </row>
    <row r="525" spans="1:10">
      <c r="A525" s="15">
        <v>40995</v>
      </c>
      <c r="B525" s="11">
        <v>1.5031000000000001</v>
      </c>
      <c r="C525" s="11">
        <f t="shared" si="49"/>
        <v>2.1000000000002128E-3</v>
      </c>
      <c r="D525" s="12">
        <f t="shared" si="50"/>
        <v>4.4100000000008937E-6</v>
      </c>
      <c r="E525" s="12">
        <f t="shared" si="51"/>
        <v>3.1360000000000554E-5</v>
      </c>
      <c r="F525" s="12">
        <f t="shared" si="52"/>
        <v>4.648876738377687E-5</v>
      </c>
      <c r="G525" s="12">
        <f t="shared" si="53"/>
        <v>4.0217805652008671</v>
      </c>
      <c r="I525" s="12">
        <f t="shared" si="54"/>
        <v>6.8182671833668168E-3</v>
      </c>
      <c r="J525" s="12">
        <f t="shared" si="55"/>
        <v>7.4054730214398717E-3</v>
      </c>
    </row>
    <row r="526" spans="1:10">
      <c r="A526" s="15">
        <v>40996</v>
      </c>
      <c r="B526" s="11">
        <v>1.5028999999999999</v>
      </c>
      <c r="C526" s="11">
        <f t="shared" ref="C526:C589" si="56">B526-B525</f>
        <v>-2.0000000000020002E-4</v>
      </c>
      <c r="D526" s="12">
        <f t="shared" ref="D526:D589" si="57">C526^2</f>
        <v>4.0000000000080006E-8</v>
      </c>
      <c r="E526" s="12">
        <f t="shared" si="51"/>
        <v>4.4100000000008937E-6</v>
      </c>
      <c r="F526" s="12">
        <f t="shared" si="52"/>
        <v>4.3668886421952308E-5</v>
      </c>
      <c r="G526" s="12">
        <f t="shared" si="53"/>
        <v>4.1000408127397083</v>
      </c>
      <c r="I526" s="12">
        <f t="shared" si="54"/>
        <v>6.6082438228285967E-3</v>
      </c>
      <c r="J526" s="12">
        <f t="shared" si="55"/>
        <v>7.4054730214398717E-3</v>
      </c>
    </row>
    <row r="527" spans="1:10">
      <c r="A527" s="15">
        <v>40997</v>
      </c>
      <c r="B527" s="11">
        <v>1.5009999999999999</v>
      </c>
      <c r="C527" s="11">
        <f t="shared" si="56"/>
        <v>-1.9000000000000128E-3</v>
      </c>
      <c r="D527" s="12">
        <f t="shared" si="57"/>
        <v>3.6100000000000484E-6</v>
      </c>
      <c r="E527" s="12">
        <f t="shared" ref="E527:E590" si="58">D526</f>
        <v>4.0000000000080006E-8</v>
      </c>
      <c r="F527" s="12">
        <f t="shared" ref="F527:F590" si="59">$B$5+$B$6*E527+$B$7*F526</f>
        <v>4.0883528136495123E-5</v>
      </c>
      <c r="G527" s="12">
        <f t="shared" ref="G527:G590" si="60">LN((1/SQRT(2*3.1415927*F527))*EXP(-0.5*D527/F527))</f>
        <v>4.0893033049351972</v>
      </c>
      <c r="I527" s="12">
        <f t="shared" ref="I527:I590" si="61">SQRT(F527)</f>
        <v>6.3940228445396657E-3</v>
      </c>
      <c r="J527" s="12">
        <f t="shared" si="55"/>
        <v>7.4054730214398717E-3</v>
      </c>
    </row>
    <row r="528" spans="1:10">
      <c r="A528" s="15">
        <v>40998</v>
      </c>
      <c r="B528" s="11">
        <v>1.5036</v>
      </c>
      <c r="C528" s="11">
        <f t="shared" si="56"/>
        <v>2.6000000000001577E-3</v>
      </c>
      <c r="D528" s="12">
        <f t="shared" si="57"/>
        <v>6.7600000000008204E-6</v>
      </c>
      <c r="E528" s="12">
        <f t="shared" si="58"/>
        <v>3.6100000000000484E-6</v>
      </c>
      <c r="F528" s="12">
        <f t="shared" si="59"/>
        <v>3.8782573199053701E-5</v>
      </c>
      <c r="G528" s="12">
        <f t="shared" si="60"/>
        <v>4.0726786915654234</v>
      </c>
      <c r="I528" s="12">
        <f t="shared" si="61"/>
        <v>6.2275655917102711E-3</v>
      </c>
      <c r="J528" s="12">
        <f t="shared" ref="J528:J591" si="62">J527</f>
        <v>7.4054730214398717E-3</v>
      </c>
    </row>
    <row r="529" spans="1:10">
      <c r="A529" s="15">
        <v>41001</v>
      </c>
      <c r="B529" s="11">
        <v>1.5078</v>
      </c>
      <c r="C529" s="11">
        <f t="shared" si="56"/>
        <v>4.1999999999999815E-3</v>
      </c>
      <c r="D529" s="12">
        <f t="shared" si="57"/>
        <v>1.7639999999999845E-5</v>
      </c>
      <c r="E529" s="12">
        <f t="shared" si="58"/>
        <v>6.7600000000008204E-6</v>
      </c>
      <c r="F529" s="12">
        <f t="shared" si="59"/>
        <v>3.7235553486047391E-5</v>
      </c>
      <c r="G529" s="12">
        <f t="shared" si="60"/>
        <v>3.9433143285730865</v>
      </c>
      <c r="I529" s="12">
        <f t="shared" si="61"/>
        <v>6.1020941885591533E-3</v>
      </c>
      <c r="J529" s="12">
        <f t="shared" si="62"/>
        <v>7.4054730214398717E-3</v>
      </c>
    </row>
    <row r="530" spans="1:10">
      <c r="A530" s="15">
        <v>41002</v>
      </c>
      <c r="B530" s="11">
        <v>1.5085999999999999</v>
      </c>
      <c r="C530" s="11">
        <f t="shared" si="56"/>
        <v>7.9999999999991189E-4</v>
      </c>
      <c r="D530" s="12">
        <f t="shared" si="57"/>
        <v>6.3999999999985898E-7</v>
      </c>
      <c r="E530" s="12">
        <f t="shared" si="58"/>
        <v>1.7639999999999845E-5</v>
      </c>
      <c r="F530" s="12">
        <f t="shared" si="59"/>
        <v>3.6802301065768139E-5</v>
      </c>
      <c r="G530" s="12">
        <f t="shared" si="60"/>
        <v>4.1773414438226784</v>
      </c>
      <c r="I530" s="12">
        <f t="shared" si="61"/>
        <v>6.0664900120059656E-3</v>
      </c>
      <c r="J530" s="12">
        <f t="shared" si="62"/>
        <v>7.4054730214398717E-3</v>
      </c>
    </row>
    <row r="531" spans="1:10">
      <c r="A531" s="15">
        <v>41003</v>
      </c>
      <c r="B531" s="11">
        <v>1.5089999999999999</v>
      </c>
      <c r="C531" s="11">
        <f t="shared" si="56"/>
        <v>3.9999999999995595E-4</v>
      </c>
      <c r="D531" s="12">
        <f t="shared" si="57"/>
        <v>1.5999999999996475E-7</v>
      </c>
      <c r="E531" s="12">
        <f t="shared" si="58"/>
        <v>6.3999999999985898E-7</v>
      </c>
      <c r="F531" s="12">
        <f t="shared" si="59"/>
        <v>3.5027933886411096E-5</v>
      </c>
      <c r="G531" s="12">
        <f t="shared" si="60"/>
        <v>4.2084599198001102</v>
      </c>
      <c r="I531" s="12">
        <f t="shared" si="61"/>
        <v>5.918440156528669E-3</v>
      </c>
      <c r="J531" s="12">
        <f t="shared" si="62"/>
        <v>7.4054730214398717E-3</v>
      </c>
    </row>
    <row r="532" spans="1:10">
      <c r="A532" s="15">
        <v>41004</v>
      </c>
      <c r="B532" s="11">
        <v>1.5259</v>
      </c>
      <c r="C532" s="11">
        <f t="shared" si="56"/>
        <v>1.6900000000000137E-2</v>
      </c>
      <c r="D532" s="12">
        <f t="shared" si="57"/>
        <v>2.8561000000000466E-4</v>
      </c>
      <c r="E532" s="12">
        <f t="shared" si="58"/>
        <v>1.5999999999996475E-7</v>
      </c>
      <c r="F532" s="12">
        <f t="shared" si="59"/>
        <v>3.3462448630626036E-5</v>
      </c>
      <c r="G532" s="12">
        <f t="shared" si="60"/>
        <v>-3.401474945363514E-2</v>
      </c>
      <c r="I532" s="12">
        <f t="shared" si="61"/>
        <v>5.7846735975875105E-3</v>
      </c>
      <c r="J532" s="12">
        <f t="shared" si="62"/>
        <v>7.4054730214398717E-3</v>
      </c>
    </row>
    <row r="533" spans="1:10">
      <c r="A533" s="15">
        <v>41005</v>
      </c>
      <c r="B533" s="11">
        <v>1.5184</v>
      </c>
      <c r="C533" s="11">
        <f t="shared" si="56"/>
        <v>-7.5000000000000622E-3</v>
      </c>
      <c r="D533" s="12">
        <f t="shared" si="57"/>
        <v>5.6250000000000934E-5</v>
      </c>
      <c r="E533" s="12">
        <f t="shared" si="58"/>
        <v>2.8561000000000466E-4</v>
      </c>
      <c r="F533" s="12">
        <f t="shared" si="59"/>
        <v>5.5653750782560732E-5</v>
      </c>
      <c r="G533" s="12">
        <f t="shared" si="60"/>
        <v>3.4738852261303519</v>
      </c>
      <c r="I533" s="12">
        <f t="shared" si="61"/>
        <v>7.4601441529343606E-3</v>
      </c>
      <c r="J533" s="12">
        <f t="shared" si="62"/>
        <v>7.4054730214398717E-3</v>
      </c>
    </row>
    <row r="534" spans="1:10">
      <c r="A534" s="15">
        <v>41008</v>
      </c>
      <c r="B534" s="11">
        <v>1.5197000000000001</v>
      </c>
      <c r="C534" s="11">
        <f t="shared" si="56"/>
        <v>1.3000000000000789E-3</v>
      </c>
      <c r="D534" s="12">
        <f t="shared" si="57"/>
        <v>1.6900000000002051E-6</v>
      </c>
      <c r="E534" s="12">
        <f t="shared" si="58"/>
        <v>5.6250000000000934E-5</v>
      </c>
      <c r="F534" s="12">
        <f t="shared" si="59"/>
        <v>5.5825124210053913E-5</v>
      </c>
      <c r="G534" s="12">
        <f t="shared" si="60"/>
        <v>3.9625681731625875</v>
      </c>
      <c r="I534" s="12">
        <f t="shared" si="61"/>
        <v>7.4716212571338163E-3</v>
      </c>
      <c r="J534" s="12">
        <f t="shared" si="62"/>
        <v>7.4054730214398717E-3</v>
      </c>
    </row>
    <row r="535" spans="1:10">
      <c r="A535" s="15">
        <v>41009</v>
      </c>
      <c r="B535" s="11">
        <v>1.5249999999999999</v>
      </c>
      <c r="C535" s="11">
        <f t="shared" si="56"/>
        <v>5.2999999999998604E-3</v>
      </c>
      <c r="D535" s="12">
        <f t="shared" si="57"/>
        <v>2.808999999999852E-5</v>
      </c>
      <c r="E535" s="12">
        <f t="shared" si="58"/>
        <v>1.6900000000002051E-6</v>
      </c>
      <c r="F535" s="12">
        <f t="shared" si="59"/>
        <v>5.147360367702763E-5</v>
      </c>
      <c r="G535" s="12">
        <f t="shared" si="60"/>
        <v>3.7454238751229281</v>
      </c>
      <c r="I535" s="12">
        <f t="shared" si="61"/>
        <v>7.1745106925160847E-3</v>
      </c>
      <c r="J535" s="12">
        <f t="shared" si="62"/>
        <v>7.4054730214398717E-3</v>
      </c>
    </row>
    <row r="536" spans="1:10">
      <c r="A536" s="15">
        <v>41010</v>
      </c>
      <c r="B536" s="11">
        <v>1.5267999999999999</v>
      </c>
      <c r="C536" s="11">
        <f t="shared" si="56"/>
        <v>1.8000000000000238E-3</v>
      </c>
      <c r="D536" s="12">
        <f t="shared" si="57"/>
        <v>3.2400000000000859E-6</v>
      </c>
      <c r="E536" s="12">
        <f t="shared" si="58"/>
        <v>2.808999999999852E-5</v>
      </c>
      <c r="F536" s="12">
        <f t="shared" si="59"/>
        <v>4.9908304829423358E-5</v>
      </c>
      <c r="G536" s="12">
        <f t="shared" si="60"/>
        <v>4.0012635015740816</v>
      </c>
      <c r="I536" s="12">
        <f t="shared" si="61"/>
        <v>7.0645810087664332E-3</v>
      </c>
      <c r="J536" s="12">
        <f t="shared" si="62"/>
        <v>7.4054730214398717E-3</v>
      </c>
    </row>
    <row r="537" spans="1:10">
      <c r="A537" s="15">
        <v>41011</v>
      </c>
      <c r="B537" s="11">
        <v>1.5139</v>
      </c>
      <c r="C537" s="11">
        <f t="shared" si="56"/>
        <v>-1.2899999999999912E-2</v>
      </c>
      <c r="D537" s="12">
        <f t="shared" si="57"/>
        <v>1.6640999999999772E-4</v>
      </c>
      <c r="E537" s="12">
        <f t="shared" si="58"/>
        <v>3.2400000000000859E-6</v>
      </c>
      <c r="F537" s="12">
        <f t="shared" si="59"/>
        <v>4.6513116162503512E-5</v>
      </c>
      <c r="G537" s="12">
        <f t="shared" si="60"/>
        <v>2.2800993067010467</v>
      </c>
      <c r="I537" s="12">
        <f t="shared" si="61"/>
        <v>6.8200525043802642E-3</v>
      </c>
      <c r="J537" s="12">
        <f t="shared" si="62"/>
        <v>7.4054730214398717E-3</v>
      </c>
    </row>
    <row r="538" spans="1:10">
      <c r="A538" s="15">
        <v>41012</v>
      </c>
      <c r="B538" s="11">
        <v>1.5306999999999999</v>
      </c>
      <c r="C538" s="11">
        <f t="shared" si="56"/>
        <v>1.6799999999999926E-2</v>
      </c>
      <c r="D538" s="12">
        <f t="shared" si="57"/>
        <v>2.8223999999999751E-4</v>
      </c>
      <c r="E538" s="12">
        <f t="shared" si="58"/>
        <v>1.6640999999999772E-4</v>
      </c>
      <c r="F538" s="12">
        <f t="shared" si="59"/>
        <v>5.7047987081267659E-5</v>
      </c>
      <c r="G538" s="12">
        <f t="shared" si="60"/>
        <v>1.4931634295295684</v>
      </c>
      <c r="I538" s="12">
        <f t="shared" si="61"/>
        <v>7.5530117887679521E-3</v>
      </c>
      <c r="J538" s="12">
        <f t="shared" si="62"/>
        <v>7.4054730214398717E-3</v>
      </c>
    </row>
    <row r="539" spans="1:10">
      <c r="A539" s="15">
        <v>41015</v>
      </c>
      <c r="B539" s="11">
        <v>1.5242</v>
      </c>
      <c r="C539" s="11">
        <f t="shared" si="56"/>
        <v>-6.4999999999999503E-3</v>
      </c>
      <c r="D539" s="12">
        <f t="shared" si="57"/>
        <v>4.2249999999999353E-5</v>
      </c>
      <c r="E539" s="12">
        <f t="shared" si="58"/>
        <v>2.8223999999999751E-4</v>
      </c>
      <c r="F539" s="12">
        <f t="shared" si="59"/>
        <v>7.5658763089514632E-5</v>
      </c>
      <c r="G539" s="12">
        <f t="shared" si="60"/>
        <v>3.5464859163294928</v>
      </c>
      <c r="I539" s="12">
        <f t="shared" si="61"/>
        <v>8.6982045900010092E-3</v>
      </c>
      <c r="J539" s="12">
        <f t="shared" si="62"/>
        <v>7.4054730214398717E-3</v>
      </c>
    </row>
    <row r="540" spans="1:10">
      <c r="A540" s="15">
        <v>41016</v>
      </c>
      <c r="B540" s="11">
        <v>1.5198</v>
      </c>
      <c r="C540" s="11">
        <f t="shared" si="56"/>
        <v>-4.3999999999999595E-3</v>
      </c>
      <c r="D540" s="12">
        <f t="shared" si="57"/>
        <v>1.9359999999999645E-5</v>
      </c>
      <c r="E540" s="12">
        <f t="shared" si="58"/>
        <v>4.2249999999999353E-5</v>
      </c>
      <c r="F540" s="12">
        <f t="shared" si="59"/>
        <v>7.1874459176175052E-5</v>
      </c>
      <c r="G540" s="12">
        <f t="shared" si="60"/>
        <v>3.716676976834655</v>
      </c>
      <c r="I540" s="12">
        <f t="shared" si="61"/>
        <v>8.47788058279751E-3</v>
      </c>
      <c r="J540" s="12">
        <f t="shared" si="62"/>
        <v>7.4054730214398717E-3</v>
      </c>
    </row>
    <row r="541" spans="1:10">
      <c r="A541" s="15">
        <v>41017</v>
      </c>
      <c r="B541" s="11">
        <v>1.5271999999999999</v>
      </c>
      <c r="C541" s="11">
        <f t="shared" si="56"/>
        <v>7.3999999999998511E-3</v>
      </c>
      <c r="D541" s="12">
        <f t="shared" si="57"/>
        <v>5.4759999999997795E-5</v>
      </c>
      <c r="E541" s="12">
        <f t="shared" si="58"/>
        <v>1.9359999999999645E-5</v>
      </c>
      <c r="F541" s="12">
        <f t="shared" si="59"/>
        <v>6.6732606263651678E-5</v>
      </c>
      <c r="G541" s="12">
        <f t="shared" si="60"/>
        <v>3.4781757163828937</v>
      </c>
      <c r="I541" s="12">
        <f t="shared" si="61"/>
        <v>8.1690027704519521E-3</v>
      </c>
      <c r="J541" s="12">
        <f t="shared" si="62"/>
        <v>7.4054730214398717E-3</v>
      </c>
    </row>
    <row r="542" spans="1:10">
      <c r="A542" s="15">
        <v>41018</v>
      </c>
      <c r="B542" s="11">
        <v>1.5237000000000001</v>
      </c>
      <c r="C542" s="11">
        <f t="shared" si="56"/>
        <v>-3.4999999999998366E-3</v>
      </c>
      <c r="D542" s="12">
        <f t="shared" si="57"/>
        <v>1.2249999999998856E-5</v>
      </c>
      <c r="E542" s="12">
        <f t="shared" si="58"/>
        <v>5.4759999999997795E-5</v>
      </c>
      <c r="F542" s="12">
        <f t="shared" si="59"/>
        <v>6.5229764032240261E-5</v>
      </c>
      <c r="G542" s="12">
        <f t="shared" si="60"/>
        <v>3.8059599515960767</v>
      </c>
      <c r="I542" s="12">
        <f t="shared" si="61"/>
        <v>8.0764945386126684E-3</v>
      </c>
      <c r="J542" s="12">
        <f t="shared" si="62"/>
        <v>7.4054730214398717E-3</v>
      </c>
    </row>
    <row r="543" spans="1:10">
      <c r="A543" s="15">
        <v>41019</v>
      </c>
      <c r="B543" s="11">
        <v>1.5181</v>
      </c>
      <c r="C543" s="11">
        <f t="shared" si="56"/>
        <v>-5.6000000000000494E-3</v>
      </c>
      <c r="D543" s="12">
        <f t="shared" si="57"/>
        <v>3.1360000000000554E-5</v>
      </c>
      <c r="E543" s="12">
        <f t="shared" si="58"/>
        <v>1.2249999999998856E-5</v>
      </c>
      <c r="F543" s="12">
        <f t="shared" si="59"/>
        <v>6.0432081778177573E-5</v>
      </c>
      <c r="G543" s="12">
        <f t="shared" si="60"/>
        <v>3.6785918458994438</v>
      </c>
      <c r="I543" s="12">
        <f t="shared" si="61"/>
        <v>7.7738074183875674E-3</v>
      </c>
      <c r="J543" s="12">
        <f t="shared" si="62"/>
        <v>7.4054730214398717E-3</v>
      </c>
    </row>
    <row r="544" spans="1:10">
      <c r="A544" s="15">
        <v>41022</v>
      </c>
      <c r="B544" s="11">
        <v>1.5237000000000001</v>
      </c>
      <c r="C544" s="11">
        <f t="shared" si="56"/>
        <v>5.6000000000000494E-3</v>
      </c>
      <c r="D544" s="12">
        <f t="shared" si="57"/>
        <v>3.1360000000000554E-5</v>
      </c>
      <c r="E544" s="12">
        <f t="shared" si="58"/>
        <v>3.1360000000000554E-5</v>
      </c>
      <c r="F544" s="12">
        <f t="shared" si="59"/>
        <v>5.7881979224290193E-5</v>
      </c>
      <c r="G544" s="12">
        <f t="shared" si="60"/>
        <v>3.6887176321678812</v>
      </c>
      <c r="I544" s="12">
        <f t="shared" si="61"/>
        <v>7.608020716604956E-3</v>
      </c>
      <c r="J544" s="12">
        <f t="shared" si="62"/>
        <v>7.4054730214398717E-3</v>
      </c>
    </row>
    <row r="545" spans="1:10">
      <c r="A545" s="15">
        <v>41023</v>
      </c>
      <c r="B545" s="11">
        <v>1.5311999999999999</v>
      </c>
      <c r="C545" s="11">
        <f t="shared" si="56"/>
        <v>7.4999999999998401E-3</v>
      </c>
      <c r="D545" s="12">
        <f t="shared" si="57"/>
        <v>5.62499999999976E-5</v>
      </c>
      <c r="E545" s="12">
        <f t="shared" si="58"/>
        <v>3.1360000000000554E-5</v>
      </c>
      <c r="F545" s="12">
        <f t="shared" si="59"/>
        <v>5.5688963255277211E-5</v>
      </c>
      <c r="G545" s="12">
        <f t="shared" si="60"/>
        <v>3.4738885132569881</v>
      </c>
      <c r="I545" s="12">
        <f t="shared" si="61"/>
        <v>7.462503819448082E-3</v>
      </c>
      <c r="J545" s="12">
        <f t="shared" si="62"/>
        <v>7.4054730214398717E-3</v>
      </c>
    </row>
    <row r="546" spans="1:10">
      <c r="A546" s="15">
        <v>41024</v>
      </c>
      <c r="B546" s="11">
        <v>1.5308999999999999</v>
      </c>
      <c r="C546" s="11">
        <f t="shared" si="56"/>
        <v>-2.9999999999996696E-4</v>
      </c>
      <c r="D546" s="12">
        <f t="shared" si="57"/>
        <v>8.9999999999980173E-8</v>
      </c>
      <c r="E546" s="12">
        <f t="shared" si="58"/>
        <v>5.62499999999976E-5</v>
      </c>
      <c r="F546" s="12">
        <f t="shared" si="59"/>
        <v>5.5855405939256235E-5</v>
      </c>
      <c r="G546" s="12">
        <f t="shared" si="60"/>
        <v>3.9766279293753044</v>
      </c>
      <c r="I546" s="12">
        <f t="shared" si="61"/>
        <v>7.4736474320947358E-3</v>
      </c>
      <c r="J546" s="12">
        <f t="shared" si="62"/>
        <v>7.4054730214398717E-3</v>
      </c>
    </row>
    <row r="547" spans="1:10">
      <c r="A547" s="15">
        <v>41025</v>
      </c>
      <c r="B547" s="11">
        <v>1.5425</v>
      </c>
      <c r="C547" s="11">
        <f t="shared" si="56"/>
        <v>1.1600000000000055E-2</v>
      </c>
      <c r="D547" s="12">
        <f t="shared" si="57"/>
        <v>1.3456000000000126E-4</v>
      </c>
      <c r="E547" s="12">
        <f t="shared" si="58"/>
        <v>8.9999999999980173E-8</v>
      </c>
      <c r="F547" s="12">
        <f t="shared" si="59"/>
        <v>5.1367712648198806E-5</v>
      </c>
      <c r="G547" s="12">
        <f t="shared" si="60"/>
        <v>2.7095396691620013</v>
      </c>
      <c r="I547" s="12">
        <f t="shared" si="61"/>
        <v>7.1671272242230227E-3</v>
      </c>
      <c r="J547" s="12">
        <f t="shared" si="62"/>
        <v>7.4054730214398717E-3</v>
      </c>
    </row>
    <row r="548" spans="1:10">
      <c r="A548" s="15">
        <v>41026</v>
      </c>
      <c r="B548" s="11">
        <v>1.536</v>
      </c>
      <c r="C548" s="11">
        <f t="shared" si="56"/>
        <v>-6.4999999999999503E-3</v>
      </c>
      <c r="D548" s="12">
        <f t="shared" si="57"/>
        <v>4.2249999999999353E-5</v>
      </c>
      <c r="E548" s="12">
        <f t="shared" si="58"/>
        <v>1.3456000000000126E-4</v>
      </c>
      <c r="F548" s="12">
        <f t="shared" si="59"/>
        <v>5.8596522063431865E-5</v>
      </c>
      <c r="G548" s="12">
        <f t="shared" si="60"/>
        <v>3.59296278885633</v>
      </c>
      <c r="I548" s="12">
        <f t="shared" si="61"/>
        <v>7.6548365144810159E-3</v>
      </c>
      <c r="J548" s="12">
        <f t="shared" si="62"/>
        <v>7.4054730214398717E-3</v>
      </c>
    </row>
    <row r="549" spans="1:10">
      <c r="A549" s="15">
        <v>41029</v>
      </c>
      <c r="B549" s="11">
        <v>1.5339</v>
      </c>
      <c r="C549" s="11">
        <f t="shared" si="56"/>
        <v>-2.0999999999999908E-3</v>
      </c>
      <c r="D549" s="12">
        <f t="shared" si="57"/>
        <v>4.4099999999999612E-6</v>
      </c>
      <c r="E549" s="12">
        <f t="shared" si="58"/>
        <v>4.2249999999999353E-5</v>
      </c>
      <c r="F549" s="12">
        <f t="shared" si="59"/>
        <v>5.720141515278541E-5</v>
      </c>
      <c r="G549" s="12">
        <f t="shared" si="60"/>
        <v>3.9269794217797456</v>
      </c>
      <c r="I549" s="12">
        <f t="shared" si="61"/>
        <v>7.5631617166886898E-3</v>
      </c>
      <c r="J549" s="12">
        <f t="shared" si="62"/>
        <v>7.4054730214398717E-3</v>
      </c>
    </row>
    <row r="550" spans="1:10">
      <c r="A550" s="15">
        <v>41030</v>
      </c>
      <c r="B550" s="11">
        <v>1.5329999999999999</v>
      </c>
      <c r="C550" s="11">
        <f t="shared" si="56"/>
        <v>-9.0000000000012292E-4</v>
      </c>
      <c r="D550" s="12">
        <f t="shared" si="57"/>
        <v>8.1000000000022126E-7</v>
      </c>
      <c r="E550" s="12">
        <f t="shared" si="58"/>
        <v>4.4099999999999612E-6</v>
      </c>
      <c r="F550" s="12">
        <f t="shared" si="59"/>
        <v>5.2881460085718883E-5</v>
      </c>
      <c r="G550" s="12">
        <f t="shared" si="60"/>
        <v>3.997131696396341</v>
      </c>
      <c r="I550" s="12">
        <f t="shared" si="61"/>
        <v>7.2719639772016809E-3</v>
      </c>
      <c r="J550" s="12">
        <f t="shared" si="62"/>
        <v>7.4054730214398717E-3</v>
      </c>
    </row>
    <row r="551" spans="1:10">
      <c r="A551" s="15">
        <v>41031</v>
      </c>
      <c r="B551" s="11">
        <v>1.5409999999999999</v>
      </c>
      <c r="C551" s="11">
        <f t="shared" si="56"/>
        <v>8.0000000000000071E-3</v>
      </c>
      <c r="D551" s="12">
        <f t="shared" si="57"/>
        <v>6.4000000000000119E-5</v>
      </c>
      <c r="E551" s="12">
        <f t="shared" si="58"/>
        <v>8.1000000000022126E-7</v>
      </c>
      <c r="F551" s="12">
        <f t="shared" si="59"/>
        <v>4.8869573052348428E-5</v>
      </c>
      <c r="G551" s="12">
        <f t="shared" si="60"/>
        <v>3.3894350854849797</v>
      </c>
      <c r="I551" s="12">
        <f t="shared" si="61"/>
        <v>6.990677581776206E-3</v>
      </c>
      <c r="J551" s="12">
        <f t="shared" si="62"/>
        <v>7.4054730214398717E-3</v>
      </c>
    </row>
    <row r="552" spans="1:10">
      <c r="A552" s="15">
        <v>41032</v>
      </c>
      <c r="B552" s="11">
        <v>1.5438000000000001</v>
      </c>
      <c r="C552" s="11">
        <f t="shared" si="56"/>
        <v>2.8000000000001357E-3</v>
      </c>
      <c r="D552" s="12">
        <f t="shared" si="57"/>
        <v>7.8400000000007601E-6</v>
      </c>
      <c r="E552" s="12">
        <f t="shared" si="58"/>
        <v>6.4000000000000119E-5</v>
      </c>
      <c r="F552" s="12">
        <f t="shared" si="59"/>
        <v>5.0629971357117461E-5</v>
      </c>
      <c r="G552" s="12">
        <f t="shared" si="60"/>
        <v>3.9491203825576413</v>
      </c>
      <c r="I552" s="12">
        <f t="shared" si="61"/>
        <v>7.1154740781705795E-3</v>
      </c>
      <c r="J552" s="12">
        <f t="shared" si="62"/>
        <v>7.4054730214398717E-3</v>
      </c>
    </row>
    <row r="553" spans="1:10">
      <c r="A553" s="15">
        <v>41033</v>
      </c>
      <c r="B553" s="11">
        <v>1.5542</v>
      </c>
      <c r="C553" s="11">
        <f t="shared" si="56"/>
        <v>1.0399999999999965E-2</v>
      </c>
      <c r="D553" s="12">
        <f t="shared" si="57"/>
        <v>1.0815999999999926E-4</v>
      </c>
      <c r="E553" s="12">
        <f t="shared" si="58"/>
        <v>7.8400000000007601E-6</v>
      </c>
      <c r="F553" s="12">
        <f t="shared" si="59"/>
        <v>4.7513034753849488E-5</v>
      </c>
      <c r="G553" s="12">
        <f t="shared" si="60"/>
        <v>2.9201007219465107</v>
      </c>
      <c r="I553" s="12">
        <f t="shared" si="61"/>
        <v>6.8929699516137085E-3</v>
      </c>
      <c r="J553" s="12">
        <f t="shared" si="62"/>
        <v>7.4054730214398717E-3</v>
      </c>
    </row>
    <row r="554" spans="1:10">
      <c r="A554" s="15">
        <v>41036</v>
      </c>
      <c r="B554" s="11">
        <v>1.5498000000000001</v>
      </c>
      <c r="C554" s="11">
        <f t="shared" si="56"/>
        <v>-4.3999999999999595E-3</v>
      </c>
      <c r="D554" s="12">
        <f t="shared" si="57"/>
        <v>1.9359999999999645E-5</v>
      </c>
      <c r="E554" s="12">
        <f t="shared" si="58"/>
        <v>1.0815999999999926E-4</v>
      </c>
      <c r="F554" s="12">
        <f t="shared" si="59"/>
        <v>5.3104722690146535E-5</v>
      </c>
      <c r="G554" s="12">
        <f t="shared" si="60"/>
        <v>3.8204024667005578</v>
      </c>
      <c r="I554" s="12">
        <f t="shared" si="61"/>
        <v>7.2872987238171141E-3</v>
      </c>
      <c r="J554" s="12">
        <f t="shared" si="62"/>
        <v>7.4054730214398717E-3</v>
      </c>
    </row>
    <row r="555" spans="1:10">
      <c r="A555" s="15">
        <v>41037</v>
      </c>
      <c r="B555" s="11">
        <v>1.5588</v>
      </c>
      <c r="C555" s="11">
        <f t="shared" si="56"/>
        <v>8.999999999999897E-3</v>
      </c>
      <c r="D555" s="12">
        <f t="shared" si="57"/>
        <v>8.0999999999998147E-5</v>
      </c>
      <c r="E555" s="12">
        <f t="shared" si="58"/>
        <v>1.9359999999999645E-5</v>
      </c>
      <c r="F555" s="12">
        <f t="shared" si="59"/>
        <v>5.0591164506621891E-5</v>
      </c>
      <c r="G555" s="12">
        <f t="shared" si="60"/>
        <v>3.226393223176637</v>
      </c>
      <c r="I555" s="12">
        <f t="shared" si="61"/>
        <v>7.1127466218488264E-3</v>
      </c>
      <c r="J555" s="12">
        <f t="shared" si="62"/>
        <v>7.4054730214398717E-3</v>
      </c>
    </row>
    <row r="556" spans="1:10">
      <c r="A556" s="15">
        <v>41038</v>
      </c>
      <c r="B556" s="11">
        <v>1.5578000000000001</v>
      </c>
      <c r="C556" s="11">
        <f t="shared" si="56"/>
        <v>-9.9999999999988987E-4</v>
      </c>
      <c r="D556" s="12">
        <f t="shared" si="57"/>
        <v>9.9999999999977973E-7</v>
      </c>
      <c r="E556" s="12">
        <f t="shared" si="58"/>
        <v>8.0999999999998147E-5</v>
      </c>
      <c r="F556" s="12">
        <f t="shared" si="59"/>
        <v>5.3512273615691097E-5</v>
      </c>
      <c r="G556" s="12">
        <f t="shared" si="60"/>
        <v>3.9895175670729546</v>
      </c>
      <c r="I556" s="12">
        <f t="shared" si="61"/>
        <v>7.3152083781455671E-3</v>
      </c>
      <c r="J556" s="12">
        <f t="shared" si="62"/>
        <v>7.4054730214398717E-3</v>
      </c>
    </row>
    <row r="557" spans="1:10">
      <c r="A557" s="15">
        <v>41039</v>
      </c>
      <c r="B557" s="11">
        <v>1.5588</v>
      </c>
      <c r="C557" s="11">
        <f t="shared" si="56"/>
        <v>9.9999999999988987E-4</v>
      </c>
      <c r="D557" s="12">
        <f t="shared" si="57"/>
        <v>9.9999999999977973E-7</v>
      </c>
      <c r="E557" s="12">
        <f t="shared" si="58"/>
        <v>9.9999999999977973E-7</v>
      </c>
      <c r="F557" s="12">
        <f t="shared" si="59"/>
        <v>4.9427721800819912E-5</v>
      </c>
      <c r="G557" s="12">
        <f t="shared" si="60"/>
        <v>4.0284452391475103</v>
      </c>
      <c r="I557" s="12">
        <f t="shared" si="61"/>
        <v>7.0304851753502694E-3</v>
      </c>
      <c r="J557" s="12">
        <f t="shared" si="62"/>
        <v>7.4054730214398717E-3</v>
      </c>
    </row>
    <row r="558" spans="1:10">
      <c r="A558" s="15">
        <v>41040</v>
      </c>
      <c r="B558" s="11">
        <v>1.5619000000000001</v>
      </c>
      <c r="C558" s="11">
        <f t="shared" si="56"/>
        <v>3.1000000000001027E-3</v>
      </c>
      <c r="D558" s="12">
        <f t="shared" si="57"/>
        <v>9.6100000000006364E-6</v>
      </c>
      <c r="E558" s="12">
        <f t="shared" si="58"/>
        <v>9.9999999999977973E-7</v>
      </c>
      <c r="F558" s="12">
        <f t="shared" si="59"/>
        <v>4.5915122928033939E-5</v>
      </c>
      <c r="G558" s="12">
        <f t="shared" si="60"/>
        <v>3.9707698528422255</v>
      </c>
      <c r="I558" s="12">
        <f t="shared" si="61"/>
        <v>6.7760698733140244E-3</v>
      </c>
      <c r="J558" s="12">
        <f t="shared" si="62"/>
        <v>7.4054730214398717E-3</v>
      </c>
    </row>
    <row r="559" spans="1:10">
      <c r="A559" s="15">
        <v>41043</v>
      </c>
      <c r="B559" s="11">
        <v>1.5743</v>
      </c>
      <c r="C559" s="11">
        <f t="shared" si="56"/>
        <v>1.2399999999999967E-2</v>
      </c>
      <c r="D559" s="12">
        <f t="shared" si="57"/>
        <v>1.5375999999999918E-4</v>
      </c>
      <c r="E559" s="12">
        <f t="shared" si="58"/>
        <v>9.6100000000006364E-6</v>
      </c>
      <c r="F559" s="12">
        <f t="shared" si="59"/>
        <v>4.3604348926878335E-5</v>
      </c>
      <c r="G559" s="12">
        <f t="shared" si="60"/>
        <v>2.3381114052986836</v>
      </c>
      <c r="I559" s="12">
        <f t="shared" si="61"/>
        <v>6.6033589124685878E-3</v>
      </c>
      <c r="J559" s="12">
        <f t="shared" si="62"/>
        <v>7.4054730214398717E-3</v>
      </c>
    </row>
    <row r="560" spans="1:10">
      <c r="A560" s="15">
        <v>41044</v>
      </c>
      <c r="B560" s="11">
        <v>1.5851999999999999</v>
      </c>
      <c r="C560" s="11">
        <f t="shared" si="56"/>
        <v>1.089999999999991E-2</v>
      </c>
      <c r="D560" s="12">
        <f t="shared" si="57"/>
        <v>1.1880999999999803E-4</v>
      </c>
      <c r="E560" s="12">
        <f t="shared" si="58"/>
        <v>1.5375999999999918E-4</v>
      </c>
      <c r="F560" s="12">
        <f t="shared" si="59"/>
        <v>5.3503438646377954E-5</v>
      </c>
      <c r="G560" s="12">
        <f t="shared" si="60"/>
        <v>2.888641307133994</v>
      </c>
      <c r="I560" s="12">
        <f t="shared" si="61"/>
        <v>7.3146044764141526E-3</v>
      </c>
      <c r="J560" s="12">
        <f t="shared" si="62"/>
        <v>7.4054730214398717E-3</v>
      </c>
    </row>
    <row r="561" spans="1:10">
      <c r="A561" s="15">
        <v>41045</v>
      </c>
      <c r="B561" s="11">
        <v>1.5784</v>
      </c>
      <c r="C561" s="11">
        <f t="shared" si="56"/>
        <v>-6.7999999999999172E-3</v>
      </c>
      <c r="D561" s="12">
        <f t="shared" si="57"/>
        <v>4.6239999999998873E-5</v>
      </c>
      <c r="E561" s="12">
        <f t="shared" si="58"/>
        <v>1.1880999999999803E-4</v>
      </c>
      <c r="F561" s="12">
        <f t="shared" si="59"/>
        <v>5.9134475795010643E-5</v>
      </c>
      <c r="G561" s="12">
        <f t="shared" si="60"/>
        <v>3.5579364072011752</v>
      </c>
      <c r="I561" s="12">
        <f t="shared" si="61"/>
        <v>7.6898943942690558E-3</v>
      </c>
      <c r="J561" s="12">
        <f t="shared" si="62"/>
        <v>7.4054730214398717E-3</v>
      </c>
    </row>
    <row r="562" spans="1:10">
      <c r="A562" s="15">
        <v>41046</v>
      </c>
      <c r="B562" s="11">
        <v>1.5860000000000001</v>
      </c>
      <c r="C562" s="11">
        <f t="shared" si="56"/>
        <v>7.6000000000000512E-3</v>
      </c>
      <c r="D562" s="12">
        <f t="shared" si="57"/>
        <v>5.7760000000000775E-5</v>
      </c>
      <c r="E562" s="12">
        <f t="shared" si="58"/>
        <v>4.6239999999998873E-5</v>
      </c>
      <c r="F562" s="12">
        <f t="shared" si="59"/>
        <v>5.7993046693112293E-5</v>
      </c>
      <c r="G562" s="12">
        <f t="shared" si="60"/>
        <v>3.4606644431082678</v>
      </c>
      <c r="I562" s="12">
        <f t="shared" si="61"/>
        <v>7.6153165852190473E-3</v>
      </c>
      <c r="J562" s="12">
        <f t="shared" si="62"/>
        <v>7.4054730214398717E-3</v>
      </c>
    </row>
    <row r="563" spans="1:10">
      <c r="A563" s="15">
        <v>41047</v>
      </c>
      <c r="B563" s="11">
        <v>1.5761000000000001</v>
      </c>
      <c r="C563" s="11">
        <f t="shared" si="56"/>
        <v>-9.9000000000000199E-3</v>
      </c>
      <c r="D563" s="12">
        <f t="shared" si="57"/>
        <v>9.8010000000000398E-5</v>
      </c>
      <c r="E563" s="12">
        <f t="shared" si="58"/>
        <v>5.7760000000000775E-5</v>
      </c>
      <c r="F563" s="12">
        <f t="shared" si="59"/>
        <v>5.7961363694025562E-5</v>
      </c>
      <c r="G563" s="12">
        <f t="shared" si="60"/>
        <v>3.1134514138425944</v>
      </c>
      <c r="I563" s="12">
        <f t="shared" si="61"/>
        <v>7.613236085530618E-3</v>
      </c>
      <c r="J563" s="12">
        <f t="shared" si="62"/>
        <v>7.4054730214398717E-3</v>
      </c>
    </row>
    <row r="564" spans="1:10">
      <c r="A564" s="15">
        <v>41050</v>
      </c>
      <c r="B564" s="11">
        <v>1.5761000000000001</v>
      </c>
      <c r="C564" s="11">
        <f t="shared" si="56"/>
        <v>0</v>
      </c>
      <c r="D564" s="12">
        <f t="shared" si="57"/>
        <v>0</v>
      </c>
      <c r="E564" s="12">
        <f t="shared" si="58"/>
        <v>9.8010000000000398E-5</v>
      </c>
      <c r="F564" s="12">
        <f t="shared" si="59"/>
        <v>6.1253043115386523E-5</v>
      </c>
      <c r="G564" s="12">
        <f t="shared" si="60"/>
        <v>3.9313099725374676</v>
      </c>
      <c r="I564" s="12">
        <f t="shared" si="61"/>
        <v>7.8264323363449913E-3</v>
      </c>
      <c r="J564" s="12">
        <f t="shared" si="62"/>
        <v>7.4054730214398717E-3</v>
      </c>
    </row>
    <row r="565" spans="1:10">
      <c r="A565" s="15">
        <v>41051</v>
      </c>
      <c r="B565" s="11">
        <v>1.5913999999999999</v>
      </c>
      <c r="C565" s="11">
        <f t="shared" si="56"/>
        <v>1.5299999999999869E-2</v>
      </c>
      <c r="D565" s="12">
        <f t="shared" si="57"/>
        <v>2.3408999999999599E-4</v>
      </c>
      <c r="E565" s="12">
        <f t="shared" si="58"/>
        <v>0</v>
      </c>
      <c r="F565" s="12">
        <f t="shared" si="59"/>
        <v>5.6002106539974221E-5</v>
      </c>
      <c r="G565" s="12">
        <f t="shared" si="60"/>
        <v>1.8861114187527559</v>
      </c>
      <c r="I565" s="12">
        <f t="shared" si="61"/>
        <v>7.4834555213466871E-3</v>
      </c>
      <c r="J565" s="12">
        <f t="shared" si="62"/>
        <v>7.4054730214398717E-3</v>
      </c>
    </row>
    <row r="566" spans="1:10">
      <c r="A566" s="15">
        <v>41052</v>
      </c>
      <c r="B566" s="11">
        <v>1.59</v>
      </c>
      <c r="C566" s="11">
        <f t="shared" si="56"/>
        <v>-1.3999999999998458E-3</v>
      </c>
      <c r="D566" s="12">
        <f t="shared" si="57"/>
        <v>1.9599999999995683E-6</v>
      </c>
      <c r="E566" s="12">
        <f t="shared" si="58"/>
        <v>2.3408999999999599E-4</v>
      </c>
      <c r="F566" s="12">
        <f t="shared" si="59"/>
        <v>7.078899303090703E-5</v>
      </c>
      <c r="G566" s="12">
        <f t="shared" si="60"/>
        <v>3.8451210167467327</v>
      </c>
      <c r="I566" s="12">
        <f t="shared" si="61"/>
        <v>8.4136194964418865E-3</v>
      </c>
      <c r="J566" s="12">
        <f t="shared" si="62"/>
        <v>7.4054730214398717E-3</v>
      </c>
    </row>
    <row r="567" spans="1:10">
      <c r="A567" s="15">
        <v>41053</v>
      </c>
      <c r="B567" s="11">
        <v>1.6051</v>
      </c>
      <c r="C567" s="11">
        <f t="shared" si="56"/>
        <v>1.5099999999999891E-2</v>
      </c>
      <c r="D567" s="12">
        <f t="shared" si="57"/>
        <v>2.2800999999999673E-4</v>
      </c>
      <c r="E567" s="12">
        <f t="shared" si="58"/>
        <v>1.9599999999995683E-6</v>
      </c>
      <c r="F567" s="12">
        <f t="shared" si="59"/>
        <v>6.4364370639085919E-5</v>
      </c>
      <c r="G567" s="12">
        <f t="shared" si="60"/>
        <v>2.1352927063307252</v>
      </c>
      <c r="I567" s="12">
        <f t="shared" si="61"/>
        <v>8.0227408433206863E-3</v>
      </c>
      <c r="J567" s="12">
        <f t="shared" si="62"/>
        <v>7.4054730214398717E-3</v>
      </c>
    </row>
    <row r="568" spans="1:10">
      <c r="A568" s="15">
        <v>41054</v>
      </c>
      <c r="B568" s="11">
        <v>1.6032999999999999</v>
      </c>
      <c r="C568" s="11">
        <f t="shared" si="56"/>
        <v>-1.8000000000000238E-3</v>
      </c>
      <c r="D568" s="12">
        <f t="shared" si="57"/>
        <v>3.2400000000000859E-6</v>
      </c>
      <c r="E568" s="12">
        <f t="shared" si="58"/>
        <v>2.2800999999999673E-4</v>
      </c>
      <c r="F568" s="12">
        <f t="shared" si="59"/>
        <v>7.7478959967790053E-5</v>
      </c>
      <c r="G568" s="12">
        <f t="shared" si="60"/>
        <v>3.7929046285390937</v>
      </c>
      <c r="I568" s="12">
        <f t="shared" si="61"/>
        <v>8.8022133561843439E-3</v>
      </c>
      <c r="J568" s="12">
        <f t="shared" si="62"/>
        <v>7.4054730214398717E-3</v>
      </c>
    </row>
    <row r="569" spans="1:10">
      <c r="A569" s="15">
        <v>41057</v>
      </c>
      <c r="B569" s="11">
        <v>1.6032</v>
      </c>
      <c r="C569" s="11">
        <f t="shared" si="56"/>
        <v>-9.9999999999988987E-5</v>
      </c>
      <c r="D569" s="12">
        <f t="shared" si="57"/>
        <v>9.9999999999977966E-9</v>
      </c>
      <c r="E569" s="12">
        <f t="shared" si="58"/>
        <v>3.2400000000000859E-6</v>
      </c>
      <c r="F569" s="12">
        <f t="shared" si="59"/>
        <v>7.0223098689448603E-5</v>
      </c>
      <c r="G569" s="12">
        <f t="shared" si="60"/>
        <v>3.8629068877131814</v>
      </c>
      <c r="I569" s="12">
        <f t="shared" si="61"/>
        <v>8.3799223558126482E-3</v>
      </c>
      <c r="J569" s="12">
        <f t="shared" si="62"/>
        <v>7.4054730214398717E-3</v>
      </c>
    </row>
    <row r="570" spans="1:10">
      <c r="A570" s="15">
        <v>41058</v>
      </c>
      <c r="B570" s="11">
        <v>1.6080000000000001</v>
      </c>
      <c r="C570" s="11">
        <f t="shared" si="56"/>
        <v>4.8000000000001375E-3</v>
      </c>
      <c r="D570" s="12">
        <f t="shared" si="57"/>
        <v>2.3040000000001321E-5</v>
      </c>
      <c r="E570" s="12">
        <f t="shared" si="58"/>
        <v>9.9999999999977966E-9</v>
      </c>
      <c r="F570" s="12">
        <f t="shared" si="59"/>
        <v>6.3716924849919763E-5</v>
      </c>
      <c r="G570" s="12">
        <f t="shared" si="60"/>
        <v>3.7307919407221983</v>
      </c>
      <c r="I570" s="12">
        <f t="shared" si="61"/>
        <v>7.9822881963707484E-3</v>
      </c>
      <c r="J570" s="12">
        <f t="shared" si="62"/>
        <v>7.4054730214398717E-3</v>
      </c>
    </row>
    <row r="571" spans="1:10">
      <c r="A571" s="15">
        <v>41059</v>
      </c>
      <c r="B571" s="11">
        <v>1.6167</v>
      </c>
      <c r="C571" s="11">
        <f t="shared" si="56"/>
        <v>8.69999999999993E-3</v>
      </c>
      <c r="D571" s="12">
        <f t="shared" si="57"/>
        <v>7.5689999999998782E-5</v>
      </c>
      <c r="E571" s="12">
        <f t="shared" si="58"/>
        <v>2.3040000000001321E-5</v>
      </c>
      <c r="F571" s="12">
        <f t="shared" si="59"/>
        <v>6.0020802445405477E-5</v>
      </c>
      <c r="G571" s="12">
        <f t="shared" si="60"/>
        <v>3.3109397435265087</v>
      </c>
      <c r="I571" s="12">
        <f t="shared" si="61"/>
        <v>7.747309368122941E-3</v>
      </c>
      <c r="J571" s="12">
        <f t="shared" si="62"/>
        <v>7.4054730214398717E-3</v>
      </c>
    </row>
    <row r="572" spans="1:10">
      <c r="A572" s="15">
        <v>41060</v>
      </c>
      <c r="B572" s="11">
        <v>1.6212</v>
      </c>
      <c r="C572" s="11">
        <f t="shared" si="56"/>
        <v>4.4999999999999485E-3</v>
      </c>
      <c r="D572" s="12">
        <f t="shared" si="57"/>
        <v>2.0249999999999537E-5</v>
      </c>
      <c r="E572" s="12">
        <f t="shared" si="58"/>
        <v>7.5689999999998782E-5</v>
      </c>
      <c r="F572" s="12">
        <f t="shared" si="59"/>
        <v>6.118364431867769E-5</v>
      </c>
      <c r="G572" s="12">
        <f t="shared" si="60"/>
        <v>3.7663913839442271</v>
      </c>
      <c r="I572" s="12">
        <f t="shared" si="61"/>
        <v>7.8219974634793701E-3</v>
      </c>
      <c r="J572" s="12">
        <f t="shared" si="62"/>
        <v>7.4054730214398717E-3</v>
      </c>
    </row>
    <row r="573" spans="1:10">
      <c r="A573" s="15">
        <v>41061</v>
      </c>
      <c r="B573" s="11">
        <v>1.6136999999999999</v>
      </c>
      <c r="C573" s="11">
        <f t="shared" si="56"/>
        <v>-7.5000000000000622E-3</v>
      </c>
      <c r="D573" s="12">
        <f t="shared" si="57"/>
        <v>5.6250000000000934E-5</v>
      </c>
      <c r="E573" s="12">
        <f t="shared" si="58"/>
        <v>2.0249999999999537E-5</v>
      </c>
      <c r="F573" s="12">
        <f t="shared" si="59"/>
        <v>5.7612195715313886E-5</v>
      </c>
      <c r="G573" s="12">
        <f t="shared" si="60"/>
        <v>3.4737717126363696</v>
      </c>
      <c r="I573" s="12">
        <f t="shared" si="61"/>
        <v>7.590269805172533E-3</v>
      </c>
      <c r="J573" s="12">
        <f t="shared" si="62"/>
        <v>7.4054730214398717E-3</v>
      </c>
    </row>
    <row r="574" spans="1:10">
      <c r="A574" s="15">
        <v>41064</v>
      </c>
      <c r="B574" s="11">
        <v>1.6117999999999999</v>
      </c>
      <c r="C574" s="11">
        <f t="shared" si="56"/>
        <v>-1.9000000000000128E-3</v>
      </c>
      <c r="D574" s="12">
        <f t="shared" si="57"/>
        <v>3.6100000000000484E-6</v>
      </c>
      <c r="E574" s="12">
        <f t="shared" si="58"/>
        <v>5.6250000000000934E-5</v>
      </c>
      <c r="F574" s="12">
        <f t="shared" si="59"/>
        <v>5.7509331382590193E-5</v>
      </c>
      <c r="G574" s="12">
        <f t="shared" si="60"/>
        <v>3.931456917776198</v>
      </c>
      <c r="I574" s="12">
        <f t="shared" si="61"/>
        <v>7.5834907122373525E-3</v>
      </c>
      <c r="J574" s="12">
        <f t="shared" si="62"/>
        <v>7.4054730214398717E-3</v>
      </c>
    </row>
    <row r="575" spans="1:10">
      <c r="A575" s="15">
        <v>41065</v>
      </c>
      <c r="B575" s="11">
        <v>1.6155999999999999</v>
      </c>
      <c r="C575" s="11">
        <f t="shared" si="56"/>
        <v>3.8000000000000256E-3</v>
      </c>
      <c r="D575" s="12">
        <f t="shared" si="57"/>
        <v>1.4440000000000194E-5</v>
      </c>
      <c r="E575" s="12">
        <f t="shared" si="58"/>
        <v>3.6100000000000484E-6</v>
      </c>
      <c r="F575" s="12">
        <f t="shared" si="59"/>
        <v>5.3080293093013889E-5</v>
      </c>
      <c r="G575" s="12">
        <f t="shared" si="60"/>
        <v>3.8668935236460786</v>
      </c>
      <c r="I575" s="12">
        <f t="shared" si="61"/>
        <v>7.2856223545428077E-3</v>
      </c>
      <c r="J575" s="12">
        <f t="shared" si="62"/>
        <v>7.4054730214398717E-3</v>
      </c>
    </row>
    <row r="576" spans="1:10">
      <c r="A576" s="15">
        <v>41066</v>
      </c>
      <c r="B576" s="11">
        <v>1.6122000000000001</v>
      </c>
      <c r="C576" s="11">
        <f t="shared" si="56"/>
        <v>-3.3999999999998476E-3</v>
      </c>
      <c r="D576" s="12">
        <f t="shared" si="57"/>
        <v>1.1559999999998964E-5</v>
      </c>
      <c r="E576" s="12">
        <f t="shared" si="58"/>
        <v>1.4440000000000194E-5</v>
      </c>
      <c r="F576" s="12">
        <f t="shared" si="59"/>
        <v>5.0164463435852407E-5</v>
      </c>
      <c r="G576" s="12">
        <f t="shared" si="60"/>
        <v>3.9159422930783236</v>
      </c>
      <c r="I576" s="12">
        <f t="shared" si="61"/>
        <v>7.0826875856451841E-3</v>
      </c>
      <c r="J576" s="12">
        <f t="shared" si="62"/>
        <v>7.4054730214398717E-3</v>
      </c>
    </row>
    <row r="577" spans="1:10">
      <c r="A577" s="15">
        <v>41067</v>
      </c>
      <c r="B577" s="11">
        <v>1.6071</v>
      </c>
      <c r="C577" s="11">
        <f t="shared" si="56"/>
        <v>-5.1000000000001044E-3</v>
      </c>
      <c r="D577" s="12">
        <f t="shared" si="57"/>
        <v>2.6010000000001064E-5</v>
      </c>
      <c r="E577" s="12">
        <f t="shared" si="58"/>
        <v>1.1559999999998964E-5</v>
      </c>
      <c r="F577" s="12">
        <f t="shared" si="59"/>
        <v>4.7419454091748044E-5</v>
      </c>
      <c r="G577" s="12">
        <f t="shared" si="60"/>
        <v>3.7850459262016205</v>
      </c>
      <c r="I577" s="12">
        <f t="shared" si="61"/>
        <v>6.8861784824202779E-3</v>
      </c>
      <c r="J577" s="12">
        <f t="shared" si="62"/>
        <v>7.4054730214398717E-3</v>
      </c>
    </row>
    <row r="578" spans="1:10">
      <c r="A578" s="15">
        <v>41068</v>
      </c>
      <c r="B578" s="11">
        <v>1.6075999999999999</v>
      </c>
      <c r="C578" s="11">
        <f t="shared" si="56"/>
        <v>4.9999999999994493E-4</v>
      </c>
      <c r="D578" s="12">
        <f t="shared" si="57"/>
        <v>2.4999999999994493E-7</v>
      </c>
      <c r="E578" s="12">
        <f t="shared" si="58"/>
        <v>2.6010000000001064E-5</v>
      </c>
      <c r="F578" s="12">
        <f t="shared" si="59"/>
        <v>4.6250338817251327E-5</v>
      </c>
      <c r="G578" s="12">
        <f t="shared" si="60"/>
        <v>4.0690796606326005</v>
      </c>
      <c r="I578" s="12">
        <f t="shared" si="61"/>
        <v>6.8007601646618392E-3</v>
      </c>
      <c r="J578" s="12">
        <f t="shared" si="62"/>
        <v>7.4054730214398717E-3</v>
      </c>
    </row>
    <row r="579" spans="1:10">
      <c r="A579" s="15">
        <v>41071</v>
      </c>
      <c r="B579" s="11">
        <v>1.6144000000000001</v>
      </c>
      <c r="C579" s="11">
        <f t="shared" si="56"/>
        <v>6.8000000000001393E-3</v>
      </c>
      <c r="D579" s="12">
        <f t="shared" si="57"/>
        <v>4.6240000000001895E-5</v>
      </c>
      <c r="E579" s="12">
        <f t="shared" si="58"/>
        <v>2.4999999999994493E-7</v>
      </c>
      <c r="F579" s="12">
        <f t="shared" si="59"/>
        <v>4.3120820216338181E-5</v>
      </c>
      <c r="G579" s="12">
        <f t="shared" si="60"/>
        <v>3.5706458555500764</v>
      </c>
      <c r="I579" s="12">
        <f t="shared" si="61"/>
        <v>6.5666445172811189E-3</v>
      </c>
      <c r="J579" s="12">
        <f t="shared" si="62"/>
        <v>7.4054730214398717E-3</v>
      </c>
    </row>
    <row r="580" spans="1:10">
      <c r="A580" s="15">
        <v>41072</v>
      </c>
      <c r="B580" s="11">
        <v>1.6093999999999999</v>
      </c>
      <c r="C580" s="11">
        <f t="shared" si="56"/>
        <v>-5.0000000000001155E-3</v>
      </c>
      <c r="D580" s="12">
        <f t="shared" si="57"/>
        <v>2.5000000000001153E-5</v>
      </c>
      <c r="E580" s="12">
        <f t="shared" si="58"/>
        <v>4.6240000000001895E-5</v>
      </c>
      <c r="F580" s="12">
        <f t="shared" si="59"/>
        <v>4.4221756455091236E-5</v>
      </c>
      <c r="G580" s="12">
        <f t="shared" si="60"/>
        <v>3.8115419969121778</v>
      </c>
      <c r="I580" s="12">
        <f t="shared" si="61"/>
        <v>6.6499440941327646E-3</v>
      </c>
      <c r="J580" s="12">
        <f t="shared" si="62"/>
        <v>7.4054730214398717E-3</v>
      </c>
    </row>
    <row r="581" spans="1:10">
      <c r="A581" s="15">
        <v>41073</v>
      </c>
      <c r="B581" s="11">
        <v>1.6015999999999999</v>
      </c>
      <c r="C581" s="11">
        <f t="shared" si="56"/>
        <v>-7.8000000000000291E-3</v>
      </c>
      <c r="D581" s="12">
        <f t="shared" si="57"/>
        <v>6.0840000000000454E-5</v>
      </c>
      <c r="E581" s="12">
        <f t="shared" si="58"/>
        <v>2.5000000000001153E-5</v>
      </c>
      <c r="F581" s="12">
        <f t="shared" si="59"/>
        <v>4.3417127054809864E-5</v>
      </c>
      <c r="G581" s="12">
        <f t="shared" si="60"/>
        <v>3.4027445788968191</v>
      </c>
      <c r="I581" s="12">
        <f t="shared" si="61"/>
        <v>6.5891674022451321E-3</v>
      </c>
      <c r="J581" s="12">
        <f t="shared" si="62"/>
        <v>7.4054730214398717E-3</v>
      </c>
    </row>
    <row r="582" spans="1:10">
      <c r="A582" s="15">
        <v>41074</v>
      </c>
      <c r="B582" s="11">
        <v>1.5912999999999999</v>
      </c>
      <c r="C582" s="11">
        <f t="shared" si="56"/>
        <v>-1.0299999999999976E-2</v>
      </c>
      <c r="D582" s="12">
        <f t="shared" si="57"/>
        <v>1.0608999999999951E-4</v>
      </c>
      <c r="E582" s="12">
        <f t="shared" si="58"/>
        <v>6.0840000000000454E-5</v>
      </c>
      <c r="F582" s="12">
        <f t="shared" si="59"/>
        <v>4.5680455625448743E-5</v>
      </c>
      <c r="G582" s="12">
        <f t="shared" si="60"/>
        <v>2.9167627532042637</v>
      </c>
      <c r="I582" s="12">
        <f t="shared" si="61"/>
        <v>6.7587318060009409E-3</v>
      </c>
      <c r="J582" s="12">
        <f t="shared" si="62"/>
        <v>7.4054730214398717E-3</v>
      </c>
    </row>
    <row r="583" spans="1:10">
      <c r="A583" s="15">
        <v>41075</v>
      </c>
      <c r="B583" s="11">
        <v>1.593</v>
      </c>
      <c r="C583" s="11">
        <f t="shared" si="56"/>
        <v>1.7000000000000348E-3</v>
      </c>
      <c r="D583" s="12">
        <f t="shared" si="57"/>
        <v>2.8900000000001184E-6</v>
      </c>
      <c r="E583" s="12">
        <f t="shared" si="58"/>
        <v>1.0608999999999951E-4</v>
      </c>
      <c r="F583" s="12">
        <f t="shared" si="59"/>
        <v>5.1358068926538609E-5</v>
      </c>
      <c r="G583" s="12">
        <f t="shared" si="60"/>
        <v>3.991269915370744</v>
      </c>
      <c r="I583" s="12">
        <f t="shared" si="61"/>
        <v>7.1664544180883904E-3</v>
      </c>
      <c r="J583" s="12">
        <f t="shared" si="62"/>
        <v>7.4054730214398717E-3</v>
      </c>
    </row>
    <row r="584" spans="1:10">
      <c r="A584" s="15">
        <v>41078</v>
      </c>
      <c r="B584" s="11">
        <v>1.5947</v>
      </c>
      <c r="C584" s="11">
        <f t="shared" si="56"/>
        <v>1.7000000000000348E-3</v>
      </c>
      <c r="D584" s="12">
        <f t="shared" si="57"/>
        <v>2.8900000000001184E-6</v>
      </c>
      <c r="E584" s="12">
        <f t="shared" si="58"/>
        <v>2.8900000000001184E-6</v>
      </c>
      <c r="F584" s="12">
        <f t="shared" si="59"/>
        <v>4.7731011998667916E-5</v>
      </c>
      <c r="G584" s="12">
        <f t="shared" si="60"/>
        <v>4.0257522530852548</v>
      </c>
      <c r="I584" s="12">
        <f t="shared" si="61"/>
        <v>6.9087634203718338E-3</v>
      </c>
      <c r="J584" s="12">
        <f t="shared" si="62"/>
        <v>7.4054730214398717E-3</v>
      </c>
    </row>
    <row r="585" spans="1:10">
      <c r="A585" s="15">
        <v>41079</v>
      </c>
      <c r="B585" s="11">
        <v>1.5845</v>
      </c>
      <c r="C585" s="11">
        <f t="shared" si="56"/>
        <v>-1.0199999999999987E-2</v>
      </c>
      <c r="D585" s="12">
        <f t="shared" si="57"/>
        <v>1.0403999999999973E-4</v>
      </c>
      <c r="E585" s="12">
        <f t="shared" si="58"/>
        <v>2.8900000000001184E-6</v>
      </c>
      <c r="F585" s="12">
        <f t="shared" si="59"/>
        <v>4.461184577093555E-5</v>
      </c>
      <c r="G585" s="12">
        <f t="shared" si="60"/>
        <v>2.9237590186764706</v>
      </c>
      <c r="I585" s="12">
        <f t="shared" si="61"/>
        <v>6.6792099660764933E-3</v>
      </c>
      <c r="J585" s="12">
        <f t="shared" si="62"/>
        <v>7.4054730214398717E-3</v>
      </c>
    </row>
    <row r="586" spans="1:10">
      <c r="A586" s="15">
        <v>41080</v>
      </c>
      <c r="B586" s="11">
        <v>1.5827</v>
      </c>
      <c r="C586" s="11">
        <f t="shared" si="56"/>
        <v>-1.8000000000000238E-3</v>
      </c>
      <c r="D586" s="12">
        <f t="shared" si="57"/>
        <v>3.2400000000000859E-6</v>
      </c>
      <c r="E586" s="12">
        <f t="shared" si="58"/>
        <v>1.0403999999999973E-4</v>
      </c>
      <c r="F586" s="12">
        <f t="shared" si="59"/>
        <v>5.0270056256068188E-5</v>
      </c>
      <c r="G586" s="12">
        <f t="shared" si="60"/>
        <v>3.9978859963537374</v>
      </c>
      <c r="I586" s="12">
        <f t="shared" si="61"/>
        <v>7.0901379574778503E-3</v>
      </c>
      <c r="J586" s="12">
        <f t="shared" si="62"/>
        <v>7.4054730214398717E-3</v>
      </c>
    </row>
    <row r="587" spans="1:10">
      <c r="A587" s="15">
        <v>41081</v>
      </c>
      <c r="B587" s="11">
        <v>1.5955999999999999</v>
      </c>
      <c r="C587" s="11">
        <f t="shared" si="56"/>
        <v>1.2899999999999912E-2</v>
      </c>
      <c r="D587" s="12">
        <f t="shared" si="57"/>
        <v>1.6640999999999772E-4</v>
      </c>
      <c r="E587" s="12">
        <f t="shared" si="58"/>
        <v>3.2400000000000859E-6</v>
      </c>
      <c r="F587" s="12">
        <f t="shared" si="59"/>
        <v>4.6824212143422388E-5</v>
      </c>
      <c r="G587" s="12">
        <f t="shared" si="60"/>
        <v>2.288651230890304</v>
      </c>
      <c r="I587" s="12">
        <f t="shared" si="61"/>
        <v>6.8428219429868542E-3</v>
      </c>
      <c r="J587" s="12">
        <f t="shared" si="62"/>
        <v>7.4054730214398717E-3</v>
      </c>
    </row>
    <row r="588" spans="1:10">
      <c r="A588" s="15">
        <v>41082</v>
      </c>
      <c r="B588" s="11">
        <v>1.5935999999999999</v>
      </c>
      <c r="C588" s="11">
        <f t="shared" si="56"/>
        <v>-2.0000000000000018E-3</v>
      </c>
      <c r="D588" s="12">
        <f t="shared" si="57"/>
        <v>4.0000000000000074E-6</v>
      </c>
      <c r="E588" s="12">
        <f t="shared" si="58"/>
        <v>1.6640999999999772E-4</v>
      </c>
      <c r="F588" s="12">
        <f t="shared" si="59"/>
        <v>5.7315520813591814E-5</v>
      </c>
      <c r="G588" s="12">
        <f t="shared" si="60"/>
        <v>3.9296364481020145</v>
      </c>
      <c r="I588" s="12">
        <f t="shared" si="61"/>
        <v>7.5707014743411861E-3</v>
      </c>
      <c r="J588" s="12">
        <f t="shared" si="62"/>
        <v>7.4054730214398717E-3</v>
      </c>
    </row>
    <row r="589" spans="1:10">
      <c r="A589" s="15">
        <v>41085</v>
      </c>
      <c r="B589" s="11">
        <v>1.5951</v>
      </c>
      <c r="C589" s="11">
        <f t="shared" si="56"/>
        <v>1.5000000000000568E-3</v>
      </c>
      <c r="D589" s="12">
        <f t="shared" si="57"/>
        <v>2.2500000000001707E-6</v>
      </c>
      <c r="E589" s="12">
        <f t="shared" si="58"/>
        <v>4.0000000000000074E-6</v>
      </c>
      <c r="F589" s="12">
        <f t="shared" si="59"/>
        <v>5.2945780029732858E-5</v>
      </c>
      <c r="G589" s="12">
        <f t="shared" si="60"/>
        <v>3.9829344002454703</v>
      </c>
      <c r="I589" s="12">
        <f t="shared" si="61"/>
        <v>7.2763850935566119E-3</v>
      </c>
      <c r="J589" s="12">
        <f t="shared" si="62"/>
        <v>7.4054730214398717E-3</v>
      </c>
    </row>
    <row r="590" spans="1:10">
      <c r="A590" s="15">
        <v>41086</v>
      </c>
      <c r="B590" s="11">
        <v>1.5974999999999999</v>
      </c>
      <c r="C590" s="11">
        <f t="shared" ref="C590:C653" si="63">B590-B589</f>
        <v>2.3999999999999577E-3</v>
      </c>
      <c r="D590" s="12">
        <f t="shared" ref="D590:D653" si="64">C590^2</f>
        <v>5.7599999999997975E-6</v>
      </c>
      <c r="E590" s="12">
        <f t="shared" si="58"/>
        <v>2.2500000000001707E-6</v>
      </c>
      <c r="F590" s="12">
        <f t="shared" si="59"/>
        <v>4.9043625594884867E-5</v>
      </c>
      <c r="G590" s="12">
        <f t="shared" si="60"/>
        <v>3.9837384004114966</v>
      </c>
      <c r="I590" s="12">
        <f t="shared" si="61"/>
        <v>7.0031154206456475E-3</v>
      </c>
      <c r="J590" s="12">
        <f t="shared" si="62"/>
        <v>7.4054730214398717E-3</v>
      </c>
    </row>
    <row r="591" spans="1:10">
      <c r="A591" s="15">
        <v>41087</v>
      </c>
      <c r="B591" s="11">
        <v>1.5986</v>
      </c>
      <c r="C591" s="11">
        <f t="shared" si="63"/>
        <v>1.1000000000001009E-3</v>
      </c>
      <c r="D591" s="12">
        <f t="shared" si="64"/>
        <v>1.210000000000222E-6</v>
      </c>
      <c r="E591" s="12">
        <f t="shared" ref="E591:E654" si="65">D590</f>
        <v>5.7599999999997975E-6</v>
      </c>
      <c r="F591" s="12">
        <f t="shared" ref="F591:F654" si="66">$B$5+$B$6*E591+$B$7*F590</f>
        <v>4.5977310133139402E-5</v>
      </c>
      <c r="G591" s="12">
        <f t="shared" ref="G591:G654" si="67">LN((1/SQRT(2*3.1415927*F591))*EXP(-0.5*D591/F591))</f>
        <v>4.0615840654507167</v>
      </c>
      <c r="I591" s="12">
        <f t="shared" ref="I591:I654" si="68">SQRT(F591)</f>
        <v>6.7806570576264512E-3</v>
      </c>
      <c r="J591" s="12">
        <f t="shared" si="62"/>
        <v>7.4054730214398717E-3</v>
      </c>
    </row>
    <row r="592" spans="1:10">
      <c r="A592" s="15">
        <v>41088</v>
      </c>
      <c r="B592" s="11">
        <v>1.6007</v>
      </c>
      <c r="C592" s="11">
        <f t="shared" si="63"/>
        <v>2.0999999999999908E-3</v>
      </c>
      <c r="D592" s="12">
        <f t="shared" si="64"/>
        <v>4.4099999999999612E-6</v>
      </c>
      <c r="E592" s="12">
        <f t="shared" si="65"/>
        <v>1.210000000000222E-6</v>
      </c>
      <c r="F592" s="12">
        <f t="shared" si="66"/>
        <v>4.2965182756034914E-5</v>
      </c>
      <c r="G592" s="12">
        <f t="shared" si="67"/>
        <v>4.0573010719629714</v>
      </c>
      <c r="I592" s="12">
        <f t="shared" si="68"/>
        <v>6.5547831967224445E-3</v>
      </c>
      <c r="J592" s="12">
        <f t="shared" ref="J592:J655" si="69">J591</f>
        <v>7.4054730214398717E-3</v>
      </c>
    </row>
    <row r="593" spans="1:10">
      <c r="A593" s="15">
        <v>41089</v>
      </c>
      <c r="B593" s="11">
        <v>1.5834999999999999</v>
      </c>
      <c r="C593" s="11">
        <f t="shared" si="63"/>
        <v>-1.7200000000000104E-2</v>
      </c>
      <c r="D593" s="12">
        <f t="shared" si="64"/>
        <v>2.9584000000000359E-4</v>
      </c>
      <c r="E593" s="12">
        <f t="shared" si="65"/>
        <v>4.4099999999999612E-6</v>
      </c>
      <c r="F593" s="12">
        <f t="shared" si="66"/>
        <v>4.0638703441653146E-5</v>
      </c>
      <c r="G593" s="12">
        <f t="shared" si="67"/>
        <v>0.49657638431601075</v>
      </c>
      <c r="I593" s="12">
        <f t="shared" si="68"/>
        <v>6.3748492877599193E-3</v>
      </c>
      <c r="J593" s="12">
        <f t="shared" si="69"/>
        <v>7.4054730214398717E-3</v>
      </c>
    </row>
    <row r="594" spans="1:10">
      <c r="A594" s="15">
        <v>41092</v>
      </c>
      <c r="B594" s="11">
        <v>1.5952999999999999</v>
      </c>
      <c r="C594" s="11">
        <f t="shared" si="63"/>
        <v>1.1800000000000033E-2</v>
      </c>
      <c r="D594" s="12">
        <f t="shared" si="64"/>
        <v>1.3924000000000076E-4</v>
      </c>
      <c r="E594" s="12">
        <f t="shared" si="65"/>
        <v>2.9584000000000359E-4</v>
      </c>
      <c r="F594" s="12">
        <f t="shared" si="66"/>
        <v>6.2668669819823132E-5</v>
      </c>
      <c r="G594" s="12">
        <f t="shared" si="67"/>
        <v>2.8089639830049942</v>
      </c>
      <c r="I594" s="12">
        <f t="shared" si="68"/>
        <v>7.9163545789601372E-3</v>
      </c>
      <c r="J594" s="12">
        <f t="shared" si="69"/>
        <v>7.4054730214398717E-3</v>
      </c>
    </row>
    <row r="595" spans="1:10">
      <c r="A595" s="15">
        <v>41093</v>
      </c>
      <c r="B595" s="11">
        <v>1.5925</v>
      </c>
      <c r="C595" s="11">
        <f t="shared" si="63"/>
        <v>-2.7999999999999137E-3</v>
      </c>
      <c r="D595" s="12">
        <f t="shared" si="64"/>
        <v>7.8399999999995167E-6</v>
      </c>
      <c r="E595" s="12">
        <f t="shared" si="65"/>
        <v>1.3924000000000076E-4</v>
      </c>
      <c r="F595" s="12">
        <f t="shared" si="66"/>
        <v>6.8700927591004661E-5</v>
      </c>
      <c r="G595" s="12">
        <f t="shared" si="67"/>
        <v>3.8168764784415279</v>
      </c>
      <c r="I595" s="12">
        <f t="shared" si="68"/>
        <v>8.2886022700455753E-3</v>
      </c>
      <c r="J595" s="12">
        <f t="shared" si="69"/>
        <v>7.4054730214398717E-3</v>
      </c>
    </row>
    <row r="596" spans="1:10">
      <c r="A596" s="15">
        <v>41094</v>
      </c>
      <c r="B596" s="11">
        <v>1.6031</v>
      </c>
      <c r="C596" s="11">
        <f t="shared" si="63"/>
        <v>1.0599999999999943E-2</v>
      </c>
      <c r="D596" s="12">
        <f t="shared" si="64"/>
        <v>1.1235999999999878E-4</v>
      </c>
      <c r="E596" s="12">
        <f t="shared" si="65"/>
        <v>7.8399999999995167E-6</v>
      </c>
      <c r="F596" s="12">
        <f t="shared" si="66"/>
        <v>6.3053545285803226E-5</v>
      </c>
      <c r="G596" s="12">
        <f t="shared" si="67"/>
        <v>3.0258358351273662</v>
      </c>
      <c r="I596" s="12">
        <f t="shared" si="68"/>
        <v>7.9406262527462676E-3</v>
      </c>
      <c r="J596" s="12">
        <f t="shared" si="69"/>
        <v>7.4054730214398717E-3</v>
      </c>
    </row>
    <row r="597" spans="1:10">
      <c r="A597" s="15">
        <v>41095</v>
      </c>
      <c r="B597" s="11">
        <v>1.6140000000000001</v>
      </c>
      <c r="C597" s="11">
        <f t="shared" si="63"/>
        <v>1.0900000000000132E-2</v>
      </c>
      <c r="D597" s="12">
        <f t="shared" si="64"/>
        <v>1.1881000000000287E-4</v>
      </c>
      <c r="E597" s="12">
        <f t="shared" si="65"/>
        <v>1.1235999999999878E-4</v>
      </c>
      <c r="F597" s="12">
        <f t="shared" si="66"/>
        <v>6.6815444291964225E-5</v>
      </c>
      <c r="G597" s="12">
        <f t="shared" si="67"/>
        <v>2.9987587628682539</v>
      </c>
      <c r="I597" s="12">
        <f t="shared" si="68"/>
        <v>8.1740714635953737E-3</v>
      </c>
      <c r="J597" s="12">
        <f t="shared" si="69"/>
        <v>7.4054730214398717E-3</v>
      </c>
    </row>
    <row r="598" spans="1:10">
      <c r="A598" s="15">
        <v>41096</v>
      </c>
      <c r="B598" s="11">
        <v>1.6216999999999999</v>
      </c>
      <c r="C598" s="11">
        <f t="shared" si="63"/>
        <v>7.6999999999998181E-3</v>
      </c>
      <c r="D598" s="12">
        <f t="shared" si="64"/>
        <v>5.9289999999997198E-5</v>
      </c>
      <c r="E598" s="12">
        <f t="shared" si="65"/>
        <v>1.1881000000000287E-4</v>
      </c>
      <c r="F598" s="12">
        <f t="shared" si="66"/>
        <v>7.0582423610230901E-5</v>
      </c>
      <c r="G598" s="12">
        <f t="shared" si="67"/>
        <v>3.4404207470219226</v>
      </c>
      <c r="I598" s="12">
        <f t="shared" si="68"/>
        <v>8.4013346326777694E-3</v>
      </c>
      <c r="J598" s="12">
        <f t="shared" si="69"/>
        <v>7.4054730214398717E-3</v>
      </c>
    </row>
    <row r="599" spans="1:10">
      <c r="A599" s="15">
        <v>41099</v>
      </c>
      <c r="B599" s="11">
        <v>1.6234999999999999</v>
      </c>
      <c r="C599" s="11">
        <f t="shared" si="63"/>
        <v>1.8000000000000238E-3</v>
      </c>
      <c r="D599" s="12">
        <f t="shared" si="64"/>
        <v>3.2400000000000859E-6</v>
      </c>
      <c r="E599" s="12">
        <f t="shared" si="65"/>
        <v>5.9289999999997198E-5</v>
      </c>
      <c r="F599" s="12">
        <f t="shared" si="66"/>
        <v>6.891403168321131E-5</v>
      </c>
      <c r="G599" s="12">
        <f t="shared" si="67"/>
        <v>3.8488792839702266</v>
      </c>
      <c r="I599" s="12">
        <f t="shared" si="68"/>
        <v>8.3014475655280324E-3</v>
      </c>
      <c r="J599" s="12">
        <f t="shared" si="69"/>
        <v>7.4054730214398717E-3</v>
      </c>
    </row>
    <row r="600" spans="1:10">
      <c r="A600" s="15">
        <v>41100</v>
      </c>
      <c r="B600" s="11">
        <v>1.6304000000000001</v>
      </c>
      <c r="C600" s="11">
        <f t="shared" si="63"/>
        <v>6.9000000000001283E-3</v>
      </c>
      <c r="D600" s="12">
        <f t="shared" si="64"/>
        <v>4.7610000000001768E-5</v>
      </c>
      <c r="E600" s="12">
        <f t="shared" si="65"/>
        <v>3.2400000000000859E-6</v>
      </c>
      <c r="F600" s="12">
        <f t="shared" si="66"/>
        <v>6.2857502951779452E-5</v>
      </c>
      <c r="G600" s="12">
        <f t="shared" si="67"/>
        <v>3.5396678455577373</v>
      </c>
      <c r="I600" s="12">
        <f t="shared" si="68"/>
        <v>7.9282723812807692E-3</v>
      </c>
      <c r="J600" s="12">
        <f t="shared" si="69"/>
        <v>7.4054730214398717E-3</v>
      </c>
    </row>
    <row r="601" spans="1:10">
      <c r="A601" s="15">
        <v>41101</v>
      </c>
      <c r="B601" s="11">
        <v>1.6275999999999999</v>
      </c>
      <c r="C601" s="11">
        <f t="shared" si="63"/>
        <v>-2.8000000000001357E-3</v>
      </c>
      <c r="D601" s="12">
        <f t="shared" si="64"/>
        <v>7.8400000000007601E-6</v>
      </c>
      <c r="E601" s="12">
        <f t="shared" si="65"/>
        <v>4.7610000000001768E-5</v>
      </c>
      <c r="F601" s="12">
        <f t="shared" si="66"/>
        <v>6.1307711766891995E-5</v>
      </c>
      <c r="G601" s="12">
        <f t="shared" si="67"/>
        <v>3.8669241651671515</v>
      </c>
      <c r="I601" s="12">
        <f t="shared" si="68"/>
        <v>7.8299241226778178E-3</v>
      </c>
      <c r="J601" s="12">
        <f t="shared" si="69"/>
        <v>7.4054730214398717E-3</v>
      </c>
    </row>
    <row r="602" spans="1:10">
      <c r="A602" s="15">
        <v>41102</v>
      </c>
      <c r="B602" s="11">
        <v>1.6322000000000001</v>
      </c>
      <c r="C602" s="11">
        <f t="shared" si="63"/>
        <v>4.6000000000001595E-3</v>
      </c>
      <c r="D602" s="12">
        <f t="shared" si="64"/>
        <v>2.1160000000001468E-5</v>
      </c>
      <c r="E602" s="12">
        <f t="shared" si="65"/>
        <v>7.8400000000007601E-6</v>
      </c>
      <c r="F602" s="12">
        <f t="shared" si="66"/>
        <v>5.6695589077366651E-5</v>
      </c>
      <c r="G602" s="12">
        <f t="shared" si="67"/>
        <v>3.7833578944355439</v>
      </c>
      <c r="I602" s="12">
        <f t="shared" si="68"/>
        <v>7.5296473408365313E-3</v>
      </c>
      <c r="J602" s="12">
        <f t="shared" si="69"/>
        <v>7.4054730214398717E-3</v>
      </c>
    </row>
    <row r="603" spans="1:10">
      <c r="A603" s="15">
        <v>41103</v>
      </c>
      <c r="B603" s="11">
        <v>1.6203000000000001</v>
      </c>
      <c r="C603" s="11">
        <f t="shared" si="63"/>
        <v>-1.1900000000000022E-2</v>
      </c>
      <c r="D603" s="12">
        <f t="shared" si="64"/>
        <v>1.4161000000000051E-4</v>
      </c>
      <c r="E603" s="12">
        <f t="shared" si="65"/>
        <v>2.1160000000001468E-5</v>
      </c>
      <c r="F603" s="12">
        <f t="shared" si="66"/>
        <v>5.3827631909977806E-5</v>
      </c>
      <c r="G603" s="12">
        <f t="shared" si="67"/>
        <v>2.6805207980119206</v>
      </c>
      <c r="I603" s="12">
        <f t="shared" si="68"/>
        <v>7.3367316912899168E-3</v>
      </c>
      <c r="J603" s="12">
        <f t="shared" si="69"/>
        <v>7.4054730214398717E-3</v>
      </c>
    </row>
    <row r="604" spans="1:10">
      <c r="A604" s="15">
        <v>41106</v>
      </c>
      <c r="B604" s="11">
        <v>1.6203000000000001</v>
      </c>
      <c r="C604" s="11">
        <f t="shared" si="63"/>
        <v>0</v>
      </c>
      <c r="D604" s="12">
        <f t="shared" si="64"/>
        <v>0</v>
      </c>
      <c r="E604" s="12">
        <f t="shared" si="65"/>
        <v>1.4161000000000051E-4</v>
      </c>
      <c r="F604" s="12">
        <f t="shared" si="66"/>
        <v>6.129331034974693E-5</v>
      </c>
      <c r="G604" s="12">
        <f t="shared" si="67"/>
        <v>3.9309813847445954</v>
      </c>
      <c r="I604" s="12">
        <f t="shared" si="68"/>
        <v>7.82900442902844E-3</v>
      </c>
      <c r="J604" s="12">
        <f t="shared" si="69"/>
        <v>7.4054730214398717E-3</v>
      </c>
    </row>
    <row r="605" spans="1:10">
      <c r="A605" s="15">
        <v>41107</v>
      </c>
      <c r="B605" s="11">
        <v>1.6213</v>
      </c>
      <c r="C605" s="11">
        <f t="shared" si="63"/>
        <v>9.9999999999988987E-4</v>
      </c>
      <c r="D605" s="12">
        <f t="shared" si="64"/>
        <v>9.9999999999977973E-7</v>
      </c>
      <c r="E605" s="12">
        <f t="shared" si="65"/>
        <v>0</v>
      </c>
      <c r="F605" s="12">
        <f t="shared" si="66"/>
        <v>5.603673522102305E-5</v>
      </c>
      <c r="G605" s="12">
        <f t="shared" si="67"/>
        <v>3.9668902892615252</v>
      </c>
      <c r="I605" s="12">
        <f t="shared" si="68"/>
        <v>7.4857688463525942E-3</v>
      </c>
      <c r="J605" s="12">
        <f t="shared" si="69"/>
        <v>7.4054730214398717E-3</v>
      </c>
    </row>
    <row r="606" spans="1:10">
      <c r="A606" s="15">
        <v>41108</v>
      </c>
      <c r="B606" s="11">
        <v>1.6227</v>
      </c>
      <c r="C606" s="11">
        <f t="shared" si="63"/>
        <v>1.4000000000000679E-3</v>
      </c>
      <c r="D606" s="12">
        <f t="shared" si="64"/>
        <v>1.96000000000019E-6</v>
      </c>
      <c r="E606" s="12">
        <f t="shared" si="65"/>
        <v>9.9999999999977973E-7</v>
      </c>
      <c r="F606" s="12">
        <f t="shared" si="66"/>
        <v>5.1598687280311604E-5</v>
      </c>
      <c r="G606" s="12">
        <f t="shared" si="67"/>
        <v>3.9980758912182415</v>
      </c>
      <c r="I606" s="12">
        <f t="shared" si="68"/>
        <v>7.1832226249999801E-3</v>
      </c>
      <c r="J606" s="12">
        <f t="shared" si="69"/>
        <v>7.4054730214398717E-3</v>
      </c>
    </row>
    <row r="607" spans="1:10">
      <c r="A607" s="15">
        <v>41109</v>
      </c>
      <c r="B607" s="11">
        <v>1.6192</v>
      </c>
      <c r="C607" s="11">
        <f t="shared" si="63"/>
        <v>-3.5000000000000586E-3</v>
      </c>
      <c r="D607" s="12">
        <f t="shared" si="64"/>
        <v>1.225000000000041E-5</v>
      </c>
      <c r="E607" s="12">
        <f t="shared" si="65"/>
        <v>1.96000000000019E-6</v>
      </c>
      <c r="F607" s="12">
        <f t="shared" si="66"/>
        <v>4.7861251226439826E-5</v>
      </c>
      <c r="G607" s="12">
        <f t="shared" si="67"/>
        <v>3.9266895370907764</v>
      </c>
      <c r="I607" s="12">
        <f t="shared" si="68"/>
        <v>6.9181826534459052E-3</v>
      </c>
      <c r="J607" s="12">
        <f t="shared" si="69"/>
        <v>7.4054730214398717E-3</v>
      </c>
    </row>
    <row r="608" spans="1:10">
      <c r="A608" s="15">
        <v>41110</v>
      </c>
      <c r="B608" s="11">
        <v>1.6314</v>
      </c>
      <c r="C608" s="11">
        <f t="shared" si="63"/>
        <v>1.2199999999999989E-2</v>
      </c>
      <c r="D608" s="12">
        <f t="shared" si="64"/>
        <v>1.4883999999999972E-4</v>
      </c>
      <c r="E608" s="12">
        <f t="shared" si="65"/>
        <v>1.225000000000041E-5</v>
      </c>
      <c r="F608" s="12">
        <f t="shared" si="66"/>
        <v>4.5495652698859631E-5</v>
      </c>
      <c r="G608" s="12">
        <f t="shared" si="67"/>
        <v>2.4442476657450971</v>
      </c>
      <c r="I608" s="12">
        <f t="shared" si="68"/>
        <v>6.7450465305184983E-3</v>
      </c>
      <c r="J608" s="12">
        <f t="shared" si="69"/>
        <v>7.4054730214398717E-3</v>
      </c>
    </row>
    <row r="609" spans="1:10">
      <c r="A609" s="15">
        <v>41113</v>
      </c>
      <c r="B609" s="11">
        <v>1.6333</v>
      </c>
      <c r="C609" s="11">
        <f t="shared" si="63"/>
        <v>1.9000000000000128E-3</v>
      </c>
      <c r="D609" s="12">
        <f t="shared" si="64"/>
        <v>3.6100000000000484E-6</v>
      </c>
      <c r="E609" s="12">
        <f t="shared" si="65"/>
        <v>1.4883999999999972E-4</v>
      </c>
      <c r="F609" s="12">
        <f t="shared" si="66"/>
        <v>5.472421401314763E-5</v>
      </c>
      <c r="G609" s="12">
        <f t="shared" si="67"/>
        <v>3.9546800269487199</v>
      </c>
      <c r="I609" s="12">
        <f t="shared" si="68"/>
        <v>7.3975816327464501E-3</v>
      </c>
      <c r="J609" s="12">
        <f t="shared" si="69"/>
        <v>7.4054730214398717E-3</v>
      </c>
    </row>
    <row r="610" spans="1:10">
      <c r="A610" s="15">
        <v>41114</v>
      </c>
      <c r="B610" s="11">
        <v>1.6365000000000001</v>
      </c>
      <c r="C610" s="11">
        <f t="shared" si="63"/>
        <v>3.2000000000000917E-3</v>
      </c>
      <c r="D610" s="12">
        <f t="shared" si="64"/>
        <v>1.0240000000000586E-5</v>
      </c>
      <c r="E610" s="12">
        <f t="shared" si="65"/>
        <v>3.6100000000000484E-6</v>
      </c>
      <c r="F610" s="12">
        <f t="shared" si="66"/>
        <v>5.068517103901955E-5</v>
      </c>
      <c r="G610" s="12">
        <f t="shared" si="67"/>
        <v>3.9249843078767426</v>
      </c>
      <c r="I610" s="12">
        <f t="shared" si="68"/>
        <v>7.1193518693080165E-3</v>
      </c>
      <c r="J610" s="12">
        <f t="shared" si="69"/>
        <v>7.4054730214398717E-3</v>
      </c>
    </row>
    <row r="611" spans="1:10">
      <c r="A611" s="15">
        <v>41115</v>
      </c>
      <c r="B611" s="11">
        <v>1.6309</v>
      </c>
      <c r="C611" s="11">
        <f t="shared" si="63"/>
        <v>-5.6000000000000494E-3</v>
      </c>
      <c r="D611" s="12">
        <f t="shared" si="64"/>
        <v>3.1360000000000554E-5</v>
      </c>
      <c r="E611" s="12">
        <f t="shared" si="65"/>
        <v>1.0240000000000586E-5</v>
      </c>
      <c r="F611" s="12">
        <f t="shared" si="66"/>
        <v>4.7758403604244168E-5</v>
      </c>
      <c r="G611" s="12">
        <f t="shared" si="67"/>
        <v>3.7274200349181701</v>
      </c>
      <c r="I611" s="12">
        <f t="shared" si="68"/>
        <v>6.9107455172538485E-3</v>
      </c>
      <c r="J611" s="12">
        <f t="shared" si="69"/>
        <v>7.4054730214398717E-3</v>
      </c>
    </row>
    <row r="612" spans="1:10">
      <c r="A612" s="15">
        <v>41116</v>
      </c>
      <c r="B612" s="11">
        <v>1.6197999999999999</v>
      </c>
      <c r="C612" s="11">
        <f t="shared" si="63"/>
        <v>-1.110000000000011E-2</v>
      </c>
      <c r="D612" s="12">
        <f t="shared" si="64"/>
        <v>1.2321000000000245E-4</v>
      </c>
      <c r="E612" s="12">
        <f t="shared" si="65"/>
        <v>3.1360000000000554E-5</v>
      </c>
      <c r="F612" s="12">
        <f t="shared" si="66"/>
        <v>4.6982974955148696E-5</v>
      </c>
      <c r="G612" s="12">
        <f t="shared" si="67"/>
        <v>2.7527044373488723</v>
      </c>
      <c r="I612" s="12">
        <f t="shared" si="68"/>
        <v>6.8544128089245322E-3</v>
      </c>
      <c r="J612" s="12">
        <f t="shared" si="69"/>
        <v>7.4054730214398717E-3</v>
      </c>
    </row>
    <row r="613" spans="1:10">
      <c r="A613" s="15">
        <v>41117</v>
      </c>
      <c r="B613" s="11">
        <v>1.6146</v>
      </c>
      <c r="C613" s="11">
        <f t="shared" si="63"/>
        <v>-5.1999999999998714E-3</v>
      </c>
      <c r="D613" s="12">
        <f t="shared" si="64"/>
        <v>2.7039999999998664E-5</v>
      </c>
      <c r="E613" s="12">
        <f t="shared" si="65"/>
        <v>1.2321000000000245E-4</v>
      </c>
      <c r="F613" s="12">
        <f t="shared" si="66"/>
        <v>5.3889875961856475E-5</v>
      </c>
      <c r="G613" s="12">
        <f t="shared" si="67"/>
        <v>3.7444634206871541</v>
      </c>
      <c r="I613" s="12">
        <f t="shared" si="68"/>
        <v>7.3409724125524725E-3</v>
      </c>
      <c r="J613" s="12">
        <f t="shared" si="69"/>
        <v>7.4054730214398717E-3</v>
      </c>
    </row>
    <row r="614" spans="1:10">
      <c r="A614" s="15">
        <v>41120</v>
      </c>
      <c r="B614" s="11">
        <v>1.6215999999999999</v>
      </c>
      <c r="C614" s="11">
        <f t="shared" si="63"/>
        <v>6.9999999999998952E-3</v>
      </c>
      <c r="D614" s="12">
        <f t="shared" si="64"/>
        <v>4.8999999999998535E-5</v>
      </c>
      <c r="E614" s="12">
        <f t="shared" si="65"/>
        <v>2.7039999999998664E-5</v>
      </c>
      <c r="F614" s="12">
        <f t="shared" si="66"/>
        <v>5.1899649881825545E-5</v>
      </c>
      <c r="G614" s="12">
        <f t="shared" si="67"/>
        <v>3.5420958747347608</v>
      </c>
      <c r="I614" s="12">
        <f t="shared" si="68"/>
        <v>7.2041411619863157E-3</v>
      </c>
      <c r="J614" s="12">
        <f t="shared" si="69"/>
        <v>7.4054730214398717E-3</v>
      </c>
    </row>
    <row r="615" spans="1:10">
      <c r="A615" s="15">
        <v>41121</v>
      </c>
      <c r="B615" s="11">
        <v>1.6193</v>
      </c>
      <c r="C615" s="11">
        <f t="shared" si="63"/>
        <v>-2.2999999999999687E-3</v>
      </c>
      <c r="D615" s="12">
        <f t="shared" si="64"/>
        <v>5.2899999999998562E-6</v>
      </c>
      <c r="E615" s="12">
        <f t="shared" si="65"/>
        <v>4.8999999999998535E-5</v>
      </c>
      <c r="F615" s="12">
        <f t="shared" si="66"/>
        <v>5.199888481245338E-5</v>
      </c>
      <c r="G615" s="12">
        <f t="shared" si="67"/>
        <v>3.9623391266790389</v>
      </c>
      <c r="I615" s="12">
        <f t="shared" si="68"/>
        <v>7.2110252261695339E-3</v>
      </c>
      <c r="J615" s="12">
        <f t="shared" si="69"/>
        <v>7.4054730214398717E-3</v>
      </c>
    </row>
    <row r="616" spans="1:10">
      <c r="A616" s="15">
        <v>41122</v>
      </c>
      <c r="B616" s="11">
        <v>1.6228</v>
      </c>
      <c r="C616" s="11">
        <f t="shared" si="63"/>
        <v>3.5000000000000586E-3</v>
      </c>
      <c r="D616" s="12">
        <f t="shared" si="64"/>
        <v>1.225000000000041E-5</v>
      </c>
      <c r="E616" s="12">
        <f t="shared" si="65"/>
        <v>5.2899999999998562E-6</v>
      </c>
      <c r="F616" s="12">
        <f t="shared" si="66"/>
        <v>4.8479994197927653E-5</v>
      </c>
      <c r="G616" s="12">
        <f t="shared" si="67"/>
        <v>3.9219003531540411</v>
      </c>
      <c r="I616" s="12">
        <f t="shared" si="68"/>
        <v>6.9627576575612372E-3</v>
      </c>
      <c r="J616" s="12">
        <f t="shared" si="69"/>
        <v>7.4054730214398717E-3</v>
      </c>
    </row>
    <row r="617" spans="1:10">
      <c r="A617" s="15">
        <v>41123</v>
      </c>
      <c r="B617" s="11">
        <v>1.6269</v>
      </c>
      <c r="C617" s="11">
        <f t="shared" si="63"/>
        <v>4.0999999999999925E-3</v>
      </c>
      <c r="D617" s="12">
        <f t="shared" si="64"/>
        <v>1.6809999999999939E-5</v>
      </c>
      <c r="E617" s="12">
        <f t="shared" si="65"/>
        <v>1.225000000000041E-5</v>
      </c>
      <c r="F617" s="12">
        <f t="shared" si="66"/>
        <v>4.6027754129493808E-5</v>
      </c>
      <c r="G617" s="12">
        <f t="shared" si="67"/>
        <v>3.8915872406733074</v>
      </c>
      <c r="I617" s="12">
        <f t="shared" si="68"/>
        <v>6.7843757361671685E-3</v>
      </c>
      <c r="J617" s="12">
        <f t="shared" si="69"/>
        <v>7.4054730214398717E-3</v>
      </c>
    </row>
    <row r="618" spans="1:10">
      <c r="A618" s="15">
        <v>41124</v>
      </c>
      <c r="B618" s="11">
        <v>1.6080000000000001</v>
      </c>
      <c r="C618" s="11">
        <f t="shared" si="63"/>
        <v>-1.8899999999999917E-2</v>
      </c>
      <c r="D618" s="12">
        <f t="shared" si="64"/>
        <v>3.5720999999999686E-4</v>
      </c>
      <c r="E618" s="12">
        <f t="shared" si="65"/>
        <v>1.6809999999999939E-5</v>
      </c>
      <c r="F618" s="12">
        <f t="shared" si="66"/>
        <v>4.4294904632234817E-5</v>
      </c>
      <c r="G618" s="12">
        <f t="shared" si="67"/>
        <v>6.1202557736885252E-2</v>
      </c>
      <c r="I618" s="12">
        <f t="shared" si="68"/>
        <v>6.6554417308120738E-3</v>
      </c>
      <c r="J618" s="12">
        <f t="shared" si="69"/>
        <v>7.4054730214398717E-3</v>
      </c>
    </row>
    <row r="619" spans="1:10">
      <c r="A619" s="15">
        <v>41127</v>
      </c>
      <c r="B619" s="11">
        <v>1.6091</v>
      </c>
      <c r="C619" s="11">
        <f t="shared" si="63"/>
        <v>1.0999999999998789E-3</v>
      </c>
      <c r="D619" s="12">
        <f t="shared" si="64"/>
        <v>1.2099999999997335E-6</v>
      </c>
      <c r="E619" s="12">
        <f t="shared" si="65"/>
        <v>3.5720999999999686E-4</v>
      </c>
      <c r="F619" s="12">
        <f t="shared" si="66"/>
        <v>7.0873333640320148E-5</v>
      </c>
      <c r="G619" s="12">
        <f t="shared" si="67"/>
        <v>3.8498332572259351</v>
      </c>
      <c r="I619" s="12">
        <f t="shared" si="68"/>
        <v>8.4186301522468695E-3</v>
      </c>
      <c r="J619" s="12">
        <f t="shared" si="69"/>
        <v>7.4054730214398717E-3</v>
      </c>
    </row>
    <row r="620" spans="1:10">
      <c r="A620" s="15">
        <v>41128</v>
      </c>
      <c r="B620" s="11">
        <v>1.6093999999999999</v>
      </c>
      <c r="C620" s="11">
        <f t="shared" si="63"/>
        <v>2.9999999999996696E-4</v>
      </c>
      <c r="D620" s="12">
        <f t="shared" si="64"/>
        <v>8.9999999999980173E-8</v>
      </c>
      <c r="E620" s="12">
        <f t="shared" si="65"/>
        <v>1.2099999999997335E-6</v>
      </c>
      <c r="F620" s="12">
        <f t="shared" si="66"/>
        <v>6.437505783456516E-5</v>
      </c>
      <c r="G620" s="12">
        <f t="shared" si="67"/>
        <v>3.9057545812005907</v>
      </c>
      <c r="I620" s="12">
        <f t="shared" si="68"/>
        <v>8.023406872056606E-3</v>
      </c>
      <c r="J620" s="12">
        <f t="shared" si="69"/>
        <v>7.4054730214398717E-3</v>
      </c>
    </row>
    <row r="621" spans="1:10">
      <c r="A621" s="15">
        <v>41129</v>
      </c>
      <c r="B621" s="11">
        <v>1.6119000000000001</v>
      </c>
      <c r="C621" s="11">
        <f t="shared" si="63"/>
        <v>2.5000000000001688E-3</v>
      </c>
      <c r="D621" s="12">
        <f t="shared" si="64"/>
        <v>6.2500000000008439E-6</v>
      </c>
      <c r="E621" s="12">
        <f t="shared" si="65"/>
        <v>8.9999999999980173E-8</v>
      </c>
      <c r="F621" s="12">
        <f t="shared" si="66"/>
        <v>5.8694371973472854E-5</v>
      </c>
      <c r="G621" s="12">
        <f t="shared" si="67"/>
        <v>3.8994029141790625</v>
      </c>
      <c r="I621" s="12">
        <f t="shared" si="68"/>
        <v>7.6612252266509469E-3</v>
      </c>
      <c r="J621" s="12">
        <f t="shared" si="69"/>
        <v>7.4054730214398717E-3</v>
      </c>
    </row>
    <row r="622" spans="1:10">
      <c r="A622" s="15">
        <v>41130</v>
      </c>
      <c r="B622" s="11">
        <v>1.6160000000000001</v>
      </c>
      <c r="C622" s="11">
        <f t="shared" si="63"/>
        <v>4.0999999999999925E-3</v>
      </c>
      <c r="D622" s="12">
        <f t="shared" si="64"/>
        <v>1.6809999999999939E-5</v>
      </c>
      <c r="E622" s="12">
        <f t="shared" si="65"/>
        <v>6.2500000000008439E-6</v>
      </c>
      <c r="F622" s="12">
        <f t="shared" si="66"/>
        <v>5.4317082993043903E-5</v>
      </c>
      <c r="G622" s="12">
        <f t="shared" si="67"/>
        <v>3.8366578157339721</v>
      </c>
      <c r="I622" s="12">
        <f t="shared" si="68"/>
        <v>7.3700124147143675E-3</v>
      </c>
      <c r="J622" s="12">
        <f t="shared" si="69"/>
        <v>7.4054730214398717E-3</v>
      </c>
    </row>
    <row r="623" spans="1:10">
      <c r="A623" s="15">
        <v>41131</v>
      </c>
      <c r="B623" s="11">
        <v>1.6155999999999999</v>
      </c>
      <c r="C623" s="11">
        <f t="shared" si="63"/>
        <v>-4.0000000000017799E-4</v>
      </c>
      <c r="D623" s="12">
        <f t="shared" si="64"/>
        <v>1.6000000000014238E-7</v>
      </c>
      <c r="E623" s="12">
        <f t="shared" si="65"/>
        <v>1.6809999999999939E-5</v>
      </c>
      <c r="F623" s="12">
        <f t="shared" si="66"/>
        <v>5.1423492673705549E-5</v>
      </c>
      <c r="G623" s="12">
        <f t="shared" si="67"/>
        <v>4.0172134672278865</v>
      </c>
      <c r="I623" s="12">
        <f t="shared" si="68"/>
        <v>7.1710175479987185E-3</v>
      </c>
      <c r="J623" s="12">
        <f t="shared" si="69"/>
        <v>7.4054730214398717E-3</v>
      </c>
    </row>
    <row r="624" spans="1:10">
      <c r="A624" s="15">
        <v>41134</v>
      </c>
      <c r="B624" s="11">
        <v>1.6164000000000001</v>
      </c>
      <c r="C624" s="11">
        <f t="shared" si="63"/>
        <v>8.0000000000013394E-4</v>
      </c>
      <c r="D624" s="12">
        <f t="shared" si="64"/>
        <v>6.4000000000021431E-7</v>
      </c>
      <c r="E624" s="12">
        <f t="shared" si="65"/>
        <v>1.6000000000014238E-7</v>
      </c>
      <c r="F624" s="12">
        <f t="shared" si="66"/>
        <v>4.7562164811301538E-5</v>
      </c>
      <c r="G624" s="12">
        <f t="shared" si="67"/>
        <v>4.0510699073559771</v>
      </c>
      <c r="I624" s="12">
        <f t="shared" si="68"/>
        <v>6.8965328108623932E-3</v>
      </c>
      <c r="J624" s="12">
        <f t="shared" si="69"/>
        <v>7.4054730214398717E-3</v>
      </c>
    </row>
    <row r="625" spans="1:10">
      <c r="A625" s="15">
        <v>41135</v>
      </c>
      <c r="B625" s="11">
        <v>1.6185</v>
      </c>
      <c r="C625" s="11">
        <f t="shared" si="63"/>
        <v>2.0999999999999908E-3</v>
      </c>
      <c r="D625" s="12">
        <f t="shared" si="64"/>
        <v>4.4099999999999612E-6</v>
      </c>
      <c r="E625" s="12">
        <f t="shared" si="65"/>
        <v>6.4000000000021431E-7</v>
      </c>
      <c r="F625" s="12">
        <f t="shared" si="66"/>
        <v>4.4281111952676701E-5</v>
      </c>
      <c r="G625" s="12">
        <f t="shared" si="67"/>
        <v>4.0437421311934862</v>
      </c>
      <c r="I625" s="12">
        <f t="shared" si="68"/>
        <v>6.6544054544847731E-3</v>
      </c>
      <c r="J625" s="12">
        <f t="shared" si="69"/>
        <v>7.4054730214398717E-3</v>
      </c>
    </row>
    <row r="626" spans="1:10">
      <c r="A626" s="15">
        <v>41136</v>
      </c>
      <c r="B626" s="11">
        <v>1.6184000000000001</v>
      </c>
      <c r="C626" s="11">
        <f t="shared" si="63"/>
        <v>-9.9999999999988987E-5</v>
      </c>
      <c r="D626" s="12">
        <f t="shared" si="64"/>
        <v>9.9999999999977966E-9</v>
      </c>
      <c r="E626" s="12">
        <f t="shared" si="65"/>
        <v>4.4099999999999612E-6</v>
      </c>
      <c r="F626" s="12">
        <f t="shared" si="66"/>
        <v>4.177036527930225E-5</v>
      </c>
      <c r="G626" s="12">
        <f t="shared" si="67"/>
        <v>4.1226034745583942</v>
      </c>
      <c r="I626" s="12">
        <f t="shared" si="68"/>
        <v>6.4629997121539665E-3</v>
      </c>
      <c r="J626" s="12">
        <f t="shared" si="69"/>
        <v>7.4054730214398717E-3</v>
      </c>
    </row>
    <row r="627" spans="1:10">
      <c r="A627" s="15">
        <v>41137</v>
      </c>
      <c r="B627" s="11">
        <v>1.617</v>
      </c>
      <c r="C627" s="11">
        <f t="shared" si="63"/>
        <v>-1.4000000000000679E-3</v>
      </c>
      <c r="D627" s="12">
        <f t="shared" si="64"/>
        <v>1.96000000000019E-6</v>
      </c>
      <c r="E627" s="12">
        <f t="shared" si="65"/>
        <v>9.9999999999977966E-9</v>
      </c>
      <c r="F627" s="12">
        <f t="shared" si="66"/>
        <v>3.9248379992615317E-5</v>
      </c>
      <c r="G627" s="12">
        <f t="shared" si="67"/>
        <v>4.128892470293331</v>
      </c>
      <c r="I627" s="12">
        <f t="shared" si="68"/>
        <v>6.264852751072073E-3</v>
      </c>
      <c r="J627" s="12">
        <f t="shared" si="69"/>
        <v>7.4054730214398717E-3</v>
      </c>
    </row>
    <row r="628" spans="1:10">
      <c r="A628" s="15">
        <v>41138</v>
      </c>
      <c r="B628" s="11">
        <v>1.6184000000000001</v>
      </c>
      <c r="C628" s="11">
        <f t="shared" si="63"/>
        <v>1.4000000000000679E-3</v>
      </c>
      <c r="D628" s="12">
        <f t="shared" si="64"/>
        <v>1.96000000000019E-6</v>
      </c>
      <c r="E628" s="12">
        <f t="shared" si="65"/>
        <v>1.96000000000019E-6</v>
      </c>
      <c r="F628" s="12">
        <f t="shared" si="66"/>
        <v>3.7240336760530299E-5</v>
      </c>
      <c r="G628" s="12">
        <f t="shared" si="67"/>
        <v>4.1538049392149512</v>
      </c>
      <c r="I628" s="12">
        <f t="shared" si="68"/>
        <v>6.1024861130960636E-3</v>
      </c>
      <c r="J628" s="12">
        <f t="shared" si="69"/>
        <v>7.4054730214398717E-3</v>
      </c>
    </row>
    <row r="629" spans="1:10">
      <c r="A629" s="15">
        <v>41141</v>
      </c>
      <c r="B629" s="11">
        <v>1.6174999999999999</v>
      </c>
      <c r="C629" s="11">
        <f t="shared" si="63"/>
        <v>-9.0000000000012292E-4</v>
      </c>
      <c r="D629" s="12">
        <f t="shared" si="64"/>
        <v>8.1000000000022126E-7</v>
      </c>
      <c r="E629" s="12">
        <f t="shared" si="65"/>
        <v>1.96000000000019E-6</v>
      </c>
      <c r="F629" s="12">
        <f t="shared" si="66"/>
        <v>3.5513476455356333E-5</v>
      </c>
      <c r="G629" s="12">
        <f t="shared" si="67"/>
        <v>4.1924564954492407</v>
      </c>
      <c r="I629" s="12">
        <f t="shared" si="68"/>
        <v>5.9593184556085213E-3</v>
      </c>
      <c r="J629" s="12">
        <f t="shared" si="69"/>
        <v>7.4054730214398717E-3</v>
      </c>
    </row>
    <row r="630" spans="1:10">
      <c r="A630" s="15">
        <v>41142</v>
      </c>
      <c r="B630" s="11">
        <v>1.6059000000000001</v>
      </c>
      <c r="C630" s="11">
        <f t="shared" si="63"/>
        <v>-1.1599999999999833E-2</v>
      </c>
      <c r="D630" s="12">
        <f t="shared" si="64"/>
        <v>1.3455999999999611E-4</v>
      </c>
      <c r="E630" s="12">
        <f t="shared" si="65"/>
        <v>8.1000000000022126E-7</v>
      </c>
      <c r="F630" s="12">
        <f t="shared" si="66"/>
        <v>3.3933599048918945E-5</v>
      </c>
      <c r="G630" s="12">
        <f t="shared" si="67"/>
        <v>2.2439182425295008</v>
      </c>
      <c r="I630" s="12">
        <f t="shared" si="68"/>
        <v>5.8252552775753053E-3</v>
      </c>
      <c r="J630" s="12">
        <f t="shared" si="69"/>
        <v>7.4054730214398717E-3</v>
      </c>
    </row>
    <row r="631" spans="1:10">
      <c r="A631" s="15">
        <v>41143</v>
      </c>
      <c r="B631" s="11">
        <v>1.5985</v>
      </c>
      <c r="C631" s="11">
        <f t="shared" si="63"/>
        <v>-7.4000000000000732E-3</v>
      </c>
      <c r="D631" s="12">
        <f t="shared" si="64"/>
        <v>5.4760000000001082E-5</v>
      </c>
      <c r="E631" s="12">
        <f t="shared" si="65"/>
        <v>1.3455999999999611E-4</v>
      </c>
      <c r="F631" s="12">
        <f t="shared" si="66"/>
        <v>4.3603678159752281E-5</v>
      </c>
      <c r="G631" s="12">
        <f t="shared" si="67"/>
        <v>3.4733173058668787</v>
      </c>
      <c r="I631" s="12">
        <f t="shared" si="68"/>
        <v>6.6033081224301715E-3</v>
      </c>
      <c r="J631" s="12">
        <f t="shared" si="69"/>
        <v>7.4054730214398717E-3</v>
      </c>
    </row>
    <row r="632" spans="1:10">
      <c r="A632" s="15">
        <v>41144</v>
      </c>
      <c r="B632" s="11">
        <v>1.5964</v>
      </c>
      <c r="C632" s="11">
        <f t="shared" si="63"/>
        <v>-2.0999999999999908E-3</v>
      </c>
      <c r="D632" s="12">
        <f t="shared" si="64"/>
        <v>4.4099999999999612E-6</v>
      </c>
      <c r="E632" s="12">
        <f t="shared" si="65"/>
        <v>5.4760000000001082E-5</v>
      </c>
      <c r="F632" s="12">
        <f t="shared" si="66"/>
        <v>4.5339540950551694E-5</v>
      </c>
      <c r="G632" s="12">
        <f t="shared" si="67"/>
        <v>4.0330939317515133</v>
      </c>
      <c r="I632" s="12">
        <f t="shared" si="68"/>
        <v>6.7334642607317441E-3</v>
      </c>
      <c r="J632" s="12">
        <f t="shared" si="69"/>
        <v>7.4054730214398717E-3</v>
      </c>
    </row>
    <row r="633" spans="1:10">
      <c r="A633" s="15">
        <v>41145</v>
      </c>
      <c r="B633" s="11">
        <v>1.6013999999999999</v>
      </c>
      <c r="C633" s="11">
        <f t="shared" si="63"/>
        <v>4.9999999999998934E-3</v>
      </c>
      <c r="D633" s="12">
        <f t="shared" si="64"/>
        <v>2.4999999999998934E-5</v>
      </c>
      <c r="E633" s="12">
        <f t="shared" si="65"/>
        <v>4.4099999999999612E-6</v>
      </c>
      <c r="F633" s="12">
        <f t="shared" si="66"/>
        <v>4.2680584239268344E-5</v>
      </c>
      <c r="G633" s="12">
        <f t="shared" si="67"/>
        <v>3.8190714640308729</v>
      </c>
      <c r="I633" s="12">
        <f t="shared" si="68"/>
        <v>6.5330379027882845E-3</v>
      </c>
      <c r="J633" s="12">
        <f t="shared" si="69"/>
        <v>7.4054730214398717E-3</v>
      </c>
    </row>
    <row r="634" spans="1:10">
      <c r="A634" s="15">
        <v>41148</v>
      </c>
      <c r="B634" s="11">
        <v>1.603</v>
      </c>
      <c r="C634" s="11">
        <f t="shared" si="63"/>
        <v>1.6000000000000458E-3</v>
      </c>
      <c r="D634" s="12">
        <f t="shared" si="64"/>
        <v>2.5600000000001466E-6</v>
      </c>
      <c r="E634" s="12">
        <f t="shared" si="65"/>
        <v>2.4999999999998934E-5</v>
      </c>
      <c r="F634" s="12">
        <f t="shared" si="66"/>
        <v>4.2091762600291367E-5</v>
      </c>
      <c r="G634" s="12">
        <f t="shared" si="67"/>
        <v>4.088480958440579</v>
      </c>
      <c r="I634" s="12">
        <f t="shared" si="68"/>
        <v>6.4878164739988883E-3</v>
      </c>
      <c r="J634" s="12">
        <f t="shared" si="69"/>
        <v>7.4054730214398717E-3</v>
      </c>
    </row>
    <row r="635" spans="1:10">
      <c r="A635" s="15">
        <v>41149</v>
      </c>
      <c r="B635" s="11">
        <v>1.5992</v>
      </c>
      <c r="C635" s="11">
        <f t="shared" si="63"/>
        <v>-3.8000000000000256E-3</v>
      </c>
      <c r="D635" s="12">
        <f t="shared" si="64"/>
        <v>1.4440000000000194E-5</v>
      </c>
      <c r="E635" s="12">
        <f t="shared" si="65"/>
        <v>2.5600000000001466E-6</v>
      </c>
      <c r="F635" s="12">
        <f t="shared" si="66"/>
        <v>3.9735039940990448E-5</v>
      </c>
      <c r="G635" s="12">
        <f t="shared" si="67"/>
        <v>3.9659964251559496</v>
      </c>
      <c r="I635" s="12">
        <f t="shared" si="68"/>
        <v>6.3035735849588086E-3</v>
      </c>
      <c r="J635" s="12">
        <f t="shared" si="69"/>
        <v>7.4054730214398717E-3</v>
      </c>
    </row>
    <row r="636" spans="1:10">
      <c r="A636" s="15">
        <v>41150</v>
      </c>
      <c r="B636" s="11">
        <v>1.5991</v>
      </c>
      <c r="C636" s="11">
        <f t="shared" si="63"/>
        <v>-9.9999999999988987E-5</v>
      </c>
      <c r="D636" s="12">
        <f t="shared" si="64"/>
        <v>9.9999999999977966E-9</v>
      </c>
      <c r="E636" s="12">
        <f t="shared" si="65"/>
        <v>1.4440000000000194E-5</v>
      </c>
      <c r="F636" s="12">
        <f t="shared" si="66"/>
        <v>3.8687923706775827E-5</v>
      </c>
      <c r="G636" s="12">
        <f t="shared" si="67"/>
        <v>4.1609237478867502</v>
      </c>
      <c r="I636" s="12">
        <f t="shared" si="68"/>
        <v>6.2199617126454908E-3</v>
      </c>
      <c r="J636" s="12">
        <f t="shared" si="69"/>
        <v>7.4054730214398717E-3</v>
      </c>
    </row>
    <row r="637" spans="1:10">
      <c r="A637" s="15">
        <v>41151</v>
      </c>
      <c r="B637" s="11">
        <v>1.6015999999999999</v>
      </c>
      <c r="C637" s="11">
        <f t="shared" si="63"/>
        <v>2.4999999999999467E-3</v>
      </c>
      <c r="D637" s="12">
        <f t="shared" si="64"/>
        <v>6.2499999999997335E-6</v>
      </c>
      <c r="E637" s="12">
        <f t="shared" si="65"/>
        <v>9.9999999999977966E-9</v>
      </c>
      <c r="F637" s="12">
        <f t="shared" si="66"/>
        <v>3.6597567545172685E-5</v>
      </c>
      <c r="G637" s="12">
        <f t="shared" si="67"/>
        <v>4.1034376609447554</v>
      </c>
      <c r="I637" s="12">
        <f t="shared" si="68"/>
        <v>6.0495923453711062E-3</v>
      </c>
      <c r="J637" s="12">
        <f t="shared" si="69"/>
        <v>7.4054730214398717E-3</v>
      </c>
    </row>
    <row r="638" spans="1:10">
      <c r="A638" s="15">
        <v>41152</v>
      </c>
      <c r="B638" s="11">
        <v>1.5998000000000001</v>
      </c>
      <c r="C638" s="11">
        <f t="shared" si="63"/>
        <v>-1.7999999999998018E-3</v>
      </c>
      <c r="D638" s="12">
        <f t="shared" si="64"/>
        <v>3.2399999999992863E-6</v>
      </c>
      <c r="E638" s="12">
        <f t="shared" si="65"/>
        <v>6.2499999999997335E-6</v>
      </c>
      <c r="F638" s="12">
        <f t="shared" si="66"/>
        <v>3.5314457039217555E-5</v>
      </c>
      <c r="G638" s="12">
        <f t="shared" si="67"/>
        <v>4.1607969605605639</v>
      </c>
      <c r="I638" s="12">
        <f t="shared" si="68"/>
        <v>5.9425968262383031E-3</v>
      </c>
      <c r="J638" s="12">
        <f t="shared" si="69"/>
        <v>7.4054730214398717E-3</v>
      </c>
    </row>
    <row r="639" spans="1:10">
      <c r="A639" s="15">
        <v>41155</v>
      </c>
      <c r="B639" s="11">
        <v>1.5935999999999999</v>
      </c>
      <c r="C639" s="11">
        <f t="shared" si="63"/>
        <v>-6.2000000000002053E-3</v>
      </c>
      <c r="D639" s="12">
        <f t="shared" si="64"/>
        <v>3.8440000000002546E-5</v>
      </c>
      <c r="E639" s="12">
        <f t="shared" si="65"/>
        <v>3.2399999999992863E-6</v>
      </c>
      <c r="F639" s="12">
        <f t="shared" si="66"/>
        <v>3.3962820408915693E-5</v>
      </c>
      <c r="G639" s="12">
        <f t="shared" si="67"/>
        <v>3.6602705806387354</v>
      </c>
      <c r="I639" s="12">
        <f t="shared" si="68"/>
        <v>5.8277628991677153E-3</v>
      </c>
      <c r="J639" s="12">
        <f t="shared" si="69"/>
        <v>7.4054730214398717E-3</v>
      </c>
    </row>
    <row r="640" spans="1:10">
      <c r="A640" s="15">
        <v>41156</v>
      </c>
      <c r="B640" s="11">
        <v>1.5992999999999999</v>
      </c>
      <c r="C640" s="11">
        <f t="shared" si="63"/>
        <v>5.7000000000000384E-3</v>
      </c>
      <c r="D640" s="12">
        <f t="shared" si="64"/>
        <v>3.2490000000000436E-5</v>
      </c>
      <c r="E640" s="12">
        <f t="shared" si="65"/>
        <v>3.8440000000002546E-5</v>
      </c>
      <c r="F640" s="12">
        <f t="shared" si="66"/>
        <v>3.5702965271483734E-5</v>
      </c>
      <c r="G640" s="12">
        <f t="shared" si="67"/>
        <v>3.7461956415298712</v>
      </c>
      <c r="I640" s="12">
        <f t="shared" si="68"/>
        <v>5.9751958354085548E-3</v>
      </c>
      <c r="J640" s="12">
        <f t="shared" si="69"/>
        <v>7.4054730214398717E-3</v>
      </c>
    </row>
    <row r="641" spans="1:10">
      <c r="A641" s="15">
        <v>41157</v>
      </c>
      <c r="B641" s="11">
        <v>1.5964</v>
      </c>
      <c r="C641" s="11">
        <f t="shared" si="63"/>
        <v>-2.8999999999999027E-3</v>
      </c>
      <c r="D641" s="12">
        <f t="shared" si="64"/>
        <v>8.409999999999435E-6</v>
      </c>
      <c r="E641" s="12">
        <f t="shared" si="65"/>
        <v>3.2490000000000436E-5</v>
      </c>
      <c r="F641" s="12">
        <f t="shared" si="66"/>
        <v>3.6708816737469988E-5</v>
      </c>
      <c r="G641" s="12">
        <f t="shared" si="67"/>
        <v>4.0727581188770792</v>
      </c>
      <c r="I641" s="12">
        <f t="shared" si="68"/>
        <v>6.0587801360892759E-3</v>
      </c>
      <c r="J641" s="12">
        <f t="shared" si="69"/>
        <v>7.4054730214398717E-3</v>
      </c>
    </row>
    <row r="642" spans="1:10">
      <c r="A642" s="15">
        <v>41158</v>
      </c>
      <c r="B642" s="11">
        <v>1.5938000000000001</v>
      </c>
      <c r="C642" s="11">
        <f t="shared" si="63"/>
        <v>-2.5999999999999357E-3</v>
      </c>
      <c r="D642" s="12">
        <f t="shared" si="64"/>
        <v>6.7599999999996659E-6</v>
      </c>
      <c r="E642" s="12">
        <f t="shared" si="65"/>
        <v>8.409999999999435E-6</v>
      </c>
      <c r="F642" s="12">
        <f t="shared" si="66"/>
        <v>3.5588237012305153E-5</v>
      </c>
      <c r="G642" s="12">
        <f t="shared" si="67"/>
        <v>4.1078339552377177</v>
      </c>
      <c r="I642" s="12">
        <f t="shared" si="68"/>
        <v>5.96558773402128E-3</v>
      </c>
      <c r="J642" s="12">
        <f t="shared" si="69"/>
        <v>7.4054730214398717E-3</v>
      </c>
    </row>
    <row r="643" spans="1:10">
      <c r="A643" s="15">
        <v>41159</v>
      </c>
      <c r="B643" s="11">
        <v>1.5815999999999999</v>
      </c>
      <c r="C643" s="11">
        <f t="shared" si="63"/>
        <v>-1.2200000000000211E-2</v>
      </c>
      <c r="D643" s="12">
        <f t="shared" si="64"/>
        <v>1.4884000000000514E-4</v>
      </c>
      <c r="E643" s="12">
        <f t="shared" si="65"/>
        <v>6.7599999999996659E-6</v>
      </c>
      <c r="F643" s="12">
        <f t="shared" si="66"/>
        <v>3.4488514839598822E-5</v>
      </c>
      <c r="G643" s="12">
        <f t="shared" si="67"/>
        <v>2.0606837612946101</v>
      </c>
      <c r="I643" s="12">
        <f t="shared" si="68"/>
        <v>5.8726922990736388E-3</v>
      </c>
      <c r="J643" s="12">
        <f t="shared" si="69"/>
        <v>7.4054730214398717E-3</v>
      </c>
    </row>
    <row r="644" spans="1:10">
      <c r="A644" s="15">
        <v>41162</v>
      </c>
      <c r="B644" s="11">
        <v>1.5858000000000001</v>
      </c>
      <c r="C644" s="11">
        <f t="shared" si="63"/>
        <v>4.2000000000002036E-3</v>
      </c>
      <c r="D644" s="12">
        <f t="shared" si="64"/>
        <v>1.7640000000001712E-5</v>
      </c>
      <c r="E644" s="12">
        <f t="shared" si="65"/>
        <v>1.4884000000000514E-4</v>
      </c>
      <c r="F644" s="12">
        <f t="shared" si="66"/>
        <v>4.5258387212696862E-5</v>
      </c>
      <c r="G644" s="12">
        <f t="shared" si="67"/>
        <v>3.8877417301842336</v>
      </c>
      <c r="I644" s="12">
        <f t="shared" si="68"/>
        <v>6.7274354112616241E-3</v>
      </c>
      <c r="J644" s="12">
        <f t="shared" si="69"/>
        <v>7.4054730214398717E-3</v>
      </c>
    </row>
    <row r="645" spans="1:10">
      <c r="A645" s="15">
        <v>41163</v>
      </c>
      <c r="B645" s="11">
        <v>1.5743</v>
      </c>
      <c r="C645" s="11">
        <f t="shared" si="63"/>
        <v>-1.1500000000000066E-2</v>
      </c>
      <c r="D645" s="12">
        <f t="shared" si="64"/>
        <v>1.3225000000000151E-4</v>
      </c>
      <c r="E645" s="12">
        <f t="shared" si="65"/>
        <v>1.7640000000001712E-5</v>
      </c>
      <c r="F645" s="12">
        <f t="shared" si="66"/>
        <v>4.3701710837527302E-5</v>
      </c>
      <c r="G645" s="12">
        <f t="shared" si="67"/>
        <v>2.5870244553939541</v>
      </c>
      <c r="I645" s="12">
        <f t="shared" si="68"/>
        <v>6.6107269522744094E-3</v>
      </c>
      <c r="J645" s="12">
        <f t="shared" si="69"/>
        <v>7.4054730214398717E-3</v>
      </c>
    </row>
    <row r="646" spans="1:10">
      <c r="A646" s="15">
        <v>41164</v>
      </c>
      <c r="B646" s="11">
        <v>1.575</v>
      </c>
      <c r="C646" s="11">
        <f t="shared" si="63"/>
        <v>6.9999999999992291E-4</v>
      </c>
      <c r="D646" s="12">
        <f t="shared" si="64"/>
        <v>4.8999999999989208E-7</v>
      </c>
      <c r="E646" s="12">
        <f t="shared" si="65"/>
        <v>1.3225000000000151E-4</v>
      </c>
      <c r="F646" s="12">
        <f t="shared" si="66"/>
        <v>5.1813500146136136E-5</v>
      </c>
      <c r="G646" s="12">
        <f t="shared" si="67"/>
        <v>4.0102628730592755</v>
      </c>
      <c r="I646" s="12">
        <f t="shared" si="68"/>
        <v>7.1981594971309249E-3</v>
      </c>
      <c r="J646" s="12">
        <f t="shared" si="69"/>
        <v>7.4054730214398717E-3</v>
      </c>
    </row>
    <row r="647" spans="1:10">
      <c r="A647" s="15">
        <v>41165</v>
      </c>
      <c r="B647" s="11">
        <v>1.5640000000000001</v>
      </c>
      <c r="C647" s="11">
        <f t="shared" si="63"/>
        <v>-1.0999999999999899E-2</v>
      </c>
      <c r="D647" s="12">
        <f t="shared" si="64"/>
        <v>1.2099999999999778E-4</v>
      </c>
      <c r="E647" s="12">
        <f t="shared" si="65"/>
        <v>4.8999999999989208E-7</v>
      </c>
      <c r="F647" s="12">
        <f t="shared" si="66"/>
        <v>4.7924771260808559E-5</v>
      </c>
      <c r="G647" s="12">
        <f t="shared" si="67"/>
        <v>2.7916053054143601</v>
      </c>
      <c r="I647" s="12">
        <f t="shared" si="68"/>
        <v>6.9227719347677895E-3</v>
      </c>
      <c r="J647" s="12">
        <f t="shared" si="69"/>
        <v>7.4054730214398717E-3</v>
      </c>
    </row>
    <row r="648" spans="1:10">
      <c r="A648" s="15">
        <v>41166</v>
      </c>
      <c r="B648" s="11">
        <v>1.5525</v>
      </c>
      <c r="C648" s="11">
        <f t="shared" si="63"/>
        <v>-1.1500000000000066E-2</v>
      </c>
      <c r="D648" s="12">
        <f t="shared" si="64"/>
        <v>1.3225000000000151E-4</v>
      </c>
      <c r="E648" s="12">
        <f t="shared" si="65"/>
        <v>1.2099999999999778E-4</v>
      </c>
      <c r="F648" s="12">
        <f t="shared" si="66"/>
        <v>5.4517562401962993E-5</v>
      </c>
      <c r="G648" s="12">
        <f t="shared" si="67"/>
        <v>2.7766433941589681</v>
      </c>
      <c r="I648" s="12">
        <f t="shared" si="68"/>
        <v>7.3836009102580154E-3</v>
      </c>
      <c r="J648" s="12">
        <f t="shared" si="69"/>
        <v>7.4054730214398717E-3</v>
      </c>
    </row>
    <row r="649" spans="1:10">
      <c r="A649" s="15">
        <v>41169</v>
      </c>
      <c r="B649" s="11">
        <v>1.5553999999999999</v>
      </c>
      <c r="C649" s="11">
        <f t="shared" si="63"/>
        <v>2.8999999999999027E-3</v>
      </c>
      <c r="D649" s="12">
        <f t="shared" si="64"/>
        <v>8.409999999999435E-6</v>
      </c>
      <c r="E649" s="12">
        <f t="shared" si="65"/>
        <v>1.3225000000000151E-4</v>
      </c>
      <c r="F649" s="12">
        <f t="shared" si="66"/>
        <v>6.1114826150897663E-5</v>
      </c>
      <c r="G649" s="12">
        <f t="shared" si="67"/>
        <v>3.863634584938322</v>
      </c>
      <c r="I649" s="12">
        <f t="shared" si="68"/>
        <v>7.8175972108377179E-3</v>
      </c>
      <c r="J649" s="12">
        <f t="shared" si="69"/>
        <v>7.4054730214398717E-3</v>
      </c>
    </row>
    <row r="650" spans="1:10">
      <c r="A650" s="15">
        <v>41170</v>
      </c>
      <c r="B650" s="11">
        <v>1.5593999999999999</v>
      </c>
      <c r="C650" s="11">
        <f t="shared" si="63"/>
        <v>4.0000000000000036E-3</v>
      </c>
      <c r="D650" s="12">
        <f t="shared" si="64"/>
        <v>1.600000000000003E-5</v>
      </c>
      <c r="E650" s="12">
        <f t="shared" si="65"/>
        <v>8.409999999999435E-6</v>
      </c>
      <c r="F650" s="12">
        <f t="shared" si="66"/>
        <v>5.6576713849025994E-5</v>
      </c>
      <c r="G650" s="12">
        <f t="shared" si="67"/>
        <v>3.8296170653588475</v>
      </c>
      <c r="I650" s="12">
        <f t="shared" si="68"/>
        <v>7.5217493875444959E-3</v>
      </c>
      <c r="J650" s="12">
        <f t="shared" si="69"/>
        <v>7.4054730214398717E-3</v>
      </c>
    </row>
    <row r="651" spans="1:10">
      <c r="A651" s="15">
        <v>41171</v>
      </c>
      <c r="B651" s="11">
        <v>1.5598000000000001</v>
      </c>
      <c r="C651" s="11">
        <f t="shared" si="63"/>
        <v>4.0000000000017799E-4</v>
      </c>
      <c r="D651" s="12">
        <f t="shared" si="64"/>
        <v>1.6000000000014238E-7</v>
      </c>
      <c r="E651" s="12">
        <f t="shared" si="65"/>
        <v>1.600000000000003E-5</v>
      </c>
      <c r="F651" s="12">
        <f t="shared" si="66"/>
        <v>5.3299920402641979E-5</v>
      </c>
      <c r="G651" s="12">
        <f t="shared" si="67"/>
        <v>3.9993483791698372</v>
      </c>
      <c r="I651" s="12">
        <f t="shared" si="68"/>
        <v>7.3006794480131761E-3</v>
      </c>
      <c r="J651" s="12">
        <f t="shared" si="69"/>
        <v>7.4054730214398717E-3</v>
      </c>
    </row>
    <row r="652" spans="1:10">
      <c r="A652" s="15">
        <v>41172</v>
      </c>
      <c r="B652" s="11">
        <v>1.5677000000000001</v>
      </c>
      <c r="C652" s="11">
        <f t="shared" si="63"/>
        <v>7.9000000000000181E-3</v>
      </c>
      <c r="D652" s="12">
        <f t="shared" si="64"/>
        <v>6.2410000000000292E-5</v>
      </c>
      <c r="E652" s="12">
        <f t="shared" si="65"/>
        <v>1.6000000000014238E-7</v>
      </c>
      <c r="F652" s="12">
        <f t="shared" si="66"/>
        <v>4.917583951155364E-5</v>
      </c>
      <c r="G652" s="12">
        <f t="shared" si="67"/>
        <v>3.4065559417217912</v>
      </c>
      <c r="I652" s="12">
        <f t="shared" si="68"/>
        <v>7.0125487172321048E-3</v>
      </c>
      <c r="J652" s="12">
        <f t="shared" si="69"/>
        <v>7.4054730214398717E-3</v>
      </c>
    </row>
    <row r="653" spans="1:10">
      <c r="A653" s="15">
        <v>41173</v>
      </c>
      <c r="B653" s="11">
        <v>1.5687</v>
      </c>
      <c r="C653" s="11">
        <f t="shared" si="63"/>
        <v>9.9999999999988987E-4</v>
      </c>
      <c r="D653" s="12">
        <f t="shared" si="64"/>
        <v>9.9999999999977973E-7</v>
      </c>
      <c r="E653" s="12">
        <f t="shared" si="65"/>
        <v>6.2410000000000292E-5</v>
      </c>
      <c r="F653" s="12">
        <f t="shared" si="66"/>
        <v>5.0762243957155861E-5</v>
      </c>
      <c r="G653" s="12">
        <f t="shared" si="67"/>
        <v>4.0153904734857075</v>
      </c>
      <c r="I653" s="12">
        <f t="shared" si="68"/>
        <v>7.1247627298848251E-3</v>
      </c>
      <c r="J653" s="12">
        <f t="shared" si="69"/>
        <v>7.4054730214398717E-3</v>
      </c>
    </row>
    <row r="654" spans="1:10">
      <c r="A654" s="15">
        <v>41176</v>
      </c>
      <c r="B654" s="11">
        <v>1.5728</v>
      </c>
      <c r="C654" s="11">
        <f t="shared" ref="C654:C717" si="70">B654-B653</f>
        <v>4.0999999999999925E-3</v>
      </c>
      <c r="D654" s="12">
        <f t="shared" ref="D654:D717" si="71">C654^2</f>
        <v>1.6809999999999939E-5</v>
      </c>
      <c r="E654" s="12">
        <f t="shared" si="65"/>
        <v>9.9999999999977973E-7</v>
      </c>
      <c r="F654" s="12">
        <f t="shared" si="66"/>
        <v>4.7062774184405966E-5</v>
      </c>
      <c r="G654" s="12">
        <f t="shared" si="67"/>
        <v>3.884484315627124</v>
      </c>
      <c r="I654" s="12">
        <f t="shared" si="68"/>
        <v>6.8602313506474378E-3</v>
      </c>
      <c r="J654" s="12">
        <f t="shared" si="69"/>
        <v>7.4054730214398717E-3</v>
      </c>
    </row>
    <row r="655" spans="1:10">
      <c r="A655" s="15">
        <v>41177</v>
      </c>
      <c r="B655" s="11">
        <v>1.5705</v>
      </c>
      <c r="C655" s="11">
        <f t="shared" si="70"/>
        <v>-2.2999999999999687E-3</v>
      </c>
      <c r="D655" s="12">
        <f t="shared" si="71"/>
        <v>5.2899999999998562E-6</v>
      </c>
      <c r="E655" s="12">
        <f t="shared" ref="E655:E718" si="72">D654</f>
        <v>1.6809999999999939E-5</v>
      </c>
      <c r="F655" s="12">
        <f t="shared" ref="F655:F718" si="73">$B$5+$B$6*E655+$B$7*F654</f>
        <v>4.5184992564271489E-5</v>
      </c>
      <c r="G655" s="12">
        <f t="shared" ref="G655:G718" si="74">LN((1/SQRT(2*3.1415927*F655))*EXP(-0.5*D655/F655))</f>
        <v>4.0248970992099053</v>
      </c>
      <c r="I655" s="12">
        <f t="shared" ref="I655:I718" si="75">SQRT(F655)</f>
        <v>6.7219783222107676E-3</v>
      </c>
      <c r="J655" s="12">
        <f t="shared" si="69"/>
        <v>7.4054730214398717E-3</v>
      </c>
    </row>
    <row r="656" spans="1:10">
      <c r="A656" s="15">
        <v>41178</v>
      </c>
      <c r="B656" s="11">
        <v>1.5760000000000001</v>
      </c>
      <c r="C656" s="11">
        <f t="shared" si="70"/>
        <v>5.5000000000000604E-3</v>
      </c>
      <c r="D656" s="12">
        <f t="shared" si="71"/>
        <v>3.0250000000000664E-5</v>
      </c>
      <c r="E656" s="12">
        <f t="shared" si="72"/>
        <v>5.2899999999998562E-6</v>
      </c>
      <c r="F656" s="12">
        <f t="shared" si="73"/>
        <v>4.2620239856433606E-5</v>
      </c>
      <c r="G656" s="12">
        <f t="shared" si="74"/>
        <v>3.7577737704798762</v>
      </c>
      <c r="I656" s="12">
        <f t="shared" si="75"/>
        <v>6.5284178677864676E-3</v>
      </c>
      <c r="J656" s="12">
        <f t="shared" ref="J656:J719" si="76">J655</f>
        <v>7.4054730214398717E-3</v>
      </c>
    </row>
    <row r="657" spans="1:10">
      <c r="A657" s="15">
        <v>41179</v>
      </c>
      <c r="B657" s="11">
        <v>1.5747</v>
      </c>
      <c r="C657" s="11">
        <f t="shared" si="70"/>
        <v>-1.3000000000000789E-3</v>
      </c>
      <c r="D657" s="12">
        <f t="shared" si="71"/>
        <v>1.6900000000002051E-6</v>
      </c>
      <c r="E657" s="12">
        <f t="shared" si="72"/>
        <v>3.0250000000000664E-5</v>
      </c>
      <c r="F657" s="12">
        <f t="shared" si="73"/>
        <v>4.2472771518885287E-5</v>
      </c>
      <c r="G657" s="12">
        <f t="shared" si="74"/>
        <v>4.0944900390190044</v>
      </c>
      <c r="I657" s="12">
        <f t="shared" si="75"/>
        <v>6.5171137414414739E-3</v>
      </c>
      <c r="J657" s="12">
        <f t="shared" si="76"/>
        <v>7.4054730214398717E-3</v>
      </c>
    </row>
    <row r="658" spans="1:10">
      <c r="A658" s="15">
        <v>41180</v>
      </c>
      <c r="B658" s="11">
        <v>1.5780000000000001</v>
      </c>
      <c r="C658" s="11">
        <f t="shared" si="70"/>
        <v>3.3000000000000806E-3</v>
      </c>
      <c r="D658" s="12">
        <f t="shared" si="71"/>
        <v>1.0890000000000533E-5</v>
      </c>
      <c r="E658" s="12">
        <f t="shared" si="72"/>
        <v>1.6900000000002051E-6</v>
      </c>
      <c r="F658" s="12">
        <f t="shared" si="73"/>
        <v>3.9990958545368596E-5</v>
      </c>
      <c r="G658" s="12">
        <f t="shared" si="74"/>
        <v>4.0083342661351802</v>
      </c>
      <c r="I658" s="12">
        <f t="shared" si="75"/>
        <v>6.3238404901901661E-3</v>
      </c>
      <c r="J658" s="12">
        <f t="shared" si="76"/>
        <v>7.4054730214398717E-3</v>
      </c>
    </row>
    <row r="659" spans="1:10">
      <c r="A659" s="15">
        <v>41183</v>
      </c>
      <c r="B659" s="11">
        <v>1.5742</v>
      </c>
      <c r="C659" s="11">
        <f t="shared" si="70"/>
        <v>-3.8000000000000256E-3</v>
      </c>
      <c r="D659" s="12">
        <f t="shared" si="71"/>
        <v>1.4440000000000194E-5</v>
      </c>
      <c r="E659" s="12">
        <f t="shared" si="72"/>
        <v>1.0890000000000533E-5</v>
      </c>
      <c r="F659" s="12">
        <f t="shared" si="73"/>
        <v>3.8615281316306942E-5</v>
      </c>
      <c r="G659" s="12">
        <f t="shared" si="74"/>
        <v>3.975020083095921</v>
      </c>
      <c r="I659" s="12">
        <f t="shared" si="75"/>
        <v>6.2141195125542071E-3</v>
      </c>
      <c r="J659" s="12">
        <f t="shared" si="76"/>
        <v>7.4054730214398717E-3</v>
      </c>
    </row>
    <row r="660" spans="1:10">
      <c r="A660" s="15">
        <v>41184</v>
      </c>
      <c r="B660" s="11">
        <v>1.5698000000000001</v>
      </c>
      <c r="C660" s="11">
        <f t="shared" si="70"/>
        <v>-4.3999999999999595E-3</v>
      </c>
      <c r="D660" s="12">
        <f t="shared" si="71"/>
        <v>1.9359999999999645E-5</v>
      </c>
      <c r="E660" s="12">
        <f t="shared" si="72"/>
        <v>1.4440000000000194E-5</v>
      </c>
      <c r="F660" s="12">
        <f t="shared" si="73"/>
        <v>3.7724963004812076E-5</v>
      </c>
      <c r="G660" s="12">
        <f t="shared" si="74"/>
        <v>3.9170617040524078</v>
      </c>
      <c r="I660" s="12">
        <f t="shared" si="75"/>
        <v>6.1420650440069486E-3</v>
      </c>
      <c r="J660" s="12">
        <f t="shared" si="76"/>
        <v>7.4054730214398717E-3</v>
      </c>
    </row>
    <row r="661" spans="1:10">
      <c r="A661" s="15">
        <v>41185</v>
      </c>
      <c r="B661" s="11">
        <v>1.5725</v>
      </c>
      <c r="C661" s="11">
        <f t="shared" si="70"/>
        <v>2.6999999999999247E-3</v>
      </c>
      <c r="D661" s="12">
        <f t="shared" si="71"/>
        <v>7.2899999999995931E-6</v>
      </c>
      <c r="E661" s="12">
        <f t="shared" si="72"/>
        <v>1.9359999999999645E-5</v>
      </c>
      <c r="F661" s="12">
        <f t="shared" si="73"/>
        <v>3.7365006782845111E-5</v>
      </c>
      <c r="G661" s="12">
        <f t="shared" si="74"/>
        <v>4.0808982623803045</v>
      </c>
      <c r="I661" s="12">
        <f t="shared" si="75"/>
        <v>6.1126922696014326E-3</v>
      </c>
      <c r="J661" s="12">
        <f t="shared" si="76"/>
        <v>7.4054730214398717E-3</v>
      </c>
    </row>
    <row r="662" spans="1:10">
      <c r="A662" s="15">
        <v>41186</v>
      </c>
      <c r="B662" s="11">
        <v>1.5650999999999999</v>
      </c>
      <c r="C662" s="11">
        <f t="shared" si="70"/>
        <v>-7.4000000000000732E-3</v>
      </c>
      <c r="D662" s="12">
        <f t="shared" si="71"/>
        <v>5.4760000000001082E-5</v>
      </c>
      <c r="E662" s="12">
        <f t="shared" si="72"/>
        <v>7.2899999999995931E-6</v>
      </c>
      <c r="F662" s="12">
        <f t="shared" si="73"/>
        <v>3.6060189145072628E-5</v>
      </c>
      <c r="G662" s="12">
        <f t="shared" si="74"/>
        <v>3.4369359174383982</v>
      </c>
      <c r="I662" s="12">
        <f t="shared" si="75"/>
        <v>6.0050136673510269E-3</v>
      </c>
      <c r="J662" s="12">
        <f t="shared" si="76"/>
        <v>7.4054730214398717E-3</v>
      </c>
    </row>
    <row r="663" spans="1:10">
      <c r="A663" s="15">
        <v>41187</v>
      </c>
      <c r="B663" s="11">
        <v>1.5629999999999999</v>
      </c>
      <c r="C663" s="11">
        <f t="shared" si="70"/>
        <v>-2.0999999999999908E-3</v>
      </c>
      <c r="D663" s="12">
        <f t="shared" si="71"/>
        <v>4.4099999999999612E-6</v>
      </c>
      <c r="E663" s="12">
        <f t="shared" si="72"/>
        <v>5.4760000000001082E-5</v>
      </c>
      <c r="F663" s="12">
        <f t="shared" si="73"/>
        <v>3.8852354054460683E-5</v>
      </c>
      <c r="G663" s="12">
        <f t="shared" si="74"/>
        <v>4.1021790863118772</v>
      </c>
      <c r="I663" s="12">
        <f t="shared" si="75"/>
        <v>6.2331656527370334E-3</v>
      </c>
      <c r="J663" s="12">
        <f t="shared" si="76"/>
        <v>7.4054730214398717E-3</v>
      </c>
    </row>
    <row r="664" spans="1:10">
      <c r="A664" s="15">
        <v>41190</v>
      </c>
      <c r="B664" s="11">
        <v>1.571</v>
      </c>
      <c r="C664" s="11">
        <f t="shared" si="70"/>
        <v>8.0000000000000071E-3</v>
      </c>
      <c r="D664" s="12">
        <f t="shared" si="71"/>
        <v>6.4000000000000119E-5</v>
      </c>
      <c r="E664" s="12">
        <f t="shared" si="72"/>
        <v>4.4099999999999612E-6</v>
      </c>
      <c r="F664" s="12">
        <f t="shared" si="73"/>
        <v>3.7101787247197413E-5</v>
      </c>
      <c r="G664" s="12">
        <f t="shared" si="74"/>
        <v>3.3194920240585044</v>
      </c>
      <c r="I664" s="12">
        <f t="shared" si="75"/>
        <v>6.0911236440575897E-3</v>
      </c>
      <c r="J664" s="12">
        <f t="shared" si="76"/>
        <v>7.4054730214398717E-3</v>
      </c>
    </row>
    <row r="665" spans="1:10">
      <c r="A665" s="15">
        <v>41191</v>
      </c>
      <c r="B665" s="11">
        <v>1.5742</v>
      </c>
      <c r="C665" s="11">
        <f t="shared" si="70"/>
        <v>3.2000000000000917E-3</v>
      </c>
      <c r="D665" s="12">
        <f t="shared" si="71"/>
        <v>1.0240000000000586E-5</v>
      </c>
      <c r="E665" s="12">
        <f t="shared" si="72"/>
        <v>6.4000000000000119E-5</v>
      </c>
      <c r="F665" s="12">
        <f t="shared" si="73"/>
        <v>4.0510008867263759E-5</v>
      </c>
      <c r="G665" s="12">
        <f t="shared" si="74"/>
        <v>4.0116536819656483</v>
      </c>
      <c r="I665" s="12">
        <f t="shared" si="75"/>
        <v>6.3647473529798307E-3</v>
      </c>
      <c r="J665" s="12">
        <f t="shared" si="76"/>
        <v>7.4054730214398717E-3</v>
      </c>
    </row>
    <row r="666" spans="1:10">
      <c r="A666" s="15">
        <v>41192</v>
      </c>
      <c r="B666" s="11">
        <v>1.575</v>
      </c>
      <c r="C666" s="11">
        <f t="shared" si="70"/>
        <v>7.9999999999991189E-4</v>
      </c>
      <c r="D666" s="12">
        <f t="shared" si="71"/>
        <v>6.3999999999985898E-7</v>
      </c>
      <c r="E666" s="12">
        <f t="shared" si="72"/>
        <v>1.0240000000000586E-5</v>
      </c>
      <c r="F666" s="12">
        <f t="shared" si="73"/>
        <v>3.9008052330746842E-5</v>
      </c>
      <c r="G666" s="12">
        <f t="shared" si="74"/>
        <v>4.1487292565307925</v>
      </c>
      <c r="I666" s="12">
        <f t="shared" si="75"/>
        <v>6.2456426675520623E-3</v>
      </c>
      <c r="J666" s="12">
        <f t="shared" si="76"/>
        <v>7.4054730214398717E-3</v>
      </c>
    </row>
    <row r="667" spans="1:10">
      <c r="A667" s="15">
        <v>41193</v>
      </c>
      <c r="B667" s="11">
        <v>1.569</v>
      </c>
      <c r="C667" s="11">
        <f t="shared" si="70"/>
        <v>-6.0000000000000053E-3</v>
      </c>
      <c r="D667" s="12">
        <f t="shared" si="71"/>
        <v>3.6000000000000062E-5</v>
      </c>
      <c r="E667" s="12">
        <f t="shared" si="72"/>
        <v>6.3999999999985898E-7</v>
      </c>
      <c r="F667" s="12">
        <f t="shared" si="73"/>
        <v>3.6924817500128892E-5</v>
      </c>
      <c r="G667" s="12">
        <f t="shared" si="74"/>
        <v>3.6968977753852457</v>
      </c>
      <c r="I667" s="12">
        <f t="shared" si="75"/>
        <v>6.0765794243249132E-3</v>
      </c>
      <c r="J667" s="12">
        <f t="shared" si="76"/>
        <v>7.4054730214398717E-3</v>
      </c>
    </row>
    <row r="668" spans="1:10">
      <c r="A668" s="15">
        <v>41194</v>
      </c>
      <c r="B668" s="11">
        <v>1.5676000000000001</v>
      </c>
      <c r="C668" s="11">
        <f t="shared" si="70"/>
        <v>-1.3999999999998458E-3</v>
      </c>
      <c r="D668" s="12">
        <f t="shared" si="71"/>
        <v>1.9599999999995683E-6</v>
      </c>
      <c r="E668" s="12">
        <f t="shared" si="72"/>
        <v>3.6000000000000062E-5</v>
      </c>
      <c r="F668" s="12">
        <f t="shared" si="73"/>
        <v>3.804900187752958E-5</v>
      </c>
      <c r="G668" s="12">
        <f t="shared" si="74"/>
        <v>4.1436230519501844</v>
      </c>
      <c r="I668" s="12">
        <f t="shared" si="75"/>
        <v>6.1683872995726835E-3</v>
      </c>
      <c r="J668" s="12">
        <f t="shared" si="76"/>
        <v>7.4054730214398717E-3</v>
      </c>
    </row>
    <row r="669" spans="1:10">
      <c r="A669" s="15">
        <v>41197</v>
      </c>
      <c r="B669" s="11">
        <v>1.5680000000000001</v>
      </c>
      <c r="C669" s="11">
        <f t="shared" si="70"/>
        <v>3.9999999999995595E-4</v>
      </c>
      <c r="D669" s="12">
        <f t="shared" si="71"/>
        <v>1.5999999999996475E-7</v>
      </c>
      <c r="E669" s="12">
        <f t="shared" si="72"/>
        <v>1.9599999999995683E-6</v>
      </c>
      <c r="F669" s="12">
        <f t="shared" si="73"/>
        <v>3.6208905551907626E-5</v>
      </c>
      <c r="G669" s="12">
        <f t="shared" si="74"/>
        <v>4.1919547880250967</v>
      </c>
      <c r="I669" s="12">
        <f t="shared" si="75"/>
        <v>6.0173836134908027E-3</v>
      </c>
      <c r="J669" s="12">
        <f t="shared" si="76"/>
        <v>7.4054730214398717E-3</v>
      </c>
    </row>
    <row r="670" spans="1:10">
      <c r="A670" s="15">
        <v>41198</v>
      </c>
      <c r="B670" s="11">
        <v>1.5593999999999999</v>
      </c>
      <c r="C670" s="11">
        <f t="shared" si="70"/>
        <v>-8.6000000000001631E-3</v>
      </c>
      <c r="D670" s="12">
        <f t="shared" si="71"/>
        <v>7.3960000000002809E-5</v>
      </c>
      <c r="E670" s="12">
        <f t="shared" si="72"/>
        <v>1.5999999999996475E-7</v>
      </c>
      <c r="F670" s="12">
        <f t="shared" si="73"/>
        <v>3.4478050813933415E-5</v>
      </c>
      <c r="G670" s="12">
        <f t="shared" si="74"/>
        <v>3.1460888481218521</v>
      </c>
      <c r="I670" s="12">
        <f t="shared" si="75"/>
        <v>5.8718013261633275E-3</v>
      </c>
      <c r="J670" s="12">
        <f t="shared" si="76"/>
        <v>7.4054730214398717E-3</v>
      </c>
    </row>
    <row r="671" spans="1:10">
      <c r="A671" s="15">
        <v>41199</v>
      </c>
      <c r="B671" s="11">
        <v>1.5556000000000001</v>
      </c>
      <c r="C671" s="11">
        <f t="shared" si="70"/>
        <v>-3.7999999999998035E-3</v>
      </c>
      <c r="D671" s="12">
        <f t="shared" si="71"/>
        <v>1.4439999999998506E-5</v>
      </c>
      <c r="E671" s="12">
        <f t="shared" si="72"/>
        <v>7.3960000000002809E-5</v>
      </c>
      <c r="F671" s="12">
        <f t="shared" si="73"/>
        <v>3.9074949400236412E-5</v>
      </c>
      <c r="G671" s="12">
        <f t="shared" si="74"/>
        <v>3.9713028357567466</v>
      </c>
      <c r="I671" s="12">
        <f t="shared" si="75"/>
        <v>6.2509958726779218E-3</v>
      </c>
      <c r="J671" s="12">
        <f t="shared" si="76"/>
        <v>7.4054730214398717E-3</v>
      </c>
    </row>
    <row r="672" spans="1:10">
      <c r="A672" s="15">
        <v>41200</v>
      </c>
      <c r="B672" s="11">
        <v>1.5608</v>
      </c>
      <c r="C672" s="11">
        <f t="shared" si="70"/>
        <v>5.1999999999998714E-3</v>
      </c>
      <c r="D672" s="12">
        <f t="shared" si="71"/>
        <v>2.7039999999998664E-5</v>
      </c>
      <c r="E672" s="12">
        <f t="shared" si="72"/>
        <v>1.4439999999998506E-5</v>
      </c>
      <c r="F672" s="12">
        <f t="shared" si="73"/>
        <v>3.8120264537672347E-5</v>
      </c>
      <c r="G672" s="12">
        <f t="shared" si="74"/>
        <v>3.8137767256089372</v>
      </c>
      <c r="I672" s="12">
        <f t="shared" si="75"/>
        <v>6.174161039175472E-3</v>
      </c>
      <c r="J672" s="12">
        <f t="shared" si="76"/>
        <v>7.4054730214398717E-3</v>
      </c>
    </row>
    <row r="673" spans="1:10">
      <c r="A673" s="15">
        <v>41201</v>
      </c>
      <c r="B673" s="11">
        <v>1.5632999999999999</v>
      </c>
      <c r="C673" s="11">
        <f t="shared" si="70"/>
        <v>2.4999999999999467E-3</v>
      </c>
      <c r="D673" s="12">
        <f t="shared" si="71"/>
        <v>6.2499999999997335E-6</v>
      </c>
      <c r="E673" s="12">
        <f t="shared" si="72"/>
        <v>2.7039999999998664E-5</v>
      </c>
      <c r="F673" s="12">
        <f t="shared" si="73"/>
        <v>3.8338230704527406E-5</v>
      </c>
      <c r="G673" s="12">
        <f t="shared" si="74"/>
        <v>4.0840816184224193</v>
      </c>
      <c r="I673" s="12">
        <f t="shared" si="75"/>
        <v>6.1917873594405197E-3</v>
      </c>
      <c r="J673" s="12">
        <f t="shared" si="76"/>
        <v>7.4054730214398717E-3</v>
      </c>
    </row>
    <row r="674" spans="1:10">
      <c r="A674" s="15">
        <v>41204</v>
      </c>
      <c r="B674" s="11">
        <v>1.5603</v>
      </c>
      <c r="C674" s="11">
        <f t="shared" si="70"/>
        <v>-2.9999999999998916E-3</v>
      </c>
      <c r="D674" s="12">
        <f t="shared" si="71"/>
        <v>8.9999999999993497E-6</v>
      </c>
      <c r="E674" s="12">
        <f t="shared" si="72"/>
        <v>6.2499999999997335E-6</v>
      </c>
      <c r="F674" s="12">
        <f t="shared" si="73"/>
        <v>3.6811378054930586E-5</v>
      </c>
      <c r="G674" s="12">
        <f t="shared" si="74"/>
        <v>4.063668434282615</v>
      </c>
      <c r="I674" s="12">
        <f t="shared" si="75"/>
        <v>6.0672380911688788E-3</v>
      </c>
      <c r="J674" s="12">
        <f t="shared" si="76"/>
        <v>7.4054730214398717E-3</v>
      </c>
    </row>
    <row r="675" spans="1:10">
      <c r="A675" s="15">
        <v>41205</v>
      </c>
      <c r="B675" s="11">
        <v>1.5684</v>
      </c>
      <c r="C675" s="11">
        <f t="shared" si="70"/>
        <v>8.0999999999999961E-3</v>
      </c>
      <c r="D675" s="12">
        <f t="shared" si="71"/>
        <v>6.5609999999999936E-5</v>
      </c>
      <c r="E675" s="12">
        <f t="shared" si="72"/>
        <v>8.9999999999993497E-6</v>
      </c>
      <c r="F675" s="12">
        <f t="shared" si="73"/>
        <v>3.5725086934430792E-5</v>
      </c>
      <c r="G675" s="12">
        <f t="shared" si="74"/>
        <v>3.2826278736544405</v>
      </c>
      <c r="I675" s="12">
        <f t="shared" si="75"/>
        <v>5.977046673268563E-3</v>
      </c>
      <c r="J675" s="12">
        <f t="shared" si="76"/>
        <v>7.4054730214398717E-3</v>
      </c>
    </row>
    <row r="676" spans="1:10">
      <c r="A676" s="15">
        <v>41206</v>
      </c>
      <c r="B676" s="11">
        <v>1.5684</v>
      </c>
      <c r="C676" s="11">
        <f t="shared" si="70"/>
        <v>0</v>
      </c>
      <c r="D676" s="12">
        <f t="shared" si="71"/>
        <v>0</v>
      </c>
      <c r="E676" s="12">
        <f t="shared" si="72"/>
        <v>6.5609999999999936E-5</v>
      </c>
      <c r="F676" s="12">
        <f t="shared" si="73"/>
        <v>3.9458842627114426E-5</v>
      </c>
      <c r="G676" s="12">
        <f t="shared" si="74"/>
        <v>4.1511876534493526</v>
      </c>
      <c r="I676" s="12">
        <f t="shared" si="75"/>
        <v>6.2816273868412818E-3</v>
      </c>
      <c r="J676" s="12">
        <f t="shared" si="76"/>
        <v>7.4054730214398717E-3</v>
      </c>
    </row>
    <row r="677" spans="1:10">
      <c r="A677" s="15">
        <v>41207</v>
      </c>
      <c r="B677" s="11">
        <v>1.5701000000000001</v>
      </c>
      <c r="C677" s="11">
        <f t="shared" si="70"/>
        <v>1.7000000000000348E-3</v>
      </c>
      <c r="D677" s="12">
        <f t="shared" si="71"/>
        <v>2.8900000000001184E-6</v>
      </c>
      <c r="E677" s="12">
        <f t="shared" si="72"/>
        <v>0</v>
      </c>
      <c r="F677" s="12">
        <f t="shared" si="73"/>
        <v>3.7259711403828692E-5</v>
      </c>
      <c r="G677" s="12">
        <f t="shared" si="74"/>
        <v>4.1410785930119296</v>
      </c>
      <c r="I677" s="12">
        <f t="shared" si="75"/>
        <v>6.1040733452202792E-3</v>
      </c>
      <c r="J677" s="12">
        <f t="shared" si="76"/>
        <v>7.4054730214398717E-3</v>
      </c>
    </row>
    <row r="678" spans="1:10">
      <c r="A678" s="15">
        <v>41208</v>
      </c>
      <c r="B678" s="11">
        <v>1.5690999999999999</v>
      </c>
      <c r="C678" s="11">
        <f t="shared" si="70"/>
        <v>-1.0000000000001119E-3</v>
      </c>
      <c r="D678" s="12">
        <f t="shared" si="71"/>
        <v>1.0000000000002238E-6</v>
      </c>
      <c r="E678" s="12">
        <f t="shared" si="72"/>
        <v>2.8900000000001184E-6</v>
      </c>
      <c r="F678" s="12">
        <f t="shared" si="73"/>
        <v>3.5606823841205092E-5</v>
      </c>
      <c r="G678" s="12">
        <f t="shared" si="74"/>
        <v>4.1885058359916849</v>
      </c>
      <c r="I678" s="12">
        <f t="shared" si="75"/>
        <v>5.9671453678626848E-3</v>
      </c>
      <c r="J678" s="12">
        <f t="shared" si="76"/>
        <v>7.4054730214398717E-3</v>
      </c>
    </row>
    <row r="679" spans="1:10">
      <c r="A679" s="15">
        <v>41211</v>
      </c>
      <c r="B679" s="11">
        <v>1.5708</v>
      </c>
      <c r="C679" s="11">
        <f t="shared" si="70"/>
        <v>1.7000000000000348E-3</v>
      </c>
      <c r="D679" s="12">
        <f t="shared" si="71"/>
        <v>2.8900000000001184E-6</v>
      </c>
      <c r="E679" s="12">
        <f t="shared" si="72"/>
        <v>1.0000000000002238E-6</v>
      </c>
      <c r="F679" s="12">
        <f t="shared" si="73"/>
        <v>3.4029542136261348E-5</v>
      </c>
      <c r="G679" s="12">
        <f t="shared" si="74"/>
        <v>4.1827391171465056</v>
      </c>
      <c r="I679" s="12">
        <f t="shared" si="75"/>
        <v>5.8334845621001987E-3</v>
      </c>
      <c r="J679" s="12">
        <f t="shared" si="76"/>
        <v>7.4054730214398717E-3</v>
      </c>
    </row>
    <row r="680" spans="1:10">
      <c r="A680" s="15">
        <v>41212</v>
      </c>
      <c r="B680" s="11">
        <v>1.5704</v>
      </c>
      <c r="C680" s="11">
        <f t="shared" si="70"/>
        <v>-3.9999999999995595E-4</v>
      </c>
      <c r="D680" s="12">
        <f t="shared" si="71"/>
        <v>1.5999999999996475E-7</v>
      </c>
      <c r="E680" s="12">
        <f t="shared" si="72"/>
        <v>2.8900000000001184E-6</v>
      </c>
      <c r="F680" s="12">
        <f t="shared" si="73"/>
        <v>3.2828969760163697E-5</v>
      </c>
      <c r="G680" s="12">
        <f t="shared" si="74"/>
        <v>4.2407241913195923</v>
      </c>
      <c r="I680" s="12">
        <f t="shared" si="75"/>
        <v>5.7296570368708544E-3</v>
      </c>
      <c r="J680" s="12">
        <f t="shared" si="76"/>
        <v>7.4054730214398717E-3</v>
      </c>
    </row>
    <row r="681" spans="1:10">
      <c r="A681" s="15">
        <v>41213</v>
      </c>
      <c r="B681" s="11">
        <v>1.5704</v>
      </c>
      <c r="C681" s="11">
        <f t="shared" si="70"/>
        <v>0</v>
      </c>
      <c r="D681" s="12">
        <f t="shared" si="71"/>
        <v>0</v>
      </c>
      <c r="E681" s="12">
        <f t="shared" si="72"/>
        <v>1.5999999999996475E-7</v>
      </c>
      <c r="F681" s="12">
        <f t="shared" si="73"/>
        <v>3.1571401763982969E-5</v>
      </c>
      <c r="G681" s="12">
        <f t="shared" si="74"/>
        <v>4.262690886712317</v>
      </c>
      <c r="I681" s="12">
        <f t="shared" si="75"/>
        <v>5.6188434543047172E-3</v>
      </c>
      <c r="J681" s="12">
        <f t="shared" si="76"/>
        <v>7.4054730214398717E-3</v>
      </c>
    </row>
    <row r="682" spans="1:10">
      <c r="A682" s="15">
        <v>41214</v>
      </c>
      <c r="B682" s="11">
        <v>1.5720000000000001</v>
      </c>
      <c r="C682" s="11">
        <f t="shared" si="70"/>
        <v>1.6000000000000458E-3</v>
      </c>
      <c r="D682" s="12">
        <f t="shared" si="71"/>
        <v>2.5600000000001466E-6</v>
      </c>
      <c r="E682" s="12">
        <f t="shared" si="72"/>
        <v>0</v>
      </c>
      <c r="F682" s="12">
        <f t="shared" si="73"/>
        <v>3.0476735659921931E-5</v>
      </c>
      <c r="G682" s="12">
        <f t="shared" si="74"/>
        <v>4.2383356760531985</v>
      </c>
      <c r="I682" s="12">
        <f t="shared" si="75"/>
        <v>5.5205738524108103E-3</v>
      </c>
      <c r="J682" s="12">
        <f t="shared" si="76"/>
        <v>7.4054730214398717E-3</v>
      </c>
    </row>
    <row r="683" spans="1:10">
      <c r="A683" s="15">
        <v>41215</v>
      </c>
      <c r="B683" s="11">
        <v>1.5785</v>
      </c>
      <c r="C683" s="11">
        <f t="shared" si="70"/>
        <v>6.4999999999999503E-3</v>
      </c>
      <c r="D683" s="12">
        <f t="shared" si="71"/>
        <v>4.2249999999999353E-5</v>
      </c>
      <c r="E683" s="12">
        <f t="shared" si="72"/>
        <v>2.5600000000001466E-6</v>
      </c>
      <c r="F683" s="12">
        <f t="shared" si="73"/>
        <v>2.974644574821312E-5</v>
      </c>
      <c r="G683" s="12">
        <f t="shared" si="74"/>
        <v>3.582293033338289</v>
      </c>
      <c r="I683" s="12">
        <f t="shared" si="75"/>
        <v>5.454030229858753E-3</v>
      </c>
      <c r="J683" s="12">
        <f t="shared" si="76"/>
        <v>7.4054730214398717E-3</v>
      </c>
    </row>
    <row r="684" spans="1:10">
      <c r="A684" s="15">
        <v>41218</v>
      </c>
      <c r="B684" s="11">
        <v>1.5854999999999999</v>
      </c>
      <c r="C684" s="11">
        <f t="shared" si="70"/>
        <v>6.9999999999998952E-3</v>
      </c>
      <c r="D684" s="12">
        <f t="shared" si="71"/>
        <v>4.8999999999998535E-5</v>
      </c>
      <c r="E684" s="12">
        <f t="shared" si="72"/>
        <v>4.2249999999999353E-5</v>
      </c>
      <c r="F684" s="12">
        <f t="shared" si="73"/>
        <v>3.2391166651182643E-5</v>
      </c>
      <c r="G684" s="12">
        <f t="shared" si="74"/>
        <v>3.4934948083672848</v>
      </c>
      <c r="I684" s="12">
        <f t="shared" si="75"/>
        <v>5.6913238048087412E-3</v>
      </c>
      <c r="J684" s="12">
        <f t="shared" si="76"/>
        <v>7.4054730214398717E-3</v>
      </c>
    </row>
    <row r="685" spans="1:10">
      <c r="A685" s="15">
        <v>41219</v>
      </c>
      <c r="B685" s="11">
        <v>1.5798000000000001</v>
      </c>
      <c r="C685" s="11">
        <f t="shared" si="70"/>
        <v>-5.6999999999998163E-3</v>
      </c>
      <c r="D685" s="12">
        <f t="shared" si="71"/>
        <v>3.2489999999997908E-5</v>
      </c>
      <c r="E685" s="12">
        <f t="shared" si="72"/>
        <v>4.8999999999998535E-5</v>
      </c>
      <c r="F685" s="12">
        <f t="shared" si="73"/>
        <v>3.5222141778803944E-5</v>
      </c>
      <c r="G685" s="12">
        <f t="shared" si="74"/>
        <v>3.7467637176599391</v>
      </c>
      <c r="I685" s="12">
        <f t="shared" si="75"/>
        <v>5.9348244943556623E-3</v>
      </c>
      <c r="J685" s="12">
        <f t="shared" si="76"/>
        <v>7.4054730214398717E-3</v>
      </c>
    </row>
    <row r="686" spans="1:10">
      <c r="A686" s="15">
        <v>41220</v>
      </c>
      <c r="B686" s="11">
        <v>1.5882000000000001</v>
      </c>
      <c r="C686" s="11">
        <f t="shared" si="70"/>
        <v>8.3999999999999631E-3</v>
      </c>
      <c r="D686" s="12">
        <f t="shared" si="71"/>
        <v>7.0559999999999379E-5</v>
      </c>
      <c r="E686" s="12">
        <f t="shared" si="72"/>
        <v>3.2489999999997908E-5</v>
      </c>
      <c r="F686" s="12">
        <f t="shared" si="73"/>
        <v>3.629532215227517E-5</v>
      </c>
      <c r="G686" s="12">
        <f t="shared" si="74"/>
        <v>3.2209462171924601</v>
      </c>
      <c r="I686" s="12">
        <f t="shared" si="75"/>
        <v>6.0245599135766896E-3</v>
      </c>
      <c r="J686" s="12">
        <f t="shared" si="76"/>
        <v>7.4054730214398717E-3</v>
      </c>
    </row>
    <row r="687" spans="1:10">
      <c r="A687" s="15">
        <v>41221</v>
      </c>
      <c r="B687" s="11">
        <v>1.5869</v>
      </c>
      <c r="C687" s="11">
        <f t="shared" si="70"/>
        <v>-1.3000000000000789E-3</v>
      </c>
      <c r="D687" s="12">
        <f t="shared" si="71"/>
        <v>1.6900000000002051E-6</v>
      </c>
      <c r="E687" s="12">
        <f t="shared" si="72"/>
        <v>7.0559999999999379E-5</v>
      </c>
      <c r="F687" s="12">
        <f t="shared" si="73"/>
        <v>4.0357394806269864E-5</v>
      </c>
      <c r="G687" s="12">
        <f t="shared" si="74"/>
        <v>4.1189914937594283</v>
      </c>
      <c r="I687" s="12">
        <f t="shared" si="75"/>
        <v>6.3527470283547306E-3</v>
      </c>
      <c r="J687" s="12">
        <f t="shared" si="76"/>
        <v>7.4054730214398717E-3</v>
      </c>
    </row>
    <row r="688" spans="1:10">
      <c r="A688" s="15">
        <v>41222</v>
      </c>
      <c r="B688" s="11">
        <v>1.5944</v>
      </c>
      <c r="C688" s="11">
        <f t="shared" si="70"/>
        <v>7.5000000000000622E-3</v>
      </c>
      <c r="D688" s="12">
        <f t="shared" si="71"/>
        <v>5.6250000000000934E-5</v>
      </c>
      <c r="E688" s="12">
        <f t="shared" si="72"/>
        <v>1.6900000000002051E-6</v>
      </c>
      <c r="F688" s="12">
        <f t="shared" si="73"/>
        <v>3.817179448697729E-5</v>
      </c>
      <c r="G688" s="12">
        <f t="shared" si="74"/>
        <v>3.4309677273764327</v>
      </c>
      <c r="I688" s="12">
        <f t="shared" si="75"/>
        <v>6.17833266237561E-3</v>
      </c>
      <c r="J688" s="12">
        <f t="shared" si="76"/>
        <v>7.4054730214398717E-3</v>
      </c>
    </row>
    <row r="689" spans="1:10">
      <c r="A689" s="15">
        <v>41225</v>
      </c>
      <c r="B689" s="11">
        <v>1.5922000000000001</v>
      </c>
      <c r="C689" s="11">
        <f t="shared" si="70"/>
        <v>-2.1999999999999797E-3</v>
      </c>
      <c r="D689" s="12">
        <f t="shared" si="71"/>
        <v>4.8399999999999113E-6</v>
      </c>
      <c r="E689" s="12">
        <f t="shared" si="72"/>
        <v>5.6250000000000934E-5</v>
      </c>
      <c r="F689" s="12">
        <f t="shared" si="73"/>
        <v>4.0791136942616917E-5</v>
      </c>
      <c r="G689" s="12">
        <f t="shared" si="74"/>
        <v>4.0752577122673497</v>
      </c>
      <c r="I689" s="12">
        <f t="shared" si="75"/>
        <v>6.3867939486581937E-3</v>
      </c>
      <c r="J689" s="12">
        <f t="shared" si="76"/>
        <v>7.4054730214398717E-3</v>
      </c>
    </row>
    <row r="690" spans="1:10">
      <c r="A690" s="15">
        <v>41226</v>
      </c>
      <c r="B690" s="11">
        <v>1.5880000000000001</v>
      </c>
      <c r="C690" s="11">
        <f t="shared" si="70"/>
        <v>-4.1999999999999815E-3</v>
      </c>
      <c r="D690" s="12">
        <f t="shared" si="71"/>
        <v>1.7639999999999845E-5</v>
      </c>
      <c r="E690" s="12">
        <f t="shared" si="72"/>
        <v>4.8399999999999113E-6</v>
      </c>
      <c r="F690" s="12">
        <f t="shared" si="73"/>
        <v>3.8804542466432908E-5</v>
      </c>
      <c r="G690" s="12">
        <f t="shared" si="74"/>
        <v>3.932255104005439</v>
      </c>
      <c r="I690" s="12">
        <f t="shared" si="75"/>
        <v>6.2293292148057891E-3</v>
      </c>
      <c r="J690" s="12">
        <f t="shared" si="76"/>
        <v>7.4054730214398717E-3</v>
      </c>
    </row>
    <row r="691" spans="1:10">
      <c r="A691" s="15">
        <v>41227</v>
      </c>
      <c r="B691" s="11">
        <v>1.5904</v>
      </c>
      <c r="C691" s="11">
        <f t="shared" si="70"/>
        <v>2.3999999999999577E-3</v>
      </c>
      <c r="D691" s="12">
        <f t="shared" si="71"/>
        <v>5.7599999999997975E-6</v>
      </c>
      <c r="E691" s="12">
        <f t="shared" si="72"/>
        <v>1.7639999999999845E-5</v>
      </c>
      <c r="F691" s="12">
        <f t="shared" si="73"/>
        <v>3.8151587149947634E-5</v>
      </c>
      <c r="G691" s="12">
        <f t="shared" si="74"/>
        <v>4.0925447180539676</v>
      </c>
      <c r="I691" s="12">
        <f t="shared" si="75"/>
        <v>6.1766971068644471E-3</v>
      </c>
      <c r="J691" s="12">
        <f t="shared" si="76"/>
        <v>7.4054730214398717E-3</v>
      </c>
    </row>
    <row r="692" spans="1:10">
      <c r="A692" s="15">
        <v>41228</v>
      </c>
      <c r="B692" s="11">
        <v>1.5918000000000001</v>
      </c>
      <c r="C692" s="11">
        <f t="shared" si="70"/>
        <v>1.4000000000000679E-3</v>
      </c>
      <c r="D692" s="12">
        <f t="shared" si="71"/>
        <v>1.96000000000019E-6</v>
      </c>
      <c r="E692" s="12">
        <f t="shared" si="72"/>
        <v>5.7599999999997975E-6</v>
      </c>
      <c r="F692" s="12">
        <f t="shared" si="73"/>
        <v>3.6610465569010742E-5</v>
      </c>
      <c r="G692" s="12">
        <f t="shared" si="74"/>
        <v>4.1618813643351285</v>
      </c>
      <c r="I692" s="12">
        <f t="shared" si="75"/>
        <v>6.0506582756763537E-3</v>
      </c>
      <c r="J692" s="12">
        <f t="shared" si="76"/>
        <v>7.4054730214398717E-3</v>
      </c>
    </row>
    <row r="693" spans="1:10">
      <c r="A693" s="15">
        <v>41229</v>
      </c>
      <c r="B693" s="11">
        <v>1.5951</v>
      </c>
      <c r="C693" s="11">
        <f t="shared" si="70"/>
        <v>3.2999999999998586E-3</v>
      </c>
      <c r="D693" s="12">
        <f t="shared" si="71"/>
        <v>1.0889999999999067E-5</v>
      </c>
      <c r="E693" s="12">
        <f t="shared" si="72"/>
        <v>1.96000000000019E-6</v>
      </c>
      <c r="F693" s="12">
        <f t="shared" si="73"/>
        <v>3.4971805070682829E-5</v>
      </c>
      <c r="G693" s="12">
        <f t="shared" si="74"/>
        <v>4.0558488014801384</v>
      </c>
      <c r="I693" s="12">
        <f t="shared" si="75"/>
        <v>5.9136963965596701E-3</v>
      </c>
      <c r="J693" s="12">
        <f t="shared" si="76"/>
        <v>7.4054730214398717E-3</v>
      </c>
    </row>
    <row r="694" spans="1:10">
      <c r="A694" s="15">
        <v>41232</v>
      </c>
      <c r="B694" s="11">
        <v>1.5887</v>
      </c>
      <c r="C694" s="11">
        <f t="shared" si="70"/>
        <v>-6.3999999999999613E-3</v>
      </c>
      <c r="D694" s="12">
        <f t="shared" si="71"/>
        <v>4.0959999999999506E-5</v>
      </c>
      <c r="E694" s="12">
        <f t="shared" si="72"/>
        <v>1.0889999999999067E-5</v>
      </c>
      <c r="F694" s="12">
        <f t="shared" si="73"/>
        <v>3.4298951487087351E-5</v>
      </c>
      <c r="G694" s="12">
        <f t="shared" si="74"/>
        <v>3.6241565451089754</v>
      </c>
      <c r="I694" s="12">
        <f t="shared" si="75"/>
        <v>5.8565306698665342E-3</v>
      </c>
      <c r="J694" s="12">
        <f t="shared" si="76"/>
        <v>7.4054730214398717E-3</v>
      </c>
    </row>
    <row r="695" spans="1:10">
      <c r="A695" s="15">
        <v>41233</v>
      </c>
      <c r="B695" s="11">
        <v>1.5845</v>
      </c>
      <c r="C695" s="11">
        <f t="shared" si="70"/>
        <v>-4.1999999999999815E-3</v>
      </c>
      <c r="D695" s="12">
        <f t="shared" si="71"/>
        <v>1.7639999999999845E-5</v>
      </c>
      <c r="E695" s="12">
        <f t="shared" si="72"/>
        <v>4.0959999999999506E-5</v>
      </c>
      <c r="F695" s="12">
        <f t="shared" si="73"/>
        <v>3.6199822100134445E-5</v>
      </c>
      <c r="G695" s="12">
        <f t="shared" si="74"/>
        <v>3.9506420299496363</v>
      </c>
      <c r="I695" s="12">
        <f t="shared" si="75"/>
        <v>6.0166287985992991E-3</v>
      </c>
      <c r="J695" s="12">
        <f t="shared" si="76"/>
        <v>7.4054730214398717E-3</v>
      </c>
    </row>
    <row r="696" spans="1:10">
      <c r="A696" s="15">
        <v>41234</v>
      </c>
      <c r="B696" s="11">
        <v>1.5859000000000001</v>
      </c>
      <c r="C696" s="11">
        <f t="shared" si="70"/>
        <v>1.4000000000000679E-3</v>
      </c>
      <c r="D696" s="12">
        <f t="shared" si="71"/>
        <v>1.96000000000019E-6</v>
      </c>
      <c r="E696" s="12">
        <f t="shared" si="72"/>
        <v>1.7639999999999845E-5</v>
      </c>
      <c r="F696" s="12">
        <f t="shared" si="73"/>
        <v>3.5911601409218035E-5</v>
      </c>
      <c r="G696" s="12">
        <f t="shared" si="74"/>
        <v>4.170997305852973</v>
      </c>
      <c r="I696" s="12">
        <f t="shared" si="75"/>
        <v>5.9926289230368699E-3</v>
      </c>
      <c r="J696" s="12">
        <f t="shared" si="76"/>
        <v>7.4054730214398717E-3</v>
      </c>
    </row>
    <row r="697" spans="1:10">
      <c r="A697" s="15">
        <v>41235</v>
      </c>
      <c r="B697" s="11">
        <v>1.5792999999999999</v>
      </c>
      <c r="C697" s="11">
        <f t="shared" si="70"/>
        <v>-6.6000000000001613E-3</v>
      </c>
      <c r="D697" s="12">
        <f t="shared" si="71"/>
        <v>4.3560000000002131E-5</v>
      </c>
      <c r="E697" s="12">
        <f t="shared" si="72"/>
        <v>1.96000000000019E-6</v>
      </c>
      <c r="F697" s="12">
        <f t="shared" si="73"/>
        <v>3.4370801687403235E-5</v>
      </c>
      <c r="G697" s="12">
        <f t="shared" si="74"/>
        <v>3.5865356377421289</v>
      </c>
      <c r="I697" s="12">
        <f t="shared" si="75"/>
        <v>5.8626616555454772E-3</v>
      </c>
      <c r="J697" s="12">
        <f t="shared" si="76"/>
        <v>7.4054730214398717E-3</v>
      </c>
    </row>
    <row r="698" spans="1:10">
      <c r="A698" s="15">
        <v>41236</v>
      </c>
      <c r="B698" s="11">
        <v>1.5746</v>
      </c>
      <c r="C698" s="11">
        <f t="shared" si="70"/>
        <v>-4.6999999999999265E-3</v>
      </c>
      <c r="D698" s="12">
        <f t="shared" si="71"/>
        <v>2.2089999999999309E-5</v>
      </c>
      <c r="E698" s="12">
        <f t="shared" si="72"/>
        <v>4.3560000000002131E-5</v>
      </c>
      <c r="F698" s="12">
        <f t="shared" si="73"/>
        <v>3.6476001482050547E-5</v>
      </c>
      <c r="G698" s="12">
        <f t="shared" si="74"/>
        <v>3.8876876330357528</v>
      </c>
      <c r="I698" s="12">
        <f t="shared" si="75"/>
        <v>6.0395365287454423E-3</v>
      </c>
      <c r="J698" s="12">
        <f t="shared" si="76"/>
        <v>7.4054730214398717E-3</v>
      </c>
    </row>
    <row r="699" spans="1:10">
      <c r="A699" s="15">
        <v>41239</v>
      </c>
      <c r="B699" s="11">
        <v>1.5746</v>
      </c>
      <c r="C699" s="11">
        <f t="shared" si="70"/>
        <v>0</v>
      </c>
      <c r="D699" s="12">
        <f t="shared" si="71"/>
        <v>0</v>
      </c>
      <c r="E699" s="12">
        <f t="shared" si="72"/>
        <v>2.2089999999999309E-5</v>
      </c>
      <c r="F699" s="12">
        <f t="shared" si="73"/>
        <v>3.6516045004900476E-5</v>
      </c>
      <c r="G699" s="12">
        <f t="shared" si="74"/>
        <v>4.1899408618046579</v>
      </c>
      <c r="I699" s="12">
        <f t="shared" si="75"/>
        <v>6.0428507349512177E-3</v>
      </c>
      <c r="J699" s="12">
        <f t="shared" si="76"/>
        <v>7.4054730214398717E-3</v>
      </c>
    </row>
    <row r="700" spans="1:10">
      <c r="A700" s="15">
        <v>41240</v>
      </c>
      <c r="B700" s="11">
        <v>1.5764</v>
      </c>
      <c r="C700" s="11">
        <f t="shared" si="70"/>
        <v>1.8000000000000238E-3</v>
      </c>
      <c r="D700" s="12">
        <f t="shared" si="71"/>
        <v>3.2400000000000859E-6</v>
      </c>
      <c r="E700" s="12">
        <f t="shared" si="72"/>
        <v>0</v>
      </c>
      <c r="F700" s="12">
        <f t="shared" si="73"/>
        <v>3.4728988798476709E-5</v>
      </c>
      <c r="G700" s="12">
        <f t="shared" si="74"/>
        <v>4.1683824536942078</v>
      </c>
      <c r="I700" s="12">
        <f t="shared" si="75"/>
        <v>5.8931306449523675E-3</v>
      </c>
      <c r="J700" s="12">
        <f t="shared" si="76"/>
        <v>7.4054730214398717E-3</v>
      </c>
    </row>
    <row r="701" spans="1:10">
      <c r="A701" s="15">
        <v>41241</v>
      </c>
      <c r="B701" s="11">
        <v>1.5766</v>
      </c>
      <c r="C701" s="11">
        <f t="shared" si="70"/>
        <v>1.9999999999997797E-4</v>
      </c>
      <c r="D701" s="12">
        <f t="shared" si="71"/>
        <v>3.9999999999991186E-8</v>
      </c>
      <c r="E701" s="12">
        <f t="shared" si="72"/>
        <v>3.2400000000000859E-6</v>
      </c>
      <c r="F701" s="12">
        <f t="shared" si="73"/>
        <v>3.3459334304273662E-5</v>
      </c>
      <c r="G701" s="12">
        <f t="shared" si="74"/>
        <v>4.2330535978221402</v>
      </c>
      <c r="I701" s="12">
        <f t="shared" si="75"/>
        <v>5.7844044035901968E-3</v>
      </c>
      <c r="J701" s="12">
        <f t="shared" si="76"/>
        <v>7.4054730214398717E-3</v>
      </c>
    </row>
    <row r="702" spans="1:10">
      <c r="A702" s="15">
        <v>41242</v>
      </c>
      <c r="B702" s="11">
        <v>1.5757000000000001</v>
      </c>
      <c r="C702" s="11">
        <f t="shared" si="70"/>
        <v>-8.9999999999990088E-4</v>
      </c>
      <c r="D702" s="12">
        <f t="shared" si="71"/>
        <v>8.0999999999982157E-7</v>
      </c>
      <c r="E702" s="12">
        <f t="shared" si="72"/>
        <v>3.9999999999991186E-8</v>
      </c>
      <c r="F702" s="12">
        <f t="shared" si="73"/>
        <v>3.2103602483541037E-5</v>
      </c>
      <c r="G702" s="12">
        <f t="shared" si="74"/>
        <v>4.2417172063788504</v>
      </c>
      <c r="I702" s="12">
        <f t="shared" si="75"/>
        <v>5.6660041019700154E-3</v>
      </c>
      <c r="J702" s="12">
        <f t="shared" si="76"/>
        <v>7.4054730214398717E-3</v>
      </c>
    </row>
    <row r="703" spans="1:10">
      <c r="A703" s="15">
        <v>41243</v>
      </c>
      <c r="B703" s="11">
        <v>1.5743</v>
      </c>
      <c r="C703" s="11">
        <f t="shared" si="70"/>
        <v>-1.4000000000000679E-3</v>
      </c>
      <c r="D703" s="12">
        <f t="shared" si="71"/>
        <v>1.96000000000019E-6</v>
      </c>
      <c r="E703" s="12">
        <f t="shared" si="72"/>
        <v>8.0999999999982157E-7</v>
      </c>
      <c r="F703" s="12">
        <f t="shared" si="73"/>
        <v>3.1001204012055266E-5</v>
      </c>
      <c r="G703" s="12">
        <f t="shared" si="74"/>
        <v>4.2401920415194772</v>
      </c>
      <c r="I703" s="12">
        <f t="shared" si="75"/>
        <v>5.5678724852546027E-3</v>
      </c>
      <c r="J703" s="12">
        <f t="shared" si="76"/>
        <v>7.4054730214398717E-3</v>
      </c>
    </row>
    <row r="704" spans="1:10">
      <c r="A704" s="15">
        <v>41246</v>
      </c>
      <c r="B704" s="11">
        <v>1.5682</v>
      </c>
      <c r="C704" s="11">
        <f t="shared" si="70"/>
        <v>-6.0999999999999943E-3</v>
      </c>
      <c r="D704" s="12">
        <f t="shared" si="71"/>
        <v>3.720999999999993E-5</v>
      </c>
      <c r="E704" s="12">
        <f t="shared" si="72"/>
        <v>1.96000000000019E-6</v>
      </c>
      <c r="F704" s="12">
        <f t="shared" si="73"/>
        <v>3.0147999004522083E-5</v>
      </c>
      <c r="G704" s="12">
        <f t="shared" si="74"/>
        <v>3.6686352443724259</v>
      </c>
      <c r="I704" s="12">
        <f t="shared" si="75"/>
        <v>5.4907193521907564E-3</v>
      </c>
      <c r="J704" s="12">
        <f t="shared" si="76"/>
        <v>7.4054730214398717E-3</v>
      </c>
    </row>
    <row r="705" spans="1:10">
      <c r="A705" s="15">
        <v>41247</v>
      </c>
      <c r="B705" s="11">
        <v>1.5662</v>
      </c>
      <c r="C705" s="11">
        <f t="shared" si="70"/>
        <v>-2.0000000000000018E-3</v>
      </c>
      <c r="D705" s="12">
        <f t="shared" si="71"/>
        <v>4.0000000000000074E-6</v>
      </c>
      <c r="E705" s="12">
        <f t="shared" si="72"/>
        <v>3.720999999999993E-5</v>
      </c>
      <c r="F705" s="12">
        <f t="shared" si="73"/>
        <v>3.2320903834761221E-5</v>
      </c>
      <c r="G705" s="12">
        <f t="shared" si="74"/>
        <v>4.1890801815195253</v>
      </c>
      <c r="I705" s="12">
        <f t="shared" si="75"/>
        <v>5.6851476528548689E-3</v>
      </c>
      <c r="J705" s="12">
        <f t="shared" si="76"/>
        <v>7.4054730214398717E-3</v>
      </c>
    </row>
    <row r="706" spans="1:10">
      <c r="A706" s="15">
        <v>41248</v>
      </c>
      <c r="B706" s="11">
        <v>1.5676000000000001</v>
      </c>
      <c r="C706" s="11">
        <f t="shared" si="70"/>
        <v>1.4000000000000679E-3</v>
      </c>
      <c r="D706" s="12">
        <f t="shared" si="71"/>
        <v>1.96000000000019E-6</v>
      </c>
      <c r="E706" s="12">
        <f t="shared" si="72"/>
        <v>4.0000000000000074E-6</v>
      </c>
      <c r="F706" s="12">
        <f t="shared" si="73"/>
        <v>3.14511173580766E-5</v>
      </c>
      <c r="G706" s="12">
        <f t="shared" si="74"/>
        <v>4.2334400177928968</v>
      </c>
      <c r="I706" s="12">
        <f t="shared" si="75"/>
        <v>5.6081295775041251E-3</v>
      </c>
      <c r="J706" s="12">
        <f t="shared" si="76"/>
        <v>7.4054730214398717E-3</v>
      </c>
    </row>
    <row r="707" spans="1:10">
      <c r="A707" s="15">
        <v>41249</v>
      </c>
      <c r="B707" s="11">
        <v>1.5742</v>
      </c>
      <c r="C707" s="11">
        <f t="shared" si="70"/>
        <v>6.5999999999999392E-3</v>
      </c>
      <c r="D707" s="12">
        <f t="shared" si="71"/>
        <v>4.3559999999999197E-5</v>
      </c>
      <c r="E707" s="12">
        <f t="shared" si="72"/>
        <v>1.96000000000019E-6</v>
      </c>
      <c r="F707" s="12">
        <f t="shared" si="73"/>
        <v>3.0534911739067907E-5</v>
      </c>
      <c r="G707" s="12">
        <f t="shared" si="74"/>
        <v>3.5660994957643082</v>
      </c>
      <c r="I707" s="12">
        <f t="shared" si="75"/>
        <v>5.52584036496422E-3</v>
      </c>
      <c r="J707" s="12">
        <f t="shared" si="76"/>
        <v>7.4054730214398717E-3</v>
      </c>
    </row>
    <row r="708" spans="1:10">
      <c r="A708" s="15">
        <v>41250</v>
      </c>
      <c r="B708" s="11">
        <v>1.5785</v>
      </c>
      <c r="C708" s="11">
        <f t="shared" si="70"/>
        <v>4.2999999999999705E-3</v>
      </c>
      <c r="D708" s="12">
        <f t="shared" si="71"/>
        <v>1.8489999999999747E-5</v>
      </c>
      <c r="E708" s="12">
        <f t="shared" si="72"/>
        <v>4.3559999999999197E-5</v>
      </c>
      <c r="F708" s="12">
        <f t="shared" si="73"/>
        <v>3.3177244771559498E-5</v>
      </c>
      <c r="G708" s="12">
        <f t="shared" si="74"/>
        <v>3.9592297721300702</v>
      </c>
      <c r="I708" s="12">
        <f t="shared" si="75"/>
        <v>5.7599691641153335E-3</v>
      </c>
      <c r="J708" s="12">
        <f t="shared" si="76"/>
        <v>7.4054730214398717E-3</v>
      </c>
    </row>
    <row r="709" spans="1:10">
      <c r="A709" s="15">
        <v>41253</v>
      </c>
      <c r="B709" s="11">
        <v>1.5728</v>
      </c>
      <c r="C709" s="11">
        <f t="shared" si="70"/>
        <v>-5.7000000000000384E-3</v>
      </c>
      <c r="D709" s="12">
        <f t="shared" si="71"/>
        <v>3.2490000000000436E-5</v>
      </c>
      <c r="E709" s="12">
        <f t="shared" si="72"/>
        <v>1.8489999999999747E-5</v>
      </c>
      <c r="F709" s="12">
        <f t="shared" si="73"/>
        <v>3.3382359634473324E-5</v>
      </c>
      <c r="G709" s="12">
        <f t="shared" si="74"/>
        <v>3.7481686718280187</v>
      </c>
      <c r="I709" s="12">
        <f t="shared" si="75"/>
        <v>5.7777469340975227E-3</v>
      </c>
      <c r="J709" s="12">
        <f t="shared" si="76"/>
        <v>7.4054730214398717E-3</v>
      </c>
    </row>
    <row r="710" spans="1:10">
      <c r="A710" s="15">
        <v>41254</v>
      </c>
      <c r="B710" s="11">
        <v>1.571</v>
      </c>
      <c r="C710" s="11">
        <f t="shared" si="70"/>
        <v>-1.8000000000000238E-3</v>
      </c>
      <c r="D710" s="12">
        <f t="shared" si="71"/>
        <v>3.2400000000000859E-6</v>
      </c>
      <c r="E710" s="12">
        <f t="shared" si="72"/>
        <v>3.2490000000000436E-5</v>
      </c>
      <c r="F710" s="12">
        <f t="shared" si="73"/>
        <v>3.4713161616860233E-5</v>
      </c>
      <c r="G710" s="12">
        <f t="shared" si="74"/>
        <v>4.1685891043662933</v>
      </c>
      <c r="I710" s="12">
        <f t="shared" si="75"/>
        <v>5.8917876418672997E-3</v>
      </c>
      <c r="J710" s="12">
        <f t="shared" si="76"/>
        <v>7.4054730214398717E-3</v>
      </c>
    </row>
    <row r="711" spans="1:10">
      <c r="A711" s="15">
        <v>41255</v>
      </c>
      <c r="B711" s="11">
        <v>1.5671999999999999</v>
      </c>
      <c r="C711" s="11">
        <f t="shared" si="70"/>
        <v>-3.8000000000000256E-3</v>
      </c>
      <c r="D711" s="12">
        <f t="shared" si="71"/>
        <v>1.4440000000000194E-5</v>
      </c>
      <c r="E711" s="12">
        <f t="shared" si="72"/>
        <v>3.2400000000000859E-6</v>
      </c>
      <c r="F711" s="12">
        <f t="shared" si="73"/>
        <v>3.3445723376361574E-5</v>
      </c>
      <c r="G711" s="12">
        <f t="shared" si="74"/>
        <v>4.0179826311909697</v>
      </c>
      <c r="I711" s="12">
        <f t="shared" si="75"/>
        <v>5.7832277645240267E-3</v>
      </c>
      <c r="J711" s="12">
        <f t="shared" si="76"/>
        <v>7.4054730214398717E-3</v>
      </c>
    </row>
    <row r="712" spans="1:10">
      <c r="A712" s="15">
        <v>41256</v>
      </c>
      <c r="B712" s="11">
        <v>1.5672999999999999</v>
      </c>
      <c r="C712" s="11">
        <f t="shared" si="70"/>
        <v>9.9999999999988987E-5</v>
      </c>
      <c r="D712" s="12">
        <f t="shared" si="71"/>
        <v>9.9999999999977966E-9</v>
      </c>
      <c r="E712" s="12">
        <f t="shared" si="72"/>
        <v>1.4440000000000194E-5</v>
      </c>
      <c r="F712" s="12">
        <f t="shared" si="73"/>
        <v>3.3279289595420755E-5</v>
      </c>
      <c r="G712" s="12">
        <f t="shared" si="74"/>
        <v>4.2361988600824274</v>
      </c>
      <c r="I712" s="12">
        <f t="shared" si="75"/>
        <v>5.7688204682951223E-3</v>
      </c>
      <c r="J712" s="12">
        <f t="shared" si="76"/>
        <v>7.4054730214398717E-3</v>
      </c>
    </row>
    <row r="713" spans="1:10">
      <c r="A713" s="15">
        <v>41257</v>
      </c>
      <c r="B713" s="11">
        <v>1.5585</v>
      </c>
      <c r="C713" s="11">
        <f t="shared" si="70"/>
        <v>-8.799999999999919E-3</v>
      </c>
      <c r="D713" s="12">
        <f t="shared" si="71"/>
        <v>7.7439999999998581E-5</v>
      </c>
      <c r="E713" s="12">
        <f t="shared" si="72"/>
        <v>9.9999999999977966E-9</v>
      </c>
      <c r="F713" s="12">
        <f t="shared" si="73"/>
        <v>3.1946295399796125E-5</v>
      </c>
      <c r="G713" s="12">
        <f t="shared" si="74"/>
        <v>3.0447545073111613</v>
      </c>
      <c r="I713" s="12">
        <f t="shared" si="75"/>
        <v>5.6521053953191751E-3</v>
      </c>
      <c r="J713" s="12">
        <f t="shared" si="76"/>
        <v>7.4054730214398717E-3</v>
      </c>
    </row>
    <row r="714" spans="1:10">
      <c r="A714" s="15">
        <v>41260</v>
      </c>
      <c r="B714" s="11">
        <v>1.5602</v>
      </c>
      <c r="C714" s="11">
        <f t="shared" si="70"/>
        <v>1.7000000000000348E-3</v>
      </c>
      <c r="D714" s="12">
        <f t="shared" si="71"/>
        <v>2.8900000000001184E-6</v>
      </c>
      <c r="E714" s="12">
        <f t="shared" si="72"/>
        <v>7.7439999999998581E-5</v>
      </c>
      <c r="F714" s="12">
        <f t="shared" si="73"/>
        <v>3.7184664548481147E-5</v>
      </c>
      <c r="G714" s="12">
        <f t="shared" si="74"/>
        <v>4.1420084160689488</v>
      </c>
      <c r="I714" s="12">
        <f t="shared" si="75"/>
        <v>6.0979229700350553E-3</v>
      </c>
      <c r="J714" s="12">
        <f t="shared" si="76"/>
        <v>7.4054730214398717E-3</v>
      </c>
    </row>
    <row r="715" spans="1:10">
      <c r="A715" s="15">
        <v>41261</v>
      </c>
      <c r="B715" s="11">
        <v>1.5539000000000001</v>
      </c>
      <c r="C715" s="11">
        <f t="shared" si="70"/>
        <v>-6.2999999999999723E-3</v>
      </c>
      <c r="D715" s="12">
        <f t="shared" si="71"/>
        <v>3.9689999999999649E-5</v>
      </c>
      <c r="E715" s="12">
        <f t="shared" si="72"/>
        <v>2.8900000000001184E-6</v>
      </c>
      <c r="F715" s="12">
        <f t="shared" si="73"/>
        <v>3.5542285671181107E-5</v>
      </c>
      <c r="G715" s="12">
        <f t="shared" si="74"/>
        <v>3.6451061622387559</v>
      </c>
      <c r="I715" s="12">
        <f t="shared" si="75"/>
        <v>5.9617351225277615E-3</v>
      </c>
      <c r="J715" s="12">
        <f t="shared" si="76"/>
        <v>7.4054730214398717E-3</v>
      </c>
    </row>
    <row r="716" spans="1:10">
      <c r="A716" s="15">
        <v>41262</v>
      </c>
      <c r="B716" s="11">
        <v>1.5519000000000001</v>
      </c>
      <c r="C716" s="11">
        <f t="shared" si="70"/>
        <v>-2.0000000000000018E-3</v>
      </c>
      <c r="D716" s="12">
        <f t="shared" si="71"/>
        <v>4.0000000000000074E-6</v>
      </c>
      <c r="E716" s="12">
        <f t="shared" si="72"/>
        <v>3.9689999999999649E-5</v>
      </c>
      <c r="F716" s="12">
        <f t="shared" si="73"/>
        <v>3.7164332894375679E-5</v>
      </c>
      <c r="G716" s="12">
        <f t="shared" si="74"/>
        <v>4.127326945949565</v>
      </c>
      <c r="I716" s="12">
        <f t="shared" si="75"/>
        <v>6.0962556454249583E-3</v>
      </c>
      <c r="J716" s="12">
        <f t="shared" si="76"/>
        <v>7.4054730214398717E-3</v>
      </c>
    </row>
    <row r="717" spans="1:10">
      <c r="A717" s="15">
        <v>41263</v>
      </c>
      <c r="B717" s="11">
        <v>1.5532999999999999</v>
      </c>
      <c r="C717" s="11">
        <f t="shared" si="70"/>
        <v>1.3999999999998458E-3</v>
      </c>
      <c r="D717" s="12">
        <f t="shared" si="71"/>
        <v>1.9599999999995683E-6</v>
      </c>
      <c r="E717" s="12">
        <f t="shared" si="72"/>
        <v>4.0000000000000074E-6</v>
      </c>
      <c r="F717" s="12">
        <f t="shared" si="73"/>
        <v>3.5616329167430793E-5</v>
      </c>
      <c r="G717" s="12">
        <f t="shared" si="74"/>
        <v>4.174899160835543</v>
      </c>
      <c r="I717" s="12">
        <f t="shared" si="75"/>
        <v>5.967941786531668E-3</v>
      </c>
      <c r="J717" s="12">
        <f t="shared" si="76"/>
        <v>7.4054730214398717E-3</v>
      </c>
    </row>
    <row r="718" spans="1:10">
      <c r="A718" s="15">
        <v>41264</v>
      </c>
      <c r="B718" s="11">
        <v>1.5510999999999999</v>
      </c>
      <c r="C718" s="11">
        <f t="shared" ref="C718:C781" si="77">B718-B717</f>
        <v>-2.1999999999999797E-3</v>
      </c>
      <c r="D718" s="12">
        <f t="shared" ref="D718:D781" si="78">C718^2</f>
        <v>4.8399999999999113E-6</v>
      </c>
      <c r="E718" s="12">
        <f t="shared" si="72"/>
        <v>1.9599999999995683E-6</v>
      </c>
      <c r="F718" s="12">
        <f t="shared" si="73"/>
        <v>3.4116875922551664E-5</v>
      </c>
      <c r="G718" s="12">
        <f t="shared" si="74"/>
        <v>4.1529880221902724</v>
      </c>
      <c r="I718" s="12">
        <f t="shared" si="75"/>
        <v>5.8409653245462484E-3</v>
      </c>
      <c r="J718" s="12">
        <f t="shared" si="76"/>
        <v>7.4054730214398717E-3</v>
      </c>
    </row>
    <row r="719" spans="1:10">
      <c r="A719" s="15">
        <v>41267</v>
      </c>
      <c r="B719" s="11">
        <v>1.5513999999999999</v>
      </c>
      <c r="C719" s="11">
        <f t="shared" si="77"/>
        <v>2.9999999999996696E-4</v>
      </c>
      <c r="D719" s="12">
        <f t="shared" si="78"/>
        <v>8.9999999999980173E-8</v>
      </c>
      <c r="E719" s="12">
        <f t="shared" ref="E719:E782" si="79">D718</f>
        <v>4.8399999999999113E-6</v>
      </c>
      <c r="F719" s="12">
        <f t="shared" ref="F719:F782" si="80">$B$5+$B$6*E719+$B$7*F718</f>
        <v>3.3064867026301436E-5</v>
      </c>
      <c r="G719" s="12">
        <f t="shared" ref="G719:G782" si="81">LN((1/SQRT(2*3.1415927*F719))*EXP(-0.5*D719/F719))</f>
        <v>4.2382201274575859</v>
      </c>
      <c r="I719" s="12">
        <f t="shared" ref="I719:I782" si="82">SQRT(F719)</f>
        <v>5.7502058246902289E-3</v>
      </c>
      <c r="J719" s="12">
        <f t="shared" si="76"/>
        <v>7.4054730214398717E-3</v>
      </c>
    </row>
    <row r="720" spans="1:10">
      <c r="A720" s="15">
        <v>41268</v>
      </c>
      <c r="B720" s="11">
        <v>1.5518000000000001</v>
      </c>
      <c r="C720" s="11">
        <f t="shared" si="77"/>
        <v>4.0000000000017799E-4</v>
      </c>
      <c r="D720" s="12">
        <f t="shared" si="78"/>
        <v>1.6000000000014238E-7</v>
      </c>
      <c r="E720" s="12">
        <f t="shared" si="79"/>
        <v>8.9999999999980173E-8</v>
      </c>
      <c r="F720" s="12">
        <f t="shared" si="80"/>
        <v>3.1768494686422357E-5</v>
      </c>
      <c r="G720" s="12">
        <f t="shared" si="81"/>
        <v>4.2570609874613039</v>
      </c>
      <c r="I720" s="12">
        <f t="shared" si="82"/>
        <v>5.636354733905803E-3</v>
      </c>
      <c r="J720" s="12">
        <f t="shared" ref="J720:J783" si="83">J719</f>
        <v>7.4054730214398717E-3</v>
      </c>
    </row>
    <row r="721" spans="1:10">
      <c r="A721" s="15">
        <v>41269</v>
      </c>
      <c r="B721" s="11">
        <v>1.5490999999999999</v>
      </c>
      <c r="C721" s="11">
        <f t="shared" si="77"/>
        <v>-2.7000000000001467E-3</v>
      </c>
      <c r="D721" s="12">
        <f t="shared" si="78"/>
        <v>7.2900000000007925E-6</v>
      </c>
      <c r="E721" s="12">
        <f t="shared" si="79"/>
        <v>1.6000000000014238E-7</v>
      </c>
      <c r="F721" s="12">
        <f t="shared" si="80"/>
        <v>3.0659423236723452E-5</v>
      </c>
      <c r="G721" s="12">
        <f t="shared" si="81"/>
        <v>4.1584599309850541</v>
      </c>
      <c r="I721" s="12">
        <f t="shared" si="82"/>
        <v>5.5370951984522942E-3</v>
      </c>
      <c r="J721" s="12">
        <f t="shared" si="83"/>
        <v>7.4054730214398717E-3</v>
      </c>
    </row>
    <row r="722" spans="1:10">
      <c r="A722" s="15">
        <v>41270</v>
      </c>
      <c r="B722" s="11">
        <v>1.5505</v>
      </c>
      <c r="C722" s="11">
        <f t="shared" si="77"/>
        <v>1.4000000000000679E-3</v>
      </c>
      <c r="D722" s="12">
        <f t="shared" si="78"/>
        <v>1.96000000000019E-6</v>
      </c>
      <c r="E722" s="12">
        <f t="shared" si="79"/>
        <v>7.2900000000007925E-6</v>
      </c>
      <c r="F722" s="12">
        <f t="shared" si="80"/>
        <v>3.029357721969018E-5</v>
      </c>
      <c r="G722" s="12">
        <f t="shared" si="81"/>
        <v>4.25099878817415</v>
      </c>
      <c r="I722" s="12">
        <f t="shared" si="82"/>
        <v>5.5039601397257757E-3</v>
      </c>
      <c r="J722" s="12">
        <f t="shared" si="83"/>
        <v>7.4054730214398717E-3</v>
      </c>
    </row>
    <row r="723" spans="1:10">
      <c r="A723" s="15">
        <v>41271</v>
      </c>
      <c r="B723" s="11">
        <v>1.5508</v>
      </c>
      <c r="C723" s="11">
        <f t="shared" si="77"/>
        <v>2.9999999999996696E-4</v>
      </c>
      <c r="D723" s="12">
        <f t="shared" si="78"/>
        <v>8.9999999999980173E-8</v>
      </c>
      <c r="E723" s="12">
        <f t="shared" si="79"/>
        <v>1.96000000000019E-6</v>
      </c>
      <c r="F723" s="12">
        <f t="shared" si="80"/>
        <v>2.9539460005416953E-5</v>
      </c>
      <c r="G723" s="12">
        <f t="shared" si="81"/>
        <v>4.2944298539741377</v>
      </c>
      <c r="I723" s="12">
        <f t="shared" si="82"/>
        <v>5.435021619590575E-3</v>
      </c>
      <c r="J723" s="12">
        <f t="shared" si="83"/>
        <v>7.4054730214398717E-3</v>
      </c>
    </row>
    <row r="724" spans="1:10">
      <c r="A724" s="15">
        <v>41274</v>
      </c>
      <c r="B724" s="11">
        <v>1.5528</v>
      </c>
      <c r="C724" s="11">
        <f t="shared" si="77"/>
        <v>2.0000000000000018E-3</v>
      </c>
      <c r="D724" s="12">
        <f t="shared" si="78"/>
        <v>4.0000000000000074E-6</v>
      </c>
      <c r="E724" s="12">
        <f t="shared" si="79"/>
        <v>8.9999999999980173E-8</v>
      </c>
      <c r="F724" s="12">
        <f t="shared" si="80"/>
        <v>2.8736744499636898E-5</v>
      </c>
      <c r="G724" s="12">
        <f t="shared" si="81"/>
        <v>4.2401311323844926</v>
      </c>
      <c r="I724" s="12">
        <f t="shared" si="82"/>
        <v>5.3606664230892876E-3</v>
      </c>
      <c r="J724" s="12">
        <f t="shared" si="83"/>
        <v>7.4054730214398717E-3</v>
      </c>
    </row>
    <row r="725" spans="1:10">
      <c r="A725" s="15">
        <v>41275</v>
      </c>
      <c r="B725" s="11">
        <v>1.5515000000000001</v>
      </c>
      <c r="C725" s="11">
        <f t="shared" si="77"/>
        <v>-1.2999999999998568E-3</v>
      </c>
      <c r="D725" s="12">
        <f t="shared" si="78"/>
        <v>1.6899999999996276E-6</v>
      </c>
      <c r="E725" s="12">
        <f t="shared" si="79"/>
        <v>4.0000000000000074E-6</v>
      </c>
      <c r="F725" s="12">
        <f t="shared" si="80"/>
        <v>2.8368841845104545E-5</v>
      </c>
      <c r="G725" s="12">
        <f t="shared" si="81"/>
        <v>4.2863848259029362</v>
      </c>
      <c r="I725" s="12">
        <f t="shared" si="82"/>
        <v>5.3262408737405542E-3</v>
      </c>
      <c r="J725" s="12">
        <f t="shared" si="83"/>
        <v>7.4054730214398717E-3</v>
      </c>
    </row>
    <row r="726" spans="1:10">
      <c r="A726" s="15">
        <v>41276</v>
      </c>
      <c r="B726" s="11">
        <v>1.5524</v>
      </c>
      <c r="C726" s="11">
        <f t="shared" si="77"/>
        <v>8.9999999999990088E-4</v>
      </c>
      <c r="D726" s="12">
        <f t="shared" si="78"/>
        <v>8.0999999999982157E-7</v>
      </c>
      <c r="E726" s="12">
        <f t="shared" si="79"/>
        <v>1.6899999999996276E-6</v>
      </c>
      <c r="F726" s="12">
        <f t="shared" si="80"/>
        <v>2.7861978495806546E-5</v>
      </c>
      <c r="G726" s="12">
        <f t="shared" si="81"/>
        <v>4.3106493093664824</v>
      </c>
      <c r="I726" s="12">
        <f t="shared" si="82"/>
        <v>5.2784447042482641E-3</v>
      </c>
      <c r="J726" s="12">
        <f t="shared" si="83"/>
        <v>7.4054730214398717E-3</v>
      </c>
    </row>
    <row r="727" spans="1:10">
      <c r="A727" s="15">
        <v>41277</v>
      </c>
      <c r="B727" s="11">
        <v>1.5662</v>
      </c>
      <c r="C727" s="11">
        <f t="shared" si="77"/>
        <v>1.3800000000000034E-2</v>
      </c>
      <c r="D727" s="12">
        <f t="shared" si="78"/>
        <v>1.9044000000000095E-4</v>
      </c>
      <c r="E727" s="12">
        <f t="shared" si="79"/>
        <v>8.0999999999982157E-7</v>
      </c>
      <c r="F727" s="12">
        <f t="shared" si="80"/>
        <v>2.735352751940977E-5</v>
      </c>
      <c r="G727" s="12">
        <f t="shared" si="81"/>
        <v>0.853307320568364</v>
      </c>
      <c r="I727" s="12">
        <f t="shared" si="82"/>
        <v>5.2300599919513132E-3</v>
      </c>
      <c r="J727" s="12">
        <f t="shared" si="83"/>
        <v>7.4054730214398717E-3</v>
      </c>
    </row>
    <row r="728" spans="1:10">
      <c r="A728" s="15">
        <v>41278</v>
      </c>
      <c r="B728" s="11">
        <v>1.5645</v>
      </c>
      <c r="C728" s="11">
        <f t="shared" si="77"/>
        <v>-1.7000000000000348E-3</v>
      </c>
      <c r="D728" s="12">
        <f t="shared" si="78"/>
        <v>2.8900000000001184E-6</v>
      </c>
      <c r="E728" s="12">
        <f t="shared" si="79"/>
        <v>1.9044000000000095E-4</v>
      </c>
      <c r="F728" s="12">
        <f t="shared" si="80"/>
        <v>4.255274411861845E-5</v>
      </c>
      <c r="G728" s="12">
        <f t="shared" si="81"/>
        <v>4.0794867091027367</v>
      </c>
      <c r="I728" s="12">
        <f t="shared" si="82"/>
        <v>6.5232464401261472E-3</v>
      </c>
      <c r="J728" s="12">
        <f t="shared" si="83"/>
        <v>7.4054730214398717E-3</v>
      </c>
    </row>
    <row r="729" spans="1:10">
      <c r="A729" s="15">
        <v>41281</v>
      </c>
      <c r="B729" s="11">
        <v>1.5645</v>
      </c>
      <c r="C729" s="11">
        <f t="shared" si="77"/>
        <v>0</v>
      </c>
      <c r="D729" s="12">
        <f t="shared" si="78"/>
        <v>0</v>
      </c>
      <c r="E729" s="12">
        <f t="shared" si="79"/>
        <v>2.8900000000001184E-6</v>
      </c>
      <c r="F729" s="12">
        <f t="shared" si="80"/>
        <v>4.0158682059748989E-5</v>
      </c>
      <c r="G729" s="12">
        <f t="shared" si="81"/>
        <v>4.1423974095872254</v>
      </c>
      <c r="I729" s="12">
        <f t="shared" si="82"/>
        <v>6.3370878216850515E-3</v>
      </c>
      <c r="J729" s="12">
        <f t="shared" si="83"/>
        <v>7.4054730214398717E-3</v>
      </c>
    </row>
    <row r="730" spans="1:10">
      <c r="A730" s="15">
        <v>41282</v>
      </c>
      <c r="B730" s="11">
        <v>1.5679000000000001</v>
      </c>
      <c r="C730" s="11">
        <f t="shared" si="77"/>
        <v>3.4000000000000696E-3</v>
      </c>
      <c r="D730" s="12">
        <f t="shared" si="78"/>
        <v>1.1560000000000474E-5</v>
      </c>
      <c r="E730" s="12">
        <f t="shared" si="79"/>
        <v>0</v>
      </c>
      <c r="F730" s="12">
        <f t="shared" si="80"/>
        <v>3.7861553494129329E-5</v>
      </c>
      <c r="G730" s="12">
        <f t="shared" si="81"/>
        <v>4.0191871905282257</v>
      </c>
      <c r="I730" s="12">
        <f t="shared" si="82"/>
        <v>6.1531742616416554E-3</v>
      </c>
      <c r="J730" s="12">
        <f t="shared" si="83"/>
        <v>7.4054730214398717E-3</v>
      </c>
    </row>
    <row r="731" spans="1:10">
      <c r="A731" s="15">
        <v>41283</v>
      </c>
      <c r="B731" s="11">
        <v>1.5690999999999999</v>
      </c>
      <c r="C731" s="11">
        <f t="shared" si="77"/>
        <v>1.1999999999998678E-3</v>
      </c>
      <c r="D731" s="12">
        <f t="shared" si="78"/>
        <v>1.4399999999996828E-6</v>
      </c>
      <c r="E731" s="12">
        <f t="shared" si="79"/>
        <v>1.1560000000000474E-5</v>
      </c>
      <c r="F731" s="12">
        <f t="shared" si="80"/>
        <v>3.6839300000926157E-5</v>
      </c>
      <c r="G731" s="12">
        <f t="shared" si="81"/>
        <v>4.1659897880134231</v>
      </c>
      <c r="I731" s="12">
        <f t="shared" si="82"/>
        <v>6.0695386975392254E-3</v>
      </c>
      <c r="J731" s="12">
        <f t="shared" si="83"/>
        <v>7.4054730214398717E-3</v>
      </c>
    </row>
    <row r="732" spans="1:10">
      <c r="A732" s="15">
        <v>41284</v>
      </c>
      <c r="B732" s="11">
        <v>1.5573999999999999</v>
      </c>
      <c r="C732" s="11">
        <f t="shared" si="77"/>
        <v>-1.1700000000000044E-2</v>
      </c>
      <c r="D732" s="12">
        <f t="shared" si="78"/>
        <v>1.3689000000000103E-4</v>
      </c>
      <c r="E732" s="12">
        <f t="shared" si="79"/>
        <v>1.4399999999996828E-6</v>
      </c>
      <c r="F732" s="12">
        <f t="shared" si="80"/>
        <v>3.5125718151846977E-5</v>
      </c>
      <c r="G732" s="12">
        <f t="shared" si="81"/>
        <v>2.2607776919595159</v>
      </c>
      <c r="I732" s="12">
        <f t="shared" si="82"/>
        <v>5.9266953820697561E-3</v>
      </c>
      <c r="J732" s="12">
        <f t="shared" si="83"/>
        <v>7.4054730214398717E-3</v>
      </c>
    </row>
    <row r="733" spans="1:10">
      <c r="A733" s="15">
        <v>41285</v>
      </c>
      <c r="B733" s="11">
        <v>1.5509999999999999</v>
      </c>
      <c r="C733" s="11">
        <f t="shared" si="77"/>
        <v>-6.3999999999999613E-3</v>
      </c>
      <c r="D733" s="12">
        <f t="shared" si="78"/>
        <v>4.0959999999999506E-5</v>
      </c>
      <c r="E733" s="12">
        <f t="shared" si="79"/>
        <v>1.3689000000000103E-4</v>
      </c>
      <c r="F733" s="12">
        <f t="shared" si="80"/>
        <v>4.4820993465866113E-5</v>
      </c>
      <c r="G733" s="12">
        <f t="shared" si="81"/>
        <v>3.6305496830461861</v>
      </c>
      <c r="I733" s="12">
        <f t="shared" si="82"/>
        <v>6.694848278031856E-3</v>
      </c>
      <c r="J733" s="12">
        <f t="shared" si="83"/>
        <v>7.4054730214398717E-3</v>
      </c>
    </row>
    <row r="734" spans="1:10">
      <c r="A734" s="15">
        <v>41288</v>
      </c>
      <c r="B734" s="11">
        <v>1.5549999999999999</v>
      </c>
      <c r="C734" s="11">
        <f t="shared" si="77"/>
        <v>4.0000000000000036E-3</v>
      </c>
      <c r="D734" s="12">
        <f t="shared" si="78"/>
        <v>1.600000000000003E-5</v>
      </c>
      <c r="E734" s="12">
        <f t="shared" si="79"/>
        <v>4.0959999999999506E-5</v>
      </c>
      <c r="F734" s="12">
        <f t="shared" si="80"/>
        <v>4.5248480182889258E-5</v>
      </c>
      <c r="G734" s="12">
        <f t="shared" si="81"/>
        <v>3.9059306787953072</v>
      </c>
      <c r="I734" s="12">
        <f t="shared" si="82"/>
        <v>6.7266990554721009E-3</v>
      </c>
      <c r="J734" s="12">
        <f t="shared" si="83"/>
        <v>7.4054730214398717E-3</v>
      </c>
    </row>
    <row r="735" spans="1:10">
      <c r="A735" s="15">
        <v>41289</v>
      </c>
      <c r="B735" s="11">
        <v>1.5547</v>
      </c>
      <c r="C735" s="11">
        <f t="shared" si="77"/>
        <v>-2.9999999999996696E-4</v>
      </c>
      <c r="D735" s="12">
        <f t="shared" si="78"/>
        <v>8.9999999999980173E-8</v>
      </c>
      <c r="E735" s="12">
        <f t="shared" si="79"/>
        <v>1.600000000000003E-5</v>
      </c>
      <c r="F735" s="12">
        <f t="shared" si="80"/>
        <v>4.3557960302771652E-5</v>
      </c>
      <c r="G735" s="12">
        <f t="shared" si="81"/>
        <v>4.1007373961830105</v>
      </c>
      <c r="I735" s="12">
        <f t="shared" si="82"/>
        <v>6.599845475673779E-3</v>
      </c>
      <c r="J735" s="12">
        <f t="shared" si="83"/>
        <v>7.4054730214398717E-3</v>
      </c>
    </row>
    <row r="736" spans="1:10">
      <c r="A736" s="15">
        <v>41290</v>
      </c>
      <c r="B736" s="11">
        <v>1.5486</v>
      </c>
      <c r="C736" s="11">
        <f t="shared" si="77"/>
        <v>-6.0999999999999943E-3</v>
      </c>
      <c r="D736" s="12">
        <f t="shared" si="78"/>
        <v>3.720999999999993E-5</v>
      </c>
      <c r="E736" s="12">
        <f t="shared" si="79"/>
        <v>8.9999999999980173E-8</v>
      </c>
      <c r="F736" s="12">
        <f t="shared" si="80"/>
        <v>4.079225770511472E-5</v>
      </c>
      <c r="G736" s="12">
        <f t="shared" si="81"/>
        <v>3.6784791369085572</v>
      </c>
      <c r="I736" s="12">
        <f t="shared" si="82"/>
        <v>6.3868816886736455E-3</v>
      </c>
      <c r="J736" s="12">
        <f t="shared" si="83"/>
        <v>7.4054730214398717E-3</v>
      </c>
    </row>
    <row r="737" spans="1:10">
      <c r="A737" s="15">
        <v>41291</v>
      </c>
      <c r="B737" s="11">
        <v>1.5543</v>
      </c>
      <c r="C737" s="11">
        <f t="shared" si="77"/>
        <v>5.7000000000000384E-3</v>
      </c>
      <c r="D737" s="12">
        <f t="shared" si="78"/>
        <v>3.2490000000000436E-5</v>
      </c>
      <c r="E737" s="12">
        <f t="shared" si="79"/>
        <v>3.720999999999993E-5</v>
      </c>
      <c r="F737" s="12">
        <f t="shared" si="80"/>
        <v>4.1474664836694584E-5</v>
      </c>
      <c r="G737" s="12">
        <f t="shared" si="81"/>
        <v>3.7345904596879005</v>
      </c>
      <c r="I737" s="12">
        <f t="shared" si="82"/>
        <v>6.4400826731257563E-3</v>
      </c>
      <c r="J737" s="12">
        <f t="shared" si="83"/>
        <v>7.4054730214398717E-3</v>
      </c>
    </row>
    <row r="738" spans="1:10">
      <c r="A738" s="15">
        <v>41292</v>
      </c>
      <c r="B738" s="11">
        <v>1.5593999999999999</v>
      </c>
      <c r="C738" s="11">
        <f t="shared" si="77"/>
        <v>5.0999999999998824E-3</v>
      </c>
      <c r="D738" s="12">
        <f t="shared" si="78"/>
        <v>2.6009999999998801E-5</v>
      </c>
      <c r="E738" s="12">
        <f t="shared" si="79"/>
        <v>3.2490000000000436E-5</v>
      </c>
      <c r="F738" s="12">
        <f t="shared" si="80"/>
        <v>4.167231488994925E-5</v>
      </c>
      <c r="G738" s="12">
        <f t="shared" si="81"/>
        <v>3.8118205444162592</v>
      </c>
      <c r="I738" s="12">
        <f t="shared" si="82"/>
        <v>6.4554097383473074E-3</v>
      </c>
      <c r="J738" s="12">
        <f t="shared" si="83"/>
        <v>7.4054730214398717E-3</v>
      </c>
    </row>
    <row r="739" spans="1:10">
      <c r="A739" s="15">
        <v>41295</v>
      </c>
      <c r="B739" s="11">
        <v>1.56</v>
      </c>
      <c r="C739" s="11">
        <f t="shared" si="77"/>
        <v>6.0000000000015596E-4</v>
      </c>
      <c r="D739" s="12">
        <f t="shared" si="78"/>
        <v>3.6000000000018714E-7</v>
      </c>
      <c r="E739" s="12">
        <f t="shared" si="79"/>
        <v>2.6009999999998801E-5</v>
      </c>
      <c r="F739" s="12">
        <f t="shared" si="80"/>
        <v>4.1307961881675617E-5</v>
      </c>
      <c r="G739" s="12">
        <f t="shared" si="81"/>
        <v>4.1239315934159233</v>
      </c>
      <c r="I739" s="12">
        <f t="shared" si="82"/>
        <v>6.4271270317051944E-3</v>
      </c>
      <c r="J739" s="12">
        <f t="shared" si="83"/>
        <v>7.4054730214398717E-3</v>
      </c>
    </row>
    <row r="740" spans="1:10">
      <c r="A740" s="15">
        <v>41296</v>
      </c>
      <c r="B740" s="11">
        <v>1.5603</v>
      </c>
      <c r="C740" s="11">
        <f t="shared" si="77"/>
        <v>2.9999999999996696E-4</v>
      </c>
      <c r="D740" s="12">
        <f t="shared" si="78"/>
        <v>8.9999999999980173E-8</v>
      </c>
      <c r="E740" s="12">
        <f t="shared" si="79"/>
        <v>3.6000000000018714E-7</v>
      </c>
      <c r="F740" s="12">
        <f t="shared" si="80"/>
        <v>3.8879586392693773E-5</v>
      </c>
      <c r="G740" s="12">
        <f t="shared" si="81"/>
        <v>4.1574246479271295</v>
      </c>
      <c r="I740" s="12">
        <f t="shared" si="82"/>
        <v>6.2353497410084198E-3</v>
      </c>
      <c r="J740" s="12">
        <f t="shared" si="83"/>
        <v>7.4054730214398717E-3</v>
      </c>
    </row>
    <row r="741" spans="1:10">
      <c r="A741" s="15">
        <v>41297</v>
      </c>
      <c r="B741" s="11">
        <v>1.5609</v>
      </c>
      <c r="C741" s="11">
        <f t="shared" si="77"/>
        <v>5.9999999999993392E-4</v>
      </c>
      <c r="D741" s="12">
        <f t="shared" si="78"/>
        <v>3.5999999999992069E-7</v>
      </c>
      <c r="E741" s="12">
        <f t="shared" si="79"/>
        <v>8.9999999999980173E-8</v>
      </c>
      <c r="F741" s="12">
        <f t="shared" si="80"/>
        <v>3.6768988649454781E-5</v>
      </c>
      <c r="G741" s="12">
        <f t="shared" si="81"/>
        <v>4.1815939135854663</v>
      </c>
      <c r="I741" s="12">
        <f t="shared" si="82"/>
        <v>6.06374378164635E-3</v>
      </c>
      <c r="J741" s="12">
        <f t="shared" si="83"/>
        <v>7.4054730214398717E-3</v>
      </c>
    </row>
    <row r="742" spans="1:10">
      <c r="A742" s="15">
        <v>41298</v>
      </c>
      <c r="B742" s="11">
        <v>1.5536000000000001</v>
      </c>
      <c r="C742" s="11">
        <f t="shared" si="77"/>
        <v>-7.2999999999998622E-3</v>
      </c>
      <c r="D742" s="12">
        <f t="shared" si="78"/>
        <v>5.3289999999997987E-5</v>
      </c>
      <c r="E742" s="12">
        <f t="shared" si="79"/>
        <v>3.5999999999992069E-7</v>
      </c>
      <c r="F742" s="12">
        <f t="shared" si="80"/>
        <v>3.4976197971703082E-5</v>
      </c>
      <c r="G742" s="12">
        <f t="shared" si="81"/>
        <v>3.4496790672871227</v>
      </c>
      <c r="I742" s="12">
        <f t="shared" si="82"/>
        <v>5.9140678024269455E-3</v>
      </c>
      <c r="J742" s="12">
        <f t="shared" si="83"/>
        <v>7.4054730214398717E-3</v>
      </c>
    </row>
    <row r="743" spans="1:10">
      <c r="A743" s="15">
        <v>41299</v>
      </c>
      <c r="B743" s="11">
        <v>1.5489999999999999</v>
      </c>
      <c r="C743" s="11">
        <f t="shared" si="77"/>
        <v>-4.6000000000001595E-3</v>
      </c>
      <c r="D743" s="12">
        <f t="shared" si="78"/>
        <v>2.1160000000001468E-5</v>
      </c>
      <c r="E743" s="12">
        <f t="shared" si="79"/>
        <v>5.3289999999997987E-5</v>
      </c>
      <c r="F743" s="12">
        <f t="shared" si="80"/>
        <v>3.7798939401544068E-5</v>
      </c>
      <c r="G743" s="12">
        <f t="shared" si="81"/>
        <v>3.892774182924907</v>
      </c>
      <c r="I743" s="12">
        <f t="shared" si="82"/>
        <v>6.148084205794848E-3</v>
      </c>
      <c r="J743" s="12">
        <f t="shared" si="83"/>
        <v>7.4054730214398717E-3</v>
      </c>
    </row>
    <row r="744" spans="1:10">
      <c r="A744" s="15">
        <v>41302</v>
      </c>
      <c r="B744" s="11">
        <v>1.5505</v>
      </c>
      <c r="C744" s="11">
        <f t="shared" si="77"/>
        <v>1.5000000000000568E-3</v>
      </c>
      <c r="D744" s="12">
        <f t="shared" si="78"/>
        <v>2.2500000000001707E-6</v>
      </c>
      <c r="E744" s="12">
        <f t="shared" si="79"/>
        <v>2.1160000000001468E-5</v>
      </c>
      <c r="F744" s="12">
        <f t="shared" si="80"/>
        <v>3.7577048404325994E-5</v>
      </c>
      <c r="G744" s="12">
        <f t="shared" si="81"/>
        <v>4.1456815261106073</v>
      </c>
      <c r="I744" s="12">
        <f t="shared" si="82"/>
        <v>6.1300121047454708E-3</v>
      </c>
      <c r="J744" s="12">
        <f t="shared" si="83"/>
        <v>7.4054730214398717E-3</v>
      </c>
    </row>
    <row r="745" spans="1:10">
      <c r="A745" s="15">
        <v>41303</v>
      </c>
      <c r="B745" s="11">
        <v>1.5468999999999999</v>
      </c>
      <c r="C745" s="11">
        <f t="shared" si="77"/>
        <v>-3.6000000000000476E-3</v>
      </c>
      <c r="D745" s="12">
        <f t="shared" si="78"/>
        <v>1.2960000000000343E-5</v>
      </c>
      <c r="E745" s="12">
        <f t="shared" si="79"/>
        <v>2.2500000000001707E-6</v>
      </c>
      <c r="F745" s="12">
        <f t="shared" si="80"/>
        <v>3.5826951690294725E-5</v>
      </c>
      <c r="G745" s="12">
        <f t="shared" si="81"/>
        <v>4.018597092288319</v>
      </c>
      <c r="I745" s="12">
        <f t="shared" si="82"/>
        <v>5.9855619360503426E-3</v>
      </c>
      <c r="J745" s="12">
        <f t="shared" si="83"/>
        <v>7.4054730214398717E-3</v>
      </c>
    </row>
    <row r="746" spans="1:10">
      <c r="A746" s="15">
        <v>41304</v>
      </c>
      <c r="B746" s="11">
        <v>1.5366</v>
      </c>
      <c r="C746" s="11">
        <f t="shared" si="77"/>
        <v>-1.0299999999999976E-2</v>
      </c>
      <c r="D746" s="12">
        <f t="shared" si="78"/>
        <v>1.0608999999999951E-4</v>
      </c>
      <c r="E746" s="12">
        <f t="shared" si="79"/>
        <v>1.2960000000000343E-5</v>
      </c>
      <c r="F746" s="12">
        <f t="shared" si="80"/>
        <v>3.5205040977255198E-5</v>
      </c>
      <c r="G746" s="12">
        <f t="shared" si="81"/>
        <v>2.7014776503936093</v>
      </c>
      <c r="I746" s="12">
        <f t="shared" si="82"/>
        <v>5.9333836027392669E-3</v>
      </c>
      <c r="J746" s="12">
        <f t="shared" si="83"/>
        <v>7.4054730214398717E-3</v>
      </c>
    </row>
    <row r="747" spans="1:10">
      <c r="A747" s="15">
        <v>41305</v>
      </c>
      <c r="B747" s="11">
        <v>1.5367999999999999</v>
      </c>
      <c r="C747" s="11">
        <f t="shared" si="77"/>
        <v>1.9999999999997797E-4</v>
      </c>
      <c r="D747" s="12">
        <f t="shared" si="78"/>
        <v>3.9999999999991186E-8</v>
      </c>
      <c r="E747" s="12">
        <f t="shared" si="79"/>
        <v>1.0608999999999951E-4</v>
      </c>
      <c r="F747" s="12">
        <f t="shared" si="80"/>
        <v>4.2349509027447021E-5</v>
      </c>
      <c r="G747" s="12">
        <f t="shared" si="81"/>
        <v>4.1153660639891863</v>
      </c>
      <c r="I747" s="12">
        <f t="shared" si="82"/>
        <v>6.5076500387964177E-3</v>
      </c>
      <c r="J747" s="12">
        <f t="shared" si="83"/>
        <v>7.4054730214398717E-3</v>
      </c>
    </row>
    <row r="748" spans="1:10">
      <c r="A748" s="15">
        <v>41306</v>
      </c>
      <c r="B748" s="11">
        <v>1.5409999999999999</v>
      </c>
      <c r="C748" s="11">
        <f t="shared" si="77"/>
        <v>4.1999999999999815E-3</v>
      </c>
      <c r="D748" s="12">
        <f t="shared" si="78"/>
        <v>1.7639999999999845E-5</v>
      </c>
      <c r="E748" s="12">
        <f t="shared" si="79"/>
        <v>3.9999999999991186E-8</v>
      </c>
      <c r="F748" s="12">
        <f t="shared" si="80"/>
        <v>3.9748900946347765E-5</v>
      </c>
      <c r="G748" s="12">
        <f t="shared" si="81"/>
        <v>3.9256327150029131</v>
      </c>
      <c r="I748" s="12">
        <f t="shared" si="82"/>
        <v>6.3046729452325891E-3</v>
      </c>
      <c r="J748" s="12">
        <f t="shared" si="83"/>
        <v>7.4054730214398717E-3</v>
      </c>
    </row>
    <row r="749" spans="1:10">
      <c r="A749" s="15">
        <v>41309</v>
      </c>
      <c r="B749" s="11">
        <v>1.5427</v>
      </c>
      <c r="C749" s="11">
        <f t="shared" si="77"/>
        <v>1.7000000000000348E-3</v>
      </c>
      <c r="D749" s="12">
        <f t="shared" si="78"/>
        <v>2.8900000000001184E-6</v>
      </c>
      <c r="E749" s="12">
        <f t="shared" si="79"/>
        <v>1.7639999999999845E-5</v>
      </c>
      <c r="F749" s="12">
        <f t="shared" si="80"/>
        <v>3.8963708695321984E-5</v>
      </c>
      <c r="G749" s="12">
        <f t="shared" si="81"/>
        <v>4.1204156129796763</v>
      </c>
      <c r="I749" s="12">
        <f t="shared" si="82"/>
        <v>6.2420916923193286E-3</v>
      </c>
      <c r="J749" s="12">
        <f t="shared" si="83"/>
        <v>7.4054730214398717E-3</v>
      </c>
    </row>
    <row r="750" spans="1:10">
      <c r="A750" s="15">
        <v>41310</v>
      </c>
      <c r="B750" s="11">
        <v>1.5405</v>
      </c>
      <c r="C750" s="11">
        <f t="shared" si="77"/>
        <v>-2.1999999999999797E-3</v>
      </c>
      <c r="D750" s="12">
        <f t="shared" si="78"/>
        <v>4.8399999999999113E-6</v>
      </c>
      <c r="E750" s="12">
        <f t="shared" si="79"/>
        <v>2.8900000000001184E-6</v>
      </c>
      <c r="F750" s="12">
        <f t="shared" si="80"/>
        <v>3.7072213249055818E-5</v>
      </c>
      <c r="G750" s="12">
        <f t="shared" si="81"/>
        <v>4.117104876693511</v>
      </c>
      <c r="I750" s="12">
        <f t="shared" si="82"/>
        <v>6.0886955293441812E-3</v>
      </c>
      <c r="J750" s="12">
        <f t="shared" si="83"/>
        <v>7.4054730214398717E-3</v>
      </c>
    </row>
    <row r="751" spans="1:10">
      <c r="A751" s="15">
        <v>41311</v>
      </c>
      <c r="B751" s="11">
        <v>1.5472999999999999</v>
      </c>
      <c r="C751" s="11">
        <f t="shared" si="77"/>
        <v>6.7999999999999172E-3</v>
      </c>
      <c r="D751" s="12">
        <f t="shared" si="78"/>
        <v>4.6239999999998873E-5</v>
      </c>
      <c r="E751" s="12">
        <f t="shared" si="79"/>
        <v>4.8399999999999113E-6</v>
      </c>
      <c r="F751" s="12">
        <f t="shared" si="80"/>
        <v>3.5606373422177129E-5</v>
      </c>
      <c r="G751" s="12">
        <f t="shared" si="81"/>
        <v>3.5532324581441448</v>
      </c>
      <c r="I751" s="12">
        <f t="shared" si="82"/>
        <v>5.967107626160025E-3</v>
      </c>
      <c r="J751" s="12">
        <f t="shared" si="83"/>
        <v>7.4054730214398717E-3</v>
      </c>
    </row>
    <row r="752" spans="1:10">
      <c r="A752" s="15">
        <v>41312</v>
      </c>
      <c r="B752" s="11">
        <v>1.5528</v>
      </c>
      <c r="C752" s="11">
        <f t="shared" si="77"/>
        <v>5.5000000000000604E-3</v>
      </c>
      <c r="D752" s="12">
        <f t="shared" si="78"/>
        <v>3.0250000000000664E-5</v>
      </c>
      <c r="E752" s="12">
        <f t="shared" si="79"/>
        <v>4.6239999999998873E-5</v>
      </c>
      <c r="F752" s="12">
        <f t="shared" si="80"/>
        <v>3.775954504607433E-5</v>
      </c>
      <c r="G752" s="12">
        <f t="shared" si="81"/>
        <v>3.7726366218187941</v>
      </c>
      <c r="I752" s="12">
        <f t="shared" si="82"/>
        <v>6.1448795794607994E-3</v>
      </c>
      <c r="J752" s="12">
        <f t="shared" si="83"/>
        <v>7.4054730214398717E-3</v>
      </c>
    </row>
    <row r="753" spans="1:10">
      <c r="A753" s="15">
        <v>41313</v>
      </c>
      <c r="B753" s="11">
        <v>1.5584</v>
      </c>
      <c r="C753" s="11">
        <f t="shared" si="77"/>
        <v>5.6000000000000494E-3</v>
      </c>
      <c r="D753" s="12">
        <f t="shared" si="78"/>
        <v>3.1360000000000554E-5</v>
      </c>
      <c r="E753" s="12">
        <f t="shared" si="79"/>
        <v>3.0250000000000664E-5</v>
      </c>
      <c r="F753" s="12">
        <f t="shared" si="80"/>
        <v>3.829271165291366E-5</v>
      </c>
      <c r="G753" s="12">
        <f t="shared" si="81"/>
        <v>3.7567095476583048</v>
      </c>
      <c r="I753" s="12">
        <f t="shared" si="82"/>
        <v>6.1881105074904456E-3</v>
      </c>
      <c r="J753" s="12">
        <f t="shared" si="83"/>
        <v>7.4054730214398717E-3</v>
      </c>
    </row>
    <row r="754" spans="1:10">
      <c r="A754" s="15">
        <v>41316</v>
      </c>
      <c r="B754" s="11">
        <v>1.5580000000000001</v>
      </c>
      <c r="C754" s="11">
        <f t="shared" si="77"/>
        <v>-3.9999999999995595E-4</v>
      </c>
      <c r="D754" s="12">
        <f t="shared" si="78"/>
        <v>1.5999999999996475E-7</v>
      </c>
      <c r="E754" s="12">
        <f t="shared" si="79"/>
        <v>3.1360000000000554E-5</v>
      </c>
      <c r="F754" s="12">
        <f t="shared" si="80"/>
        <v>3.8842747976676302E-5</v>
      </c>
      <c r="G754" s="12">
        <f t="shared" si="81"/>
        <v>4.1569964558133954</v>
      </c>
      <c r="I754" s="12">
        <f t="shared" si="82"/>
        <v>6.2323950433742807E-3</v>
      </c>
      <c r="J754" s="12">
        <f t="shared" si="83"/>
        <v>7.4054730214398717E-3</v>
      </c>
    </row>
    <row r="755" spans="1:10">
      <c r="A755" s="15">
        <v>41317</v>
      </c>
      <c r="B755" s="11">
        <v>1.5524</v>
      </c>
      <c r="C755" s="11">
        <f t="shared" si="77"/>
        <v>-5.6000000000000494E-3</v>
      </c>
      <c r="D755" s="12">
        <f t="shared" si="78"/>
        <v>3.1360000000000554E-5</v>
      </c>
      <c r="E755" s="12">
        <f t="shared" si="79"/>
        <v>1.5999999999996475E-7</v>
      </c>
      <c r="F755" s="12">
        <f t="shared" si="80"/>
        <v>3.6743080700114475E-5</v>
      </c>
      <c r="G755" s="12">
        <f t="shared" si="81"/>
        <v>3.7600947598502059</v>
      </c>
      <c r="I755" s="12">
        <f t="shared" si="82"/>
        <v>6.0616071053899954E-3</v>
      </c>
      <c r="J755" s="12">
        <f t="shared" si="83"/>
        <v>7.4054730214398717E-3</v>
      </c>
    </row>
    <row r="756" spans="1:10">
      <c r="A756" s="15">
        <v>41318</v>
      </c>
      <c r="B756" s="11">
        <v>1.5494000000000001</v>
      </c>
      <c r="C756" s="11">
        <f t="shared" si="77"/>
        <v>-2.9999999999998916E-3</v>
      </c>
      <c r="D756" s="12">
        <f t="shared" si="78"/>
        <v>8.9999999999993497E-6</v>
      </c>
      <c r="E756" s="12">
        <f t="shared" si="79"/>
        <v>3.1360000000000554E-5</v>
      </c>
      <c r="F756" s="12">
        <f t="shared" si="80"/>
        <v>3.7510109247937748E-5</v>
      </c>
      <c r="G756" s="12">
        <f t="shared" si="81"/>
        <v>4.0565438409703951</v>
      </c>
      <c r="I756" s="12">
        <f t="shared" si="82"/>
        <v>6.1245497179741913E-3</v>
      </c>
      <c r="J756" s="12">
        <f t="shared" si="83"/>
        <v>7.4054730214398717E-3</v>
      </c>
    </row>
    <row r="757" spans="1:10">
      <c r="A757" s="15">
        <v>41319</v>
      </c>
      <c r="B757" s="11">
        <v>1.5609</v>
      </c>
      <c r="C757" s="11">
        <f t="shared" si="77"/>
        <v>1.1499999999999844E-2</v>
      </c>
      <c r="D757" s="12">
        <f t="shared" si="78"/>
        <v>1.3224999999999641E-4</v>
      </c>
      <c r="E757" s="12">
        <f t="shared" si="79"/>
        <v>8.9999999999993497E-6</v>
      </c>
      <c r="F757" s="12">
        <f t="shared" si="80"/>
        <v>3.632597597004087E-5</v>
      </c>
      <c r="G757" s="12">
        <f t="shared" si="81"/>
        <v>2.3722274630363871</v>
      </c>
      <c r="I757" s="12">
        <f t="shared" si="82"/>
        <v>6.0271034477633505E-3</v>
      </c>
      <c r="J757" s="12">
        <f t="shared" si="83"/>
        <v>7.4054730214398717E-3</v>
      </c>
    </row>
    <row r="758" spans="1:10">
      <c r="A758" s="15">
        <v>41320</v>
      </c>
      <c r="B758" s="11">
        <v>1.5591999999999999</v>
      </c>
      <c r="C758" s="11">
        <f t="shared" si="77"/>
        <v>-1.7000000000000348E-3</v>
      </c>
      <c r="D758" s="12">
        <f t="shared" si="78"/>
        <v>2.8900000000001184E-6</v>
      </c>
      <c r="E758" s="12">
        <f t="shared" si="79"/>
        <v>1.3224999999999641E-4</v>
      </c>
      <c r="F758" s="12">
        <f t="shared" si="80"/>
        <v>4.5470577065279144E-5</v>
      </c>
      <c r="G758" s="12">
        <f t="shared" si="81"/>
        <v>4.0485052171870972</v>
      </c>
      <c r="I758" s="12">
        <f t="shared" si="82"/>
        <v>6.7431874558905114E-3</v>
      </c>
      <c r="J758" s="12">
        <f t="shared" si="83"/>
        <v>7.4054730214398717E-3</v>
      </c>
    </row>
    <row r="759" spans="1:10">
      <c r="A759" s="15">
        <v>41323</v>
      </c>
      <c r="B759" s="11">
        <v>1.5608</v>
      </c>
      <c r="C759" s="11">
        <f t="shared" si="77"/>
        <v>1.6000000000000458E-3</v>
      </c>
      <c r="D759" s="12">
        <f t="shared" si="78"/>
        <v>2.5600000000001466E-6</v>
      </c>
      <c r="E759" s="12">
        <f t="shared" si="79"/>
        <v>2.8900000000001184E-6</v>
      </c>
      <c r="F759" s="12">
        <f t="shared" si="80"/>
        <v>4.2667935751207264E-5</v>
      </c>
      <c r="G759" s="12">
        <f t="shared" si="81"/>
        <v>4.0820937712005367</v>
      </c>
      <c r="I759" s="12">
        <f t="shared" si="82"/>
        <v>6.5320697907483554E-3</v>
      </c>
      <c r="J759" s="12">
        <f t="shared" si="83"/>
        <v>7.4054730214398717E-3</v>
      </c>
    </row>
    <row r="760" spans="1:10">
      <c r="A760" s="15">
        <v>41324</v>
      </c>
      <c r="B760" s="11">
        <v>1.5564</v>
      </c>
      <c r="C760" s="11">
        <f t="shared" si="77"/>
        <v>-4.3999999999999595E-3</v>
      </c>
      <c r="D760" s="12">
        <f t="shared" si="78"/>
        <v>1.9359999999999645E-5</v>
      </c>
      <c r="E760" s="12">
        <f t="shared" si="79"/>
        <v>2.5600000000001466E-6</v>
      </c>
      <c r="F760" s="12">
        <f t="shared" si="80"/>
        <v>4.0230532531650741E-5</v>
      </c>
      <c r="G760" s="12">
        <f t="shared" si="81"/>
        <v>3.9008903565242745</v>
      </c>
      <c r="I760" s="12">
        <f t="shared" si="82"/>
        <v>6.3427543332254905E-3</v>
      </c>
      <c r="J760" s="12">
        <f t="shared" si="83"/>
        <v>7.4054730214398717E-3</v>
      </c>
    </row>
    <row r="761" spans="1:10">
      <c r="A761" s="15">
        <v>41325</v>
      </c>
      <c r="B761" s="11">
        <v>1.5656000000000001</v>
      </c>
      <c r="C761" s="11">
        <f t="shared" si="77"/>
        <v>9.200000000000097E-3</v>
      </c>
      <c r="D761" s="12">
        <f t="shared" si="78"/>
        <v>8.4640000000001778E-5</v>
      </c>
      <c r="E761" s="12">
        <f t="shared" si="79"/>
        <v>1.9359999999999645E-5</v>
      </c>
      <c r="F761" s="12">
        <f t="shared" si="80"/>
        <v>3.9519725609918659E-5</v>
      </c>
      <c r="G761" s="12">
        <f t="shared" si="81"/>
        <v>3.0795591360302104</v>
      </c>
      <c r="I761" s="12">
        <f t="shared" si="82"/>
        <v>6.2864716343843195E-3</v>
      </c>
      <c r="J761" s="12">
        <f t="shared" si="83"/>
        <v>7.4054730214398717E-3</v>
      </c>
    </row>
    <row r="762" spans="1:10">
      <c r="A762" s="15">
        <v>41326</v>
      </c>
      <c r="B762" s="11">
        <v>1.5693999999999999</v>
      </c>
      <c r="C762" s="11">
        <f t="shared" si="77"/>
        <v>3.7999999999998035E-3</v>
      </c>
      <c r="D762" s="12">
        <f t="shared" si="78"/>
        <v>1.4439999999998506E-5</v>
      </c>
      <c r="E762" s="12">
        <f t="shared" si="79"/>
        <v>8.4640000000001778E-5</v>
      </c>
      <c r="F762" s="12">
        <f t="shared" si="80"/>
        <v>4.4291296086808541E-5</v>
      </c>
      <c r="G762" s="12">
        <f t="shared" si="81"/>
        <v>3.930410935856278</v>
      </c>
      <c r="I762" s="12">
        <f t="shared" si="82"/>
        <v>6.6551706279259692E-3</v>
      </c>
      <c r="J762" s="12">
        <f t="shared" si="83"/>
        <v>7.4054730214398717E-3</v>
      </c>
    </row>
    <row r="763" spans="1:10">
      <c r="A763" s="15">
        <v>41327</v>
      </c>
      <c r="B763" s="11">
        <v>1.5729</v>
      </c>
      <c r="C763" s="11">
        <f t="shared" si="77"/>
        <v>3.5000000000000586E-3</v>
      </c>
      <c r="D763" s="12">
        <f t="shared" si="78"/>
        <v>1.225000000000041E-5</v>
      </c>
      <c r="E763" s="12">
        <f t="shared" si="79"/>
        <v>1.4439999999998506E-5</v>
      </c>
      <c r="F763" s="12">
        <f t="shared" si="80"/>
        <v>4.2606174943950783E-5</v>
      </c>
      <c r="G763" s="12">
        <f t="shared" si="81"/>
        <v>3.9690586364594642</v>
      </c>
      <c r="I763" s="12">
        <f t="shared" si="82"/>
        <v>6.5273405720822309E-3</v>
      </c>
      <c r="J763" s="12">
        <f t="shared" si="83"/>
        <v>7.4054730214398717E-3</v>
      </c>
    </row>
    <row r="764" spans="1:10">
      <c r="A764" s="15">
        <v>41330</v>
      </c>
      <c r="B764" s="11">
        <v>1.5853999999999999</v>
      </c>
      <c r="C764" s="11">
        <f t="shared" si="77"/>
        <v>1.2499999999999956E-2</v>
      </c>
      <c r="D764" s="12">
        <f t="shared" si="78"/>
        <v>1.5624999999999889E-4</v>
      </c>
      <c r="E764" s="12">
        <f t="shared" si="79"/>
        <v>1.225000000000041E-5</v>
      </c>
      <c r="F764" s="12">
        <f t="shared" si="80"/>
        <v>4.0976435937042773E-5</v>
      </c>
      <c r="G764" s="12">
        <f t="shared" si="81"/>
        <v>2.2257345724287458</v>
      </c>
      <c r="I764" s="12">
        <f t="shared" si="82"/>
        <v>6.401283928794502E-3</v>
      </c>
      <c r="J764" s="12">
        <f t="shared" si="83"/>
        <v>7.4054730214398717E-3</v>
      </c>
    </row>
    <row r="765" spans="1:10">
      <c r="A765" s="15">
        <v>41331</v>
      </c>
      <c r="B765" s="11">
        <v>1.5792999999999999</v>
      </c>
      <c r="C765" s="11">
        <f t="shared" si="77"/>
        <v>-6.0999999999999943E-3</v>
      </c>
      <c r="D765" s="12">
        <f t="shared" si="78"/>
        <v>3.720999999999993E-5</v>
      </c>
      <c r="E765" s="12">
        <f t="shared" si="79"/>
        <v>1.5624999999999889E-4</v>
      </c>
      <c r="F765" s="12">
        <f t="shared" si="80"/>
        <v>5.144882779447179E-5</v>
      </c>
      <c r="G765" s="12">
        <f t="shared" si="81"/>
        <v>3.6569014433981835</v>
      </c>
      <c r="I765" s="12">
        <f t="shared" si="82"/>
        <v>7.172783824601979E-3</v>
      </c>
      <c r="J765" s="12">
        <f t="shared" si="83"/>
        <v>7.4054730214398717E-3</v>
      </c>
    </row>
    <row r="766" spans="1:10">
      <c r="A766" s="15">
        <v>41332</v>
      </c>
      <c r="B766" s="11">
        <v>1.5778000000000001</v>
      </c>
      <c r="C766" s="11">
        <f t="shared" si="77"/>
        <v>-1.4999999999998348E-3</v>
      </c>
      <c r="D766" s="12">
        <f t="shared" si="78"/>
        <v>2.2499999999995045E-6</v>
      </c>
      <c r="E766" s="12">
        <f t="shared" si="79"/>
        <v>3.720999999999993E-5</v>
      </c>
      <c r="F766" s="12">
        <f t="shared" si="80"/>
        <v>5.0639013284266151E-5</v>
      </c>
      <c r="G766" s="12">
        <f t="shared" si="81"/>
        <v>4.0042395193333844</v>
      </c>
      <c r="I766" s="12">
        <f t="shared" si="82"/>
        <v>7.1161094204815426E-3</v>
      </c>
      <c r="J766" s="12">
        <f t="shared" si="83"/>
        <v>7.4054730214398717E-3</v>
      </c>
    </row>
    <row r="767" spans="1:10">
      <c r="A767" s="15">
        <v>41333</v>
      </c>
      <c r="B767" s="11">
        <v>1.5831</v>
      </c>
      <c r="C767" s="11">
        <f t="shared" si="77"/>
        <v>5.2999999999998604E-3</v>
      </c>
      <c r="D767" s="12">
        <f t="shared" si="78"/>
        <v>2.808999999999852E-5</v>
      </c>
      <c r="E767" s="12">
        <f t="shared" si="79"/>
        <v>2.2499999999995045E-6</v>
      </c>
      <c r="F767" s="12">
        <f t="shared" si="80"/>
        <v>4.7059871529039513E-5</v>
      </c>
      <c r="G767" s="12">
        <f t="shared" si="81"/>
        <v>3.7646568081834619</v>
      </c>
      <c r="I767" s="12">
        <f t="shared" si="82"/>
        <v>6.8600197907177727E-3</v>
      </c>
      <c r="J767" s="12">
        <f t="shared" si="83"/>
        <v>7.4054730214398717E-3</v>
      </c>
    </row>
    <row r="768" spans="1:10">
      <c r="A768" s="15">
        <v>41334</v>
      </c>
      <c r="B768" s="11">
        <v>1.5886</v>
      </c>
      <c r="C768" s="11">
        <f t="shared" si="77"/>
        <v>5.5000000000000604E-3</v>
      </c>
      <c r="D768" s="12">
        <f t="shared" si="78"/>
        <v>3.0250000000000664E-5</v>
      </c>
      <c r="E768" s="12">
        <f t="shared" si="79"/>
        <v>2.808999999999852E-5</v>
      </c>
      <c r="F768" s="12">
        <f t="shared" si="80"/>
        <v>4.6112620193631506E-5</v>
      </c>
      <c r="G768" s="12">
        <f t="shared" si="81"/>
        <v>3.745272090002167</v>
      </c>
      <c r="I768" s="12">
        <f t="shared" si="82"/>
        <v>6.7906273784998326E-3</v>
      </c>
      <c r="J768" s="12">
        <f t="shared" si="83"/>
        <v>7.4054730214398717E-3</v>
      </c>
    </row>
    <row r="769" spans="1:10">
      <c r="A769" s="15">
        <v>41337</v>
      </c>
      <c r="B769" s="11">
        <v>1.5859000000000001</v>
      </c>
      <c r="C769" s="11">
        <f t="shared" si="77"/>
        <v>-2.6999999999999247E-3</v>
      </c>
      <c r="D769" s="12">
        <f t="shared" si="78"/>
        <v>7.2899999999995931E-6</v>
      </c>
      <c r="E769" s="12">
        <f t="shared" si="79"/>
        <v>3.0250000000000664E-5</v>
      </c>
      <c r="F769" s="12">
        <f t="shared" si="80"/>
        <v>4.5476119693125091E-5</v>
      </c>
      <c r="G769" s="12">
        <f t="shared" si="81"/>
        <v>4.0000711080399816</v>
      </c>
      <c r="I769" s="12">
        <f t="shared" si="82"/>
        <v>6.7435984231806901E-3</v>
      </c>
      <c r="J769" s="12">
        <f t="shared" si="83"/>
        <v>7.4054730214398717E-3</v>
      </c>
    </row>
    <row r="770" spans="1:10">
      <c r="A770" s="15">
        <v>41338</v>
      </c>
      <c r="B770" s="11">
        <v>1.5815999999999999</v>
      </c>
      <c r="C770" s="11">
        <f t="shared" si="77"/>
        <v>-4.3000000000001926E-3</v>
      </c>
      <c r="D770" s="12">
        <f t="shared" si="78"/>
        <v>1.8490000000001658E-5</v>
      </c>
      <c r="E770" s="12">
        <f t="shared" si="79"/>
        <v>7.2899999999995931E-6</v>
      </c>
      <c r="F770" s="12">
        <f t="shared" si="80"/>
        <v>4.3035516514395704E-5</v>
      </c>
      <c r="G770" s="12">
        <f t="shared" si="81"/>
        <v>3.892981304295553</v>
      </c>
      <c r="I770" s="12">
        <f t="shared" si="82"/>
        <v>6.5601460741660095E-3</v>
      </c>
      <c r="J770" s="12">
        <f t="shared" si="83"/>
        <v>7.4054730214398717E-3</v>
      </c>
    </row>
    <row r="771" spans="1:10">
      <c r="A771" s="15">
        <v>41339</v>
      </c>
      <c r="B771" s="11">
        <v>1.589</v>
      </c>
      <c r="C771" s="11">
        <f t="shared" si="77"/>
        <v>7.4000000000000732E-3</v>
      </c>
      <c r="D771" s="12">
        <f t="shared" si="78"/>
        <v>5.4760000000001082E-5</v>
      </c>
      <c r="E771" s="12">
        <f t="shared" si="79"/>
        <v>1.8490000000001658E-5</v>
      </c>
      <c r="F771" s="12">
        <f t="shared" si="80"/>
        <v>4.1860194114483956E-5</v>
      </c>
      <c r="G771" s="12">
        <f t="shared" si="81"/>
        <v>3.4675670490119561</v>
      </c>
      <c r="I771" s="12">
        <f t="shared" si="82"/>
        <v>6.469945449111913E-3</v>
      </c>
      <c r="J771" s="12">
        <f t="shared" si="83"/>
        <v>7.4054730214398717E-3</v>
      </c>
    </row>
    <row r="772" spans="1:10">
      <c r="A772" s="15">
        <v>41340</v>
      </c>
      <c r="B772" s="11">
        <v>1.5778000000000001</v>
      </c>
      <c r="C772" s="11">
        <f t="shared" si="77"/>
        <v>-1.1199999999999877E-2</v>
      </c>
      <c r="D772" s="12">
        <f t="shared" si="78"/>
        <v>1.2543999999999723E-4</v>
      </c>
      <c r="E772" s="12">
        <f t="shared" si="79"/>
        <v>5.4760000000001082E-5</v>
      </c>
      <c r="F772" s="12">
        <f t="shared" si="80"/>
        <v>4.3840194052849778E-5</v>
      </c>
      <c r="G772" s="12">
        <f t="shared" si="81"/>
        <v>2.6678906021901838</v>
      </c>
      <c r="I772" s="12">
        <f t="shared" si="82"/>
        <v>6.6211927968342519E-3</v>
      </c>
      <c r="J772" s="12">
        <f t="shared" si="83"/>
        <v>7.4054730214398717E-3</v>
      </c>
    </row>
    <row r="773" spans="1:10">
      <c r="A773" s="15">
        <v>41341</v>
      </c>
      <c r="B773" s="11">
        <v>1.5813999999999999</v>
      </c>
      <c r="C773" s="11">
        <f t="shared" si="77"/>
        <v>3.5999999999998256E-3</v>
      </c>
      <c r="D773" s="12">
        <f t="shared" si="78"/>
        <v>1.2959999999998744E-5</v>
      </c>
      <c r="E773" s="12">
        <f t="shared" si="79"/>
        <v>1.2543999999999723E-4</v>
      </c>
      <c r="F773" s="12">
        <f t="shared" si="80"/>
        <v>5.1371054263523965E-5</v>
      </c>
      <c r="G773" s="12">
        <f t="shared" si="81"/>
        <v>3.8931382299548845</v>
      </c>
      <c r="I773" s="12">
        <f t="shared" si="82"/>
        <v>7.1673603414035185E-3</v>
      </c>
      <c r="J773" s="12">
        <f t="shared" si="83"/>
        <v>7.4054730214398717E-3</v>
      </c>
    </row>
    <row r="774" spans="1:10">
      <c r="A774" s="15">
        <v>41344</v>
      </c>
      <c r="B774" s="11">
        <v>1.5812999999999999</v>
      </c>
      <c r="C774" s="11">
        <f t="shared" si="77"/>
        <v>-9.9999999999988987E-5</v>
      </c>
      <c r="D774" s="12">
        <f t="shared" si="78"/>
        <v>9.9999999999977966E-9</v>
      </c>
      <c r="E774" s="12">
        <f t="shared" si="79"/>
        <v>1.2959999999998744E-5</v>
      </c>
      <c r="F774" s="12">
        <f t="shared" si="80"/>
        <v>4.8572528929887765E-5</v>
      </c>
      <c r="G774" s="12">
        <f t="shared" si="81"/>
        <v>4.0471847381780259</v>
      </c>
      <c r="I774" s="12">
        <f t="shared" si="82"/>
        <v>6.9693994669474757E-3</v>
      </c>
      <c r="J774" s="12">
        <f t="shared" si="83"/>
        <v>7.4054730214398717E-3</v>
      </c>
    </row>
    <row r="775" spans="1:10">
      <c r="A775" s="15">
        <v>41345</v>
      </c>
      <c r="B775" s="11">
        <v>1.5817000000000001</v>
      </c>
      <c r="C775" s="11">
        <f t="shared" si="77"/>
        <v>4.0000000000017799E-4</v>
      </c>
      <c r="D775" s="12">
        <f t="shared" si="78"/>
        <v>1.6000000000014238E-7</v>
      </c>
      <c r="E775" s="12">
        <f t="shared" si="79"/>
        <v>9.9999999999977966E-9</v>
      </c>
      <c r="F775" s="12">
        <f t="shared" si="80"/>
        <v>4.5098048072369111E-5</v>
      </c>
      <c r="G775" s="12">
        <f t="shared" si="81"/>
        <v>4.0826233429058396</v>
      </c>
      <c r="I775" s="12">
        <f t="shared" si="82"/>
        <v>6.7155080278687119E-3</v>
      </c>
      <c r="J775" s="12">
        <f t="shared" si="83"/>
        <v>7.4054730214398717E-3</v>
      </c>
    </row>
    <row r="776" spans="1:10">
      <c r="A776" s="15">
        <v>41346</v>
      </c>
      <c r="B776" s="11">
        <v>1.5859000000000001</v>
      </c>
      <c r="C776" s="11">
        <f t="shared" si="77"/>
        <v>4.1999999999999815E-3</v>
      </c>
      <c r="D776" s="12">
        <f t="shared" si="78"/>
        <v>1.7639999999999845E-5</v>
      </c>
      <c r="E776" s="12">
        <f t="shared" si="79"/>
        <v>1.6000000000014238E-7</v>
      </c>
      <c r="F776" s="12">
        <f t="shared" si="80"/>
        <v>4.2122461611643333E-5</v>
      </c>
      <c r="G776" s="12">
        <f t="shared" si="81"/>
        <v>3.9091367021110925</v>
      </c>
      <c r="I776" s="12">
        <f t="shared" si="82"/>
        <v>6.4901819397951655E-3</v>
      </c>
      <c r="J776" s="12">
        <f t="shared" si="83"/>
        <v>7.4054730214398717E-3</v>
      </c>
    </row>
    <row r="777" spans="1:10">
      <c r="A777" s="15">
        <v>41347</v>
      </c>
      <c r="B777" s="11">
        <v>1.5719000000000001</v>
      </c>
      <c r="C777" s="11">
        <f t="shared" si="77"/>
        <v>-1.4000000000000012E-2</v>
      </c>
      <c r="D777" s="12">
        <f t="shared" si="78"/>
        <v>1.9600000000000035E-4</v>
      </c>
      <c r="E777" s="12">
        <f t="shared" si="79"/>
        <v>1.7639999999999845E-5</v>
      </c>
      <c r="F777" s="12">
        <f t="shared" si="80"/>
        <v>4.1004903640395607E-5</v>
      </c>
      <c r="G777" s="12">
        <f t="shared" si="81"/>
        <v>1.7420128470218867</v>
      </c>
      <c r="I777" s="12">
        <f t="shared" si="82"/>
        <v>6.403507135968196E-3</v>
      </c>
      <c r="J777" s="12">
        <f t="shared" si="83"/>
        <v>7.4054730214398717E-3</v>
      </c>
    </row>
    <row r="778" spans="1:10">
      <c r="A778" s="15">
        <v>41348</v>
      </c>
      <c r="B778" s="11">
        <v>1.5682</v>
      </c>
      <c r="C778" s="11">
        <f t="shared" si="77"/>
        <v>-3.7000000000000366E-3</v>
      </c>
      <c r="D778" s="12">
        <f t="shared" si="78"/>
        <v>1.369000000000027E-5</v>
      </c>
      <c r="E778" s="12">
        <f t="shared" si="79"/>
        <v>1.9600000000000035E-4</v>
      </c>
      <c r="F778" s="12">
        <f t="shared" si="80"/>
        <v>5.4751006223056729E-5</v>
      </c>
      <c r="G778" s="12">
        <f t="shared" si="81"/>
        <v>3.8623983315155836</v>
      </c>
      <c r="I778" s="12">
        <f t="shared" si="82"/>
        <v>7.3993922874150096E-3</v>
      </c>
      <c r="J778" s="12">
        <f t="shared" si="83"/>
        <v>7.4054730214398717E-3</v>
      </c>
    </row>
    <row r="779" spans="1:10">
      <c r="A779" s="15">
        <v>41351</v>
      </c>
      <c r="B779" s="11">
        <v>1.5827</v>
      </c>
      <c r="C779" s="11">
        <f t="shared" si="77"/>
        <v>1.4499999999999957E-2</v>
      </c>
      <c r="D779" s="12">
        <f t="shared" si="78"/>
        <v>2.1024999999999877E-4</v>
      </c>
      <c r="E779" s="12">
        <f t="shared" si="79"/>
        <v>1.369000000000027E-5</v>
      </c>
      <c r="F779" s="12">
        <f t="shared" si="80"/>
        <v>5.1539386067761841E-5</v>
      </c>
      <c r="G779" s="12">
        <f t="shared" si="81"/>
        <v>1.9779413751852473</v>
      </c>
      <c r="I779" s="12">
        <f t="shared" si="82"/>
        <v>7.1790936801076665E-3</v>
      </c>
      <c r="J779" s="12">
        <f t="shared" si="83"/>
        <v>7.4054730214398717E-3</v>
      </c>
    </row>
    <row r="780" spans="1:10">
      <c r="A780" s="15">
        <v>41352</v>
      </c>
      <c r="B780" s="11">
        <v>1.5880000000000001</v>
      </c>
      <c r="C780" s="11">
        <f t="shared" si="77"/>
        <v>5.3000000000000824E-3</v>
      </c>
      <c r="D780" s="12">
        <f t="shared" si="78"/>
        <v>2.8090000000000875E-5</v>
      </c>
      <c r="E780" s="12">
        <f t="shared" si="79"/>
        <v>2.1024999999999877E-4</v>
      </c>
      <c r="F780" s="12">
        <f t="shared" si="80"/>
        <v>6.4985386195657419E-5</v>
      </c>
      <c r="G780" s="12">
        <f t="shared" si="81"/>
        <v>3.6856100158696141</v>
      </c>
      <c r="I780" s="12">
        <f t="shared" si="82"/>
        <v>8.0613513876804446E-3</v>
      </c>
      <c r="J780" s="12">
        <f t="shared" si="83"/>
        <v>7.4054730214398717E-3</v>
      </c>
    </row>
    <row r="781" spans="1:10">
      <c r="A781" s="15">
        <v>41353</v>
      </c>
      <c r="B781" s="11">
        <v>1.5820000000000001</v>
      </c>
      <c r="C781" s="11">
        <f t="shared" si="77"/>
        <v>-6.0000000000000053E-3</v>
      </c>
      <c r="D781" s="12">
        <f t="shared" si="78"/>
        <v>3.6000000000000062E-5</v>
      </c>
      <c r="E781" s="12">
        <f t="shared" si="79"/>
        <v>2.8090000000000875E-5</v>
      </c>
      <c r="F781" s="12">
        <f t="shared" si="80"/>
        <v>6.1528055097119695E-5</v>
      </c>
      <c r="G781" s="12">
        <f t="shared" si="81"/>
        <v>3.6365206412912991</v>
      </c>
      <c r="I781" s="12">
        <f t="shared" si="82"/>
        <v>7.8439820943905589E-3</v>
      </c>
      <c r="J781" s="12">
        <f t="shared" si="83"/>
        <v>7.4054730214398717E-3</v>
      </c>
    </row>
    <row r="782" spans="1:10">
      <c r="A782" s="15">
        <v>41354</v>
      </c>
      <c r="B782" s="11">
        <v>1.5849</v>
      </c>
      <c r="C782" s="11">
        <f t="shared" ref="C782:C845" si="84">B782-B781</f>
        <v>2.8999999999999027E-3</v>
      </c>
      <c r="D782" s="12">
        <f t="shared" ref="D782:D845" si="85">C782^2</f>
        <v>8.409999999999435E-6</v>
      </c>
      <c r="E782" s="12">
        <f t="shared" si="79"/>
        <v>3.6000000000000062E-5</v>
      </c>
      <c r="F782" s="12">
        <f t="shared" si="80"/>
        <v>5.9207089365960884E-5</v>
      </c>
      <c r="G782" s="12">
        <f t="shared" si="81"/>
        <v>3.8772741942955378</v>
      </c>
      <c r="I782" s="12">
        <f t="shared" si="82"/>
        <v>7.6946143091100342E-3</v>
      </c>
      <c r="J782" s="12">
        <f t="shared" si="83"/>
        <v>7.4054730214398717E-3</v>
      </c>
    </row>
    <row r="783" spans="1:10">
      <c r="A783" s="15">
        <v>41355</v>
      </c>
      <c r="B783" s="11">
        <v>1.5764</v>
      </c>
      <c r="C783" s="11">
        <f t="shared" si="84"/>
        <v>-8.499999999999952E-3</v>
      </c>
      <c r="D783" s="12">
        <f t="shared" si="85"/>
        <v>7.2249999999999181E-5</v>
      </c>
      <c r="E783" s="12">
        <f t="shared" ref="E783:E846" si="86">D782</f>
        <v>8.409999999999435E-6</v>
      </c>
      <c r="F783" s="12">
        <f t="shared" ref="F783:F846" si="87">$B$5+$B$6*E783+$B$7*F782</f>
        <v>5.49361142473895E-5</v>
      </c>
      <c r="G783" s="12">
        <f t="shared" ref="G783:G846" si="88">LN((1/SQRT(2*3.1415927*F783))*EXP(-0.5*D783/F783))</f>
        <v>3.3281492607082752</v>
      </c>
      <c r="I783" s="12">
        <f t="shared" ref="I783:I846" si="89">SQRT(F783)</f>
        <v>7.4118900590463095E-3</v>
      </c>
      <c r="J783" s="12">
        <f t="shared" si="83"/>
        <v>7.4054730214398717E-3</v>
      </c>
    </row>
    <row r="784" spans="1:10">
      <c r="A784" s="15">
        <v>41358</v>
      </c>
      <c r="B784" s="11">
        <v>1.5883</v>
      </c>
      <c r="C784" s="11">
        <f t="shared" si="84"/>
        <v>1.1900000000000022E-2</v>
      </c>
      <c r="D784" s="12">
        <f t="shared" si="85"/>
        <v>1.4161000000000051E-4</v>
      </c>
      <c r="E784" s="12">
        <f t="shared" si="86"/>
        <v>7.2249999999999181E-5</v>
      </c>
      <c r="F784" s="12">
        <f t="shared" si="87"/>
        <v>5.6527301698286182E-5</v>
      </c>
      <c r="G784" s="12">
        <f t="shared" si="88"/>
        <v>2.7188742958609571</v>
      </c>
      <c r="I784" s="12">
        <f t="shared" si="89"/>
        <v>7.5184640518051416E-3</v>
      </c>
      <c r="J784" s="12">
        <f t="shared" ref="J784:J847" si="90">J783</f>
        <v>7.4054730214398717E-3</v>
      </c>
    </row>
    <row r="785" spans="1:10">
      <c r="A785" s="15">
        <v>41359</v>
      </c>
      <c r="B785" s="11">
        <v>1.5911</v>
      </c>
      <c r="C785" s="11">
        <f t="shared" si="84"/>
        <v>2.7999999999999137E-3</v>
      </c>
      <c r="D785" s="12">
        <f t="shared" si="85"/>
        <v>7.8399999999995167E-6</v>
      </c>
      <c r="E785" s="12">
        <f t="shared" si="86"/>
        <v>1.4161000000000051E-4</v>
      </c>
      <c r="F785" s="12">
        <f t="shared" si="87"/>
        <v>6.3614949904123693E-5</v>
      </c>
      <c r="G785" s="12">
        <f t="shared" si="88"/>
        <v>3.8507717508661941</v>
      </c>
      <c r="I785" s="12">
        <f t="shared" si="89"/>
        <v>7.975898062545915E-3</v>
      </c>
      <c r="J785" s="12">
        <f t="shared" si="90"/>
        <v>7.4054730214398717E-3</v>
      </c>
    </row>
    <row r="786" spans="1:10">
      <c r="A786" s="15">
        <v>41360</v>
      </c>
      <c r="B786" s="11">
        <v>1.5961000000000001</v>
      </c>
      <c r="C786" s="11">
        <f t="shared" si="84"/>
        <v>5.0000000000001155E-3</v>
      </c>
      <c r="D786" s="12">
        <f t="shared" si="85"/>
        <v>2.5000000000001153E-5</v>
      </c>
      <c r="E786" s="12">
        <f t="shared" si="86"/>
        <v>7.8399999999995167E-6</v>
      </c>
      <c r="F786" s="12">
        <f t="shared" si="87"/>
        <v>5.8679748526778373E-5</v>
      </c>
      <c r="G786" s="12">
        <f t="shared" si="88"/>
        <v>3.7397487233740199</v>
      </c>
      <c r="I786" s="12">
        <f t="shared" si="89"/>
        <v>7.6602707867789097E-3</v>
      </c>
      <c r="J786" s="12">
        <f t="shared" si="90"/>
        <v>7.4054730214398717E-3</v>
      </c>
    </row>
    <row r="787" spans="1:10">
      <c r="A787" s="15">
        <v>41361</v>
      </c>
      <c r="B787" s="11">
        <v>1.5958000000000001</v>
      </c>
      <c r="C787" s="11">
        <f t="shared" si="84"/>
        <v>-2.9999999999996696E-4</v>
      </c>
      <c r="D787" s="12">
        <f t="shared" si="85"/>
        <v>8.9999999999980173E-8</v>
      </c>
      <c r="E787" s="12">
        <f t="shared" si="86"/>
        <v>2.5000000000001153E-5</v>
      </c>
      <c r="F787" s="12">
        <f t="shared" si="87"/>
        <v>5.5850590738354401E-5</v>
      </c>
      <c r="G787" s="12">
        <f t="shared" si="88"/>
        <v>3.9766709659352406</v>
      </c>
      <c r="I787" s="12">
        <f t="shared" si="89"/>
        <v>7.473325279843933E-3</v>
      </c>
      <c r="J787" s="12">
        <f t="shared" si="90"/>
        <v>7.4054730214398717E-3</v>
      </c>
    </row>
    <row r="788" spans="1:10">
      <c r="A788" s="15">
        <v>41362</v>
      </c>
      <c r="B788" s="11">
        <v>1.5974999999999999</v>
      </c>
      <c r="C788" s="11">
        <f t="shared" si="84"/>
        <v>1.6999999999998128E-3</v>
      </c>
      <c r="D788" s="12">
        <f t="shared" si="85"/>
        <v>2.8899999999993633E-6</v>
      </c>
      <c r="E788" s="12">
        <f t="shared" si="86"/>
        <v>8.9999999999980173E-8</v>
      </c>
      <c r="F788" s="12">
        <f t="shared" si="87"/>
        <v>5.1363571711805626E-5</v>
      </c>
      <c r="G788" s="12">
        <f t="shared" si="88"/>
        <v>3.9912193597977308</v>
      </c>
      <c r="I788" s="12">
        <f t="shared" si="89"/>
        <v>7.166838334426529E-3</v>
      </c>
      <c r="J788" s="12">
        <f t="shared" si="90"/>
        <v>7.4054730214398717E-3</v>
      </c>
    </row>
    <row r="789" spans="1:10">
      <c r="A789" s="15">
        <v>41365</v>
      </c>
      <c r="B789" s="11">
        <v>1.5923</v>
      </c>
      <c r="C789" s="11">
        <f t="shared" si="84"/>
        <v>-5.1999999999998714E-3</v>
      </c>
      <c r="D789" s="12">
        <f t="shared" si="85"/>
        <v>2.7039999999998664E-5</v>
      </c>
      <c r="E789" s="12">
        <f t="shared" si="86"/>
        <v>2.8899999999993633E-6</v>
      </c>
      <c r="F789" s="12">
        <f t="shared" si="87"/>
        <v>4.7735744238140431E-5</v>
      </c>
      <c r="G789" s="12">
        <f t="shared" si="88"/>
        <v>3.7727505838577793</v>
      </c>
      <c r="I789" s="12">
        <f t="shared" si="89"/>
        <v>6.9091058928156856E-3</v>
      </c>
      <c r="J789" s="12">
        <f t="shared" si="90"/>
        <v>7.4054730214398717E-3</v>
      </c>
    </row>
    <row r="790" spans="1:10">
      <c r="A790" s="15">
        <v>41366</v>
      </c>
      <c r="B790" s="11">
        <v>1.5986</v>
      </c>
      <c r="C790" s="11">
        <f t="shared" si="84"/>
        <v>6.2999999999999723E-3</v>
      </c>
      <c r="D790" s="12">
        <f t="shared" si="85"/>
        <v>3.9689999999999649E-5</v>
      </c>
      <c r="E790" s="12">
        <f t="shared" si="86"/>
        <v>2.7039999999998664E-5</v>
      </c>
      <c r="F790" s="12">
        <f t="shared" si="87"/>
        <v>4.6607270904774148E-5</v>
      </c>
      <c r="G790" s="12">
        <f t="shared" si="88"/>
        <v>3.6421465262759556</v>
      </c>
      <c r="I790" s="12">
        <f t="shared" si="89"/>
        <v>6.8269518018493546E-3</v>
      </c>
      <c r="J790" s="12">
        <f t="shared" si="90"/>
        <v>7.4054730214398717E-3</v>
      </c>
    </row>
    <row r="791" spans="1:10">
      <c r="A791" s="15">
        <v>41367</v>
      </c>
      <c r="B791" s="11">
        <v>1.6002000000000001</v>
      </c>
      <c r="C791" s="11">
        <f t="shared" si="84"/>
        <v>1.6000000000000458E-3</v>
      </c>
      <c r="D791" s="12">
        <f t="shared" si="85"/>
        <v>2.5600000000001466E-6</v>
      </c>
      <c r="E791" s="12">
        <f t="shared" si="86"/>
        <v>3.9689999999999649E-5</v>
      </c>
      <c r="F791" s="12">
        <f t="shared" si="87"/>
        <v>4.667990679832384E-5</v>
      </c>
      <c r="G791" s="12">
        <f t="shared" si="88"/>
        <v>4.0397390413061398</v>
      </c>
      <c r="I791" s="12">
        <f t="shared" si="89"/>
        <v>6.8322695203222065E-3</v>
      </c>
      <c r="J791" s="12">
        <f t="shared" si="90"/>
        <v>7.4054730214398717E-3</v>
      </c>
    </row>
    <row r="792" spans="1:10">
      <c r="A792" s="15">
        <v>41368</v>
      </c>
      <c r="B792" s="11">
        <v>1.5931999999999999</v>
      </c>
      <c r="C792" s="11">
        <f t="shared" si="84"/>
        <v>-7.0000000000001172E-3</v>
      </c>
      <c r="D792" s="12">
        <f t="shared" si="85"/>
        <v>4.9000000000001638E-5</v>
      </c>
      <c r="E792" s="12">
        <f t="shared" si="86"/>
        <v>2.5600000000001466E-6</v>
      </c>
      <c r="F792" s="12">
        <f t="shared" si="87"/>
        <v>4.3680713999894909E-5</v>
      </c>
      <c r="G792" s="12">
        <f t="shared" si="88"/>
        <v>3.5394751321309115</v>
      </c>
      <c r="I792" s="12">
        <f t="shared" si="89"/>
        <v>6.6091386730719234E-3</v>
      </c>
      <c r="J792" s="12">
        <f t="shared" si="90"/>
        <v>7.4054730214398717E-3</v>
      </c>
    </row>
    <row r="793" spans="1:10">
      <c r="A793" s="15">
        <v>41369</v>
      </c>
      <c r="B793" s="11">
        <v>1.5891</v>
      </c>
      <c r="C793" s="11">
        <f t="shared" si="84"/>
        <v>-4.0999999999999925E-3</v>
      </c>
      <c r="D793" s="12">
        <f t="shared" si="85"/>
        <v>1.6809999999999939E-5</v>
      </c>
      <c r="E793" s="12">
        <f t="shared" si="86"/>
        <v>4.9000000000001638E-5</v>
      </c>
      <c r="F793" s="12">
        <f t="shared" si="87"/>
        <v>4.4930832741413815E-5</v>
      </c>
      <c r="G793" s="12">
        <f t="shared" si="88"/>
        <v>3.8991893032951412</v>
      </c>
      <c r="I793" s="12">
        <f t="shared" si="89"/>
        <v>6.7030465268722262E-3</v>
      </c>
      <c r="J793" s="12">
        <f t="shared" si="90"/>
        <v>7.4054730214398717E-3</v>
      </c>
    </row>
    <row r="794" spans="1:10">
      <c r="A794" s="15">
        <v>41372</v>
      </c>
      <c r="B794" s="11">
        <v>1.593</v>
      </c>
      <c r="C794" s="11">
        <f t="shared" si="84"/>
        <v>3.9000000000000146E-3</v>
      </c>
      <c r="D794" s="12">
        <f t="shared" si="85"/>
        <v>1.5210000000000114E-5</v>
      </c>
      <c r="E794" s="12">
        <f t="shared" si="86"/>
        <v>1.6809999999999939E-5</v>
      </c>
      <c r="F794" s="12">
        <f t="shared" si="87"/>
        <v>4.3351583306924096E-5</v>
      </c>
      <c r="G794" s="12">
        <f t="shared" si="88"/>
        <v>3.9287190064867272</v>
      </c>
      <c r="I794" s="12">
        <f t="shared" si="89"/>
        <v>6.5841919251282532E-3</v>
      </c>
      <c r="J794" s="12">
        <f t="shared" si="90"/>
        <v>7.4054730214398717E-3</v>
      </c>
    </row>
    <row r="795" spans="1:10">
      <c r="A795" s="15">
        <v>41373</v>
      </c>
      <c r="B795" s="11">
        <v>1.5883</v>
      </c>
      <c r="C795" s="11">
        <f t="shared" si="84"/>
        <v>-4.6999999999999265E-3</v>
      </c>
      <c r="D795" s="12">
        <f t="shared" si="85"/>
        <v>2.2089999999999309E-5</v>
      </c>
      <c r="E795" s="12">
        <f t="shared" si="86"/>
        <v>1.5210000000000114E-5</v>
      </c>
      <c r="F795" s="12">
        <f t="shared" si="87"/>
        <v>4.1861541064560781E-5</v>
      </c>
      <c r="G795" s="12">
        <f t="shared" si="88"/>
        <v>3.8577869767673878</v>
      </c>
      <c r="I795" s="12">
        <f t="shared" si="89"/>
        <v>6.4700495411210554E-3</v>
      </c>
      <c r="J795" s="12">
        <f t="shared" si="90"/>
        <v>7.4054730214398717E-3</v>
      </c>
    </row>
    <row r="796" spans="1:10">
      <c r="A796" s="15">
        <v>41374</v>
      </c>
      <c r="B796" s="11">
        <v>1.5859000000000001</v>
      </c>
      <c r="C796" s="11">
        <f t="shared" si="84"/>
        <v>-2.3999999999999577E-3</v>
      </c>
      <c r="D796" s="12">
        <f t="shared" si="85"/>
        <v>5.7599999999997975E-6</v>
      </c>
      <c r="E796" s="12">
        <f t="shared" si="86"/>
        <v>2.2089999999999309E-5</v>
      </c>
      <c r="F796" s="12">
        <f t="shared" si="87"/>
        <v>4.1147456509583835E-5</v>
      </c>
      <c r="G796" s="12">
        <f t="shared" si="88"/>
        <v>4.0602435053297654</v>
      </c>
      <c r="I796" s="12">
        <f t="shared" si="89"/>
        <v>6.4146283220139757E-3</v>
      </c>
      <c r="J796" s="12">
        <f t="shared" si="90"/>
        <v>7.4054730214398717E-3</v>
      </c>
    </row>
    <row r="797" spans="1:10">
      <c r="A797" s="15">
        <v>41375</v>
      </c>
      <c r="B797" s="11">
        <v>1.5938000000000001</v>
      </c>
      <c r="C797" s="11">
        <f t="shared" si="84"/>
        <v>7.9000000000000181E-3</v>
      </c>
      <c r="D797" s="12">
        <f t="shared" si="85"/>
        <v>6.2410000000000292E-5</v>
      </c>
      <c r="E797" s="12">
        <f t="shared" si="86"/>
        <v>5.7599999999997975E-6</v>
      </c>
      <c r="F797" s="12">
        <f t="shared" si="87"/>
        <v>3.9186828365378896E-5</v>
      </c>
      <c r="G797" s="12">
        <f t="shared" si="88"/>
        <v>3.3583329102402244</v>
      </c>
      <c r="I797" s="12">
        <f t="shared" si="89"/>
        <v>6.2599383675383657E-3</v>
      </c>
      <c r="J797" s="12">
        <f t="shared" si="90"/>
        <v>7.4054730214398717E-3</v>
      </c>
    </row>
    <row r="798" spans="1:10">
      <c r="A798" s="15">
        <v>41376</v>
      </c>
      <c r="B798" s="11">
        <v>1.5812999999999999</v>
      </c>
      <c r="C798" s="11">
        <f t="shared" si="84"/>
        <v>-1.2500000000000178E-2</v>
      </c>
      <c r="D798" s="12">
        <f t="shared" si="85"/>
        <v>1.5625000000000445E-4</v>
      </c>
      <c r="E798" s="12">
        <f t="shared" si="86"/>
        <v>6.2410000000000292E-5</v>
      </c>
      <c r="F798" s="12">
        <f t="shared" si="87"/>
        <v>4.2171977293246126E-5</v>
      </c>
      <c r="G798" s="12">
        <f t="shared" si="88"/>
        <v>2.265405277276749</v>
      </c>
      <c r="I798" s="12">
        <f t="shared" si="89"/>
        <v>6.4939954799219041E-3</v>
      </c>
      <c r="J798" s="12">
        <f t="shared" si="90"/>
        <v>7.4054730214398717E-3</v>
      </c>
    </row>
    <row r="799" spans="1:10">
      <c r="A799" s="15">
        <v>41379</v>
      </c>
      <c r="B799" s="11">
        <v>1.6052</v>
      </c>
      <c r="C799" s="11">
        <f t="shared" si="84"/>
        <v>2.3900000000000032E-2</v>
      </c>
      <c r="D799" s="12">
        <f t="shared" si="85"/>
        <v>5.7121000000000157E-4</v>
      </c>
      <c r="E799" s="12">
        <f t="shared" si="86"/>
        <v>1.5625000000000445E-4</v>
      </c>
      <c r="F799" s="12">
        <f t="shared" si="87"/>
        <v>5.2476959499125718E-5</v>
      </c>
      <c r="G799" s="12">
        <f t="shared" si="88"/>
        <v>-1.43385412779429</v>
      </c>
      <c r="I799" s="12">
        <f t="shared" si="89"/>
        <v>7.2440982530005572E-3</v>
      </c>
      <c r="J799" s="12">
        <f t="shared" si="90"/>
        <v>7.4054730214398717E-3</v>
      </c>
    </row>
    <row r="800" spans="1:10">
      <c r="A800" s="15">
        <v>41380</v>
      </c>
      <c r="B800" s="11">
        <v>1.5925</v>
      </c>
      <c r="C800" s="11">
        <f t="shared" si="84"/>
        <v>-1.2699999999999934E-2</v>
      </c>
      <c r="D800" s="12">
        <f t="shared" si="85"/>
        <v>1.6128999999999832E-4</v>
      </c>
      <c r="E800" s="12">
        <f t="shared" si="86"/>
        <v>5.7121000000000157E-4</v>
      </c>
      <c r="F800" s="12">
        <f t="shared" si="87"/>
        <v>9.5555635375852926E-5</v>
      </c>
      <c r="G800" s="12">
        <f t="shared" si="88"/>
        <v>2.8650038174284713</v>
      </c>
      <c r="I800" s="12">
        <f t="shared" si="89"/>
        <v>9.7752562818502579E-3</v>
      </c>
      <c r="J800" s="12">
        <f t="shared" si="90"/>
        <v>7.4054730214398717E-3</v>
      </c>
    </row>
    <row r="801" spans="1:10">
      <c r="A801" s="15">
        <v>41381</v>
      </c>
      <c r="B801" s="11">
        <v>1.6040000000000001</v>
      </c>
      <c r="C801" s="11">
        <f t="shared" si="84"/>
        <v>1.1500000000000066E-2</v>
      </c>
      <c r="D801" s="12">
        <f t="shared" si="85"/>
        <v>1.3225000000000151E-4</v>
      </c>
      <c r="E801" s="12">
        <f t="shared" si="86"/>
        <v>1.6128999999999832E-4</v>
      </c>
      <c r="F801" s="12">
        <f t="shared" si="87"/>
        <v>9.8800980692116344E-5</v>
      </c>
      <c r="G801" s="12">
        <f t="shared" si="88"/>
        <v>3.022988239747229</v>
      </c>
      <c r="I801" s="12">
        <f t="shared" si="89"/>
        <v>9.9398682431970069E-3</v>
      </c>
      <c r="J801" s="12">
        <f t="shared" si="90"/>
        <v>7.4054730214398717E-3</v>
      </c>
    </row>
    <row r="802" spans="1:10">
      <c r="A802" s="15">
        <v>41382</v>
      </c>
      <c r="B802" s="11">
        <v>1.603</v>
      </c>
      <c r="C802" s="11">
        <f t="shared" si="84"/>
        <v>-1.0000000000001119E-3</v>
      </c>
      <c r="D802" s="12">
        <f t="shared" si="85"/>
        <v>1.0000000000002238E-6</v>
      </c>
      <c r="E802" s="12">
        <f t="shared" si="86"/>
        <v>1.3225000000000151E-4</v>
      </c>
      <c r="F802" s="12">
        <f t="shared" si="87"/>
        <v>9.9197311627705851E-5</v>
      </c>
      <c r="G802" s="12">
        <f t="shared" si="88"/>
        <v>3.6852208225130823</v>
      </c>
      <c r="I802" s="12">
        <f t="shared" si="89"/>
        <v>9.959784717939733E-3</v>
      </c>
      <c r="J802" s="12">
        <f t="shared" si="90"/>
        <v>7.4054730214398717E-3</v>
      </c>
    </row>
    <row r="803" spans="1:10">
      <c r="A803" s="15">
        <v>41383</v>
      </c>
      <c r="B803" s="11">
        <v>1.595</v>
      </c>
      <c r="C803" s="11">
        <f t="shared" si="84"/>
        <v>-8.0000000000000071E-3</v>
      </c>
      <c r="D803" s="12">
        <f t="shared" si="85"/>
        <v>6.4000000000000119E-5</v>
      </c>
      <c r="E803" s="12">
        <f t="shared" si="86"/>
        <v>1.0000000000002238E-6</v>
      </c>
      <c r="F803" s="12">
        <f t="shared" si="87"/>
        <v>8.8715560539927307E-5</v>
      </c>
      <c r="G803" s="12">
        <f t="shared" si="88"/>
        <v>3.3853957356870423</v>
      </c>
      <c r="I803" s="12">
        <f t="shared" si="89"/>
        <v>9.4188938065957253E-3</v>
      </c>
      <c r="J803" s="12">
        <f t="shared" si="90"/>
        <v>7.4054730214398717E-3</v>
      </c>
    </row>
    <row r="804" spans="1:10">
      <c r="A804" s="15">
        <v>41386</v>
      </c>
      <c r="B804" s="11">
        <v>1.6026</v>
      </c>
      <c r="C804" s="11">
        <f t="shared" si="84"/>
        <v>7.6000000000000512E-3</v>
      </c>
      <c r="D804" s="12">
        <f t="shared" si="85"/>
        <v>5.7760000000000775E-5</v>
      </c>
      <c r="E804" s="12">
        <f t="shared" si="86"/>
        <v>6.4000000000000119E-5</v>
      </c>
      <c r="F804" s="12">
        <f t="shared" si="87"/>
        <v>8.4896392026413741E-5</v>
      </c>
      <c r="G804" s="12">
        <f t="shared" si="88"/>
        <v>3.4279215841587027</v>
      </c>
      <c r="I804" s="12">
        <f t="shared" si="89"/>
        <v>9.2139238127094229E-3</v>
      </c>
      <c r="J804" s="12">
        <f t="shared" si="90"/>
        <v>7.4054730214398717E-3</v>
      </c>
    </row>
    <row r="805" spans="1:10">
      <c r="A805" s="15">
        <v>41387</v>
      </c>
      <c r="B805" s="11">
        <v>1.6135999999999999</v>
      </c>
      <c r="C805" s="11">
        <f t="shared" si="84"/>
        <v>1.0999999999999899E-2</v>
      </c>
      <c r="D805" s="12">
        <f t="shared" si="85"/>
        <v>1.2099999999999778E-4</v>
      </c>
      <c r="E805" s="12">
        <f t="shared" si="86"/>
        <v>5.7760000000000775E-5</v>
      </c>
      <c r="F805" s="12">
        <f t="shared" si="87"/>
        <v>8.10974786890331E-5</v>
      </c>
      <c r="G805" s="12">
        <f t="shared" si="88"/>
        <v>3.0449750079817468</v>
      </c>
      <c r="I805" s="12">
        <f t="shared" si="89"/>
        <v>9.005413854400757E-3</v>
      </c>
      <c r="J805" s="12">
        <f t="shared" si="90"/>
        <v>7.4054730214398717E-3</v>
      </c>
    </row>
    <row r="806" spans="1:10">
      <c r="A806" s="15">
        <v>41388</v>
      </c>
      <c r="B806" s="11">
        <v>1.6093999999999999</v>
      </c>
      <c r="C806" s="11">
        <f t="shared" si="84"/>
        <v>-4.1999999999999815E-3</v>
      </c>
      <c r="D806" s="12">
        <f t="shared" si="85"/>
        <v>1.7639999999999845E-5</v>
      </c>
      <c r="E806" s="12">
        <f t="shared" si="86"/>
        <v>1.2099999999999778E-4</v>
      </c>
      <c r="F806" s="12">
        <f t="shared" si="87"/>
        <v>8.3045151229555139E-5</v>
      </c>
      <c r="G806" s="12">
        <f t="shared" si="88"/>
        <v>3.6729172286245615</v>
      </c>
      <c r="I806" s="12">
        <f t="shared" si="89"/>
        <v>9.1129112378841443E-3</v>
      </c>
      <c r="J806" s="12">
        <f t="shared" si="90"/>
        <v>7.4054730214398717E-3</v>
      </c>
    </row>
    <row r="807" spans="1:10">
      <c r="A807" s="15">
        <v>41389</v>
      </c>
      <c r="B807" s="11">
        <v>1.6119000000000001</v>
      </c>
      <c r="C807" s="11">
        <f t="shared" si="84"/>
        <v>2.5000000000001688E-3</v>
      </c>
      <c r="D807" s="12">
        <f t="shared" si="85"/>
        <v>6.2500000000008439E-6</v>
      </c>
      <c r="E807" s="12">
        <f t="shared" si="86"/>
        <v>1.7639999999999845E-5</v>
      </c>
      <c r="F807" s="12">
        <f t="shared" si="87"/>
        <v>7.6197257646016313E-5</v>
      </c>
      <c r="G807" s="12">
        <f t="shared" si="88"/>
        <v>3.7811420271538512</v>
      </c>
      <c r="I807" s="12">
        <f t="shared" si="89"/>
        <v>8.7291040574629594E-3</v>
      </c>
      <c r="J807" s="12">
        <f t="shared" si="90"/>
        <v>7.4054730214398717E-3</v>
      </c>
    </row>
    <row r="808" spans="1:10">
      <c r="A808" s="15">
        <v>41390</v>
      </c>
      <c r="B808" s="11">
        <v>1.6093999999999999</v>
      </c>
      <c r="C808" s="11">
        <f t="shared" si="84"/>
        <v>-2.5000000000001688E-3</v>
      </c>
      <c r="D808" s="12">
        <f t="shared" si="85"/>
        <v>6.2500000000008439E-6</v>
      </c>
      <c r="E808" s="12">
        <f t="shared" si="86"/>
        <v>6.2500000000008439E-6</v>
      </c>
      <c r="F808" s="12">
        <f t="shared" si="87"/>
        <v>6.9369068931877397E-5</v>
      </c>
      <c r="G808" s="12">
        <f t="shared" si="88"/>
        <v>3.8240473042173648</v>
      </c>
      <c r="I808" s="12">
        <f t="shared" si="89"/>
        <v>8.3288095747157884E-3</v>
      </c>
      <c r="J808" s="12">
        <f t="shared" si="90"/>
        <v>7.4054730214398717E-3</v>
      </c>
    </row>
    <row r="809" spans="1:10">
      <c r="A809" s="15">
        <v>41393</v>
      </c>
      <c r="B809" s="11">
        <v>1.6105</v>
      </c>
      <c r="C809" s="11">
        <f t="shared" si="84"/>
        <v>1.1000000000001009E-3</v>
      </c>
      <c r="D809" s="12">
        <f t="shared" si="85"/>
        <v>1.210000000000222E-6</v>
      </c>
      <c r="E809" s="12">
        <f t="shared" si="86"/>
        <v>6.2500000000008439E-6</v>
      </c>
      <c r="F809" s="12">
        <f t="shared" si="87"/>
        <v>6.3497020034583468E-5</v>
      </c>
      <c r="G809" s="12">
        <f t="shared" si="88"/>
        <v>3.9037922440959276</v>
      </c>
      <c r="I809" s="12">
        <f t="shared" si="89"/>
        <v>7.9685017434009183E-3</v>
      </c>
      <c r="J809" s="12">
        <f t="shared" si="90"/>
        <v>7.4054730214398717E-3</v>
      </c>
    </row>
    <row r="810" spans="1:10">
      <c r="A810" s="15">
        <v>41394</v>
      </c>
      <c r="B810" s="11">
        <v>1.6057999999999999</v>
      </c>
      <c r="C810" s="11">
        <f t="shared" si="84"/>
        <v>-4.7000000000001485E-3</v>
      </c>
      <c r="D810" s="12">
        <f t="shared" si="85"/>
        <v>2.2090000000001396E-5</v>
      </c>
      <c r="E810" s="12">
        <f t="shared" si="86"/>
        <v>1.210000000000222E-6</v>
      </c>
      <c r="F810" s="12">
        <f t="shared" si="87"/>
        <v>5.8031637055205179E-5</v>
      </c>
      <c r="G810" s="12">
        <f t="shared" si="88"/>
        <v>3.7679953568721447</v>
      </c>
      <c r="I810" s="12">
        <f t="shared" si="89"/>
        <v>7.6178498971301066E-3</v>
      </c>
      <c r="J810" s="12">
        <f t="shared" si="90"/>
        <v>7.4054730214398717E-3</v>
      </c>
    </row>
    <row r="811" spans="1:10">
      <c r="A811" s="15">
        <v>41395</v>
      </c>
      <c r="B811" s="11">
        <v>1.6076999999999999</v>
      </c>
      <c r="C811" s="11">
        <f t="shared" si="84"/>
        <v>1.9000000000000128E-3</v>
      </c>
      <c r="D811" s="12">
        <f t="shared" si="85"/>
        <v>3.6100000000000484E-6</v>
      </c>
      <c r="E811" s="12">
        <f t="shared" si="86"/>
        <v>2.2090000000001396E-5</v>
      </c>
      <c r="F811" s="12">
        <f t="shared" si="87"/>
        <v>5.5053281070991801E-5</v>
      </c>
      <c r="G811" s="12">
        <f t="shared" si="88"/>
        <v>3.9518795867878742</v>
      </c>
      <c r="I811" s="12">
        <f t="shared" si="89"/>
        <v>7.4197898266050505E-3</v>
      </c>
      <c r="J811" s="12">
        <f t="shared" si="90"/>
        <v>7.4054730214398717E-3</v>
      </c>
    </row>
    <row r="812" spans="1:10">
      <c r="A812" s="15">
        <v>41396</v>
      </c>
      <c r="B812" s="11">
        <v>1.6234999999999999</v>
      </c>
      <c r="C812" s="11">
        <f t="shared" si="84"/>
        <v>1.5800000000000036E-2</v>
      </c>
      <c r="D812" s="12">
        <f t="shared" si="85"/>
        <v>2.4964000000000117E-4</v>
      </c>
      <c r="E812" s="12">
        <f t="shared" si="86"/>
        <v>3.6100000000000484E-6</v>
      </c>
      <c r="F812" s="12">
        <f t="shared" si="87"/>
        <v>5.0968159388499182E-5</v>
      </c>
      <c r="G812" s="12">
        <f t="shared" si="88"/>
        <v>1.5742362408260511</v>
      </c>
      <c r="I812" s="12">
        <f t="shared" si="89"/>
        <v>7.1391987917762299E-3</v>
      </c>
      <c r="J812" s="12">
        <f t="shared" si="90"/>
        <v>7.4054730214398717E-3</v>
      </c>
    </row>
    <row r="813" spans="1:10">
      <c r="A813" s="15">
        <v>41397</v>
      </c>
      <c r="B813" s="11">
        <v>1.6192</v>
      </c>
      <c r="C813" s="11">
        <f t="shared" si="84"/>
        <v>-4.2999999999999705E-3</v>
      </c>
      <c r="D813" s="12">
        <f t="shared" si="85"/>
        <v>1.8489999999999747E-5</v>
      </c>
      <c r="E813" s="12">
        <f t="shared" si="86"/>
        <v>2.4964000000000117E-4</v>
      </c>
      <c r="F813" s="12">
        <f t="shared" si="87"/>
        <v>6.7742159637410051E-5</v>
      </c>
      <c r="G813" s="12">
        <f t="shared" si="88"/>
        <v>3.7444890163714226</v>
      </c>
      <c r="I813" s="12">
        <f t="shared" si="89"/>
        <v>8.2305625346880181E-3</v>
      </c>
      <c r="J813" s="12">
        <f t="shared" si="90"/>
        <v>7.4054730214398717E-3</v>
      </c>
    </row>
    <row r="814" spans="1:10">
      <c r="A814" s="15">
        <v>41400</v>
      </c>
      <c r="B814" s="11">
        <v>1.6267</v>
      </c>
      <c r="C814" s="11">
        <f t="shared" si="84"/>
        <v>7.5000000000000622E-3</v>
      </c>
      <c r="D814" s="12">
        <f t="shared" si="85"/>
        <v>5.6250000000000934E-5</v>
      </c>
      <c r="E814" s="12">
        <f t="shared" si="86"/>
        <v>1.8489999999999747E-5</v>
      </c>
      <c r="F814" s="12">
        <f t="shared" si="87"/>
        <v>6.3107207426509187E-5</v>
      </c>
      <c r="G814" s="12">
        <f t="shared" si="88"/>
        <v>3.4707290735470204</v>
      </c>
      <c r="I814" s="12">
        <f t="shared" si="89"/>
        <v>7.9440044956249362E-3</v>
      </c>
      <c r="J814" s="12">
        <f t="shared" si="90"/>
        <v>7.4054730214398717E-3</v>
      </c>
    </row>
    <row r="815" spans="1:10">
      <c r="A815" s="15">
        <v>41401</v>
      </c>
      <c r="B815" s="11">
        <v>1.6291</v>
      </c>
      <c r="C815" s="11">
        <f t="shared" si="84"/>
        <v>2.3999999999999577E-3</v>
      </c>
      <c r="D815" s="12">
        <f t="shared" si="85"/>
        <v>5.7599999999997975E-6</v>
      </c>
      <c r="E815" s="12">
        <f t="shared" si="86"/>
        <v>5.6250000000000934E-5</v>
      </c>
      <c r="F815" s="12">
        <f t="shared" si="87"/>
        <v>6.2234885817330309E-5</v>
      </c>
      <c r="G815" s="12">
        <f t="shared" si="88"/>
        <v>3.8770825884779292</v>
      </c>
      <c r="I815" s="12">
        <f t="shared" si="89"/>
        <v>7.8889090384748582E-3</v>
      </c>
      <c r="J815" s="12">
        <f t="shared" si="90"/>
        <v>7.4054730214398717E-3</v>
      </c>
    </row>
    <row r="816" spans="1:10">
      <c r="A816" s="15">
        <v>41402</v>
      </c>
      <c r="B816" s="11">
        <v>1.6335999999999999</v>
      </c>
      <c r="C816" s="11">
        <f t="shared" si="84"/>
        <v>4.4999999999999485E-3</v>
      </c>
      <c r="D816" s="12">
        <f t="shared" si="85"/>
        <v>2.0249999999999537E-5</v>
      </c>
      <c r="E816" s="12">
        <f t="shared" si="86"/>
        <v>5.7599999999997975E-6</v>
      </c>
      <c r="F816" s="12">
        <f t="shared" si="87"/>
        <v>5.7321420304367477E-5</v>
      </c>
      <c r="G816" s="12">
        <f t="shared" si="88"/>
        <v>3.7878440083144636</v>
      </c>
      <c r="I816" s="12">
        <f t="shared" si="89"/>
        <v>7.5710910907456049E-3</v>
      </c>
      <c r="J816" s="12">
        <f t="shared" si="90"/>
        <v>7.4054730214398717E-3</v>
      </c>
    </row>
    <row r="817" spans="1:10">
      <c r="A817" s="15">
        <v>41403</v>
      </c>
      <c r="B817" s="11">
        <v>1.673</v>
      </c>
      <c r="C817" s="11">
        <f t="shared" si="84"/>
        <v>3.9400000000000102E-2</v>
      </c>
      <c r="D817" s="12">
        <f t="shared" si="85"/>
        <v>1.552360000000008E-3</v>
      </c>
      <c r="E817" s="12">
        <f t="shared" si="86"/>
        <v>2.0249999999999537E-5</v>
      </c>
      <c r="F817" s="12">
        <f t="shared" si="87"/>
        <v>5.4290792453952438E-5</v>
      </c>
      <c r="G817" s="12">
        <f t="shared" si="88"/>
        <v>-10.305075826285767</v>
      </c>
      <c r="I817" s="12">
        <f t="shared" si="89"/>
        <v>7.3682285831774006E-3</v>
      </c>
      <c r="J817" s="12">
        <f t="shared" si="90"/>
        <v>7.4054730214398717E-3</v>
      </c>
    </row>
    <row r="818" spans="1:10">
      <c r="A818" s="15">
        <v>41404</v>
      </c>
      <c r="B818" s="11">
        <v>1.6463000000000001</v>
      </c>
      <c r="C818" s="11">
        <f t="shared" si="84"/>
        <v>-2.6699999999999946E-2</v>
      </c>
      <c r="D818" s="12">
        <f t="shared" si="85"/>
        <v>7.1288999999999717E-4</v>
      </c>
      <c r="E818" s="12">
        <f t="shared" si="86"/>
        <v>1.552360000000008E-3</v>
      </c>
      <c r="F818" s="12">
        <f t="shared" si="87"/>
        <v>1.7801893748445175E-4</v>
      </c>
      <c r="G818" s="12">
        <f t="shared" si="88"/>
        <v>1.3955847949298761</v>
      </c>
      <c r="I818" s="12">
        <f t="shared" si="89"/>
        <v>1.3342373757486025E-2</v>
      </c>
      <c r="J818" s="12">
        <f t="shared" si="90"/>
        <v>7.4054730214398717E-3</v>
      </c>
    </row>
    <row r="819" spans="1:10">
      <c r="A819" s="15">
        <v>41407</v>
      </c>
      <c r="B819" s="11">
        <v>1.663</v>
      </c>
      <c r="C819" s="11">
        <f t="shared" si="84"/>
        <v>1.6699999999999937E-2</v>
      </c>
      <c r="D819" s="12">
        <f t="shared" si="85"/>
        <v>2.7888999999999789E-4</v>
      </c>
      <c r="E819" s="12">
        <f t="shared" si="86"/>
        <v>7.1288999999999717E-4</v>
      </c>
      <c r="F819" s="12">
        <f t="shared" si="87"/>
        <v>2.1520079985890413E-4</v>
      </c>
      <c r="G819" s="12">
        <f t="shared" si="88"/>
        <v>2.6550547497158155</v>
      </c>
      <c r="I819" s="12">
        <f t="shared" si="89"/>
        <v>1.466972391897353E-2</v>
      </c>
      <c r="J819" s="12">
        <f t="shared" si="90"/>
        <v>7.4054730214398717E-3</v>
      </c>
    </row>
    <row r="820" spans="1:10">
      <c r="A820" s="15">
        <v>41408</v>
      </c>
      <c r="B820" s="11">
        <v>1.6617999999999999</v>
      </c>
      <c r="C820" s="11">
        <f t="shared" si="84"/>
        <v>-1.2000000000000899E-3</v>
      </c>
      <c r="D820" s="12">
        <f t="shared" si="85"/>
        <v>1.4400000000002158E-6</v>
      </c>
      <c r="E820" s="12">
        <f t="shared" si="86"/>
        <v>2.7888999999999789E-4</v>
      </c>
      <c r="F820" s="12">
        <f t="shared" si="87"/>
        <v>2.113894690835777E-4</v>
      </c>
      <c r="G820" s="12">
        <f t="shared" si="88"/>
        <v>3.3085595745239362</v>
      </c>
      <c r="I820" s="12">
        <f t="shared" si="89"/>
        <v>1.4539238944441958E-2</v>
      </c>
      <c r="J820" s="12">
        <f t="shared" si="90"/>
        <v>7.4054730214398717E-3</v>
      </c>
    </row>
    <row r="821" spans="1:10">
      <c r="A821" s="15">
        <v>41409</v>
      </c>
      <c r="B821" s="11">
        <v>1.6569</v>
      </c>
      <c r="C821" s="11">
        <f t="shared" si="84"/>
        <v>-4.8999999999999044E-3</v>
      </c>
      <c r="D821" s="12">
        <f t="shared" si="85"/>
        <v>2.4009999999999064E-5</v>
      </c>
      <c r="E821" s="12">
        <f t="shared" si="86"/>
        <v>1.4400000000002158E-6</v>
      </c>
      <c r="F821" s="12">
        <f t="shared" si="87"/>
        <v>1.852339197254043E-4</v>
      </c>
      <c r="G821" s="12">
        <f t="shared" si="88"/>
        <v>3.3131970655449163</v>
      </c>
      <c r="I821" s="12">
        <f t="shared" si="89"/>
        <v>1.3610066852348826E-2</v>
      </c>
      <c r="J821" s="12">
        <f t="shared" si="90"/>
        <v>7.4054730214398717E-3</v>
      </c>
    </row>
    <row r="822" spans="1:10">
      <c r="A822" s="15">
        <v>41410</v>
      </c>
      <c r="B822" s="11">
        <v>1.6559999999999999</v>
      </c>
      <c r="C822" s="11">
        <f t="shared" si="84"/>
        <v>-9.0000000000012292E-4</v>
      </c>
      <c r="D822" s="12">
        <f t="shared" si="85"/>
        <v>8.1000000000022126E-7</v>
      </c>
      <c r="E822" s="12">
        <f t="shared" si="86"/>
        <v>2.4009999999999064E-5</v>
      </c>
      <c r="F822" s="12">
        <f t="shared" si="87"/>
        <v>1.6460196032834308E-4</v>
      </c>
      <c r="G822" s="12">
        <f t="shared" si="88"/>
        <v>3.4345911584555666</v>
      </c>
      <c r="I822" s="12">
        <f t="shared" si="89"/>
        <v>1.2829729550085734E-2</v>
      </c>
      <c r="J822" s="12">
        <f t="shared" si="90"/>
        <v>7.4054730214398717E-3</v>
      </c>
    </row>
    <row r="823" spans="1:10">
      <c r="A823" s="15">
        <v>41411</v>
      </c>
      <c r="B823" s="11">
        <v>1.6592</v>
      </c>
      <c r="C823" s="11">
        <f t="shared" si="84"/>
        <v>3.2000000000000917E-3</v>
      </c>
      <c r="D823" s="12">
        <f t="shared" si="85"/>
        <v>1.0240000000000586E-5</v>
      </c>
      <c r="E823" s="12">
        <f t="shared" si="86"/>
        <v>8.1000000000022126E-7</v>
      </c>
      <c r="F823" s="12">
        <f t="shared" si="87"/>
        <v>1.4494603896730049E-4</v>
      </c>
      <c r="G823" s="12">
        <f t="shared" si="88"/>
        <v>3.4653124840491332</v>
      </c>
      <c r="I823" s="12">
        <f t="shared" si="89"/>
        <v>1.2039353760368555E-2</v>
      </c>
      <c r="J823" s="12">
        <f t="shared" si="90"/>
        <v>7.4054730214398717E-3</v>
      </c>
    </row>
    <row r="824" spans="1:10">
      <c r="A824" s="15">
        <v>41414</v>
      </c>
      <c r="B824" s="11">
        <v>1.6568000000000001</v>
      </c>
      <c r="C824" s="11">
        <f t="shared" si="84"/>
        <v>-2.3999999999999577E-3</v>
      </c>
      <c r="D824" s="12">
        <f t="shared" si="85"/>
        <v>5.7599999999997975E-6</v>
      </c>
      <c r="E824" s="12">
        <f t="shared" si="86"/>
        <v>1.0240000000000586E-5</v>
      </c>
      <c r="F824" s="12">
        <f t="shared" si="87"/>
        <v>1.2882008024333685E-4</v>
      </c>
      <c r="G824" s="12">
        <f t="shared" si="88"/>
        <v>3.5372516234047682</v>
      </c>
      <c r="I824" s="12">
        <f t="shared" si="89"/>
        <v>1.1349893402289594E-2</v>
      </c>
      <c r="J824" s="12">
        <f t="shared" si="90"/>
        <v>7.4054730214398717E-3</v>
      </c>
    </row>
    <row r="825" spans="1:10">
      <c r="A825" s="15">
        <v>41415</v>
      </c>
      <c r="B825" s="11">
        <v>1.6564000000000001</v>
      </c>
      <c r="C825" s="11">
        <f t="shared" si="84"/>
        <v>-3.9999999999995595E-4</v>
      </c>
      <c r="D825" s="12">
        <f t="shared" si="85"/>
        <v>1.5999999999996475E-7</v>
      </c>
      <c r="E825" s="12">
        <f t="shared" si="86"/>
        <v>5.7599999999997975E-6</v>
      </c>
      <c r="F825" s="12">
        <f t="shared" si="87"/>
        <v>1.145828015980215E-4</v>
      </c>
      <c r="G825" s="12">
        <f t="shared" si="88"/>
        <v>3.6174696934814627</v>
      </c>
      <c r="I825" s="12">
        <f t="shared" si="89"/>
        <v>1.0704335644869396E-2</v>
      </c>
      <c r="J825" s="12">
        <f t="shared" si="90"/>
        <v>7.4054730214398717E-3</v>
      </c>
    </row>
    <row r="826" spans="1:10">
      <c r="A826" s="15">
        <v>41416</v>
      </c>
      <c r="B826" s="11">
        <v>1.6596</v>
      </c>
      <c r="C826" s="11">
        <f t="shared" si="84"/>
        <v>3.1999999999998696E-3</v>
      </c>
      <c r="D826" s="12">
        <f t="shared" si="85"/>
        <v>1.0239999999999165E-5</v>
      </c>
      <c r="E826" s="12">
        <f t="shared" si="86"/>
        <v>1.5999999999996475E-7</v>
      </c>
      <c r="F826" s="12">
        <f t="shared" si="87"/>
        <v>1.018773816058986E-4</v>
      </c>
      <c r="G826" s="12">
        <f t="shared" si="88"/>
        <v>3.6266752700547795</v>
      </c>
      <c r="I826" s="12">
        <f t="shared" si="89"/>
        <v>1.0093432597778548E-2</v>
      </c>
      <c r="J826" s="12">
        <f t="shared" si="90"/>
        <v>7.4054730214398717E-3</v>
      </c>
    </row>
    <row r="827" spans="1:10">
      <c r="A827" s="15">
        <v>41417</v>
      </c>
      <c r="B827" s="11">
        <v>1.6541999999999999</v>
      </c>
      <c r="C827" s="11">
        <f t="shared" si="84"/>
        <v>-5.4000000000000714E-3</v>
      </c>
      <c r="D827" s="12">
        <f t="shared" si="85"/>
        <v>2.9160000000000771E-5</v>
      </c>
      <c r="E827" s="12">
        <f t="shared" si="86"/>
        <v>1.0239999999999165E-5</v>
      </c>
      <c r="F827" s="12">
        <f t="shared" si="87"/>
        <v>9.1782254759211593E-5</v>
      </c>
      <c r="G827" s="12">
        <f t="shared" si="88"/>
        <v>3.5702530141026809</v>
      </c>
      <c r="I827" s="12">
        <f t="shared" si="89"/>
        <v>9.5803055671106647E-3</v>
      </c>
      <c r="J827" s="12">
        <f t="shared" si="90"/>
        <v>7.4054730214398717E-3</v>
      </c>
    </row>
    <row r="828" spans="1:10">
      <c r="A828" s="15">
        <v>41418</v>
      </c>
      <c r="B828" s="11">
        <v>1.6534</v>
      </c>
      <c r="C828" s="11">
        <f t="shared" si="84"/>
        <v>-7.9999999999991189E-4</v>
      </c>
      <c r="D828" s="12">
        <f t="shared" si="85"/>
        <v>6.3999999999985898E-7</v>
      </c>
      <c r="E828" s="12">
        <f t="shared" si="86"/>
        <v>2.9160000000000771E-5</v>
      </c>
      <c r="F828" s="12">
        <f t="shared" si="87"/>
        <v>8.4660832917382681E-5</v>
      </c>
      <c r="G828" s="12">
        <f t="shared" si="88"/>
        <v>3.7657104136819934</v>
      </c>
      <c r="I828" s="12">
        <f t="shared" si="89"/>
        <v>9.2011321541092261E-3</v>
      </c>
      <c r="J828" s="12">
        <f t="shared" si="90"/>
        <v>7.4054730214398717E-3</v>
      </c>
    </row>
    <row r="829" spans="1:10">
      <c r="A829" s="15">
        <v>41421</v>
      </c>
      <c r="B829" s="11">
        <v>1.6491</v>
      </c>
      <c r="C829" s="11">
        <f t="shared" si="84"/>
        <v>-4.2999999999999705E-3</v>
      </c>
      <c r="D829" s="12">
        <f t="shared" si="85"/>
        <v>1.8489999999999747E-5</v>
      </c>
      <c r="E829" s="12">
        <f t="shared" si="86"/>
        <v>6.3999999999985898E-7</v>
      </c>
      <c r="F829" s="12">
        <f t="shared" si="87"/>
        <v>7.6184915767047251E-5</v>
      </c>
      <c r="G829" s="12">
        <f t="shared" si="88"/>
        <v>3.7008855135963978</v>
      </c>
      <c r="I829" s="12">
        <f t="shared" si="89"/>
        <v>8.7283970903624247E-3</v>
      </c>
      <c r="J829" s="12">
        <f t="shared" si="90"/>
        <v>7.4054730214398717E-3</v>
      </c>
    </row>
    <row r="830" spans="1:10">
      <c r="A830" s="15">
        <v>41422</v>
      </c>
      <c r="B830" s="11">
        <v>1.6559999999999999</v>
      </c>
      <c r="C830" s="11">
        <f t="shared" si="84"/>
        <v>6.8999999999999062E-3</v>
      </c>
      <c r="D830" s="12">
        <f t="shared" si="85"/>
        <v>4.7609999999998706E-5</v>
      </c>
      <c r="E830" s="12">
        <f t="shared" si="86"/>
        <v>1.8489999999999747E-5</v>
      </c>
      <c r="F830" s="12">
        <f t="shared" si="87"/>
        <v>7.0367738571247711E-5</v>
      </c>
      <c r="G830" s="12">
        <f t="shared" si="88"/>
        <v>3.5236550578928711</v>
      </c>
      <c r="I830" s="12">
        <f t="shared" si="89"/>
        <v>8.3885480609726323E-3</v>
      </c>
      <c r="J830" s="12">
        <f t="shared" si="90"/>
        <v>7.4054730214398717E-3</v>
      </c>
    </row>
    <row r="831" spans="1:10">
      <c r="A831" s="15">
        <v>41423</v>
      </c>
      <c r="B831" s="11">
        <v>1.6431</v>
      </c>
      <c r="C831" s="11">
        <f t="shared" si="84"/>
        <v>-1.2899999999999912E-2</v>
      </c>
      <c r="D831" s="12">
        <f t="shared" si="85"/>
        <v>1.6640999999999772E-4</v>
      </c>
      <c r="E831" s="12">
        <f t="shared" si="86"/>
        <v>4.7609999999998706E-5</v>
      </c>
      <c r="F831" s="12">
        <f t="shared" si="87"/>
        <v>6.7766301684946991E-5</v>
      </c>
      <c r="G831" s="12">
        <f t="shared" si="88"/>
        <v>2.6529615670493336</v>
      </c>
      <c r="I831" s="12">
        <f t="shared" si="89"/>
        <v>8.2320290138547855E-3</v>
      </c>
      <c r="J831" s="12">
        <f t="shared" si="90"/>
        <v>7.4054730214398717E-3</v>
      </c>
    </row>
    <row r="832" spans="1:10">
      <c r="A832" s="15">
        <v>41424</v>
      </c>
      <c r="B832" s="11">
        <v>1.6372</v>
      </c>
      <c r="C832" s="11">
        <f t="shared" si="84"/>
        <v>-5.9000000000000163E-3</v>
      </c>
      <c r="D832" s="12">
        <f t="shared" si="85"/>
        <v>3.481000000000019E-5</v>
      </c>
      <c r="E832" s="12">
        <f t="shared" si="86"/>
        <v>1.6640999999999772E-4</v>
      </c>
      <c r="F832" s="12">
        <f t="shared" si="87"/>
        <v>7.532512467013198E-5</v>
      </c>
      <c r="G832" s="12">
        <f t="shared" si="88"/>
        <v>3.5968448674313533</v>
      </c>
      <c r="I832" s="12">
        <f t="shared" si="89"/>
        <v>8.679004820262055E-3</v>
      </c>
      <c r="J832" s="12">
        <f t="shared" si="90"/>
        <v>7.4054730214398717E-3</v>
      </c>
    </row>
    <row r="833" spans="1:10">
      <c r="A833" s="15">
        <v>41425</v>
      </c>
      <c r="B833" s="11">
        <v>1.6431</v>
      </c>
      <c r="C833" s="11">
        <f t="shared" si="84"/>
        <v>5.9000000000000163E-3</v>
      </c>
      <c r="D833" s="12">
        <f t="shared" si="85"/>
        <v>3.481000000000019E-5</v>
      </c>
      <c r="E833" s="12">
        <f t="shared" si="86"/>
        <v>3.481000000000019E-5</v>
      </c>
      <c r="F833" s="12">
        <f t="shared" si="87"/>
        <v>7.0974053654319989E-5</v>
      </c>
      <c r="G833" s="12">
        <f t="shared" si="88"/>
        <v>3.6124290915539876</v>
      </c>
      <c r="I833" s="12">
        <f t="shared" si="89"/>
        <v>8.4246100001317565E-3</v>
      </c>
      <c r="J833" s="12">
        <f t="shared" si="90"/>
        <v>7.4054730214398717E-3</v>
      </c>
    </row>
    <row r="834" spans="1:10">
      <c r="A834" s="15">
        <v>41428</v>
      </c>
      <c r="B834" s="11">
        <v>1.6346000000000001</v>
      </c>
      <c r="C834" s="11">
        <f t="shared" si="84"/>
        <v>-8.499999999999952E-3</v>
      </c>
      <c r="D834" s="12">
        <f t="shared" si="85"/>
        <v>7.2249999999999181E-5</v>
      </c>
      <c r="E834" s="12">
        <f t="shared" si="86"/>
        <v>3.481000000000019E-5</v>
      </c>
      <c r="F834" s="12">
        <f t="shared" si="87"/>
        <v>6.7232255817429302E-5</v>
      </c>
      <c r="G834" s="12">
        <f t="shared" si="88"/>
        <v>3.3474236792614067</v>
      </c>
      <c r="I834" s="12">
        <f t="shared" si="89"/>
        <v>8.1995277801486417E-3</v>
      </c>
      <c r="J834" s="12">
        <f t="shared" si="90"/>
        <v>7.4054730214398717E-3</v>
      </c>
    </row>
    <row r="835" spans="1:10">
      <c r="A835" s="15">
        <v>41429</v>
      </c>
      <c r="B835" s="11">
        <v>1.6389</v>
      </c>
      <c r="C835" s="11">
        <f t="shared" si="84"/>
        <v>4.2999999999999705E-3</v>
      </c>
      <c r="D835" s="12">
        <f t="shared" si="85"/>
        <v>1.8489999999999747E-5</v>
      </c>
      <c r="E835" s="12">
        <f t="shared" si="86"/>
        <v>7.2249999999999181E-5</v>
      </c>
      <c r="F835" s="12">
        <f t="shared" si="87"/>
        <v>6.7101635181163221E-5</v>
      </c>
      <c r="G835" s="12">
        <f t="shared" si="88"/>
        <v>3.7479364557200405</v>
      </c>
      <c r="I835" s="12">
        <f t="shared" si="89"/>
        <v>8.1915587760305556E-3</v>
      </c>
      <c r="J835" s="12">
        <f t="shared" si="90"/>
        <v>7.4054730214398717E-3</v>
      </c>
    </row>
    <row r="836" spans="1:10">
      <c r="A836" s="15">
        <v>41430</v>
      </c>
      <c r="B836" s="11">
        <v>1.635</v>
      </c>
      <c r="C836" s="11">
        <f t="shared" si="84"/>
        <v>-3.9000000000000146E-3</v>
      </c>
      <c r="D836" s="12">
        <f t="shared" si="85"/>
        <v>1.5210000000000114E-5</v>
      </c>
      <c r="E836" s="12">
        <f t="shared" si="86"/>
        <v>1.8489999999999747E-5</v>
      </c>
      <c r="F836" s="12">
        <f t="shared" si="87"/>
        <v>6.2556374535905886E-5</v>
      </c>
      <c r="G836" s="12">
        <f t="shared" si="88"/>
        <v>3.7992123225560244</v>
      </c>
      <c r="I836" s="12">
        <f t="shared" si="89"/>
        <v>7.9092587854934851E-3</v>
      </c>
      <c r="J836" s="12">
        <f t="shared" si="90"/>
        <v>7.4054730214398717E-3</v>
      </c>
    </row>
    <row r="837" spans="1:10">
      <c r="A837" s="15">
        <v>41431</v>
      </c>
      <c r="B837" s="11">
        <v>1.6248</v>
      </c>
      <c r="C837" s="11">
        <f t="shared" si="84"/>
        <v>-1.0199999999999987E-2</v>
      </c>
      <c r="D837" s="12">
        <f t="shared" si="85"/>
        <v>1.0403999999999973E-4</v>
      </c>
      <c r="E837" s="12">
        <f t="shared" si="86"/>
        <v>1.5210000000000114E-5</v>
      </c>
      <c r="F837" s="12">
        <f t="shared" si="87"/>
        <v>5.8377117578342584E-5</v>
      </c>
      <c r="G837" s="12">
        <f t="shared" si="88"/>
        <v>3.064252164500223</v>
      </c>
      <c r="I837" s="12">
        <f t="shared" si="89"/>
        <v>7.6404919722713261E-3</v>
      </c>
      <c r="J837" s="12">
        <f t="shared" si="90"/>
        <v>7.4054730214398717E-3</v>
      </c>
    </row>
    <row r="838" spans="1:10">
      <c r="A838" s="15">
        <v>41432</v>
      </c>
      <c r="B838" s="11">
        <v>1.6259999999999999</v>
      </c>
      <c r="C838" s="11">
        <f t="shared" si="84"/>
        <v>1.1999999999998678E-3</v>
      </c>
      <c r="D838" s="12">
        <f t="shared" si="85"/>
        <v>1.4399999999996828E-6</v>
      </c>
      <c r="E838" s="12">
        <f t="shared" si="86"/>
        <v>1.0403999999999973E-4</v>
      </c>
      <c r="F838" s="12">
        <f t="shared" si="87"/>
        <v>6.2107800132458547E-5</v>
      </c>
      <c r="G838" s="12">
        <f t="shared" si="88"/>
        <v>3.9127881980863366</v>
      </c>
      <c r="I838" s="12">
        <f t="shared" si="89"/>
        <v>7.8808502163445881E-3</v>
      </c>
      <c r="J838" s="12">
        <f t="shared" si="90"/>
        <v>7.4054730214398717E-3</v>
      </c>
    </row>
    <row r="839" spans="1:10">
      <c r="A839" s="15">
        <v>41435</v>
      </c>
      <c r="B839" s="11">
        <v>1.6246</v>
      </c>
      <c r="C839" s="11">
        <f t="shared" si="84"/>
        <v>-1.3999999999998458E-3</v>
      </c>
      <c r="D839" s="12">
        <f t="shared" si="85"/>
        <v>1.9599999999995683E-6</v>
      </c>
      <c r="E839" s="12">
        <f t="shared" si="86"/>
        <v>1.4399999999996828E-6</v>
      </c>
      <c r="F839" s="12">
        <f t="shared" si="87"/>
        <v>5.6855912577550965E-5</v>
      </c>
      <c r="G839" s="12">
        <f t="shared" si="88"/>
        <v>3.9513200755646718</v>
      </c>
      <c r="I839" s="12">
        <f t="shared" si="89"/>
        <v>7.5402859745205266E-3</v>
      </c>
      <c r="J839" s="12">
        <f t="shared" si="90"/>
        <v>7.4054730214398717E-3</v>
      </c>
    </row>
    <row r="840" spans="1:10">
      <c r="A840" s="15">
        <v>41436</v>
      </c>
      <c r="B840" s="11">
        <v>1.6192</v>
      </c>
      <c r="C840" s="11">
        <f t="shared" si="84"/>
        <v>-5.4000000000000714E-3</v>
      </c>
      <c r="D840" s="12">
        <f t="shared" si="85"/>
        <v>2.9160000000000771E-5</v>
      </c>
      <c r="E840" s="12">
        <f t="shared" si="86"/>
        <v>1.9599999999995683E-6</v>
      </c>
      <c r="F840" s="12">
        <f t="shared" si="87"/>
        <v>5.2382316080074712E-5</v>
      </c>
      <c r="G840" s="12">
        <f t="shared" si="88"/>
        <v>3.7311940026836856</v>
      </c>
      <c r="I840" s="12">
        <f t="shared" si="89"/>
        <v>7.237562854999928E-3</v>
      </c>
      <c r="J840" s="12">
        <f t="shared" si="90"/>
        <v>7.4054730214398717E-3</v>
      </c>
    </row>
    <row r="841" spans="1:10">
      <c r="A841" s="15">
        <v>41437</v>
      </c>
      <c r="B841" s="11">
        <v>1.6197999999999999</v>
      </c>
      <c r="C841" s="11">
        <f t="shared" si="84"/>
        <v>5.9999999999993392E-4</v>
      </c>
      <c r="D841" s="12">
        <f t="shared" si="85"/>
        <v>3.5999999999992069E-7</v>
      </c>
      <c r="E841" s="12">
        <f t="shared" si="86"/>
        <v>2.9160000000000771E-5</v>
      </c>
      <c r="F841" s="12">
        <f t="shared" si="87"/>
        <v>5.0778001589770451E-5</v>
      </c>
      <c r="G841" s="12">
        <f t="shared" si="88"/>
        <v>4.0215402856353766</v>
      </c>
      <c r="I841" s="12">
        <f t="shared" si="89"/>
        <v>7.1258684796851567E-3</v>
      </c>
      <c r="J841" s="12">
        <f t="shared" si="90"/>
        <v>7.4054730214398717E-3</v>
      </c>
    </row>
    <row r="842" spans="1:10">
      <c r="A842" s="15">
        <v>41438</v>
      </c>
      <c r="B842" s="11">
        <v>1.6109</v>
      </c>
      <c r="C842" s="11">
        <f t="shared" si="84"/>
        <v>-8.899999999999908E-3</v>
      </c>
      <c r="D842" s="12">
        <f t="shared" si="85"/>
        <v>7.9209999999998356E-5</v>
      </c>
      <c r="E842" s="12">
        <f t="shared" si="86"/>
        <v>3.5999999999992069E-7</v>
      </c>
      <c r="F842" s="12">
        <f t="shared" si="87"/>
        <v>4.7023552318840634E-5</v>
      </c>
      <c r="G842" s="12">
        <f t="shared" si="88"/>
        <v>3.2212549255521199</v>
      </c>
      <c r="I842" s="12">
        <f t="shared" si="89"/>
        <v>6.8573721146544635E-3</v>
      </c>
      <c r="J842" s="12">
        <f t="shared" si="90"/>
        <v>7.4054730214398717E-3</v>
      </c>
    </row>
    <row r="843" spans="1:10">
      <c r="A843" s="15">
        <v>41439</v>
      </c>
      <c r="B843" s="11">
        <v>1.6249</v>
      </c>
      <c r="C843" s="11">
        <f t="shared" si="84"/>
        <v>1.4000000000000012E-2</v>
      </c>
      <c r="D843" s="12">
        <f t="shared" si="85"/>
        <v>1.9600000000000035E-4</v>
      </c>
      <c r="E843" s="12">
        <f t="shared" si="86"/>
        <v>7.9209999999998356E-5</v>
      </c>
      <c r="F843" s="12">
        <f t="shared" si="87"/>
        <v>5.0296628743081153E-5</v>
      </c>
      <c r="G843" s="12">
        <f t="shared" si="88"/>
        <v>2.0814069829527049</v>
      </c>
      <c r="I843" s="12">
        <f t="shared" si="89"/>
        <v>7.0920116147029227E-3</v>
      </c>
      <c r="J843" s="12">
        <f t="shared" si="90"/>
        <v>7.4054730214398717E-3</v>
      </c>
    </row>
    <row r="844" spans="1:10">
      <c r="A844" s="15">
        <v>41442</v>
      </c>
      <c r="B844" s="11">
        <v>1.6192</v>
      </c>
      <c r="C844" s="11">
        <f t="shared" si="84"/>
        <v>-5.7000000000000384E-3</v>
      </c>
      <c r="D844" s="12">
        <f t="shared" si="85"/>
        <v>3.2490000000000436E-5</v>
      </c>
      <c r="E844" s="12">
        <f t="shared" si="86"/>
        <v>1.9600000000000035E-4</v>
      </c>
      <c r="F844" s="12">
        <f t="shared" si="87"/>
        <v>6.2741626639010417E-5</v>
      </c>
      <c r="G844" s="12">
        <f t="shared" si="88"/>
        <v>3.6603851615364609</v>
      </c>
      <c r="I844" s="12">
        <f t="shared" si="89"/>
        <v>7.9209612193855885E-3</v>
      </c>
      <c r="J844" s="12">
        <f t="shared" si="90"/>
        <v>7.4054730214398717E-3</v>
      </c>
    </row>
    <row r="845" spans="1:10">
      <c r="A845" s="15">
        <v>41443</v>
      </c>
      <c r="B845" s="11">
        <v>1.6142000000000001</v>
      </c>
      <c r="C845" s="11">
        <f t="shared" si="84"/>
        <v>-4.9999999999998934E-3</v>
      </c>
      <c r="D845" s="12">
        <f t="shared" si="85"/>
        <v>2.4999999999998934E-5</v>
      </c>
      <c r="E845" s="12">
        <f t="shared" si="86"/>
        <v>3.2490000000000436E-5</v>
      </c>
      <c r="F845" s="12">
        <f t="shared" si="87"/>
        <v>5.9961299689314039E-5</v>
      </c>
      <c r="G845" s="12">
        <f t="shared" si="88"/>
        <v>3.7334992677804126</v>
      </c>
      <c r="I845" s="12">
        <f t="shared" si="89"/>
        <v>7.7434681951509326E-3</v>
      </c>
      <c r="J845" s="12">
        <f t="shared" si="90"/>
        <v>7.4054730214398717E-3</v>
      </c>
    </row>
    <row r="846" spans="1:10">
      <c r="A846" s="15">
        <v>41444</v>
      </c>
      <c r="B846" s="11">
        <v>1.6184000000000001</v>
      </c>
      <c r="C846" s="11">
        <f t="shared" ref="C846:C909" si="91">B846-B845</f>
        <v>4.1999999999999815E-3</v>
      </c>
      <c r="D846" s="12">
        <f t="shared" ref="D846:D909" si="92">C846^2</f>
        <v>1.7639999999999845E-5</v>
      </c>
      <c r="E846" s="12">
        <f t="shared" si="86"/>
        <v>2.4999999999998934E-5</v>
      </c>
      <c r="F846" s="12">
        <f t="shared" si="87"/>
        <v>5.6952688440371563E-5</v>
      </c>
      <c r="G846" s="12">
        <f t="shared" si="88"/>
        <v>3.8128409058745474</v>
      </c>
      <c r="I846" s="12">
        <f t="shared" si="89"/>
        <v>7.54670050024324E-3</v>
      </c>
      <c r="J846" s="12">
        <f t="shared" si="90"/>
        <v>7.4054730214398717E-3</v>
      </c>
    </row>
    <row r="847" spans="1:10">
      <c r="A847" s="15">
        <v>41445</v>
      </c>
      <c r="B847" s="11">
        <v>1.6347</v>
      </c>
      <c r="C847" s="11">
        <f t="shared" si="91"/>
        <v>1.6299999999999981E-2</v>
      </c>
      <c r="D847" s="12">
        <f t="shared" si="92"/>
        <v>2.6568999999999936E-4</v>
      </c>
      <c r="E847" s="12">
        <f t="shared" ref="E847:E910" si="93">D846</f>
        <v>1.7639999999999845E-5</v>
      </c>
      <c r="F847" s="12">
        <f t="shared" ref="F847:F910" si="94">$B$5+$B$6*E847+$B$7*F846</f>
        <v>5.3758478672077252E-5</v>
      </c>
      <c r="G847" s="12">
        <f t="shared" ref="G847:G910" si="95">LN((1/SQRT(2*3.1415927*F847))*EXP(-0.5*D847/F847))</f>
        <v>1.5254209612046525</v>
      </c>
      <c r="I847" s="12">
        <f t="shared" ref="I847:I910" si="96">SQRT(F847)</f>
        <v>7.3320173671423648E-3</v>
      </c>
      <c r="J847" s="12">
        <f t="shared" si="90"/>
        <v>7.4054730214398717E-3</v>
      </c>
    </row>
    <row r="848" spans="1:10">
      <c r="A848" s="15">
        <v>41446</v>
      </c>
      <c r="B848" s="11">
        <v>1.6431</v>
      </c>
      <c r="C848" s="11">
        <f t="shared" si="91"/>
        <v>8.3999999999999631E-3</v>
      </c>
      <c r="D848" s="12">
        <f t="shared" si="92"/>
        <v>7.0559999999999379E-5</v>
      </c>
      <c r="E848" s="12">
        <f t="shared" si="93"/>
        <v>2.6568999999999936E-4</v>
      </c>
      <c r="F848" s="12">
        <f t="shared" si="94"/>
        <v>7.146520266218797E-5</v>
      </c>
      <c r="G848" s="12">
        <f t="shared" si="95"/>
        <v>3.36054458154966</v>
      </c>
      <c r="I848" s="12">
        <f t="shared" si="96"/>
        <v>8.4537094025160329E-3</v>
      </c>
      <c r="J848" s="12">
        <f t="shared" ref="J848:J911" si="97">J847</f>
        <v>7.4054730214398717E-3</v>
      </c>
    </row>
    <row r="849" spans="1:10">
      <c r="A849" s="15">
        <v>41449</v>
      </c>
      <c r="B849" s="11">
        <v>1.6449</v>
      </c>
      <c r="C849" s="11">
        <f t="shared" si="91"/>
        <v>1.8000000000000238E-3</v>
      </c>
      <c r="D849" s="12">
        <f t="shared" si="92"/>
        <v>3.2400000000000859E-6</v>
      </c>
      <c r="E849" s="12">
        <f t="shared" si="93"/>
        <v>7.0559999999999379E-5</v>
      </c>
      <c r="F849" s="12">
        <f t="shared" si="94"/>
        <v>7.060249591757335E-5</v>
      </c>
      <c r="G849" s="12">
        <f t="shared" si="95"/>
        <v>3.8373386255325377</v>
      </c>
      <c r="I849" s="12">
        <f t="shared" si="96"/>
        <v>8.4025291381567575E-3</v>
      </c>
      <c r="J849" s="12">
        <f t="shared" si="97"/>
        <v>7.4054730214398717E-3</v>
      </c>
    </row>
    <row r="850" spans="1:10">
      <c r="A850" s="15">
        <v>41450</v>
      </c>
      <c r="B850" s="11">
        <v>1.6476999999999999</v>
      </c>
      <c r="C850" s="11">
        <f t="shared" si="91"/>
        <v>2.7999999999999137E-3</v>
      </c>
      <c r="D850" s="12">
        <f t="shared" si="92"/>
        <v>7.8399999999995167E-6</v>
      </c>
      <c r="E850" s="12">
        <f t="shared" si="93"/>
        <v>3.2400000000000859E-6</v>
      </c>
      <c r="F850" s="12">
        <f t="shared" si="94"/>
        <v>6.4309534370444809E-5</v>
      </c>
      <c r="G850" s="12">
        <f t="shared" si="95"/>
        <v>3.8460075967593044</v>
      </c>
      <c r="I850" s="12">
        <f t="shared" si="96"/>
        <v>8.0193225630625937E-3</v>
      </c>
      <c r="J850" s="12">
        <f t="shared" si="97"/>
        <v>7.4054730214398717E-3</v>
      </c>
    </row>
    <row r="851" spans="1:10">
      <c r="A851" s="15">
        <v>41451</v>
      </c>
      <c r="B851" s="11">
        <v>1.6487000000000001</v>
      </c>
      <c r="C851" s="11">
        <f t="shared" si="91"/>
        <v>1.0000000000001119E-3</v>
      </c>
      <c r="D851" s="12">
        <f t="shared" si="92"/>
        <v>1.0000000000002238E-6</v>
      </c>
      <c r="E851" s="12">
        <f t="shared" si="93"/>
        <v>7.8399999999995167E-6</v>
      </c>
      <c r="F851" s="12">
        <f t="shared" si="94"/>
        <v>5.9277071494887452E-5</v>
      </c>
      <c r="G851" s="12">
        <f t="shared" si="95"/>
        <v>3.9392704845180582</v>
      </c>
      <c r="I851" s="12">
        <f t="shared" si="96"/>
        <v>7.6991604409109085E-3</v>
      </c>
      <c r="J851" s="12">
        <f t="shared" si="97"/>
        <v>7.4054730214398717E-3</v>
      </c>
    </row>
    <row r="852" spans="1:10">
      <c r="A852" s="15">
        <v>41452</v>
      </c>
      <c r="B852" s="11">
        <v>1.6543000000000001</v>
      </c>
      <c r="C852" s="11">
        <f t="shared" si="91"/>
        <v>5.6000000000000494E-3</v>
      </c>
      <c r="D852" s="12">
        <f t="shared" si="92"/>
        <v>3.1360000000000554E-5</v>
      </c>
      <c r="E852" s="12">
        <f t="shared" si="93"/>
        <v>1.0000000000002238E-6</v>
      </c>
      <c r="F852" s="12">
        <f t="shared" si="94"/>
        <v>5.4385284698805297E-5</v>
      </c>
      <c r="G852" s="12">
        <f t="shared" si="95"/>
        <v>3.7024566472891838</v>
      </c>
      <c r="I852" s="12">
        <f t="shared" si="96"/>
        <v>7.3746379367942731E-3</v>
      </c>
      <c r="J852" s="12">
        <f t="shared" si="97"/>
        <v>7.4054730214398717E-3</v>
      </c>
    </row>
    <row r="853" spans="1:10">
      <c r="A853" s="15">
        <v>41453</v>
      </c>
      <c r="B853" s="11">
        <v>1.6505000000000001</v>
      </c>
      <c r="C853" s="11">
        <f t="shared" si="91"/>
        <v>-3.8000000000000256E-3</v>
      </c>
      <c r="D853" s="12">
        <f t="shared" si="92"/>
        <v>1.4440000000000194E-5</v>
      </c>
      <c r="E853" s="12">
        <f t="shared" si="93"/>
        <v>3.1360000000000554E-5</v>
      </c>
      <c r="F853" s="12">
        <f t="shared" si="94"/>
        <v>5.2681905001302664E-5</v>
      </c>
      <c r="G853" s="12">
        <f t="shared" si="95"/>
        <v>3.869631764930864</v>
      </c>
      <c r="I853" s="12">
        <f t="shared" si="96"/>
        <v>7.2582301562641744E-3</v>
      </c>
      <c r="J853" s="12">
        <f t="shared" si="97"/>
        <v>7.4054730214398717E-3</v>
      </c>
    </row>
    <row r="854" spans="1:10">
      <c r="A854" s="15">
        <v>41456</v>
      </c>
      <c r="B854" s="11">
        <v>1.6561999999999999</v>
      </c>
      <c r="C854" s="11">
        <f t="shared" si="91"/>
        <v>5.6999999999998163E-3</v>
      </c>
      <c r="D854" s="12">
        <f t="shared" si="92"/>
        <v>3.2489999999997908E-5</v>
      </c>
      <c r="E854" s="12">
        <f t="shared" si="93"/>
        <v>1.4440000000000194E-5</v>
      </c>
      <c r="F854" s="12">
        <f t="shared" si="94"/>
        <v>4.982186096064783E-5</v>
      </c>
      <c r="G854" s="12">
        <f t="shared" si="95"/>
        <v>3.7085281206683756</v>
      </c>
      <c r="I854" s="12">
        <f t="shared" si="96"/>
        <v>7.0584602400699144E-3</v>
      </c>
      <c r="J854" s="12">
        <f t="shared" si="97"/>
        <v>7.4054730214398717E-3</v>
      </c>
    </row>
    <row r="855" spans="1:10">
      <c r="A855" s="15">
        <v>41457</v>
      </c>
      <c r="B855" s="11">
        <v>1.6638999999999999</v>
      </c>
      <c r="C855" s="11">
        <f t="shared" si="91"/>
        <v>7.7000000000000401E-3</v>
      </c>
      <c r="D855" s="12">
        <f t="shared" si="92"/>
        <v>5.929000000000062E-5</v>
      </c>
      <c r="E855" s="12">
        <f t="shared" si="93"/>
        <v>3.2489999999997908E-5</v>
      </c>
      <c r="F855" s="12">
        <f t="shared" si="94"/>
        <v>4.8850667136374466E-5</v>
      </c>
      <c r="G855" s="12">
        <f t="shared" si="95"/>
        <v>3.4375832806804416</v>
      </c>
      <c r="I855" s="12">
        <f t="shared" si="96"/>
        <v>6.9893252275433906E-3</v>
      </c>
      <c r="J855" s="12">
        <f t="shared" si="97"/>
        <v>7.4054730214398717E-3</v>
      </c>
    </row>
    <row r="856" spans="1:10">
      <c r="A856" s="15">
        <v>41458</v>
      </c>
      <c r="B856" s="11">
        <v>1.6641999999999999</v>
      </c>
      <c r="C856" s="11">
        <f t="shared" si="91"/>
        <v>2.9999999999996696E-4</v>
      </c>
      <c r="D856" s="12">
        <f t="shared" si="92"/>
        <v>8.9999999999980173E-8</v>
      </c>
      <c r="E856" s="12">
        <f t="shared" si="93"/>
        <v>5.929000000000062E-5</v>
      </c>
      <c r="F856" s="12">
        <f t="shared" si="94"/>
        <v>5.0225336630842709E-5</v>
      </c>
      <c r="G856" s="12">
        <f t="shared" si="95"/>
        <v>4.0296609696856729</v>
      </c>
      <c r="I856" s="12">
        <f t="shared" si="96"/>
        <v>7.0869836059386159E-3</v>
      </c>
      <c r="J856" s="12">
        <f t="shared" si="97"/>
        <v>7.4054730214398717E-3</v>
      </c>
    </row>
    <row r="857" spans="1:10">
      <c r="A857" s="15">
        <v>41459</v>
      </c>
      <c r="B857" s="11">
        <v>1.6751</v>
      </c>
      <c r="C857" s="11">
        <f t="shared" si="91"/>
        <v>1.0900000000000132E-2</v>
      </c>
      <c r="D857" s="12">
        <f t="shared" si="92"/>
        <v>1.1881000000000287E-4</v>
      </c>
      <c r="E857" s="12">
        <f t="shared" si="93"/>
        <v>8.9999999999980173E-8</v>
      </c>
      <c r="F857" s="12">
        <f t="shared" si="94"/>
        <v>4.6526012505128411E-5</v>
      </c>
      <c r="G857" s="12">
        <f t="shared" si="95"/>
        <v>2.791998334327761</v>
      </c>
      <c r="I857" s="12">
        <f t="shared" si="96"/>
        <v>6.8209979112391177E-3</v>
      </c>
      <c r="J857" s="12">
        <f t="shared" si="97"/>
        <v>7.4054730214398717E-3</v>
      </c>
    </row>
    <row r="858" spans="1:10">
      <c r="A858" s="15">
        <v>41460</v>
      </c>
      <c r="B858" s="11">
        <v>1.6841999999999999</v>
      </c>
      <c r="C858" s="11">
        <f t="shared" si="91"/>
        <v>9.099999999999886E-3</v>
      </c>
      <c r="D858" s="12">
        <f t="shared" si="92"/>
        <v>8.2809999999997928E-5</v>
      </c>
      <c r="E858" s="12">
        <f t="shared" si="93"/>
        <v>1.1881000000000287E-4</v>
      </c>
      <c r="F858" s="12">
        <f t="shared" si="94"/>
        <v>5.3134086937299004E-5</v>
      </c>
      <c r="G858" s="12">
        <f t="shared" si="95"/>
        <v>3.2231524628527048</v>
      </c>
      <c r="I858" s="12">
        <f t="shared" si="96"/>
        <v>7.289313200658825E-3</v>
      </c>
      <c r="J858" s="12">
        <f t="shared" si="97"/>
        <v>7.4054730214398717E-3</v>
      </c>
    </row>
    <row r="859" spans="1:10">
      <c r="A859" s="15">
        <v>41463</v>
      </c>
      <c r="B859" s="11">
        <v>1.6751</v>
      </c>
      <c r="C859" s="11">
        <f t="shared" si="91"/>
        <v>-9.099999999999886E-3</v>
      </c>
      <c r="D859" s="12">
        <f t="shared" si="92"/>
        <v>8.2809999999997928E-5</v>
      </c>
      <c r="E859" s="12">
        <f t="shared" si="93"/>
        <v>8.2809999999997928E-5</v>
      </c>
      <c r="F859" s="12">
        <f t="shared" si="94"/>
        <v>5.5848363475519388E-5</v>
      </c>
      <c r="G859" s="12">
        <f t="shared" si="95"/>
        <v>3.2361141149996002</v>
      </c>
      <c r="I859" s="12">
        <f t="shared" si="96"/>
        <v>7.4731762641810735E-3</v>
      </c>
      <c r="J859" s="12">
        <f t="shared" si="97"/>
        <v>7.4054730214398717E-3</v>
      </c>
    </row>
    <row r="860" spans="1:10">
      <c r="A860" s="15">
        <v>41464</v>
      </c>
      <c r="B860" s="11">
        <v>1.6884999999999999</v>
      </c>
      <c r="C860" s="11">
        <f t="shared" si="91"/>
        <v>1.3399999999999856E-2</v>
      </c>
      <c r="D860" s="12">
        <f t="shared" si="92"/>
        <v>1.7955999999999615E-4</v>
      </c>
      <c r="E860" s="12">
        <f t="shared" si="93"/>
        <v>8.2809999999997928E-5</v>
      </c>
      <c r="F860" s="12">
        <f t="shared" si="94"/>
        <v>5.8182564421109066E-5</v>
      </c>
      <c r="G860" s="12">
        <f t="shared" si="95"/>
        <v>2.4139499151084158</v>
      </c>
      <c r="I860" s="12">
        <f t="shared" si="96"/>
        <v>7.6277496302060849E-3</v>
      </c>
      <c r="J860" s="12">
        <f t="shared" si="97"/>
        <v>7.4054730214398717E-3</v>
      </c>
    </row>
    <row r="861" spans="1:10">
      <c r="A861" s="15">
        <v>41465</v>
      </c>
      <c r="B861" s="11">
        <v>1.6667000000000001</v>
      </c>
      <c r="C861" s="11">
        <f t="shared" si="91"/>
        <v>-2.179999999999982E-2</v>
      </c>
      <c r="D861" s="12">
        <f t="shared" si="92"/>
        <v>4.7523999999999212E-4</v>
      </c>
      <c r="E861" s="12">
        <f t="shared" si="93"/>
        <v>1.7955999999999615E-4</v>
      </c>
      <c r="F861" s="12">
        <f t="shared" si="94"/>
        <v>6.8167701957695122E-5</v>
      </c>
      <c r="G861" s="12">
        <f t="shared" si="95"/>
        <v>0.39201627187532495</v>
      </c>
      <c r="I861" s="12">
        <f t="shared" si="96"/>
        <v>8.2563734143808638E-3</v>
      </c>
      <c r="J861" s="12">
        <f t="shared" si="97"/>
        <v>7.4054730214398717E-3</v>
      </c>
    </row>
    <row r="862" spans="1:10">
      <c r="A862" s="15">
        <v>41466</v>
      </c>
      <c r="B862" s="11">
        <v>1.6576</v>
      </c>
      <c r="C862" s="11">
        <f t="shared" si="91"/>
        <v>-9.100000000000108E-3</v>
      </c>
      <c r="D862" s="12">
        <f t="shared" si="92"/>
        <v>8.2810000000001967E-5</v>
      </c>
      <c r="E862" s="12">
        <f t="shared" si="93"/>
        <v>4.7523999999999212E-4</v>
      </c>
      <c r="F862" s="12">
        <f t="shared" si="94"/>
        <v>1.0113575571429277E-4</v>
      </c>
      <c r="G862" s="12">
        <f t="shared" si="95"/>
        <v>3.2711846595576741</v>
      </c>
      <c r="I862" s="12">
        <f t="shared" si="96"/>
        <v>1.0056627452296955E-2</v>
      </c>
      <c r="J862" s="12">
        <f t="shared" si="97"/>
        <v>7.4054730214398717E-3</v>
      </c>
    </row>
    <row r="863" spans="1:10">
      <c r="A863" s="15">
        <v>41467</v>
      </c>
      <c r="B863" s="11">
        <v>1.6662999999999999</v>
      </c>
      <c r="C863" s="11">
        <f t="shared" si="91"/>
        <v>8.69999999999993E-3</v>
      </c>
      <c r="D863" s="12">
        <f t="shared" si="92"/>
        <v>7.5689999999998782E-5</v>
      </c>
      <c r="E863" s="12">
        <f t="shared" si="93"/>
        <v>8.2810000000001967E-5</v>
      </c>
      <c r="F863" s="12">
        <f t="shared" si="94"/>
        <v>9.7128439057871341E-5</v>
      </c>
      <c r="G863" s="12">
        <f t="shared" si="95"/>
        <v>3.3111609169721437</v>
      </c>
      <c r="I863" s="12">
        <f t="shared" si="96"/>
        <v>9.8553761499940405E-3</v>
      </c>
      <c r="J863" s="12">
        <f t="shared" si="97"/>
        <v>7.4054730214398717E-3</v>
      </c>
    </row>
    <row r="864" spans="1:10">
      <c r="A864" s="15">
        <v>41470</v>
      </c>
      <c r="B864" s="11">
        <v>1.6617999999999999</v>
      </c>
      <c r="C864" s="11">
        <f t="shared" si="91"/>
        <v>-4.4999999999999485E-3</v>
      </c>
      <c r="D864" s="12">
        <f t="shared" si="92"/>
        <v>2.0249999999999537E-5</v>
      </c>
      <c r="E864" s="12">
        <f t="shared" si="93"/>
        <v>7.5689999999998782E-5</v>
      </c>
      <c r="F864" s="12">
        <f t="shared" si="94"/>
        <v>9.3095160794521404E-5</v>
      </c>
      <c r="G864" s="12">
        <f t="shared" si="95"/>
        <v>3.6132459551129217</v>
      </c>
      <c r="I864" s="12">
        <f t="shared" si="96"/>
        <v>9.6485833568727281E-3</v>
      </c>
      <c r="J864" s="12">
        <f t="shared" si="97"/>
        <v>7.4054730214398717E-3</v>
      </c>
    </row>
    <row r="865" spans="1:10">
      <c r="A865" s="15">
        <v>41471</v>
      </c>
      <c r="B865" s="11">
        <v>1.6536999999999999</v>
      </c>
      <c r="C865" s="11">
        <f t="shared" si="91"/>
        <v>-8.0999999999999961E-3</v>
      </c>
      <c r="D865" s="12">
        <f t="shared" si="92"/>
        <v>6.5609999999999936E-5</v>
      </c>
      <c r="E865" s="12">
        <f t="shared" si="93"/>
        <v>2.0249999999999537E-5</v>
      </c>
      <c r="F865" s="12">
        <f t="shared" si="94"/>
        <v>8.5055196044953415E-5</v>
      </c>
      <c r="G865" s="12">
        <f t="shared" si="95"/>
        <v>3.3814758105775602</v>
      </c>
      <c r="I865" s="12">
        <f t="shared" si="96"/>
        <v>9.2225373973193192E-3</v>
      </c>
      <c r="J865" s="12">
        <f t="shared" si="97"/>
        <v>7.4054730214398717E-3</v>
      </c>
    </row>
    <row r="866" spans="1:10">
      <c r="A866" s="15">
        <v>41472</v>
      </c>
      <c r="B866" s="11">
        <v>1.6568000000000001</v>
      </c>
      <c r="C866" s="11">
        <f t="shared" si="91"/>
        <v>3.1000000000001027E-3</v>
      </c>
      <c r="D866" s="12">
        <f t="shared" si="92"/>
        <v>9.6100000000006364E-6</v>
      </c>
      <c r="E866" s="12">
        <f t="shared" si="93"/>
        <v>6.5609999999999936E-5</v>
      </c>
      <c r="F866" s="12">
        <f t="shared" si="94"/>
        <v>8.1881339270481281E-5</v>
      </c>
      <c r="G866" s="12">
        <f t="shared" si="95"/>
        <v>3.7274987004706635</v>
      </c>
      <c r="I866" s="12">
        <f t="shared" si="96"/>
        <v>9.0488308233981959E-3</v>
      </c>
      <c r="J866" s="12">
        <f t="shared" si="97"/>
        <v>7.4054730214398717E-3</v>
      </c>
    </row>
    <row r="867" spans="1:10">
      <c r="A867" s="15">
        <v>41473</v>
      </c>
      <c r="B867" s="11">
        <v>1.6617999999999999</v>
      </c>
      <c r="C867" s="11">
        <f t="shared" si="91"/>
        <v>4.9999999999998934E-3</v>
      </c>
      <c r="D867" s="12">
        <f t="shared" si="92"/>
        <v>2.4999999999998934E-5</v>
      </c>
      <c r="E867" s="12">
        <f t="shared" si="93"/>
        <v>9.6100000000006364E-6</v>
      </c>
      <c r="F867" s="12">
        <f t="shared" si="94"/>
        <v>7.4534276299299536E-5</v>
      </c>
      <c r="G867" s="12">
        <f t="shared" si="95"/>
        <v>3.6654791113199674</v>
      </c>
      <c r="I867" s="12">
        <f t="shared" si="96"/>
        <v>8.6333235951920363E-3</v>
      </c>
      <c r="J867" s="12">
        <f t="shared" si="97"/>
        <v>7.4054730214398717E-3</v>
      </c>
    </row>
    <row r="868" spans="1:10">
      <c r="A868" s="15">
        <v>41474</v>
      </c>
      <c r="B868" s="11">
        <v>1.6571</v>
      </c>
      <c r="C868" s="11">
        <f t="shared" si="91"/>
        <v>-4.6999999999999265E-3</v>
      </c>
      <c r="D868" s="12">
        <f t="shared" si="92"/>
        <v>2.2089999999999309E-5</v>
      </c>
      <c r="E868" s="12">
        <f t="shared" si="93"/>
        <v>2.4999999999998934E-5</v>
      </c>
      <c r="F868" s="12">
        <f t="shared" si="94"/>
        <v>6.9485035570110635E-5</v>
      </c>
      <c r="G868" s="12">
        <f t="shared" si="95"/>
        <v>3.7093059426567159</v>
      </c>
      <c r="I868" s="12">
        <f t="shared" si="96"/>
        <v>8.3357684450871498E-3</v>
      </c>
      <c r="J868" s="12">
        <f t="shared" si="97"/>
        <v>7.4054730214398717E-3</v>
      </c>
    </row>
    <row r="869" spans="1:10">
      <c r="A869" s="15">
        <v>41477</v>
      </c>
      <c r="B869" s="11">
        <v>1.6551</v>
      </c>
      <c r="C869" s="11">
        <f t="shared" si="91"/>
        <v>-2.0000000000000018E-3</v>
      </c>
      <c r="D869" s="12">
        <f t="shared" si="92"/>
        <v>4.0000000000000074E-6</v>
      </c>
      <c r="E869" s="12">
        <f t="shared" si="93"/>
        <v>2.2089999999999309E-5</v>
      </c>
      <c r="F869" s="12">
        <f t="shared" si="94"/>
        <v>6.490287939572098E-5</v>
      </c>
      <c r="G869" s="12">
        <f t="shared" si="95"/>
        <v>3.8715554698864665</v>
      </c>
      <c r="I869" s="12">
        <f t="shared" si="96"/>
        <v>8.0562323325311918E-3</v>
      </c>
      <c r="J869" s="12">
        <f t="shared" si="97"/>
        <v>7.4054730214398717E-3</v>
      </c>
    </row>
    <row r="870" spans="1:10">
      <c r="A870" s="15">
        <v>41478</v>
      </c>
      <c r="B870" s="11">
        <v>1.6532</v>
      </c>
      <c r="C870" s="11">
        <f t="shared" si="91"/>
        <v>-1.9000000000000128E-3</v>
      </c>
      <c r="D870" s="12">
        <f t="shared" si="92"/>
        <v>3.6100000000000484E-6</v>
      </c>
      <c r="E870" s="12">
        <f t="shared" si="93"/>
        <v>4.0000000000000074E-6</v>
      </c>
      <c r="F870" s="12">
        <f t="shared" si="94"/>
        <v>5.9470693511299357E-5</v>
      </c>
      <c r="G870" s="12">
        <f t="shared" si="95"/>
        <v>3.9157238320403192</v>
      </c>
      <c r="I870" s="12">
        <f t="shared" si="96"/>
        <v>7.7117244187859405E-3</v>
      </c>
      <c r="J870" s="12">
        <f t="shared" si="97"/>
        <v>7.4054730214398717E-3</v>
      </c>
    </row>
    <row r="871" spans="1:10">
      <c r="A871" s="15">
        <v>41479</v>
      </c>
      <c r="B871" s="11">
        <v>1.6592</v>
      </c>
      <c r="C871" s="11">
        <f t="shared" si="91"/>
        <v>6.0000000000000053E-3</v>
      </c>
      <c r="D871" s="12">
        <f t="shared" si="92"/>
        <v>3.6000000000000062E-5</v>
      </c>
      <c r="E871" s="12">
        <f t="shared" si="93"/>
        <v>3.6100000000000484E-6</v>
      </c>
      <c r="F871" s="12">
        <f t="shared" si="94"/>
        <v>5.4767008971447709E-5</v>
      </c>
      <c r="G871" s="12">
        <f t="shared" si="95"/>
        <v>3.6586077269001112</v>
      </c>
      <c r="I871" s="12">
        <f t="shared" si="96"/>
        <v>7.4004735639989763E-3</v>
      </c>
      <c r="J871" s="12">
        <f t="shared" si="97"/>
        <v>7.4054730214398717E-3</v>
      </c>
    </row>
    <row r="872" spans="1:10">
      <c r="A872" s="15">
        <v>41480</v>
      </c>
      <c r="B872" s="11">
        <v>1.6456</v>
      </c>
      <c r="C872" s="11">
        <f t="shared" si="91"/>
        <v>-1.3600000000000056E-2</v>
      </c>
      <c r="D872" s="12">
        <f t="shared" si="92"/>
        <v>1.8496000000000154E-4</v>
      </c>
      <c r="E872" s="12">
        <f t="shared" si="93"/>
        <v>3.6000000000000062E-5</v>
      </c>
      <c r="F872" s="12">
        <f t="shared" si="94"/>
        <v>5.3392781193048563E-5</v>
      </c>
      <c r="G872" s="12">
        <f t="shared" si="95"/>
        <v>2.2679096083513102</v>
      </c>
      <c r="I872" s="12">
        <f t="shared" si="96"/>
        <v>7.3070364165678386E-3</v>
      </c>
      <c r="J872" s="12">
        <f t="shared" si="97"/>
        <v>7.4054730214398717E-3</v>
      </c>
    </row>
    <row r="873" spans="1:10">
      <c r="A873" s="15">
        <v>41481</v>
      </c>
      <c r="B873" s="11">
        <v>1.6517999999999999</v>
      </c>
      <c r="C873" s="11">
        <f t="shared" si="91"/>
        <v>6.1999999999999833E-3</v>
      </c>
      <c r="D873" s="12">
        <f t="shared" si="92"/>
        <v>3.8439999999999795E-5</v>
      </c>
      <c r="E873" s="12">
        <f t="shared" si="93"/>
        <v>1.8496000000000154E-4</v>
      </c>
      <c r="F873" s="12">
        <f t="shared" si="94"/>
        <v>6.4493896090692189E-5</v>
      </c>
      <c r="G873" s="12">
        <f t="shared" si="95"/>
        <v>3.6075187475225845</v>
      </c>
      <c r="I873" s="12">
        <f t="shared" si="96"/>
        <v>8.0308091803187667E-3</v>
      </c>
      <c r="J873" s="12">
        <f t="shared" si="97"/>
        <v>7.4054730214398717E-3</v>
      </c>
    </row>
    <row r="874" spans="1:10">
      <c r="A874" s="15">
        <v>41484</v>
      </c>
      <c r="B874" s="11">
        <v>1.6556</v>
      </c>
      <c r="C874" s="11">
        <f t="shared" si="91"/>
        <v>3.8000000000000256E-3</v>
      </c>
      <c r="D874" s="12">
        <f t="shared" si="92"/>
        <v>1.4440000000000194E-5</v>
      </c>
      <c r="E874" s="12">
        <f t="shared" si="93"/>
        <v>3.8439999999999795E-5</v>
      </c>
      <c r="F874" s="12">
        <f t="shared" si="94"/>
        <v>6.1958825616869662E-5</v>
      </c>
      <c r="G874" s="12">
        <f t="shared" si="95"/>
        <v>3.8090527074959604</v>
      </c>
      <c r="I874" s="12">
        <f t="shared" si="96"/>
        <v>7.8713928638373572E-3</v>
      </c>
      <c r="J874" s="12">
        <f t="shared" si="97"/>
        <v>7.4054730214398717E-3</v>
      </c>
    </row>
    <row r="875" spans="1:10">
      <c r="A875" s="15">
        <v>41485</v>
      </c>
      <c r="B875" s="11">
        <v>1.6472</v>
      </c>
      <c r="C875" s="11">
        <f t="shared" si="91"/>
        <v>-8.3999999999999631E-3</v>
      </c>
      <c r="D875" s="12">
        <f t="shared" si="92"/>
        <v>7.0559999999999379E-5</v>
      </c>
      <c r="E875" s="12">
        <f t="shared" si="93"/>
        <v>1.4440000000000194E-5</v>
      </c>
      <c r="F875" s="12">
        <f t="shared" si="94"/>
        <v>5.7799749936991562E-5</v>
      </c>
      <c r="G875" s="12">
        <f t="shared" si="95"/>
        <v>3.3499412501626082</v>
      </c>
      <c r="I875" s="12">
        <f t="shared" si="96"/>
        <v>7.6026146776613348E-3</v>
      </c>
      <c r="J875" s="12">
        <f t="shared" si="97"/>
        <v>7.4054730214398717E-3</v>
      </c>
    </row>
    <row r="876" spans="1:10">
      <c r="A876" s="15">
        <v>41486</v>
      </c>
      <c r="B876" s="11">
        <v>1.6431</v>
      </c>
      <c r="C876" s="11">
        <f t="shared" si="91"/>
        <v>-4.0999999999999925E-3</v>
      </c>
      <c r="D876" s="12">
        <f t="shared" si="92"/>
        <v>1.6809999999999939E-5</v>
      </c>
      <c r="E876" s="12">
        <f t="shared" si="93"/>
        <v>7.0559999999999379E-5</v>
      </c>
      <c r="F876" s="12">
        <f t="shared" si="94"/>
        <v>5.8850593624677897E-5</v>
      </c>
      <c r="G876" s="12">
        <f t="shared" si="95"/>
        <v>3.808496487981631</v>
      </c>
      <c r="I876" s="12">
        <f t="shared" si="96"/>
        <v>7.6714140563965061E-3</v>
      </c>
      <c r="J876" s="12">
        <f t="shared" si="97"/>
        <v>7.4054730214398717E-3</v>
      </c>
    </row>
    <row r="877" spans="1:10">
      <c r="A877" s="15">
        <v>41487</v>
      </c>
      <c r="B877" s="11">
        <v>1.6597</v>
      </c>
      <c r="C877" s="11">
        <f t="shared" si="91"/>
        <v>1.6599999999999948E-2</v>
      </c>
      <c r="D877" s="12">
        <f t="shared" si="92"/>
        <v>2.7555999999999826E-4</v>
      </c>
      <c r="E877" s="12">
        <f t="shared" si="93"/>
        <v>1.6809999999999939E-5</v>
      </c>
      <c r="F877" s="12">
        <f t="shared" si="94"/>
        <v>5.5322183412910432E-5</v>
      </c>
      <c r="G877" s="12">
        <f t="shared" si="95"/>
        <v>1.491727903448604</v>
      </c>
      <c r="I877" s="12">
        <f t="shared" si="96"/>
        <v>7.4378883705599154E-3</v>
      </c>
      <c r="J877" s="12">
        <f t="shared" si="97"/>
        <v>7.4054730214398717E-3</v>
      </c>
    </row>
    <row r="878" spans="1:10">
      <c r="A878" s="15">
        <v>41488</v>
      </c>
      <c r="B878" s="11">
        <v>1.6449</v>
      </c>
      <c r="C878" s="11">
        <f t="shared" si="91"/>
        <v>-1.4799999999999924E-2</v>
      </c>
      <c r="D878" s="12">
        <f t="shared" si="92"/>
        <v>2.1903999999999777E-4</v>
      </c>
      <c r="E878" s="12">
        <f t="shared" si="93"/>
        <v>2.7555999999999826E-4</v>
      </c>
      <c r="F878" s="12">
        <f t="shared" si="94"/>
        <v>7.3623802801936673E-5</v>
      </c>
      <c r="G878" s="12">
        <f t="shared" si="95"/>
        <v>2.351770158621993</v>
      </c>
      <c r="I878" s="12">
        <f t="shared" si="96"/>
        <v>8.5804313878695328E-3</v>
      </c>
      <c r="J878" s="12">
        <f t="shared" si="97"/>
        <v>7.4054730214398717E-3</v>
      </c>
    </row>
    <row r="879" spans="1:10">
      <c r="A879" s="15">
        <v>41491</v>
      </c>
      <c r="B879" s="11">
        <v>1.6556999999999999</v>
      </c>
      <c r="C879" s="11">
        <f t="shared" si="91"/>
        <v>1.0799999999999921E-2</v>
      </c>
      <c r="D879" s="12">
        <f t="shared" si="92"/>
        <v>1.1663999999999829E-4</v>
      </c>
      <c r="E879" s="12">
        <f t="shared" si="93"/>
        <v>2.1903999999999777E-4</v>
      </c>
      <c r="F879" s="12">
        <f t="shared" si="94"/>
        <v>8.4702163025985089E-5</v>
      </c>
      <c r="G879" s="12">
        <f t="shared" si="95"/>
        <v>3.0807159364947738</v>
      </c>
      <c r="I879" s="12">
        <f t="shared" si="96"/>
        <v>9.2033778052400469E-3</v>
      </c>
      <c r="J879" s="12">
        <f t="shared" si="97"/>
        <v>7.4054730214398717E-3</v>
      </c>
    </row>
    <row r="880" spans="1:10">
      <c r="A880" s="15">
        <v>41492</v>
      </c>
      <c r="B880" s="11">
        <v>1.6523000000000001</v>
      </c>
      <c r="C880" s="11">
        <f t="shared" si="91"/>
        <v>-3.3999999999998476E-3</v>
      </c>
      <c r="D880" s="12">
        <f t="shared" si="92"/>
        <v>1.1559999999998964E-5</v>
      </c>
      <c r="E880" s="12">
        <f t="shared" si="93"/>
        <v>1.1663999999999829E-4</v>
      </c>
      <c r="F880" s="12">
        <f t="shared" si="94"/>
        <v>8.5785561713993251E-5</v>
      </c>
      <c r="G880" s="12">
        <f t="shared" si="95"/>
        <v>3.6955140759095655</v>
      </c>
      <c r="I880" s="12">
        <f t="shared" si="96"/>
        <v>9.2620495417587382E-3</v>
      </c>
      <c r="J880" s="12">
        <f t="shared" si="97"/>
        <v>7.4054730214398717E-3</v>
      </c>
    </row>
    <row r="881" spans="1:10">
      <c r="A881" s="15">
        <v>41493</v>
      </c>
      <c r="B881" s="11">
        <v>1.649</v>
      </c>
      <c r="C881" s="11">
        <f t="shared" si="91"/>
        <v>-3.3000000000000806E-3</v>
      </c>
      <c r="D881" s="12">
        <f t="shared" si="92"/>
        <v>1.0890000000000533E-5</v>
      </c>
      <c r="E881" s="12">
        <f t="shared" si="93"/>
        <v>1.1559999999998964E-5</v>
      </c>
      <c r="F881" s="12">
        <f t="shared" si="94"/>
        <v>7.8052589703749554E-5</v>
      </c>
      <c r="G881" s="12">
        <f t="shared" si="95"/>
        <v>3.7403646673644384</v>
      </c>
      <c r="I881" s="12">
        <f t="shared" si="96"/>
        <v>8.8347376703414096E-3</v>
      </c>
      <c r="J881" s="12">
        <f t="shared" si="97"/>
        <v>7.4054730214398717E-3</v>
      </c>
    </row>
    <row r="882" spans="1:10">
      <c r="A882" s="15">
        <v>41494</v>
      </c>
      <c r="B882" s="11">
        <v>1.6452</v>
      </c>
      <c r="C882" s="11">
        <f t="shared" si="91"/>
        <v>-3.8000000000000256E-3</v>
      </c>
      <c r="D882" s="12">
        <f t="shared" si="92"/>
        <v>1.4440000000000194E-5</v>
      </c>
      <c r="E882" s="12">
        <f t="shared" si="93"/>
        <v>1.0890000000000533E-5</v>
      </c>
      <c r="F882" s="12">
        <f t="shared" si="94"/>
        <v>7.1347206081359978E-5</v>
      </c>
      <c r="G882" s="12">
        <f t="shared" si="95"/>
        <v>3.7538423727409382</v>
      </c>
      <c r="I882" s="12">
        <f t="shared" si="96"/>
        <v>8.4467275368251323E-3</v>
      </c>
      <c r="J882" s="12">
        <f t="shared" si="97"/>
        <v>7.4054730214398717E-3</v>
      </c>
    </row>
    <row r="883" spans="1:10">
      <c r="A883" s="15">
        <v>41495</v>
      </c>
      <c r="B883" s="11">
        <v>1.6462000000000001</v>
      </c>
      <c r="C883" s="11">
        <f t="shared" si="91"/>
        <v>1.0000000000001119E-3</v>
      </c>
      <c r="D883" s="12">
        <f t="shared" si="92"/>
        <v>1.0000000000002238E-6</v>
      </c>
      <c r="E883" s="12">
        <f t="shared" si="93"/>
        <v>1.4440000000000194E-5</v>
      </c>
      <c r="F883" s="12">
        <f t="shared" si="94"/>
        <v>6.5873491226498142E-5</v>
      </c>
      <c r="G883" s="12">
        <f t="shared" si="95"/>
        <v>3.8873583802101765</v>
      </c>
      <c r="I883" s="12">
        <f t="shared" si="96"/>
        <v>8.1162485931924322E-3</v>
      </c>
      <c r="J883" s="12">
        <f t="shared" si="97"/>
        <v>7.4054730214398717E-3</v>
      </c>
    </row>
    <row r="884" spans="1:10">
      <c r="A884" s="15">
        <v>41498</v>
      </c>
      <c r="B884" s="11">
        <v>1.6548</v>
      </c>
      <c r="C884" s="11">
        <f t="shared" si="91"/>
        <v>8.599999999999941E-3</v>
      </c>
      <c r="D884" s="12">
        <f t="shared" si="92"/>
        <v>7.3959999999998987E-5</v>
      </c>
      <c r="E884" s="12">
        <f t="shared" si="93"/>
        <v>1.0000000000002238E-6</v>
      </c>
      <c r="F884" s="12">
        <f t="shared" si="94"/>
        <v>6.0058018835588329E-5</v>
      </c>
      <c r="G884" s="12">
        <f t="shared" si="95"/>
        <v>3.3254232738879717</v>
      </c>
      <c r="I884" s="12">
        <f t="shared" si="96"/>
        <v>7.7497108872259437E-3</v>
      </c>
      <c r="J884" s="12">
        <f t="shared" si="97"/>
        <v>7.4054730214398717E-3</v>
      </c>
    </row>
    <row r="885" spans="1:10">
      <c r="A885" s="15">
        <v>41499</v>
      </c>
      <c r="B885" s="11">
        <v>1.6539999999999999</v>
      </c>
      <c r="C885" s="11">
        <f t="shared" si="91"/>
        <v>-8.0000000000013394E-4</v>
      </c>
      <c r="D885" s="12">
        <f t="shared" si="92"/>
        <v>6.4000000000021431E-7</v>
      </c>
      <c r="E885" s="12">
        <f t="shared" si="93"/>
        <v>7.3959999999998987E-5</v>
      </c>
      <c r="F885" s="12">
        <f t="shared" si="94"/>
        <v>6.1072997389645674E-5</v>
      </c>
      <c r="G885" s="12">
        <f t="shared" si="95"/>
        <v>3.9275421932846131</v>
      </c>
      <c r="I885" s="12">
        <f t="shared" si="96"/>
        <v>7.8149214576760575E-3</v>
      </c>
      <c r="J885" s="12">
        <f t="shared" si="97"/>
        <v>7.4054730214398717E-3</v>
      </c>
    </row>
    <row r="886" spans="1:10">
      <c r="A886" s="15">
        <v>41500</v>
      </c>
      <c r="B886" s="11">
        <v>1.6598999999999999</v>
      </c>
      <c r="C886" s="11">
        <f t="shared" si="91"/>
        <v>5.9000000000000163E-3</v>
      </c>
      <c r="D886" s="12">
        <f t="shared" si="92"/>
        <v>3.481000000000019E-5</v>
      </c>
      <c r="E886" s="12">
        <f t="shared" si="93"/>
        <v>6.4000000000021431E-7</v>
      </c>
      <c r="F886" s="12">
        <f t="shared" si="94"/>
        <v>5.5900045298632633E-5</v>
      </c>
      <c r="G886" s="12">
        <f t="shared" si="95"/>
        <v>3.6656748247835855</v>
      </c>
      <c r="I886" s="12">
        <f t="shared" si="96"/>
        <v>7.4766332863550715E-3</v>
      </c>
      <c r="J886" s="12">
        <f t="shared" si="97"/>
        <v>7.4054730214398717E-3</v>
      </c>
    </row>
    <row r="887" spans="1:10">
      <c r="A887" s="15">
        <v>41501</v>
      </c>
      <c r="B887" s="11">
        <v>1.6486000000000001</v>
      </c>
      <c r="C887" s="11">
        <f t="shared" si="91"/>
        <v>-1.1299999999999866E-2</v>
      </c>
      <c r="D887" s="12">
        <f t="shared" si="92"/>
        <v>1.2768999999999696E-4</v>
      </c>
      <c r="E887" s="12">
        <f t="shared" si="93"/>
        <v>3.481000000000019E-5</v>
      </c>
      <c r="F887" s="12">
        <f t="shared" si="94"/>
        <v>5.4269035577261147E-5</v>
      </c>
      <c r="G887" s="12">
        <f t="shared" si="95"/>
        <v>2.8153862717367182</v>
      </c>
      <c r="I887" s="12">
        <f t="shared" si="96"/>
        <v>7.3667520371776558E-3</v>
      </c>
      <c r="J887" s="12">
        <f t="shared" si="97"/>
        <v>7.4054730214398717E-3</v>
      </c>
    </row>
    <row r="888" spans="1:10">
      <c r="A888" s="15">
        <v>41502</v>
      </c>
      <c r="B888" s="11">
        <v>1.6521999999999999</v>
      </c>
      <c r="C888" s="11">
        <f t="shared" si="91"/>
        <v>3.5999999999998256E-3</v>
      </c>
      <c r="D888" s="12">
        <f t="shared" si="92"/>
        <v>1.2959999999998744E-5</v>
      </c>
      <c r="E888" s="12">
        <f t="shared" si="93"/>
        <v>1.2768999999999696E-4</v>
      </c>
      <c r="F888" s="12">
        <f t="shared" si="94"/>
        <v>6.0525092614701607E-5</v>
      </c>
      <c r="G888" s="12">
        <f t="shared" si="95"/>
        <v>3.8302246886856581</v>
      </c>
      <c r="I888" s="12">
        <f t="shared" si="96"/>
        <v>7.7797874402005104E-3</v>
      </c>
      <c r="J888" s="12">
        <f t="shared" si="97"/>
        <v>7.4054730214398717E-3</v>
      </c>
    </row>
    <row r="889" spans="1:10">
      <c r="A889" s="15">
        <v>41505</v>
      </c>
      <c r="B889" s="11">
        <v>1.6364000000000001</v>
      </c>
      <c r="C889" s="11">
        <f t="shared" si="91"/>
        <v>-1.5799999999999814E-2</v>
      </c>
      <c r="D889" s="12">
        <f t="shared" si="92"/>
        <v>2.4963999999999412E-4</v>
      </c>
      <c r="E889" s="12">
        <f t="shared" si="93"/>
        <v>1.2959999999998744E-5</v>
      </c>
      <c r="F889" s="12">
        <f t="shared" si="94"/>
        <v>5.6444742639288393E-5</v>
      </c>
      <c r="G889" s="12">
        <f t="shared" si="95"/>
        <v>1.7608193916339976</v>
      </c>
      <c r="I889" s="12">
        <f t="shared" si="96"/>
        <v>7.5129716250820749E-3</v>
      </c>
      <c r="J889" s="12">
        <f t="shared" si="97"/>
        <v>7.4054730214398717E-3</v>
      </c>
    </row>
    <row r="890" spans="1:10">
      <c r="A890" s="15">
        <v>41506</v>
      </c>
      <c r="B890" s="11">
        <v>1.6279999999999999</v>
      </c>
      <c r="C890" s="11">
        <f t="shared" si="91"/>
        <v>-8.4000000000001851E-3</v>
      </c>
      <c r="D890" s="12">
        <f t="shared" si="92"/>
        <v>7.0560000000003106E-5</v>
      </c>
      <c r="E890" s="12">
        <f t="shared" si="93"/>
        <v>2.4963999999999412E-4</v>
      </c>
      <c r="F890" s="12">
        <f t="shared" si="94"/>
        <v>7.2451866118155238E-5</v>
      </c>
      <c r="G890" s="12">
        <f t="shared" si="95"/>
        <v>3.3604115461462505</v>
      </c>
      <c r="I890" s="12">
        <f t="shared" si="96"/>
        <v>8.5118661947986025E-3</v>
      </c>
      <c r="J890" s="12">
        <f t="shared" si="97"/>
        <v>7.4054730214398717E-3</v>
      </c>
    </row>
    <row r="891" spans="1:10">
      <c r="A891" s="15">
        <v>41507</v>
      </c>
      <c r="B891" s="11">
        <v>1.6346000000000001</v>
      </c>
      <c r="C891" s="11">
        <f t="shared" si="91"/>
        <v>6.6000000000001613E-3</v>
      </c>
      <c r="D891" s="12">
        <f t="shared" si="92"/>
        <v>4.3560000000002131E-5</v>
      </c>
      <c r="E891" s="12">
        <f t="shared" si="93"/>
        <v>7.0560000000003106E-5</v>
      </c>
      <c r="F891" s="12">
        <f t="shared" si="94"/>
        <v>7.1450998544136363E-5</v>
      </c>
      <c r="G891" s="12">
        <f t="shared" si="95"/>
        <v>3.5494865071538233</v>
      </c>
      <c r="I891" s="12">
        <f t="shared" si="96"/>
        <v>8.4528692492038676E-3</v>
      </c>
      <c r="J891" s="12">
        <f t="shared" si="97"/>
        <v>7.4054730214398717E-3</v>
      </c>
    </row>
    <row r="892" spans="1:10">
      <c r="A892" s="15">
        <v>41508</v>
      </c>
      <c r="B892" s="11">
        <v>1.64</v>
      </c>
      <c r="C892" s="11">
        <f t="shared" si="91"/>
        <v>5.3999999999998494E-3</v>
      </c>
      <c r="D892" s="12">
        <f t="shared" si="92"/>
        <v>2.9159999999998372E-5</v>
      </c>
      <c r="E892" s="12">
        <f t="shared" si="93"/>
        <v>4.3560000000002131E-5</v>
      </c>
      <c r="F892" s="12">
        <f t="shared" si="94"/>
        <v>6.8363920545148649E-5</v>
      </c>
      <c r="G892" s="12">
        <f t="shared" si="95"/>
        <v>3.6631237443146003</v>
      </c>
      <c r="I892" s="12">
        <f t="shared" si="96"/>
        <v>8.2682477312395909E-3</v>
      </c>
      <c r="J892" s="12">
        <f t="shared" si="97"/>
        <v>7.4054730214398717E-3</v>
      </c>
    </row>
    <row r="893" spans="1:10">
      <c r="A893" s="15">
        <v>41509</v>
      </c>
      <c r="B893" s="11">
        <v>1.6392</v>
      </c>
      <c r="C893" s="11">
        <f t="shared" si="91"/>
        <v>-7.9999999999991189E-4</v>
      </c>
      <c r="D893" s="12">
        <f t="shared" si="92"/>
        <v>6.3999999999985898E-7</v>
      </c>
      <c r="E893" s="12">
        <f t="shared" si="93"/>
        <v>2.9159999999998372E-5</v>
      </c>
      <c r="F893" s="12">
        <f t="shared" si="94"/>
        <v>6.452172877789025E-5</v>
      </c>
      <c r="G893" s="12">
        <f t="shared" si="95"/>
        <v>3.9003561451882951</v>
      </c>
      <c r="I893" s="12">
        <f t="shared" si="96"/>
        <v>8.0325418628159201E-3</v>
      </c>
      <c r="J893" s="12">
        <f t="shared" si="97"/>
        <v>7.4054730214398717E-3</v>
      </c>
    </row>
    <row r="894" spans="1:10">
      <c r="A894" s="15">
        <v>41512</v>
      </c>
      <c r="B894" s="11">
        <v>1.6479999999999999</v>
      </c>
      <c r="C894" s="11">
        <f t="shared" si="91"/>
        <v>8.799999999999919E-3</v>
      </c>
      <c r="D894" s="12">
        <f t="shared" si="92"/>
        <v>7.7439999999998581E-5</v>
      </c>
      <c r="E894" s="12">
        <f t="shared" si="93"/>
        <v>6.3999999999985898E-7</v>
      </c>
      <c r="F894" s="12">
        <f t="shared" si="94"/>
        <v>5.8865856613055005E-5</v>
      </c>
      <c r="G894" s="12">
        <f t="shared" si="95"/>
        <v>3.2934194232942935</v>
      </c>
      <c r="I894" s="12">
        <f t="shared" si="96"/>
        <v>7.6724087881873838E-3</v>
      </c>
      <c r="J894" s="12">
        <f t="shared" si="97"/>
        <v>7.4054730214398717E-3</v>
      </c>
    </row>
    <row r="895" spans="1:10">
      <c r="A895" s="15">
        <v>41513</v>
      </c>
      <c r="B895" s="11">
        <v>1.6392</v>
      </c>
      <c r="C895" s="11">
        <f t="shared" si="91"/>
        <v>-8.799999999999919E-3</v>
      </c>
      <c r="D895" s="12">
        <f t="shared" si="92"/>
        <v>7.7439999999998581E-5</v>
      </c>
      <c r="E895" s="12">
        <f t="shared" si="93"/>
        <v>7.7439999999998581E-5</v>
      </c>
      <c r="F895" s="12">
        <f t="shared" si="94"/>
        <v>6.0334724740964774E-5</v>
      </c>
      <c r="G895" s="12">
        <f t="shared" si="95"/>
        <v>3.297109680536038</v>
      </c>
      <c r="I895" s="12">
        <f t="shared" si="96"/>
        <v>7.7675430311627356E-3</v>
      </c>
      <c r="J895" s="12">
        <f t="shared" si="97"/>
        <v>7.4054730214398717E-3</v>
      </c>
    </row>
    <row r="896" spans="1:10">
      <c r="A896" s="15">
        <v>41514</v>
      </c>
      <c r="B896" s="11">
        <v>1.6434</v>
      </c>
      <c r="C896" s="11">
        <f t="shared" si="91"/>
        <v>4.1999999999999815E-3</v>
      </c>
      <c r="D896" s="12">
        <f t="shared" si="92"/>
        <v>1.7639999999999845E-5</v>
      </c>
      <c r="E896" s="12">
        <f t="shared" si="93"/>
        <v>7.7439999999998581E-5</v>
      </c>
      <c r="F896" s="12">
        <f t="shared" si="94"/>
        <v>6.1597909727768472E-5</v>
      </c>
      <c r="G896" s="12">
        <f t="shared" si="95"/>
        <v>3.7853160929705636</v>
      </c>
      <c r="I896" s="12">
        <f t="shared" si="96"/>
        <v>7.8484335843382446E-3</v>
      </c>
      <c r="J896" s="12">
        <f t="shared" si="97"/>
        <v>7.4054730214398717E-3</v>
      </c>
    </row>
    <row r="897" spans="1:10">
      <c r="A897" s="15">
        <v>41515</v>
      </c>
      <c r="B897" s="11">
        <v>1.6456</v>
      </c>
      <c r="C897" s="11">
        <f t="shared" si="91"/>
        <v>2.1999999999999797E-3</v>
      </c>
      <c r="D897" s="12">
        <f t="shared" si="92"/>
        <v>4.8399999999999113E-6</v>
      </c>
      <c r="E897" s="12">
        <f t="shared" si="93"/>
        <v>1.7639999999999845E-5</v>
      </c>
      <c r="F897" s="12">
        <f t="shared" si="94"/>
        <v>5.7753237411223365E-5</v>
      </c>
      <c r="G897" s="12">
        <f t="shared" si="95"/>
        <v>3.9188246220468095</v>
      </c>
      <c r="I897" s="12">
        <f t="shared" si="96"/>
        <v>7.5995550798203552E-3</v>
      </c>
      <c r="J897" s="12">
        <f t="shared" si="97"/>
        <v>7.4054730214398717E-3</v>
      </c>
    </row>
    <row r="898" spans="1:10">
      <c r="A898" s="15">
        <v>41516</v>
      </c>
      <c r="B898" s="11">
        <v>1.6505000000000001</v>
      </c>
      <c r="C898" s="11">
        <f t="shared" si="91"/>
        <v>4.9000000000001265E-3</v>
      </c>
      <c r="D898" s="12">
        <f t="shared" si="92"/>
        <v>2.4010000000001239E-5</v>
      </c>
      <c r="E898" s="12">
        <f t="shared" si="93"/>
        <v>4.8399999999999113E-6</v>
      </c>
      <c r="F898" s="12">
        <f t="shared" si="94"/>
        <v>5.3391468446704371E-5</v>
      </c>
      <c r="G898" s="12">
        <f t="shared" si="95"/>
        <v>3.7751425977889483</v>
      </c>
      <c r="I898" s="12">
        <f t="shared" si="96"/>
        <v>7.3069465884666469E-3</v>
      </c>
      <c r="J898" s="12">
        <f t="shared" si="97"/>
        <v>7.4054730214398717E-3</v>
      </c>
    </row>
    <row r="899" spans="1:10">
      <c r="A899" s="15">
        <v>41519</v>
      </c>
      <c r="B899" s="11">
        <v>1.6556999999999999</v>
      </c>
      <c r="C899" s="11">
        <f t="shared" si="91"/>
        <v>5.1999999999998714E-3</v>
      </c>
      <c r="D899" s="12">
        <f t="shared" si="92"/>
        <v>2.7039999999998664E-5</v>
      </c>
      <c r="E899" s="12">
        <f t="shared" si="93"/>
        <v>2.4010000000001239E-5</v>
      </c>
      <c r="F899" s="12">
        <f t="shared" si="94"/>
        <v>5.1221186442504776E-5</v>
      </c>
      <c r="G899" s="12">
        <f t="shared" si="95"/>
        <v>3.7567868395712645</v>
      </c>
      <c r="I899" s="12">
        <f t="shared" si="96"/>
        <v>7.1568978225558574E-3</v>
      </c>
      <c r="J899" s="12">
        <f t="shared" si="97"/>
        <v>7.4054730214398717E-3</v>
      </c>
    </row>
    <row r="900" spans="1:10">
      <c r="A900" s="15">
        <v>41520</v>
      </c>
      <c r="B900" s="11">
        <v>1.6606000000000001</v>
      </c>
      <c r="C900" s="11">
        <f t="shared" si="91"/>
        <v>4.9000000000001265E-3</v>
      </c>
      <c r="D900" s="12">
        <f t="shared" si="92"/>
        <v>2.4010000000001239E-5</v>
      </c>
      <c r="E900" s="12">
        <f t="shared" si="93"/>
        <v>2.7039999999998664E-5</v>
      </c>
      <c r="F900" s="12">
        <f t="shared" si="94"/>
        <v>4.9604652481287941E-5</v>
      </c>
      <c r="G900" s="12">
        <f t="shared" si="95"/>
        <v>3.7947608342704808</v>
      </c>
      <c r="I900" s="12">
        <f t="shared" si="96"/>
        <v>7.043057040894099E-3</v>
      </c>
      <c r="J900" s="12">
        <f t="shared" si="97"/>
        <v>7.4054730214398717E-3</v>
      </c>
    </row>
    <row r="901" spans="1:10">
      <c r="A901" s="15">
        <v>41521</v>
      </c>
      <c r="B901" s="11">
        <v>1.6617999999999999</v>
      </c>
      <c r="C901" s="11">
        <f t="shared" si="91"/>
        <v>1.1999999999998678E-3</v>
      </c>
      <c r="D901" s="12">
        <f t="shared" si="92"/>
        <v>1.4399999999996828E-6</v>
      </c>
      <c r="E901" s="12">
        <f t="shared" si="93"/>
        <v>2.4010000000001239E-5</v>
      </c>
      <c r="F901" s="12">
        <f t="shared" si="94"/>
        <v>4.7964631967386879E-5</v>
      </c>
      <c r="G901" s="12">
        <f t="shared" si="95"/>
        <v>4.0385737250812346</v>
      </c>
      <c r="I901" s="12">
        <f t="shared" si="96"/>
        <v>6.9256502920221783E-3</v>
      </c>
      <c r="J901" s="12">
        <f t="shared" si="97"/>
        <v>7.4054730214398717E-3</v>
      </c>
    </row>
    <row r="902" spans="1:10">
      <c r="A902" s="15">
        <v>41522</v>
      </c>
      <c r="B902" s="11">
        <v>1.6667000000000001</v>
      </c>
      <c r="C902" s="11">
        <f t="shared" si="91"/>
        <v>4.9000000000001265E-3</v>
      </c>
      <c r="D902" s="12">
        <f t="shared" si="92"/>
        <v>2.4010000000001239E-5</v>
      </c>
      <c r="E902" s="12">
        <f t="shared" si="93"/>
        <v>1.4399999999996828E-6</v>
      </c>
      <c r="F902" s="12">
        <f t="shared" si="94"/>
        <v>4.4693188536842484E-5</v>
      </c>
      <c r="G902" s="12">
        <f t="shared" si="95"/>
        <v>3.8202970204597499</v>
      </c>
      <c r="I902" s="12">
        <f t="shared" si="96"/>
        <v>6.6852964434527869E-3</v>
      </c>
      <c r="J902" s="12">
        <f t="shared" si="97"/>
        <v>7.4054730214398717E-3</v>
      </c>
    </row>
    <row r="903" spans="1:10">
      <c r="A903" s="15">
        <v>41523</v>
      </c>
      <c r="B903" s="11">
        <v>1.6561999999999999</v>
      </c>
      <c r="C903" s="11">
        <f t="shared" si="91"/>
        <v>-1.0500000000000176E-2</v>
      </c>
      <c r="D903" s="12">
        <f t="shared" si="92"/>
        <v>1.102500000000037E-4</v>
      </c>
      <c r="E903" s="12">
        <f t="shared" si="93"/>
        <v>2.4010000000001239E-5</v>
      </c>
      <c r="F903" s="12">
        <f t="shared" si="94"/>
        <v>4.374091208405076E-5</v>
      </c>
      <c r="G903" s="12">
        <f t="shared" si="95"/>
        <v>2.8394130183159532</v>
      </c>
      <c r="I903" s="12">
        <f t="shared" si="96"/>
        <v>6.6136912601096496E-3</v>
      </c>
      <c r="J903" s="12">
        <f t="shared" si="97"/>
        <v>7.4054730214398717E-3</v>
      </c>
    </row>
    <row r="904" spans="1:10">
      <c r="A904" s="15">
        <v>41526</v>
      </c>
      <c r="B904" s="11">
        <v>1.6486000000000001</v>
      </c>
      <c r="C904" s="11">
        <f t="shared" si="91"/>
        <v>-7.5999999999998291E-3</v>
      </c>
      <c r="D904" s="12">
        <f t="shared" si="92"/>
        <v>5.7759999999997401E-5</v>
      </c>
      <c r="E904" s="12">
        <f t="shared" si="93"/>
        <v>1.102500000000037E-4</v>
      </c>
      <c r="F904" s="12">
        <f t="shared" si="94"/>
        <v>5.0033140806705143E-5</v>
      </c>
      <c r="G904" s="12">
        <f t="shared" si="95"/>
        <v>3.4552565264056385</v>
      </c>
      <c r="I904" s="12">
        <f t="shared" si="96"/>
        <v>7.0734108325973223E-3</v>
      </c>
      <c r="J904" s="12">
        <f t="shared" si="97"/>
        <v>7.4054730214398717E-3</v>
      </c>
    </row>
    <row r="905" spans="1:10">
      <c r="A905" s="15">
        <v>41527</v>
      </c>
      <c r="B905" s="11">
        <v>1.6541999999999999</v>
      </c>
      <c r="C905" s="11">
        <f t="shared" si="91"/>
        <v>5.5999999999998273E-3</v>
      </c>
      <c r="D905" s="12">
        <f t="shared" si="92"/>
        <v>3.1359999999998067E-5</v>
      </c>
      <c r="E905" s="12">
        <f t="shared" si="93"/>
        <v>5.7759999999997401E-5</v>
      </c>
      <c r="F905" s="12">
        <f t="shared" si="94"/>
        <v>5.1116070082550321E-5</v>
      </c>
      <c r="G905" s="12">
        <f t="shared" si="95"/>
        <v>3.7150144264881568</v>
      </c>
      <c r="I905" s="12">
        <f t="shared" si="96"/>
        <v>7.1495503412837315E-3</v>
      </c>
      <c r="J905" s="12">
        <f t="shared" si="97"/>
        <v>7.4054730214398717E-3</v>
      </c>
    </row>
    <row r="906" spans="1:10">
      <c r="A906" s="15">
        <v>41528</v>
      </c>
      <c r="B906" s="11">
        <v>1.6456</v>
      </c>
      <c r="C906" s="11">
        <f t="shared" si="91"/>
        <v>-8.599999999999941E-3</v>
      </c>
      <c r="D906" s="12">
        <f t="shared" si="92"/>
        <v>7.3959999999998987E-5</v>
      </c>
      <c r="E906" s="12">
        <f t="shared" si="93"/>
        <v>3.1359999999998067E-5</v>
      </c>
      <c r="F906" s="12">
        <f t="shared" si="94"/>
        <v>4.9870473026282988E-5</v>
      </c>
      <c r="G906" s="12">
        <f t="shared" si="95"/>
        <v>3.2925812467767503</v>
      </c>
      <c r="I906" s="12">
        <f t="shared" si="96"/>
        <v>7.0619029323747426E-3</v>
      </c>
      <c r="J906" s="12">
        <f t="shared" si="97"/>
        <v>7.4054730214398717E-3</v>
      </c>
    </row>
    <row r="907" spans="1:10">
      <c r="A907" s="15">
        <v>41529</v>
      </c>
      <c r="B907" s="11">
        <v>1.6434</v>
      </c>
      <c r="C907" s="11">
        <f t="shared" si="91"/>
        <v>-2.1999999999999797E-3</v>
      </c>
      <c r="D907" s="12">
        <f t="shared" si="92"/>
        <v>4.8399999999999113E-6</v>
      </c>
      <c r="E907" s="12">
        <f t="shared" si="93"/>
        <v>7.3959999999998987E-5</v>
      </c>
      <c r="F907" s="12">
        <f t="shared" si="94"/>
        <v>5.2311996538601274E-5</v>
      </c>
      <c r="G907" s="12">
        <f t="shared" si="95"/>
        <v>3.9639429771232404</v>
      </c>
      <c r="I907" s="12">
        <f t="shared" si="96"/>
        <v>7.2327032663176E-3</v>
      </c>
      <c r="J907" s="12">
        <f t="shared" si="97"/>
        <v>7.4054730214398717E-3</v>
      </c>
    </row>
    <row r="908" spans="1:10">
      <c r="A908" s="15">
        <v>41530</v>
      </c>
      <c r="B908" s="11">
        <v>1.6528</v>
      </c>
      <c r="C908" s="11">
        <f t="shared" si="91"/>
        <v>9.400000000000075E-3</v>
      </c>
      <c r="D908" s="12">
        <f t="shared" si="92"/>
        <v>8.8360000000001411E-5</v>
      </c>
      <c r="E908" s="12">
        <f t="shared" si="93"/>
        <v>4.8399999999999113E-6</v>
      </c>
      <c r="F908" s="12">
        <f t="shared" si="94"/>
        <v>4.8712155410169397E-5</v>
      </c>
      <c r="G908" s="12">
        <f t="shared" si="95"/>
        <v>3.1388919570214755</v>
      </c>
      <c r="I908" s="12">
        <f t="shared" si="96"/>
        <v>6.9794093883486586E-3</v>
      </c>
      <c r="J908" s="12">
        <f t="shared" si="97"/>
        <v>7.4054730214398717E-3</v>
      </c>
    </row>
    <row r="909" spans="1:10">
      <c r="A909" s="15">
        <v>41533</v>
      </c>
      <c r="B909" s="11">
        <v>1.6395999999999999</v>
      </c>
      <c r="C909" s="11">
        <f t="shared" si="91"/>
        <v>-1.3200000000000101E-2</v>
      </c>
      <c r="D909" s="12">
        <f t="shared" si="92"/>
        <v>1.7424000000000264E-4</v>
      </c>
      <c r="E909" s="12">
        <f t="shared" si="93"/>
        <v>8.8360000000001411E-5</v>
      </c>
      <c r="F909" s="12">
        <f t="shared" si="94"/>
        <v>5.250326832050354E-5</v>
      </c>
      <c r="G909" s="12">
        <f t="shared" si="95"/>
        <v>2.3490537554478883</v>
      </c>
      <c r="I909" s="12">
        <f t="shared" si="96"/>
        <v>7.2459139051263607E-3</v>
      </c>
      <c r="J909" s="12">
        <f t="shared" si="97"/>
        <v>7.4054730214398717E-3</v>
      </c>
    </row>
    <row r="910" spans="1:10">
      <c r="A910" s="15">
        <v>41534</v>
      </c>
      <c r="B910" s="11">
        <v>1.6497999999999999</v>
      </c>
      <c r="C910" s="11">
        <f t="shared" ref="C910:C973" si="98">B910-B909</f>
        <v>1.0199999999999987E-2</v>
      </c>
      <c r="D910" s="12">
        <f t="shared" ref="D910:D973" si="99">C910^2</f>
        <v>1.0403999999999973E-4</v>
      </c>
      <c r="E910" s="12">
        <f t="shared" si="93"/>
        <v>1.7424000000000264E-4</v>
      </c>
      <c r="F910" s="12">
        <f t="shared" si="94"/>
        <v>6.2844992743877145E-5</v>
      </c>
      <c r="G910" s="12">
        <f t="shared" si="95"/>
        <v>3.090730196361883</v>
      </c>
      <c r="I910" s="12">
        <f t="shared" si="96"/>
        <v>7.9274833802334237E-3</v>
      </c>
      <c r="J910" s="12">
        <f t="shared" si="97"/>
        <v>7.4054730214398717E-3</v>
      </c>
    </row>
    <row r="911" spans="1:10">
      <c r="A911" s="15">
        <v>41535</v>
      </c>
      <c r="B911" s="11">
        <v>1.6335999999999999</v>
      </c>
      <c r="C911" s="11">
        <f t="shared" si="98"/>
        <v>-1.6199999999999992E-2</v>
      </c>
      <c r="D911" s="12">
        <f t="shared" si="99"/>
        <v>2.6243999999999974E-4</v>
      </c>
      <c r="E911" s="12">
        <f t="shared" ref="E911:E974" si="100">D910</f>
        <v>1.0403999999999973E-4</v>
      </c>
      <c r="F911" s="12">
        <f t="shared" ref="F911:F974" si="101">$B$5+$B$6*E911+$B$7*F910</f>
        <v>6.5950046229831192E-5</v>
      </c>
      <c r="G911" s="12">
        <f t="shared" ref="G911:G974" si="102">LN((1/SQRT(2*3.1415927*F911))*EXP(-0.5*D911/F911))</f>
        <v>1.9046801846019905</v>
      </c>
      <c r="I911" s="12">
        <f t="shared" ref="I911:I974" si="103">SQRT(F911)</f>
        <v>8.1209633806483324E-3</v>
      </c>
      <c r="J911" s="12">
        <f t="shared" si="97"/>
        <v>7.4054730214398717E-3</v>
      </c>
    </row>
    <row r="912" spans="1:10">
      <c r="A912" s="15">
        <v>41536</v>
      </c>
      <c r="B912" s="11">
        <v>1.6343000000000001</v>
      </c>
      <c r="C912" s="11">
        <f t="shared" si="98"/>
        <v>7.0000000000014495E-4</v>
      </c>
      <c r="D912" s="12">
        <f t="shared" si="99"/>
        <v>4.9000000000020294E-7</v>
      </c>
      <c r="E912" s="12">
        <f t="shared" si="100"/>
        <v>2.6243999999999974E-4</v>
      </c>
      <c r="F912" s="12">
        <f t="shared" si="101"/>
        <v>8.1681617650531638E-5</v>
      </c>
      <c r="G912" s="12">
        <f t="shared" si="102"/>
        <v>3.7844027983140522</v>
      </c>
      <c r="I912" s="12">
        <f t="shared" si="103"/>
        <v>9.0377883163156487E-3</v>
      </c>
      <c r="J912" s="12">
        <f t="shared" ref="J912:J975" si="104">J911</f>
        <v>7.4054730214398717E-3</v>
      </c>
    </row>
    <row r="913" spans="1:10">
      <c r="A913" s="15">
        <v>41537</v>
      </c>
      <c r="B913" s="11">
        <v>1.6378999999999999</v>
      </c>
      <c r="C913" s="11">
        <f t="shared" si="98"/>
        <v>3.5999999999998256E-3</v>
      </c>
      <c r="D913" s="12">
        <f t="shared" si="99"/>
        <v>1.2959999999998744E-5</v>
      </c>
      <c r="E913" s="12">
        <f t="shared" si="100"/>
        <v>4.9000000000020294E-7</v>
      </c>
      <c r="F913" s="12">
        <f t="shared" si="101"/>
        <v>7.3610506350813148E-5</v>
      </c>
      <c r="G913" s="12">
        <f t="shared" si="102"/>
        <v>3.7513919440446259</v>
      </c>
      <c r="I913" s="12">
        <f t="shared" si="103"/>
        <v>8.5796565403757942E-3</v>
      </c>
      <c r="J913" s="12">
        <f t="shared" si="104"/>
        <v>7.4054730214398717E-3</v>
      </c>
    </row>
    <row r="914" spans="1:10">
      <c r="A914" s="15">
        <v>41540</v>
      </c>
      <c r="B914" s="11">
        <v>1.6418999999999999</v>
      </c>
      <c r="C914" s="11">
        <f t="shared" si="98"/>
        <v>4.0000000000000036E-3</v>
      </c>
      <c r="D914" s="12">
        <f t="shared" si="99"/>
        <v>1.600000000000003E-5</v>
      </c>
      <c r="E914" s="12">
        <f t="shared" si="100"/>
        <v>1.2959999999998744E-5</v>
      </c>
      <c r="F914" s="12">
        <f t="shared" si="101"/>
        <v>6.7697827830191548E-5</v>
      </c>
      <c r="G914" s="12">
        <f t="shared" si="102"/>
        <v>3.763117509765515</v>
      </c>
      <c r="I914" s="12">
        <f t="shared" si="103"/>
        <v>8.2278689725950021E-3</v>
      </c>
      <c r="J914" s="12">
        <f t="shared" si="104"/>
        <v>7.4054730214398717E-3</v>
      </c>
    </row>
    <row r="915" spans="1:10">
      <c r="A915" s="15">
        <v>41541</v>
      </c>
      <c r="B915" s="11">
        <v>1.6525000000000001</v>
      </c>
      <c r="C915" s="11">
        <f t="shared" si="98"/>
        <v>1.0600000000000165E-2</v>
      </c>
      <c r="D915" s="12">
        <f t="shared" si="99"/>
        <v>1.123600000000035E-4</v>
      </c>
      <c r="E915" s="12">
        <f t="shared" si="100"/>
        <v>1.600000000000003E-5</v>
      </c>
      <c r="F915" s="12">
        <f t="shared" si="101"/>
        <v>6.2863763439750922E-5</v>
      </c>
      <c r="G915" s="12">
        <f t="shared" si="102"/>
        <v>3.0246531901261888</v>
      </c>
      <c r="I915" s="12">
        <f t="shared" si="103"/>
        <v>7.9286671918898776E-3</v>
      </c>
      <c r="J915" s="12">
        <f t="shared" si="104"/>
        <v>7.4054730214398717E-3</v>
      </c>
    </row>
    <row r="916" spans="1:10">
      <c r="A916" s="15">
        <v>41542</v>
      </c>
      <c r="B916" s="11">
        <v>1.6420999999999999</v>
      </c>
      <c r="C916" s="11">
        <f t="shared" si="98"/>
        <v>-1.0400000000000187E-2</v>
      </c>
      <c r="D916" s="12">
        <f t="shared" si="99"/>
        <v>1.0816000000000388E-4</v>
      </c>
      <c r="E916" s="12">
        <f t="shared" si="100"/>
        <v>1.123600000000035E-4</v>
      </c>
      <c r="F916" s="12">
        <f t="shared" si="101"/>
        <v>6.6652237279608571E-5</v>
      </c>
      <c r="G916" s="12">
        <f t="shared" si="102"/>
        <v>3.0776968167754095</v>
      </c>
      <c r="I916" s="12">
        <f t="shared" si="103"/>
        <v>8.164082145569615E-3</v>
      </c>
      <c r="J916" s="12">
        <f t="shared" si="104"/>
        <v>7.4054730214398717E-3</v>
      </c>
    </row>
    <row r="917" spans="1:10">
      <c r="A917" s="15">
        <v>41543</v>
      </c>
      <c r="B917" s="11">
        <v>1.6543000000000001</v>
      </c>
      <c r="C917" s="11">
        <f t="shared" si="98"/>
        <v>1.2200000000000211E-2</v>
      </c>
      <c r="D917" s="12">
        <f t="shared" si="99"/>
        <v>1.4884000000000514E-4</v>
      </c>
      <c r="E917" s="12">
        <f t="shared" si="100"/>
        <v>1.0816000000000388E-4</v>
      </c>
      <c r="F917" s="12">
        <f t="shared" si="101"/>
        <v>6.9563894776845985E-5</v>
      </c>
      <c r="G917" s="12">
        <f t="shared" si="102"/>
        <v>2.7978860588132664</v>
      </c>
      <c r="I917" s="12">
        <f t="shared" si="103"/>
        <v>8.3404972739547119E-3</v>
      </c>
      <c r="J917" s="12">
        <f t="shared" si="104"/>
        <v>7.4054730214398717E-3</v>
      </c>
    </row>
    <row r="918" spans="1:10">
      <c r="A918" s="15">
        <v>41544</v>
      </c>
      <c r="B918" s="11">
        <v>1.6504000000000001</v>
      </c>
      <c r="C918" s="11">
        <f t="shared" si="98"/>
        <v>-3.9000000000000146E-3</v>
      </c>
      <c r="D918" s="12">
        <f t="shared" si="99"/>
        <v>1.5210000000000114E-5</v>
      </c>
      <c r="E918" s="12">
        <f t="shared" si="100"/>
        <v>1.4884000000000514E-4</v>
      </c>
      <c r="F918" s="12">
        <f t="shared" si="101"/>
        <v>7.5422220508076341E-5</v>
      </c>
      <c r="G918" s="12">
        <f t="shared" si="102"/>
        <v>3.7264334182431251</v>
      </c>
      <c r="I918" s="12">
        <f t="shared" si="103"/>
        <v>8.6845967383682443E-3</v>
      </c>
      <c r="J918" s="12">
        <f t="shared" si="104"/>
        <v>7.4054730214398717E-3</v>
      </c>
    </row>
    <row r="919" spans="1:10">
      <c r="A919" s="15">
        <v>41547</v>
      </c>
      <c r="B919" s="11">
        <v>1.6489</v>
      </c>
      <c r="C919" s="11">
        <f t="shared" si="98"/>
        <v>-1.5000000000000568E-3</v>
      </c>
      <c r="D919" s="12">
        <f t="shared" si="99"/>
        <v>2.2500000000001707E-6</v>
      </c>
      <c r="E919" s="12">
        <f t="shared" si="100"/>
        <v>1.5210000000000114E-5</v>
      </c>
      <c r="F919" s="12">
        <f t="shared" si="101"/>
        <v>6.9441380711140959E-5</v>
      </c>
      <c r="G919" s="12">
        <f t="shared" si="102"/>
        <v>3.8523745468181141</v>
      </c>
      <c r="I919" s="12">
        <f t="shared" si="103"/>
        <v>8.3331495073076037E-3</v>
      </c>
      <c r="J919" s="12">
        <f t="shared" si="104"/>
        <v>7.4054730214398717E-3</v>
      </c>
    </row>
    <row r="920" spans="1:10">
      <c r="A920" s="15">
        <v>41548</v>
      </c>
      <c r="B920" s="11">
        <v>1.6482000000000001</v>
      </c>
      <c r="C920" s="11">
        <f t="shared" si="98"/>
        <v>-6.9999999999992291E-4</v>
      </c>
      <c r="D920" s="12">
        <f t="shared" si="99"/>
        <v>4.8999999999989208E-7</v>
      </c>
      <c r="E920" s="12">
        <f t="shared" si="100"/>
        <v>2.2500000000001707E-6</v>
      </c>
      <c r="F920" s="12">
        <f t="shared" si="101"/>
        <v>6.3229374970981105E-5</v>
      </c>
      <c r="G920" s="12">
        <f t="shared" si="102"/>
        <v>3.9115574635799453</v>
      </c>
      <c r="I920" s="12">
        <f t="shared" si="103"/>
        <v>7.9516900701034066E-3</v>
      </c>
      <c r="J920" s="12">
        <f t="shared" si="104"/>
        <v>7.4054730214398717E-3</v>
      </c>
    </row>
    <row r="921" spans="1:10">
      <c r="A921" s="15">
        <v>41549</v>
      </c>
      <c r="B921" s="11">
        <v>1.6434</v>
      </c>
      <c r="C921" s="11">
        <f t="shared" si="98"/>
        <v>-4.8000000000001375E-3</v>
      </c>
      <c r="D921" s="12">
        <f t="shared" si="99"/>
        <v>2.3040000000001321E-5</v>
      </c>
      <c r="E921" s="12">
        <f t="shared" si="100"/>
        <v>4.8999999999989208E-7</v>
      </c>
      <c r="F921" s="12">
        <f t="shared" si="101"/>
        <v>5.7742100274880776E-5</v>
      </c>
      <c r="G921" s="12">
        <f t="shared" si="102"/>
        <v>3.7613156537485541</v>
      </c>
      <c r="I921" s="12">
        <f t="shared" si="103"/>
        <v>7.5988222952560729E-3</v>
      </c>
      <c r="J921" s="12">
        <f t="shared" si="104"/>
        <v>7.4054730214398717E-3</v>
      </c>
    </row>
    <row r="922" spans="1:10">
      <c r="A922" s="15">
        <v>41550</v>
      </c>
      <c r="B922" s="11">
        <v>1.6416999999999999</v>
      </c>
      <c r="C922" s="11">
        <f t="shared" si="98"/>
        <v>-1.7000000000000348E-3</v>
      </c>
      <c r="D922" s="12">
        <f t="shared" si="99"/>
        <v>2.8900000000001184E-6</v>
      </c>
      <c r="E922" s="12">
        <f t="shared" si="100"/>
        <v>2.3040000000001321E-5</v>
      </c>
      <c r="F922" s="12">
        <f t="shared" si="101"/>
        <v>5.4882622537645444E-5</v>
      </c>
      <c r="G922" s="12">
        <f t="shared" si="102"/>
        <v>3.9598894371174072</v>
      </c>
      <c r="I922" s="12">
        <f t="shared" si="103"/>
        <v>7.4082806735196963E-3</v>
      </c>
      <c r="J922" s="12">
        <f t="shared" si="104"/>
        <v>7.4054730214398717E-3</v>
      </c>
    </row>
    <row r="923" spans="1:10">
      <c r="A923" s="15">
        <v>41551</v>
      </c>
      <c r="B923" s="11">
        <v>1.6419999999999999</v>
      </c>
      <c r="C923" s="11">
        <f t="shared" si="98"/>
        <v>2.9999999999996696E-4</v>
      </c>
      <c r="D923" s="12">
        <f t="shared" si="99"/>
        <v>8.9999999999980173E-8</v>
      </c>
      <c r="E923" s="12">
        <f t="shared" si="100"/>
        <v>2.8900000000001184E-6</v>
      </c>
      <c r="F923" s="12">
        <f t="shared" si="101"/>
        <v>5.0762028277215984E-5</v>
      </c>
      <c r="G923" s="12">
        <f t="shared" si="102"/>
        <v>4.0243559488769263</v>
      </c>
      <c r="I923" s="12">
        <f t="shared" si="103"/>
        <v>7.1247475939303266E-3</v>
      </c>
      <c r="J923" s="12">
        <f t="shared" si="104"/>
        <v>7.4054730214398717E-3</v>
      </c>
    </row>
    <row r="924" spans="1:10">
      <c r="A924" s="15">
        <v>41554</v>
      </c>
      <c r="B924" s="11">
        <v>1.6436999999999999</v>
      </c>
      <c r="C924" s="11">
        <f t="shared" si="98"/>
        <v>1.7000000000000348E-3</v>
      </c>
      <c r="D924" s="12">
        <f t="shared" si="99"/>
        <v>2.8900000000001184E-6</v>
      </c>
      <c r="E924" s="12">
        <f t="shared" si="100"/>
        <v>8.9999999999980173E-8</v>
      </c>
      <c r="F924" s="12">
        <f t="shared" si="101"/>
        <v>4.6987552120128705E-5</v>
      </c>
      <c r="G924" s="12">
        <f t="shared" si="102"/>
        <v>4.0331225536381883</v>
      </c>
      <c r="I924" s="12">
        <f t="shared" si="103"/>
        <v>6.8547466853362791E-3</v>
      </c>
      <c r="J924" s="12">
        <f t="shared" si="104"/>
        <v>7.4054730214398717E-3</v>
      </c>
    </row>
    <row r="925" spans="1:10">
      <c r="A925" s="15">
        <v>41555</v>
      </c>
      <c r="B925" s="11">
        <v>1.6478999999999999</v>
      </c>
      <c r="C925" s="11">
        <f t="shared" si="98"/>
        <v>4.1999999999999815E-3</v>
      </c>
      <c r="D925" s="12">
        <f t="shared" si="99"/>
        <v>1.7639999999999845E-5</v>
      </c>
      <c r="E925" s="12">
        <f t="shared" si="100"/>
        <v>2.8900000000001184E-6</v>
      </c>
      <c r="F925" s="12">
        <f t="shared" si="101"/>
        <v>4.3972491332632069E-5</v>
      </c>
      <c r="G925" s="12">
        <f t="shared" si="102"/>
        <v>3.8964546702502449</v>
      </c>
      <c r="I925" s="12">
        <f t="shared" si="103"/>
        <v>6.6311757126947006E-3</v>
      </c>
      <c r="J925" s="12">
        <f t="shared" si="104"/>
        <v>7.4054730214398717E-3</v>
      </c>
    </row>
    <row r="926" spans="1:10">
      <c r="A926" s="15">
        <v>41556</v>
      </c>
      <c r="B926" s="11">
        <v>1.6452</v>
      </c>
      <c r="C926" s="11">
        <f t="shared" si="98"/>
        <v>-2.6999999999999247E-3</v>
      </c>
      <c r="D926" s="12">
        <f t="shared" si="99"/>
        <v>7.2899999999995931E-6</v>
      </c>
      <c r="E926" s="12">
        <f t="shared" si="100"/>
        <v>1.7639999999999845E-5</v>
      </c>
      <c r="F926" s="12">
        <f t="shared" si="101"/>
        <v>4.25958768014915E-5</v>
      </c>
      <c r="G926" s="12">
        <f t="shared" si="102"/>
        <v>4.0273663457927977</v>
      </c>
      <c r="I926" s="12">
        <f t="shared" si="103"/>
        <v>6.5265516776848937E-3</v>
      </c>
      <c r="J926" s="12">
        <f t="shared" si="104"/>
        <v>7.4054730214398717E-3</v>
      </c>
    </row>
    <row r="927" spans="1:10">
      <c r="A927" s="15">
        <v>41557</v>
      </c>
      <c r="B927" s="11">
        <v>1.647</v>
      </c>
      <c r="C927" s="11">
        <f t="shared" si="98"/>
        <v>1.8000000000000238E-3</v>
      </c>
      <c r="D927" s="12">
        <f t="shared" si="99"/>
        <v>3.2400000000000859E-6</v>
      </c>
      <c r="E927" s="12">
        <f t="shared" si="100"/>
        <v>7.2899999999995931E-6</v>
      </c>
      <c r="F927" s="12">
        <f t="shared" si="101"/>
        <v>4.0558589205586177E-5</v>
      </c>
      <c r="G927" s="12">
        <f t="shared" si="102"/>
        <v>4.0975007327934083</v>
      </c>
      <c r="I927" s="12">
        <f t="shared" si="103"/>
        <v>6.3685625698100962E-3</v>
      </c>
      <c r="J927" s="12">
        <f t="shared" si="104"/>
        <v>7.4054730214398717E-3</v>
      </c>
    </row>
    <row r="928" spans="1:10">
      <c r="A928" s="15">
        <v>41558</v>
      </c>
      <c r="B928" s="11">
        <v>1.6508</v>
      </c>
      <c r="C928" s="11">
        <f t="shared" si="98"/>
        <v>3.8000000000000256E-3</v>
      </c>
      <c r="D928" s="12">
        <f t="shared" si="99"/>
        <v>1.4440000000000194E-5</v>
      </c>
      <c r="E928" s="12">
        <f t="shared" si="100"/>
        <v>3.2400000000000859E-6</v>
      </c>
      <c r="F928" s="12">
        <f t="shared" si="101"/>
        <v>3.8472625540842582E-5</v>
      </c>
      <c r="G928" s="12">
        <f t="shared" si="102"/>
        <v>3.9761773539852014</v>
      </c>
      <c r="I928" s="12">
        <f t="shared" si="103"/>
        <v>6.2026305339623914E-3</v>
      </c>
      <c r="J928" s="12">
        <f t="shared" si="104"/>
        <v>7.4054730214398717E-3</v>
      </c>
    </row>
    <row r="929" spans="1:10">
      <c r="A929" s="15">
        <v>41561</v>
      </c>
      <c r="B929" s="11">
        <v>1.6458999999999999</v>
      </c>
      <c r="C929" s="11">
        <f t="shared" si="98"/>
        <v>-4.9000000000001265E-3</v>
      </c>
      <c r="D929" s="12">
        <f t="shared" si="99"/>
        <v>2.4010000000001239E-5</v>
      </c>
      <c r="E929" s="12">
        <f t="shared" si="100"/>
        <v>1.4440000000000194E-5</v>
      </c>
      <c r="F929" s="12">
        <f t="shared" si="101"/>
        <v>3.7602283078395641E-5</v>
      </c>
      <c r="G929" s="12">
        <f t="shared" si="102"/>
        <v>3.8560218248112212</v>
      </c>
      <c r="I929" s="12">
        <f t="shared" si="103"/>
        <v>6.1320700483927645E-3</v>
      </c>
      <c r="J929" s="12">
        <f t="shared" si="104"/>
        <v>7.4054730214398717E-3</v>
      </c>
    </row>
    <row r="930" spans="1:10">
      <c r="A930" s="15">
        <v>41562</v>
      </c>
      <c r="B930" s="11">
        <v>1.6526000000000001</v>
      </c>
      <c r="C930" s="11">
        <f t="shared" si="98"/>
        <v>6.7000000000001503E-3</v>
      </c>
      <c r="D930" s="12">
        <f t="shared" si="99"/>
        <v>4.4890000000002011E-5</v>
      </c>
      <c r="E930" s="12">
        <f t="shared" si="100"/>
        <v>2.4010000000001239E-5</v>
      </c>
      <c r="F930" s="12">
        <f t="shared" si="101"/>
        <v>3.7642934227658256E-5</v>
      </c>
      <c r="G930" s="12">
        <f t="shared" si="102"/>
        <v>3.5784834664683953</v>
      </c>
      <c r="I930" s="12">
        <f t="shared" si="103"/>
        <v>6.1353837881308005E-3</v>
      </c>
      <c r="J930" s="12">
        <f t="shared" si="104"/>
        <v>7.4054730214398717E-3</v>
      </c>
    </row>
    <row r="931" spans="1:10">
      <c r="A931" s="15">
        <v>41563</v>
      </c>
      <c r="B931" s="11">
        <v>1.6479999999999999</v>
      </c>
      <c r="C931" s="11">
        <f t="shared" si="98"/>
        <v>-4.6000000000001595E-3</v>
      </c>
      <c r="D931" s="12">
        <f t="shared" si="99"/>
        <v>2.1160000000001468E-5</v>
      </c>
      <c r="E931" s="12">
        <f t="shared" si="100"/>
        <v>4.4890000000002011E-5</v>
      </c>
      <c r="F931" s="12">
        <f t="shared" si="101"/>
        <v>3.9399611644996898E-5</v>
      </c>
      <c r="G931" s="12">
        <f t="shared" si="102"/>
        <v>3.8834081930124356</v>
      </c>
      <c r="I931" s="12">
        <f t="shared" si="103"/>
        <v>6.2769109954655955E-3</v>
      </c>
      <c r="J931" s="12">
        <f t="shared" si="104"/>
        <v>7.4054730214398717E-3</v>
      </c>
    </row>
    <row r="932" spans="1:10">
      <c r="A932" s="15">
        <v>41564</v>
      </c>
      <c r="B932" s="11">
        <v>1.6334</v>
      </c>
      <c r="C932" s="11">
        <f t="shared" si="98"/>
        <v>-1.4599999999999946E-2</v>
      </c>
      <c r="D932" s="12">
        <f t="shared" si="99"/>
        <v>2.1315999999999843E-4</v>
      </c>
      <c r="E932" s="12">
        <f t="shared" si="100"/>
        <v>2.1160000000001468E-5</v>
      </c>
      <c r="F932" s="12">
        <f t="shared" si="101"/>
        <v>3.8953581197368686E-5</v>
      </c>
      <c r="G932" s="12">
        <f t="shared" si="102"/>
        <v>1.4215543205408505</v>
      </c>
      <c r="I932" s="12">
        <f t="shared" si="103"/>
        <v>6.2412804132941091E-3</v>
      </c>
      <c r="J932" s="12">
        <f t="shared" si="104"/>
        <v>7.4054730214398717E-3</v>
      </c>
    </row>
    <row r="933" spans="1:10">
      <c r="A933" s="15">
        <v>41565</v>
      </c>
      <c r="B933" s="11">
        <v>1.6439999999999999</v>
      </c>
      <c r="C933" s="11">
        <f t="shared" si="98"/>
        <v>1.0599999999999943E-2</v>
      </c>
      <c r="D933" s="12">
        <f t="shared" si="99"/>
        <v>1.1235999999999878E-4</v>
      </c>
      <c r="E933" s="12">
        <f t="shared" si="100"/>
        <v>2.1315999999999843E-4</v>
      </c>
      <c r="F933" s="12">
        <f t="shared" si="101"/>
        <v>5.4401902637166193E-5</v>
      </c>
      <c r="G933" s="12">
        <f t="shared" si="102"/>
        <v>2.9579327041422188</v>
      </c>
      <c r="I933" s="12">
        <f t="shared" si="103"/>
        <v>7.3757645459414031E-3</v>
      </c>
      <c r="J933" s="12">
        <f t="shared" si="104"/>
        <v>7.4054730214398717E-3</v>
      </c>
    </row>
    <row r="934" spans="1:10">
      <c r="A934" s="15">
        <v>41568</v>
      </c>
      <c r="B934" s="11">
        <v>1.6402000000000001</v>
      </c>
      <c r="C934" s="11">
        <f t="shared" si="98"/>
        <v>-3.7999999999998035E-3</v>
      </c>
      <c r="D934" s="12">
        <f t="shared" si="99"/>
        <v>1.4439999999998506E-5</v>
      </c>
      <c r="E934" s="12">
        <f t="shared" si="100"/>
        <v>1.1235999999999878E-4</v>
      </c>
      <c r="F934" s="12">
        <f t="shared" si="101"/>
        <v>5.9375276657242247E-5</v>
      </c>
      <c r="G934" s="12">
        <f t="shared" si="102"/>
        <v>3.8252783440652824</v>
      </c>
      <c r="I934" s="12">
        <f t="shared" si="103"/>
        <v>7.7055354555827099E-3</v>
      </c>
      <c r="J934" s="12">
        <f t="shared" si="104"/>
        <v>7.4054730214398717E-3</v>
      </c>
    </row>
    <row r="935" spans="1:10">
      <c r="A935" s="15">
        <v>41569</v>
      </c>
      <c r="B935" s="11">
        <v>1.6316999999999999</v>
      </c>
      <c r="C935" s="11">
        <f t="shared" si="98"/>
        <v>-8.5000000000001741E-3</v>
      </c>
      <c r="D935" s="12">
        <f t="shared" si="99"/>
        <v>7.2250000000002962E-5</v>
      </c>
      <c r="E935" s="12">
        <f t="shared" si="100"/>
        <v>1.4439999999998506E-5</v>
      </c>
      <c r="F935" s="12">
        <f t="shared" si="101"/>
        <v>5.5577971006354735E-5</v>
      </c>
      <c r="G935" s="12">
        <f t="shared" si="102"/>
        <v>3.3299355353079396</v>
      </c>
      <c r="I935" s="12">
        <f t="shared" si="103"/>
        <v>7.4550634475069851E-3</v>
      </c>
      <c r="J935" s="12">
        <f t="shared" si="104"/>
        <v>7.4054730214398717E-3</v>
      </c>
    </row>
    <row r="936" spans="1:10">
      <c r="A936" s="15">
        <v>41570</v>
      </c>
      <c r="B936" s="11">
        <v>1.6307</v>
      </c>
      <c r="C936" s="11">
        <f t="shared" si="98"/>
        <v>-9.9999999999988987E-4</v>
      </c>
      <c r="D936" s="12">
        <f t="shared" si="99"/>
        <v>9.9999999999977973E-7</v>
      </c>
      <c r="E936" s="12">
        <f t="shared" si="100"/>
        <v>7.2250000000002962E-5</v>
      </c>
      <c r="F936" s="12">
        <f t="shared" si="101"/>
        <v>5.7079280331492408E-5</v>
      </c>
      <c r="G936" s="12">
        <f t="shared" si="102"/>
        <v>3.9578364001177238</v>
      </c>
      <c r="I936" s="12">
        <f t="shared" si="103"/>
        <v>7.5550830790595816E-3</v>
      </c>
      <c r="J936" s="12">
        <f t="shared" si="104"/>
        <v>7.4054730214398717E-3</v>
      </c>
    </row>
    <row r="937" spans="1:10">
      <c r="A937" s="15">
        <v>41571</v>
      </c>
      <c r="B937" s="11">
        <v>1.6304000000000001</v>
      </c>
      <c r="C937" s="11">
        <f t="shared" si="98"/>
        <v>-2.9999999999996696E-4</v>
      </c>
      <c r="D937" s="12">
        <f t="shared" si="99"/>
        <v>8.9999999999980173E-8</v>
      </c>
      <c r="E937" s="12">
        <f t="shared" si="100"/>
        <v>9.9999999999977973E-7</v>
      </c>
      <c r="F937" s="12">
        <f t="shared" si="101"/>
        <v>5.2495246546993031E-5</v>
      </c>
      <c r="G937" s="12">
        <f t="shared" si="102"/>
        <v>4.0075982061512994</v>
      </c>
      <c r="I937" s="12">
        <f t="shared" si="103"/>
        <v>7.2453603462486965E-3</v>
      </c>
      <c r="J937" s="12">
        <f t="shared" si="104"/>
        <v>7.4054730214398717E-3</v>
      </c>
    </row>
    <row r="938" spans="1:10">
      <c r="A938" s="15">
        <v>41572</v>
      </c>
      <c r="B938" s="11">
        <v>1.6248</v>
      </c>
      <c r="C938" s="11">
        <f t="shared" si="98"/>
        <v>-5.6000000000000494E-3</v>
      </c>
      <c r="D938" s="12">
        <f t="shared" si="99"/>
        <v>3.1360000000000554E-5</v>
      </c>
      <c r="E938" s="12">
        <f t="shared" si="100"/>
        <v>8.9999999999980173E-8</v>
      </c>
      <c r="F938" s="12">
        <f t="shared" si="101"/>
        <v>4.8478070741668808E-5</v>
      </c>
      <c r="G938" s="12">
        <f t="shared" si="102"/>
        <v>3.7248157506578878</v>
      </c>
      <c r="I938" s="12">
        <f t="shared" si="103"/>
        <v>6.9626195315893001E-3</v>
      </c>
      <c r="J938" s="12">
        <f t="shared" si="104"/>
        <v>7.4054730214398717E-3</v>
      </c>
    </row>
    <row r="939" spans="1:10">
      <c r="A939" s="15">
        <v>41575</v>
      </c>
      <c r="B939" s="11">
        <v>1.6302000000000001</v>
      </c>
      <c r="C939" s="11">
        <f t="shared" si="98"/>
        <v>5.4000000000000714E-3</v>
      </c>
      <c r="D939" s="12">
        <f t="shared" si="99"/>
        <v>2.9160000000000771E-5</v>
      </c>
      <c r="E939" s="12">
        <f t="shared" si="100"/>
        <v>3.1360000000000554E-5</v>
      </c>
      <c r="F939" s="12">
        <f t="shared" si="101"/>
        <v>4.7601868309982693E-5</v>
      </c>
      <c r="G939" s="12">
        <f t="shared" si="102"/>
        <v>3.7510902340105492</v>
      </c>
      <c r="I939" s="12">
        <f t="shared" si="103"/>
        <v>6.8994107219372504E-3</v>
      </c>
      <c r="J939" s="12">
        <f t="shared" si="104"/>
        <v>7.4054730214398717E-3</v>
      </c>
    </row>
    <row r="940" spans="1:10">
      <c r="A940" s="15">
        <v>41576</v>
      </c>
      <c r="B940" s="11">
        <v>1.6351</v>
      </c>
      <c r="C940" s="11">
        <f t="shared" si="98"/>
        <v>4.8999999999999044E-3</v>
      </c>
      <c r="D940" s="12">
        <f t="shared" si="99"/>
        <v>2.4009999999999064E-5</v>
      </c>
      <c r="E940" s="12">
        <f t="shared" si="100"/>
        <v>2.9160000000000771E-5</v>
      </c>
      <c r="F940" s="12">
        <f t="shared" si="101"/>
        <v>4.666695190556734E-5</v>
      </c>
      <c r="G940" s="12">
        <f t="shared" si="102"/>
        <v>3.8100501876685535</v>
      </c>
      <c r="I940" s="12">
        <f t="shared" si="103"/>
        <v>6.8313213879576283E-3</v>
      </c>
      <c r="J940" s="12">
        <f t="shared" si="104"/>
        <v>7.4054730214398717E-3</v>
      </c>
    </row>
    <row r="941" spans="1:10">
      <c r="A941" s="15">
        <v>41577</v>
      </c>
      <c r="B941" s="11">
        <v>1.6462000000000001</v>
      </c>
      <c r="C941" s="11">
        <f t="shared" si="98"/>
        <v>1.110000000000011E-2</v>
      </c>
      <c r="D941" s="12">
        <f t="shared" si="99"/>
        <v>1.2321000000000245E-4</v>
      </c>
      <c r="E941" s="12">
        <f t="shared" si="100"/>
        <v>2.4009999999999064E-5</v>
      </c>
      <c r="F941" s="12">
        <f t="shared" si="101"/>
        <v>4.5438292677653808E-5</v>
      </c>
      <c r="G941" s="12">
        <f t="shared" si="102"/>
        <v>2.7248443586336744</v>
      </c>
      <c r="I941" s="12">
        <f t="shared" si="103"/>
        <v>6.740793178673694E-3</v>
      </c>
      <c r="J941" s="12">
        <f t="shared" si="104"/>
        <v>7.4054730214398717E-3</v>
      </c>
    </row>
    <row r="942" spans="1:10">
      <c r="A942" s="15">
        <v>41578</v>
      </c>
      <c r="B942" s="11">
        <v>1.6474</v>
      </c>
      <c r="C942" s="11">
        <f t="shared" si="98"/>
        <v>1.1999999999998678E-3</v>
      </c>
      <c r="D942" s="12">
        <f t="shared" si="99"/>
        <v>1.4399999999996828E-6</v>
      </c>
      <c r="E942" s="12">
        <f t="shared" si="100"/>
        <v>1.2321000000000245E-4</v>
      </c>
      <c r="F942" s="12">
        <f t="shared" si="101"/>
        <v>5.2561492953716787E-5</v>
      </c>
      <c r="G942" s="12">
        <f t="shared" si="102"/>
        <v>3.9941266080871802</v>
      </c>
      <c r="I942" s="12">
        <f t="shared" si="103"/>
        <v>7.2499305481995334E-3</v>
      </c>
      <c r="J942" s="12">
        <f t="shared" si="104"/>
        <v>7.4054730214398717E-3</v>
      </c>
    </row>
    <row r="943" spans="1:10">
      <c r="A943" s="15">
        <v>41579</v>
      </c>
      <c r="B943" s="11">
        <v>1.6556999999999999</v>
      </c>
      <c r="C943" s="11">
        <f t="shared" si="98"/>
        <v>8.2999999999999741E-3</v>
      </c>
      <c r="D943" s="12">
        <f t="shared" si="99"/>
        <v>6.8889999999999566E-5</v>
      </c>
      <c r="E943" s="12">
        <f t="shared" si="100"/>
        <v>1.4399999999996828E-6</v>
      </c>
      <c r="F943" s="12">
        <f t="shared" si="101"/>
        <v>4.8646358786794492E-5</v>
      </c>
      <c r="G943" s="12">
        <f t="shared" si="102"/>
        <v>3.3384588185137805</v>
      </c>
      <c r="I943" s="12">
        <f t="shared" si="103"/>
        <v>6.9746941715601047E-3</v>
      </c>
      <c r="J943" s="12">
        <f t="shared" si="104"/>
        <v>7.4054730214398717E-3</v>
      </c>
    </row>
    <row r="944" spans="1:10">
      <c r="A944" s="15">
        <v>41582</v>
      </c>
      <c r="B944" s="11">
        <v>1.6540999999999999</v>
      </c>
      <c r="C944" s="11">
        <f t="shared" si="98"/>
        <v>-1.6000000000000458E-3</v>
      </c>
      <c r="D944" s="12">
        <f t="shared" si="99"/>
        <v>2.5600000000001466E-6</v>
      </c>
      <c r="E944" s="12">
        <f t="shared" si="100"/>
        <v>6.8889999999999566E-5</v>
      </c>
      <c r="F944" s="12">
        <f t="shared" si="101"/>
        <v>5.0841231986476466E-5</v>
      </c>
      <c r="G944" s="12">
        <f t="shared" si="102"/>
        <v>3.9992864831932291</v>
      </c>
      <c r="I944" s="12">
        <f t="shared" si="103"/>
        <v>7.1303037793965319E-3</v>
      </c>
      <c r="J944" s="12">
        <f t="shared" si="104"/>
        <v>7.4054730214398717E-3</v>
      </c>
    </row>
    <row r="945" spans="1:10">
      <c r="A945" s="15">
        <v>41583</v>
      </c>
      <c r="B945" s="11">
        <v>1.6617999999999999</v>
      </c>
      <c r="C945" s="11">
        <f t="shared" si="98"/>
        <v>7.7000000000000401E-3</v>
      </c>
      <c r="D945" s="12">
        <f t="shared" si="99"/>
        <v>5.929000000000062E-5</v>
      </c>
      <c r="E945" s="12">
        <f t="shared" si="100"/>
        <v>2.5600000000001466E-6</v>
      </c>
      <c r="F945" s="12">
        <f t="shared" si="101"/>
        <v>4.7259335799227322E-5</v>
      </c>
      <c r="G945" s="12">
        <f t="shared" si="102"/>
        <v>3.4337081628281401</v>
      </c>
      <c r="I945" s="12">
        <f t="shared" si="103"/>
        <v>6.8745425883637761E-3</v>
      </c>
      <c r="J945" s="12">
        <f t="shared" si="104"/>
        <v>7.4054730214398717E-3</v>
      </c>
    </row>
    <row r="946" spans="1:10">
      <c r="A946" s="15">
        <v>41584</v>
      </c>
      <c r="B946" s="11">
        <v>1.6543000000000001</v>
      </c>
      <c r="C946" s="11">
        <f t="shared" si="98"/>
        <v>-7.4999999999998401E-3</v>
      </c>
      <c r="D946" s="12">
        <f t="shared" si="99"/>
        <v>5.62499999999976E-5</v>
      </c>
      <c r="E946" s="12">
        <f t="shared" si="100"/>
        <v>5.929000000000062E-5</v>
      </c>
      <c r="F946" s="12">
        <f t="shared" si="101"/>
        <v>4.8856836752657581E-5</v>
      </c>
      <c r="G946" s="12">
        <f t="shared" si="102"/>
        <v>3.4687080756186619</v>
      </c>
      <c r="I946" s="12">
        <f t="shared" si="103"/>
        <v>6.9897665735457566E-3</v>
      </c>
      <c r="J946" s="12">
        <f t="shared" si="104"/>
        <v>7.4054730214398717E-3</v>
      </c>
    </row>
    <row r="947" spans="1:10">
      <c r="A947" s="15">
        <v>41585</v>
      </c>
      <c r="B947" s="11">
        <v>1.6673</v>
      </c>
      <c r="C947" s="11">
        <f t="shared" si="98"/>
        <v>1.2999999999999901E-2</v>
      </c>
      <c r="D947" s="12">
        <f t="shared" si="99"/>
        <v>1.6899999999999741E-4</v>
      </c>
      <c r="E947" s="12">
        <f t="shared" si="100"/>
        <v>5.62499999999976E-5</v>
      </c>
      <c r="F947" s="12">
        <f t="shared" si="101"/>
        <v>4.9979970655400068E-5</v>
      </c>
      <c r="G947" s="12">
        <f t="shared" si="102"/>
        <v>2.3423283061009657</v>
      </c>
      <c r="I947" s="12">
        <f t="shared" si="103"/>
        <v>7.0696513814614698E-3</v>
      </c>
      <c r="J947" s="12">
        <f t="shared" si="104"/>
        <v>7.4054730214398717E-3</v>
      </c>
    </row>
    <row r="948" spans="1:10">
      <c r="A948" s="15">
        <v>41586</v>
      </c>
      <c r="B948" s="11">
        <v>1.6741999999999999</v>
      </c>
      <c r="C948" s="11">
        <f t="shared" si="98"/>
        <v>6.8999999999999062E-3</v>
      </c>
      <c r="D948" s="12">
        <f t="shared" si="99"/>
        <v>4.7609999999998706E-5</v>
      </c>
      <c r="E948" s="12">
        <f t="shared" si="100"/>
        <v>1.6899999999999741E-4</v>
      </c>
      <c r="F948" s="12">
        <f t="shared" si="101"/>
        <v>6.0242949419199675E-5</v>
      </c>
      <c r="G948" s="12">
        <f t="shared" si="102"/>
        <v>3.5444739909584202</v>
      </c>
      <c r="I948" s="12">
        <f t="shared" si="103"/>
        <v>7.7616331670080667E-3</v>
      </c>
      <c r="J948" s="12">
        <f t="shared" si="104"/>
        <v>7.4054730214398717E-3</v>
      </c>
    </row>
    <row r="949" spans="1:10">
      <c r="A949" s="15">
        <v>41589</v>
      </c>
      <c r="B949" s="11">
        <v>1.6655</v>
      </c>
      <c r="C949" s="11">
        <f t="shared" si="98"/>
        <v>-8.69999999999993E-3</v>
      </c>
      <c r="D949" s="12">
        <f t="shared" si="99"/>
        <v>7.5689999999998782E-5</v>
      </c>
      <c r="E949" s="12">
        <f t="shared" si="100"/>
        <v>4.7609999999998706E-5</v>
      </c>
      <c r="F949" s="12">
        <f t="shared" si="101"/>
        <v>5.9059269781667985E-5</v>
      </c>
      <c r="G949" s="12">
        <f t="shared" si="102"/>
        <v>3.3087490313497061</v>
      </c>
      <c r="I949" s="12">
        <f t="shared" si="103"/>
        <v>7.6850029135757643E-3</v>
      </c>
      <c r="J949" s="12">
        <f t="shared" si="104"/>
        <v>7.4054730214398717E-3</v>
      </c>
    </row>
    <row r="950" spans="1:10">
      <c r="A950" s="15">
        <v>41590</v>
      </c>
      <c r="B950" s="11">
        <v>1.6624000000000001</v>
      </c>
      <c r="C950" s="11">
        <f t="shared" si="98"/>
        <v>-3.0999999999998806E-3</v>
      </c>
      <c r="D950" s="12">
        <f t="shared" si="99"/>
        <v>9.6099999999992592E-6</v>
      </c>
      <c r="E950" s="12">
        <f t="shared" si="100"/>
        <v>7.5689999999998782E-5</v>
      </c>
      <c r="F950" s="12">
        <f t="shared" si="101"/>
        <v>6.0356753461645509E-5</v>
      </c>
      <c r="G950" s="12">
        <f t="shared" si="102"/>
        <v>3.8590703342307733</v>
      </c>
      <c r="I950" s="12">
        <f t="shared" si="103"/>
        <v>7.7689608997372041E-3</v>
      </c>
      <c r="J950" s="12">
        <f t="shared" si="104"/>
        <v>7.4054730214398717E-3</v>
      </c>
    </row>
    <row r="951" spans="1:10">
      <c r="A951" s="15">
        <v>41591</v>
      </c>
      <c r="B951" s="11">
        <v>1.6572</v>
      </c>
      <c r="C951" s="11">
        <f t="shared" si="98"/>
        <v>-5.2000000000000934E-3</v>
      </c>
      <c r="D951" s="12">
        <f t="shared" si="99"/>
        <v>2.7040000000000971E-5</v>
      </c>
      <c r="E951" s="12">
        <f t="shared" si="100"/>
        <v>9.6099999999992592E-6</v>
      </c>
      <c r="F951" s="12">
        <f t="shared" si="101"/>
        <v>5.6023742151090585E-5</v>
      </c>
      <c r="G951" s="12">
        <f t="shared" si="102"/>
        <v>3.7346026973926287</v>
      </c>
      <c r="I951" s="12">
        <f t="shared" si="103"/>
        <v>7.4849009446411909E-3</v>
      </c>
      <c r="J951" s="12">
        <f t="shared" si="104"/>
        <v>7.4054730214398717E-3</v>
      </c>
    </row>
    <row r="952" spans="1:10">
      <c r="A952" s="15">
        <v>41592</v>
      </c>
      <c r="B952" s="11">
        <v>1.66</v>
      </c>
      <c r="C952" s="11">
        <f t="shared" si="98"/>
        <v>2.7999999999999137E-3</v>
      </c>
      <c r="D952" s="12">
        <f t="shared" si="99"/>
        <v>7.8399999999995167E-6</v>
      </c>
      <c r="E952" s="12">
        <f t="shared" si="100"/>
        <v>2.7040000000000971E-5</v>
      </c>
      <c r="F952" s="12">
        <f t="shared" si="101"/>
        <v>5.3734714366426037E-5</v>
      </c>
      <c r="G952" s="12">
        <f t="shared" si="102"/>
        <v>3.9238361384092464</v>
      </c>
      <c r="I952" s="12">
        <f t="shared" si="103"/>
        <v>7.3303966036242568E-3</v>
      </c>
      <c r="J952" s="12">
        <f t="shared" si="104"/>
        <v>7.4054730214398717E-3</v>
      </c>
    </row>
    <row r="953" spans="1:10">
      <c r="A953" s="15">
        <v>41593</v>
      </c>
      <c r="B953" s="11">
        <v>1.6657</v>
      </c>
      <c r="C953" s="11">
        <f t="shared" si="98"/>
        <v>5.7000000000000384E-3</v>
      </c>
      <c r="D953" s="12">
        <f t="shared" si="99"/>
        <v>3.2490000000000436E-5</v>
      </c>
      <c r="E953" s="12">
        <f t="shared" si="100"/>
        <v>7.8399999999995167E-6</v>
      </c>
      <c r="F953" s="12">
        <f t="shared" si="101"/>
        <v>5.0183025805274296E-5</v>
      </c>
      <c r="G953" s="12">
        <f t="shared" si="102"/>
        <v>3.7072632834188646</v>
      </c>
      <c r="I953" s="12">
        <f t="shared" si="103"/>
        <v>7.0839978688078597E-3</v>
      </c>
      <c r="J953" s="12">
        <f t="shared" si="104"/>
        <v>7.4054730214398717E-3</v>
      </c>
    </row>
    <row r="954" spans="1:10">
      <c r="A954" s="15">
        <v>41596</v>
      </c>
      <c r="B954" s="11">
        <v>1.661</v>
      </c>
      <c r="C954" s="11">
        <f t="shared" si="98"/>
        <v>-4.6999999999999265E-3</v>
      </c>
      <c r="D954" s="12">
        <f t="shared" si="99"/>
        <v>2.2089999999999309E-5</v>
      </c>
      <c r="E954" s="12">
        <f t="shared" si="100"/>
        <v>3.2490000000000436E-5</v>
      </c>
      <c r="F954" s="12">
        <f t="shared" si="101"/>
        <v>4.9161258673371703E-5</v>
      </c>
      <c r="G954" s="12">
        <f t="shared" si="102"/>
        <v>3.8165950145934273</v>
      </c>
      <c r="I954" s="12">
        <f t="shared" si="103"/>
        <v>7.0115090154239763E-3</v>
      </c>
      <c r="J954" s="12">
        <f t="shared" si="104"/>
        <v>7.4054730214398717E-3</v>
      </c>
    </row>
    <row r="955" spans="1:10">
      <c r="A955" s="15">
        <v>41597</v>
      </c>
      <c r="B955" s="11">
        <v>1.6652</v>
      </c>
      <c r="C955" s="11">
        <f t="shared" si="98"/>
        <v>4.1999999999999815E-3</v>
      </c>
      <c r="D955" s="12">
        <f t="shared" si="99"/>
        <v>1.7639999999999845E-5</v>
      </c>
      <c r="E955" s="12">
        <f t="shared" si="100"/>
        <v>2.2089999999999309E-5</v>
      </c>
      <c r="F955" s="12">
        <f t="shared" si="101"/>
        <v>4.7425006901039406E-5</v>
      </c>
      <c r="G955" s="12">
        <f t="shared" si="102"/>
        <v>3.8732640750070479</v>
      </c>
      <c r="I955" s="12">
        <f t="shared" si="103"/>
        <v>6.8865816557301786E-3</v>
      </c>
      <c r="J955" s="12">
        <f t="shared" si="104"/>
        <v>7.4054730214398717E-3</v>
      </c>
    </row>
    <row r="956" spans="1:10">
      <c r="A956" s="15">
        <v>41598</v>
      </c>
      <c r="B956" s="11">
        <v>1.6832</v>
      </c>
      <c r="C956" s="11">
        <f t="shared" si="98"/>
        <v>1.8000000000000016E-2</v>
      </c>
      <c r="D956" s="12">
        <f t="shared" si="99"/>
        <v>3.2400000000000056E-4</v>
      </c>
      <c r="E956" s="12">
        <f t="shared" si="100"/>
        <v>1.7639999999999845E-5</v>
      </c>
      <c r="F956" s="12">
        <f t="shared" si="101"/>
        <v>4.5564942403673388E-5</v>
      </c>
      <c r="G956" s="12">
        <f t="shared" si="102"/>
        <v>0.52388246324273358</v>
      </c>
      <c r="I956" s="12">
        <f t="shared" si="103"/>
        <v>6.7501809163661225E-3</v>
      </c>
      <c r="J956" s="12">
        <f t="shared" si="104"/>
        <v>7.4054730214398717E-3</v>
      </c>
    </row>
    <row r="957" spans="1:10">
      <c r="A957" s="15">
        <v>41599</v>
      </c>
      <c r="B957" s="11">
        <v>1.6780999999999999</v>
      </c>
      <c r="C957" s="11">
        <f t="shared" si="98"/>
        <v>-5.1000000000001044E-3</v>
      </c>
      <c r="D957" s="12">
        <f t="shared" si="99"/>
        <v>2.6010000000001064E-5</v>
      </c>
      <c r="E957" s="12">
        <f t="shared" si="100"/>
        <v>3.2400000000000056E-4</v>
      </c>
      <c r="F957" s="12">
        <f t="shared" si="101"/>
        <v>6.9227107065245632E-5</v>
      </c>
      <c r="G957" s="12">
        <f t="shared" si="102"/>
        <v>3.6822605477275454</v>
      </c>
      <c r="I957" s="12">
        <f t="shared" si="103"/>
        <v>8.3202828717084867E-3</v>
      </c>
      <c r="J957" s="12">
        <f t="shared" si="104"/>
        <v>7.4054730214398717E-3</v>
      </c>
    </row>
    <row r="958" spans="1:10">
      <c r="A958" s="15">
        <v>41600</v>
      </c>
      <c r="B958" s="11">
        <v>1.669</v>
      </c>
      <c r="C958" s="11">
        <f t="shared" si="98"/>
        <v>-9.099999999999886E-3</v>
      </c>
      <c r="D958" s="12">
        <f t="shared" si="99"/>
        <v>8.2809999999997928E-5</v>
      </c>
      <c r="E958" s="12">
        <f t="shared" si="100"/>
        <v>2.6010000000001064E-5</v>
      </c>
      <c r="F958" s="12">
        <f t="shared" si="101"/>
        <v>6.5004302709671961E-5</v>
      </c>
      <c r="G958" s="12">
        <f t="shared" si="102"/>
        <v>3.2646321705356867</v>
      </c>
      <c r="I958" s="12">
        <f t="shared" si="103"/>
        <v>8.0625245866088342E-3</v>
      </c>
      <c r="J958" s="12">
        <f t="shared" si="104"/>
        <v>7.4054730214398717E-3</v>
      </c>
    </row>
    <row r="959" spans="1:10">
      <c r="A959" s="15">
        <v>41603</v>
      </c>
      <c r="B959" s="11">
        <v>1.6761999999999999</v>
      </c>
      <c r="C959" s="11">
        <f t="shared" si="98"/>
        <v>7.1999999999998732E-3</v>
      </c>
      <c r="D959" s="12">
        <f t="shared" si="99"/>
        <v>5.1839999999998176E-5</v>
      </c>
      <c r="E959" s="12">
        <f t="shared" si="100"/>
        <v>8.2809999999997928E-5</v>
      </c>
      <c r="F959" s="12">
        <f t="shared" si="101"/>
        <v>6.605641283602885E-5</v>
      </c>
      <c r="G959" s="12">
        <f t="shared" si="102"/>
        <v>3.5011703002334036</v>
      </c>
      <c r="I959" s="12">
        <f t="shared" si="103"/>
        <v>8.1275096330935739E-3</v>
      </c>
      <c r="J959" s="12">
        <f t="shared" si="104"/>
        <v>7.4054730214398717E-3</v>
      </c>
    </row>
    <row r="960" spans="1:10">
      <c r="A960" s="15">
        <v>41604</v>
      </c>
      <c r="B960" s="11">
        <v>1.6712</v>
      </c>
      <c r="C960" s="11">
        <f t="shared" si="98"/>
        <v>-4.9999999999998934E-3</v>
      </c>
      <c r="D960" s="12">
        <f t="shared" si="99"/>
        <v>2.4999999999998934E-5</v>
      </c>
      <c r="E960" s="12">
        <f t="shared" si="100"/>
        <v>5.1839999999998176E-5</v>
      </c>
      <c r="F960" s="12">
        <f t="shared" si="101"/>
        <v>6.4407480100184619E-5</v>
      </c>
      <c r="G960" s="12">
        <f t="shared" si="102"/>
        <v>3.7121250131600938</v>
      </c>
      <c r="I960" s="12">
        <f t="shared" si="103"/>
        <v>8.0254270976805112E-3</v>
      </c>
      <c r="J960" s="12">
        <f t="shared" si="104"/>
        <v>7.4054730214398717E-3</v>
      </c>
    </row>
    <row r="961" spans="1:10">
      <c r="A961" s="15">
        <v>41605</v>
      </c>
      <c r="B961" s="11">
        <v>1.6708000000000001</v>
      </c>
      <c r="C961" s="11">
        <f t="shared" si="98"/>
        <v>-3.9999999999995595E-4</v>
      </c>
      <c r="D961" s="12">
        <f t="shared" si="99"/>
        <v>1.5999999999996475E-7</v>
      </c>
      <c r="E961" s="12">
        <f t="shared" si="100"/>
        <v>2.4999999999998934E-5</v>
      </c>
      <c r="F961" s="12">
        <f t="shared" si="101"/>
        <v>6.0776277663200316E-5</v>
      </c>
      <c r="G961" s="12">
        <f t="shared" si="102"/>
        <v>3.9339006639239638</v>
      </c>
      <c r="I961" s="12">
        <f t="shared" si="103"/>
        <v>7.7959141646891106E-3</v>
      </c>
      <c r="J961" s="12">
        <f t="shared" si="104"/>
        <v>7.4054730214398717E-3</v>
      </c>
    </row>
    <row r="962" spans="1:10">
      <c r="A962" s="15">
        <v>41606</v>
      </c>
      <c r="B962" s="11">
        <v>1.6700999999999999</v>
      </c>
      <c r="C962" s="11">
        <f t="shared" si="98"/>
        <v>-7.0000000000014495E-4</v>
      </c>
      <c r="D962" s="12">
        <f t="shared" si="99"/>
        <v>4.9000000000020294E-7</v>
      </c>
      <c r="E962" s="12">
        <f t="shared" si="100"/>
        <v>1.5999999999996475E-7</v>
      </c>
      <c r="F962" s="12">
        <f t="shared" si="101"/>
        <v>5.5605295000493401E-5</v>
      </c>
      <c r="G962" s="12">
        <f t="shared" si="102"/>
        <v>3.9752714679044279</v>
      </c>
      <c r="I962" s="12">
        <f t="shared" si="103"/>
        <v>7.4568958019066755E-3</v>
      </c>
      <c r="J962" s="12">
        <f t="shared" si="104"/>
        <v>7.4054730214398717E-3</v>
      </c>
    </row>
    <row r="963" spans="1:10">
      <c r="A963" s="15">
        <v>41607</v>
      </c>
      <c r="B963" s="11">
        <v>1.6654</v>
      </c>
      <c r="C963" s="11">
        <f t="shared" si="98"/>
        <v>-4.6999999999999265E-3</v>
      </c>
      <c r="D963" s="12">
        <f t="shared" si="99"/>
        <v>2.2089999999999309E-5</v>
      </c>
      <c r="E963" s="12">
        <f t="shared" si="100"/>
        <v>4.9000000000020294E-7</v>
      </c>
      <c r="F963" s="12">
        <f t="shared" si="101"/>
        <v>5.1185607439397012E-5</v>
      </c>
      <c r="G963" s="12">
        <f t="shared" si="102"/>
        <v>3.8053042305230527</v>
      </c>
      <c r="I963" s="12">
        <f t="shared" si="103"/>
        <v>7.1544117465656819E-3</v>
      </c>
      <c r="J963" s="12">
        <f t="shared" si="104"/>
        <v>7.4054730214398717E-3</v>
      </c>
    </row>
    <row r="964" spans="1:10">
      <c r="A964" s="15">
        <v>41610</v>
      </c>
      <c r="B964" s="11">
        <v>1.6765000000000001</v>
      </c>
      <c r="C964" s="11">
        <f t="shared" si="98"/>
        <v>1.110000000000011E-2</v>
      </c>
      <c r="D964" s="12">
        <f t="shared" si="99"/>
        <v>1.2321000000000245E-4</v>
      </c>
      <c r="E964" s="12">
        <f t="shared" si="100"/>
        <v>2.2089999999999309E-5</v>
      </c>
      <c r="F964" s="12">
        <f t="shared" si="101"/>
        <v>4.9165889503575425E-5</v>
      </c>
      <c r="G964" s="12">
        <f t="shared" si="102"/>
        <v>2.788213841554668</v>
      </c>
      <c r="I964" s="12">
        <f t="shared" si="103"/>
        <v>7.0118392382865873E-3</v>
      </c>
      <c r="J964" s="12">
        <f t="shared" si="104"/>
        <v>7.4054730214398717E-3</v>
      </c>
    </row>
    <row r="965" spans="1:10">
      <c r="A965" s="15">
        <v>41611</v>
      </c>
      <c r="B965" s="11">
        <v>1.665</v>
      </c>
      <c r="C965" s="11">
        <f t="shared" si="98"/>
        <v>-1.1500000000000066E-2</v>
      </c>
      <c r="D965" s="12">
        <f t="shared" si="99"/>
        <v>1.3225000000000151E-4</v>
      </c>
      <c r="E965" s="12">
        <f t="shared" si="100"/>
        <v>1.2321000000000245E-4</v>
      </c>
      <c r="F965" s="12">
        <f t="shared" si="101"/>
        <v>5.5767120646150835E-5</v>
      </c>
      <c r="G965" s="12">
        <f t="shared" si="102"/>
        <v>2.7924899889557322</v>
      </c>
      <c r="I965" s="12">
        <f t="shared" si="103"/>
        <v>7.4677386567923512E-3</v>
      </c>
      <c r="J965" s="12">
        <f t="shared" si="104"/>
        <v>7.4054730214398717E-3</v>
      </c>
    </row>
    <row r="966" spans="1:10">
      <c r="A966" s="15">
        <v>41612</v>
      </c>
      <c r="B966" s="11">
        <v>1.6716</v>
      </c>
      <c r="C966" s="11">
        <f t="shared" si="98"/>
        <v>6.5999999999999392E-3</v>
      </c>
      <c r="D966" s="12">
        <f t="shared" si="99"/>
        <v>4.3559999999999197E-5</v>
      </c>
      <c r="E966" s="12">
        <f t="shared" si="100"/>
        <v>1.3225000000000151E-4</v>
      </c>
      <c r="F966" s="12">
        <f t="shared" si="101"/>
        <v>6.2189410849281039E-5</v>
      </c>
      <c r="G966" s="12">
        <f t="shared" si="102"/>
        <v>3.57350397307721</v>
      </c>
      <c r="I966" s="12">
        <f t="shared" si="103"/>
        <v>7.8860263028524731E-3</v>
      </c>
      <c r="J966" s="12">
        <f t="shared" si="104"/>
        <v>7.4054730214398717E-3</v>
      </c>
    </row>
    <row r="967" spans="1:10">
      <c r="A967" s="15">
        <v>41613</v>
      </c>
      <c r="B967" s="11">
        <v>1.6668000000000001</v>
      </c>
      <c r="C967" s="11">
        <f t="shared" si="98"/>
        <v>-4.7999999999999154E-3</v>
      </c>
      <c r="D967" s="12">
        <f t="shared" si="99"/>
        <v>2.303999999999919E-5</v>
      </c>
      <c r="E967" s="12">
        <f t="shared" si="100"/>
        <v>4.3559999999999197E-5</v>
      </c>
      <c r="F967" s="12">
        <f t="shared" si="101"/>
        <v>6.0399217446337739E-5</v>
      </c>
      <c r="G967" s="12">
        <f t="shared" si="102"/>
        <v>3.7475977160889515</v>
      </c>
      <c r="I967" s="12">
        <f t="shared" si="103"/>
        <v>7.7716933448469094E-3</v>
      </c>
      <c r="J967" s="12">
        <f t="shared" si="104"/>
        <v>7.4054730214398717E-3</v>
      </c>
    </row>
    <row r="968" spans="1:10">
      <c r="A968" s="15">
        <v>41614</v>
      </c>
      <c r="B968" s="11">
        <v>1.6651</v>
      </c>
      <c r="C968" s="11">
        <f t="shared" si="98"/>
        <v>-1.7000000000000348E-3</v>
      </c>
      <c r="D968" s="12">
        <f t="shared" si="99"/>
        <v>2.8900000000001184E-6</v>
      </c>
      <c r="E968" s="12">
        <f t="shared" si="100"/>
        <v>2.303999999999919E-5</v>
      </c>
      <c r="F968" s="12">
        <f t="shared" si="101"/>
        <v>5.7167668046760532E-5</v>
      </c>
      <c r="G968" s="12">
        <f t="shared" si="102"/>
        <v>3.9405459659074848</v>
      </c>
      <c r="I968" s="12">
        <f t="shared" si="103"/>
        <v>7.5609303691252525E-3</v>
      </c>
      <c r="J968" s="12">
        <f t="shared" si="104"/>
        <v>7.4054730214398717E-3</v>
      </c>
    </row>
    <row r="969" spans="1:10">
      <c r="A969" s="15">
        <v>41617</v>
      </c>
      <c r="B969" s="11">
        <v>1.6676</v>
      </c>
      <c r="C969" s="11">
        <f t="shared" si="98"/>
        <v>2.4999999999999467E-3</v>
      </c>
      <c r="D969" s="12">
        <f t="shared" si="99"/>
        <v>6.2499999999997335E-6</v>
      </c>
      <c r="E969" s="12">
        <f t="shared" si="100"/>
        <v>2.8900000000001184E-6</v>
      </c>
      <c r="F969" s="12">
        <f t="shared" si="101"/>
        <v>5.2727102695016077E-5</v>
      </c>
      <c r="G969" s="12">
        <f t="shared" si="102"/>
        <v>3.946984502895508</v>
      </c>
      <c r="I969" s="12">
        <f t="shared" si="103"/>
        <v>7.2613430365887606E-3</v>
      </c>
      <c r="J969" s="12">
        <f t="shared" si="104"/>
        <v>7.4054730214398717E-3</v>
      </c>
    </row>
    <row r="970" spans="1:10">
      <c r="A970" s="15">
        <v>41618</v>
      </c>
      <c r="B970" s="11">
        <v>1.6667000000000001</v>
      </c>
      <c r="C970" s="11">
        <f t="shared" si="98"/>
        <v>-8.9999999999990088E-4</v>
      </c>
      <c r="D970" s="12">
        <f t="shared" si="99"/>
        <v>8.0999999999982157E-7</v>
      </c>
      <c r="E970" s="12">
        <f t="shared" si="100"/>
        <v>6.2499999999997335E-6</v>
      </c>
      <c r="F970" s="12">
        <f t="shared" si="101"/>
        <v>4.9185400426353517E-5</v>
      </c>
      <c r="G970" s="12">
        <f t="shared" si="102"/>
        <v>4.0327841675975025</v>
      </c>
      <c r="I970" s="12">
        <f t="shared" si="103"/>
        <v>7.0132303845199268E-3</v>
      </c>
      <c r="J970" s="12">
        <f t="shared" si="104"/>
        <v>7.4054730214398717E-3</v>
      </c>
    </row>
    <row r="971" spans="1:10">
      <c r="A971" s="15">
        <v>41619</v>
      </c>
      <c r="B971" s="11">
        <v>1.6676</v>
      </c>
      <c r="C971" s="11">
        <f t="shared" si="98"/>
        <v>8.9999999999990088E-4</v>
      </c>
      <c r="D971" s="12">
        <f t="shared" si="99"/>
        <v>8.0999999999982157E-7</v>
      </c>
      <c r="E971" s="12">
        <f t="shared" si="100"/>
        <v>8.0999999999982157E-7</v>
      </c>
      <c r="F971" s="12">
        <f t="shared" si="101"/>
        <v>4.5691066429915957E-5</v>
      </c>
      <c r="G971" s="12">
        <f t="shared" si="102"/>
        <v>4.0690014633057707</v>
      </c>
      <c r="I971" s="12">
        <f t="shared" si="103"/>
        <v>6.759516730500484E-3</v>
      </c>
      <c r="J971" s="12">
        <f t="shared" si="104"/>
        <v>7.4054730214398717E-3</v>
      </c>
    </row>
    <row r="972" spans="1:10">
      <c r="A972" s="15">
        <v>41620</v>
      </c>
      <c r="B972" s="11">
        <v>1.6698999999999999</v>
      </c>
      <c r="C972" s="11">
        <f t="shared" si="98"/>
        <v>2.2999999999999687E-3</v>
      </c>
      <c r="D972" s="12">
        <f t="shared" si="99"/>
        <v>5.2899999999998562E-6</v>
      </c>
      <c r="E972" s="12">
        <f t="shared" si="100"/>
        <v>8.0999999999982157E-7</v>
      </c>
      <c r="F972" s="12">
        <f t="shared" si="101"/>
        <v>4.2686038164064131E-5</v>
      </c>
      <c r="G972" s="12">
        <f t="shared" si="102"/>
        <v>4.0499167379352485</v>
      </c>
      <c r="I972" s="12">
        <f t="shared" si="103"/>
        <v>6.533455300533105E-3</v>
      </c>
      <c r="J972" s="12">
        <f t="shared" si="104"/>
        <v>7.4054730214398717E-3</v>
      </c>
    </row>
    <row r="973" spans="1:10">
      <c r="A973" s="15">
        <v>41621</v>
      </c>
      <c r="B973" s="11">
        <v>1.6746000000000001</v>
      </c>
      <c r="C973" s="11">
        <f t="shared" si="98"/>
        <v>4.7000000000001485E-3</v>
      </c>
      <c r="D973" s="12">
        <f t="shared" si="99"/>
        <v>2.2090000000001396E-5</v>
      </c>
      <c r="E973" s="12">
        <f t="shared" si="100"/>
        <v>5.2899999999998562E-6</v>
      </c>
      <c r="F973" s="12">
        <f t="shared" si="101"/>
        <v>4.0471209850900741E-5</v>
      </c>
      <c r="G973" s="12">
        <f t="shared" si="102"/>
        <v>3.8656112592946696</v>
      </c>
      <c r="I973" s="12">
        <f t="shared" si="103"/>
        <v>6.3616986608059914E-3</v>
      </c>
      <c r="J973" s="12">
        <f t="shared" si="104"/>
        <v>7.4054730214398717E-3</v>
      </c>
    </row>
    <row r="974" spans="1:10">
      <c r="A974" s="15">
        <v>41624</v>
      </c>
      <c r="B974" s="11">
        <v>1.6652</v>
      </c>
      <c r="C974" s="11">
        <f t="shared" ref="C974:C1037" si="105">B974-B973</f>
        <v>-9.400000000000075E-3</v>
      </c>
      <c r="D974" s="12">
        <f t="shared" ref="D974:D1037" si="106">C974^2</f>
        <v>8.8360000000001411E-5</v>
      </c>
      <c r="E974" s="12">
        <f t="shared" si="100"/>
        <v>2.2090000000001396E-5</v>
      </c>
      <c r="F974" s="12">
        <f t="shared" si="101"/>
        <v>3.9951811044610158E-5</v>
      </c>
      <c r="G974" s="12">
        <f t="shared" si="102"/>
        <v>3.0391475139170692</v>
      </c>
      <c r="I974" s="12">
        <f t="shared" si="103"/>
        <v>6.3207445008171435E-3</v>
      </c>
      <c r="J974" s="12">
        <f t="shared" si="104"/>
        <v>7.4054730214398717E-3</v>
      </c>
    </row>
    <row r="975" spans="1:10">
      <c r="A975" s="15">
        <v>41625</v>
      </c>
      <c r="B975" s="11">
        <v>1.6606000000000001</v>
      </c>
      <c r="C975" s="11">
        <f t="shared" si="105"/>
        <v>-4.5999999999999375E-3</v>
      </c>
      <c r="D975" s="12">
        <f t="shared" si="106"/>
        <v>2.1159999999999425E-5</v>
      </c>
      <c r="E975" s="12">
        <f t="shared" ref="E975:E1038" si="107">D974</f>
        <v>8.8360000000001411E-5</v>
      </c>
      <c r="F975" s="12">
        <f t="shared" ref="F975:F1038" si="108">$B$5+$B$6*E975+$B$7*F974</f>
        <v>4.4969620288020257E-5</v>
      </c>
      <c r="G975" s="12">
        <f t="shared" ref="G975:G1038" si="109">LN((1/SQRT(2*3.1415927*F975))*EXP(-0.5*D975/F975))</f>
        <v>3.8505532168962491</v>
      </c>
      <c r="I975" s="12">
        <f t="shared" ref="I975:I1038" si="110">SQRT(F975)</f>
        <v>6.7059391801611396E-3</v>
      </c>
      <c r="J975" s="12">
        <f t="shared" si="104"/>
        <v>7.4054730214398717E-3</v>
      </c>
    </row>
    <row r="976" spans="1:10">
      <c r="A976" s="15">
        <v>41626</v>
      </c>
      <c r="B976" s="11">
        <v>1.6571</v>
      </c>
      <c r="C976" s="11">
        <f t="shared" si="105"/>
        <v>-3.5000000000000586E-3</v>
      </c>
      <c r="D976" s="12">
        <f t="shared" si="106"/>
        <v>1.225000000000041E-5</v>
      </c>
      <c r="E976" s="12">
        <f t="shared" si="107"/>
        <v>2.1159999999999425E-5</v>
      </c>
      <c r="F976" s="12">
        <f t="shared" si="108"/>
        <v>4.3743630869319856E-5</v>
      </c>
      <c r="G976" s="12">
        <f t="shared" si="109"/>
        <v>3.9596233431673489</v>
      </c>
      <c r="I976" s="12">
        <f t="shared" si="110"/>
        <v>6.613896799113202E-3</v>
      </c>
      <c r="J976" s="12">
        <f t="shared" ref="J976:J1039" si="111">J975</f>
        <v>7.4054730214398717E-3</v>
      </c>
    </row>
    <row r="977" spans="1:10">
      <c r="A977" s="15">
        <v>41627</v>
      </c>
      <c r="B977" s="11">
        <v>1.6518999999999999</v>
      </c>
      <c r="C977" s="11">
        <f t="shared" si="105"/>
        <v>-5.2000000000000934E-3</v>
      </c>
      <c r="D977" s="12">
        <f t="shared" si="106"/>
        <v>2.7040000000000971E-5</v>
      </c>
      <c r="E977" s="12">
        <f t="shared" si="107"/>
        <v>1.225000000000041E-5</v>
      </c>
      <c r="F977" s="12">
        <f t="shared" si="108"/>
        <v>4.1954615816350081E-5</v>
      </c>
      <c r="G977" s="12">
        <f t="shared" si="109"/>
        <v>3.7982695285938801</v>
      </c>
      <c r="I977" s="12">
        <f t="shared" si="110"/>
        <v>6.4772382862104188E-3</v>
      </c>
      <c r="J977" s="12">
        <f t="shared" si="111"/>
        <v>7.4054730214398717E-3</v>
      </c>
    </row>
    <row r="978" spans="1:10">
      <c r="A978" s="15">
        <v>41628</v>
      </c>
      <c r="B978" s="11">
        <v>1.651</v>
      </c>
      <c r="C978" s="11">
        <f t="shared" si="105"/>
        <v>-8.9999999999990088E-4</v>
      </c>
      <c r="D978" s="12">
        <f t="shared" si="106"/>
        <v>8.0999999999982157E-7</v>
      </c>
      <c r="E978" s="12">
        <f t="shared" si="107"/>
        <v>2.7040000000000971E-5</v>
      </c>
      <c r="F978" s="12">
        <f t="shared" si="108"/>
        <v>4.163566420269308E-5</v>
      </c>
      <c r="G978" s="12">
        <f t="shared" si="109"/>
        <v>4.1146109444763042</v>
      </c>
      <c r="I978" s="12">
        <f t="shared" si="110"/>
        <v>6.4525703562761001E-3</v>
      </c>
      <c r="J978" s="12">
        <f t="shared" si="111"/>
        <v>7.4054730214398717E-3</v>
      </c>
    </row>
    <row r="979" spans="1:10">
      <c r="A979" s="15">
        <v>41631</v>
      </c>
      <c r="B979" s="11">
        <v>1.6515</v>
      </c>
      <c r="C979" s="11">
        <f t="shared" si="105"/>
        <v>4.9999999999994493E-4</v>
      </c>
      <c r="D979" s="12">
        <f t="shared" si="106"/>
        <v>2.4999999999994493E-7</v>
      </c>
      <c r="E979" s="12">
        <f t="shared" si="107"/>
        <v>8.0999999999982157E-7</v>
      </c>
      <c r="F979" s="12">
        <f t="shared" si="108"/>
        <v>3.9198507111043065E-5</v>
      </c>
      <c r="G979" s="12">
        <f t="shared" si="109"/>
        <v>4.151308510350586</v>
      </c>
      <c r="I979" s="12">
        <f t="shared" si="110"/>
        <v>6.2608711143931932E-3</v>
      </c>
      <c r="J979" s="12">
        <f t="shared" si="111"/>
        <v>7.4054730214398717E-3</v>
      </c>
    </row>
    <row r="980" spans="1:10">
      <c r="A980" s="15">
        <v>41632</v>
      </c>
      <c r="B980" s="11">
        <v>1.6543000000000001</v>
      </c>
      <c r="C980" s="11">
        <f t="shared" si="105"/>
        <v>2.8000000000001357E-3</v>
      </c>
      <c r="D980" s="12">
        <f t="shared" si="106"/>
        <v>7.8400000000007601E-6</v>
      </c>
      <c r="E980" s="12">
        <f t="shared" si="107"/>
        <v>2.4999999999994493E-7</v>
      </c>
      <c r="F980" s="12">
        <f t="shared" si="108"/>
        <v>3.7056444680173095E-5</v>
      </c>
      <c r="G980" s="12">
        <f t="shared" si="109"/>
        <v>4.0768110291285238</v>
      </c>
      <c r="I980" s="12">
        <f t="shared" si="110"/>
        <v>6.0874004862644859E-3</v>
      </c>
      <c r="J980" s="12">
        <f t="shared" si="111"/>
        <v>7.4054730214398717E-3</v>
      </c>
    </row>
    <row r="981" spans="1:10">
      <c r="A981" s="15">
        <v>41633</v>
      </c>
      <c r="B981" s="11">
        <v>1.6541999999999999</v>
      </c>
      <c r="C981" s="11">
        <f t="shared" si="105"/>
        <v>-1.0000000000021103E-4</v>
      </c>
      <c r="D981" s="12">
        <f t="shared" si="106"/>
        <v>1.0000000000042206E-8</v>
      </c>
      <c r="E981" s="12">
        <f t="shared" si="107"/>
        <v>7.8400000000007601E-6</v>
      </c>
      <c r="F981" s="12">
        <f t="shared" si="108"/>
        <v>3.5840186258801381E-5</v>
      </c>
      <c r="G981" s="12">
        <f t="shared" si="109"/>
        <v>4.199142337664302</v>
      </c>
      <c r="I981" s="12">
        <f t="shared" si="110"/>
        <v>5.9866673749926491E-3</v>
      </c>
      <c r="J981" s="12">
        <f t="shared" si="111"/>
        <v>7.4054730214398717E-3</v>
      </c>
    </row>
    <row r="982" spans="1:10">
      <c r="A982" s="15">
        <v>41634</v>
      </c>
      <c r="B982" s="11">
        <v>1.6525000000000001</v>
      </c>
      <c r="C982" s="11">
        <f t="shared" si="105"/>
        <v>-1.6999999999998128E-3</v>
      </c>
      <c r="D982" s="12">
        <f t="shared" si="106"/>
        <v>2.8899999999993633E-6</v>
      </c>
      <c r="E982" s="12">
        <f t="shared" si="107"/>
        <v>1.0000000000042206E-8</v>
      </c>
      <c r="F982" s="12">
        <f t="shared" si="108"/>
        <v>3.4148593997248448E-5</v>
      </c>
      <c r="G982" s="12">
        <f t="shared" si="109"/>
        <v>4.1811409657559864</v>
      </c>
      <c r="I982" s="12">
        <f t="shared" si="110"/>
        <v>5.8436798335679248E-3</v>
      </c>
      <c r="J982" s="12">
        <f t="shared" si="111"/>
        <v>7.4054730214398717E-3</v>
      </c>
    </row>
    <row r="983" spans="1:10">
      <c r="A983" s="15">
        <v>41635</v>
      </c>
      <c r="B983" s="11">
        <v>1.6476</v>
      </c>
      <c r="C983" s="11">
        <f t="shared" si="105"/>
        <v>-4.9000000000001265E-3</v>
      </c>
      <c r="D983" s="12">
        <f t="shared" si="106"/>
        <v>2.4010000000001239E-5</v>
      </c>
      <c r="E983" s="12">
        <f t="shared" si="107"/>
        <v>2.8899999999993633E-6</v>
      </c>
      <c r="F983" s="12">
        <f t="shared" si="108"/>
        <v>3.2931350988670474E-5</v>
      </c>
      <c r="G983" s="12">
        <f t="shared" si="109"/>
        <v>3.8770579430773537</v>
      </c>
      <c r="I983" s="12">
        <f t="shared" si="110"/>
        <v>5.7385844063384201E-3</v>
      </c>
      <c r="J983" s="12">
        <f t="shared" si="111"/>
        <v>7.4054730214398717E-3</v>
      </c>
    </row>
    <row r="984" spans="1:10">
      <c r="A984" s="15">
        <v>41638</v>
      </c>
      <c r="B984" s="11">
        <v>1.6437999999999999</v>
      </c>
      <c r="C984" s="11">
        <f t="shared" si="105"/>
        <v>-3.8000000000000256E-3</v>
      </c>
      <c r="D984" s="12">
        <f t="shared" si="106"/>
        <v>1.4440000000000194E-5</v>
      </c>
      <c r="E984" s="12">
        <f t="shared" si="107"/>
        <v>2.4010000000001239E-5</v>
      </c>
      <c r="F984" s="12">
        <f t="shared" si="108"/>
        <v>3.3626064926724715E-5</v>
      </c>
      <c r="G984" s="12">
        <f t="shared" si="109"/>
        <v>4.0164515948995092</v>
      </c>
      <c r="I984" s="12">
        <f t="shared" si="110"/>
        <v>5.7987985761470207E-3</v>
      </c>
      <c r="J984" s="12">
        <f t="shared" si="111"/>
        <v>7.4054730214398717E-3</v>
      </c>
    </row>
    <row r="985" spans="1:10">
      <c r="A985" s="15">
        <v>41639</v>
      </c>
      <c r="B985" s="11">
        <v>1.6454</v>
      </c>
      <c r="C985" s="11">
        <f t="shared" si="105"/>
        <v>1.6000000000000458E-3</v>
      </c>
      <c r="D985" s="12">
        <f t="shared" si="106"/>
        <v>2.5600000000001466E-6</v>
      </c>
      <c r="E985" s="12">
        <f t="shared" si="107"/>
        <v>1.4440000000000194E-5</v>
      </c>
      <c r="F985" s="12">
        <f t="shared" si="108"/>
        <v>3.3434378220864484E-5</v>
      </c>
      <c r="G985" s="12">
        <f t="shared" si="109"/>
        <v>4.1957404609685218</v>
      </c>
      <c r="I985" s="12">
        <f t="shared" si="110"/>
        <v>5.7822468142465595E-3</v>
      </c>
      <c r="J985" s="12">
        <f t="shared" si="111"/>
        <v>7.4054730214398717E-3</v>
      </c>
    </row>
    <row r="986" spans="1:10">
      <c r="A986" s="15">
        <v>41640</v>
      </c>
      <c r="B986" s="11">
        <v>1.6474</v>
      </c>
      <c r="C986" s="11">
        <f t="shared" si="105"/>
        <v>2.0000000000000018E-3</v>
      </c>
      <c r="D986" s="12">
        <f t="shared" si="106"/>
        <v>4.0000000000000074E-6</v>
      </c>
      <c r="E986" s="12">
        <f t="shared" si="107"/>
        <v>2.5600000000001466E-6</v>
      </c>
      <c r="F986" s="12">
        <f t="shared" si="108"/>
        <v>3.2289934580413983E-5</v>
      </c>
      <c r="G986" s="12">
        <f t="shared" si="109"/>
        <v>4.189500152813487</v>
      </c>
      <c r="I986" s="12">
        <f t="shared" si="110"/>
        <v>5.6824233017625488E-3</v>
      </c>
      <c r="J986" s="12">
        <f t="shared" si="111"/>
        <v>7.4054730214398717E-3</v>
      </c>
    </row>
    <row r="987" spans="1:10">
      <c r="A987" s="15">
        <v>41641</v>
      </c>
      <c r="B987" s="11">
        <v>1.6496999999999999</v>
      </c>
      <c r="C987" s="11">
        <f t="shared" si="105"/>
        <v>2.2999999999999687E-3</v>
      </c>
      <c r="D987" s="12">
        <f t="shared" si="106"/>
        <v>5.2899999999998562E-6</v>
      </c>
      <c r="E987" s="12">
        <f t="shared" si="107"/>
        <v>4.0000000000000074E-6</v>
      </c>
      <c r="F987" s="12">
        <f t="shared" si="108"/>
        <v>3.1424484676489585E-5</v>
      </c>
      <c r="G987" s="12">
        <f t="shared" si="109"/>
        <v>4.1808530246873303</v>
      </c>
      <c r="I987" s="12">
        <f t="shared" si="110"/>
        <v>5.6057546036630598E-3</v>
      </c>
      <c r="J987" s="12">
        <f t="shared" si="111"/>
        <v>7.4054730214398717E-3</v>
      </c>
    </row>
    <row r="988" spans="1:10">
      <c r="A988" s="15">
        <v>41642</v>
      </c>
      <c r="B988" s="11">
        <v>1.655</v>
      </c>
      <c r="C988" s="11">
        <f t="shared" si="105"/>
        <v>5.3000000000000824E-3</v>
      </c>
      <c r="D988" s="12">
        <f t="shared" si="106"/>
        <v>2.8090000000000875E-5</v>
      </c>
      <c r="E988" s="12">
        <f t="shared" si="107"/>
        <v>5.2899999999998562E-6</v>
      </c>
      <c r="F988" s="12">
        <f t="shared" si="108"/>
        <v>3.0786592815990917E-5</v>
      </c>
      <c r="G988" s="12">
        <f t="shared" si="109"/>
        <v>3.8190720111292635</v>
      </c>
      <c r="I988" s="12">
        <f t="shared" si="110"/>
        <v>5.54856673529218E-3</v>
      </c>
      <c r="J988" s="12">
        <f t="shared" si="111"/>
        <v>7.4054730214398717E-3</v>
      </c>
    </row>
    <row r="989" spans="1:10">
      <c r="A989" s="15">
        <v>41645</v>
      </c>
      <c r="B989" s="11">
        <v>1.6575</v>
      </c>
      <c r="C989" s="11">
        <f t="shared" si="105"/>
        <v>2.4999999999999467E-3</v>
      </c>
      <c r="D989" s="12">
        <f t="shared" si="106"/>
        <v>6.2499999999997335E-6</v>
      </c>
      <c r="E989" s="12">
        <f t="shared" si="107"/>
        <v>2.8090000000000875E-5</v>
      </c>
      <c r="F989" s="12">
        <f t="shared" si="108"/>
        <v>3.2118061413431923E-5</v>
      </c>
      <c r="G989" s="12">
        <f t="shared" si="109"/>
        <v>4.1568101924612568</v>
      </c>
      <c r="I989" s="12">
        <f t="shared" si="110"/>
        <v>5.6672798954553079E-3</v>
      </c>
      <c r="J989" s="12">
        <f t="shared" si="111"/>
        <v>7.4054730214398717E-3</v>
      </c>
    </row>
    <row r="990" spans="1:10">
      <c r="A990" s="15">
        <v>41646</v>
      </c>
      <c r="B990" s="11">
        <v>1.6564000000000001</v>
      </c>
      <c r="C990" s="11">
        <f t="shared" si="105"/>
        <v>-1.0999999999998789E-3</v>
      </c>
      <c r="D990" s="12">
        <f t="shared" si="106"/>
        <v>1.2099999999997335E-6</v>
      </c>
      <c r="E990" s="12">
        <f t="shared" si="107"/>
        <v>6.2499999999997335E-6</v>
      </c>
      <c r="F990" s="12">
        <f t="shared" si="108"/>
        <v>3.1462208640334974E-5</v>
      </c>
      <c r="G990" s="12">
        <f t="shared" si="109"/>
        <v>4.2451937692157182</v>
      </c>
      <c r="I990" s="12">
        <f t="shared" si="110"/>
        <v>5.6091183478631443E-3</v>
      </c>
      <c r="J990" s="12">
        <f t="shared" si="111"/>
        <v>7.4054730214398717E-3</v>
      </c>
    </row>
    <row r="991" spans="1:10">
      <c r="A991" s="15">
        <v>41647</v>
      </c>
      <c r="B991" s="11">
        <v>1.6587000000000001</v>
      </c>
      <c r="C991" s="11">
        <f t="shared" si="105"/>
        <v>2.2999999999999687E-3</v>
      </c>
      <c r="D991" s="12">
        <f t="shared" si="106"/>
        <v>5.2899999999998562E-6</v>
      </c>
      <c r="E991" s="12">
        <f t="shared" si="107"/>
        <v>1.2099999999997335E-6</v>
      </c>
      <c r="F991" s="12">
        <f t="shared" si="108"/>
        <v>3.0482606587856974E-5</v>
      </c>
      <c r="G991" s="12">
        <f t="shared" si="109"/>
        <v>4.1934678210624021</v>
      </c>
      <c r="I991" s="12">
        <f t="shared" si="110"/>
        <v>5.5211055584780278E-3</v>
      </c>
      <c r="J991" s="12">
        <f t="shared" si="111"/>
        <v>7.4054730214398717E-3</v>
      </c>
    </row>
    <row r="992" spans="1:10">
      <c r="A992" s="15">
        <v>41648</v>
      </c>
      <c r="B992" s="11">
        <v>1.6572</v>
      </c>
      <c r="C992" s="11">
        <f t="shared" si="105"/>
        <v>-1.5000000000000568E-3</v>
      </c>
      <c r="D992" s="12">
        <f t="shared" si="106"/>
        <v>2.2500000000001707E-6</v>
      </c>
      <c r="E992" s="12">
        <f t="shared" si="107"/>
        <v>5.2899999999998562E-6</v>
      </c>
      <c r="F992" s="12">
        <f t="shared" si="108"/>
        <v>2.9976604336866417E-5</v>
      </c>
      <c r="G992" s="12">
        <f t="shared" si="109"/>
        <v>4.2510788599983229</v>
      </c>
      <c r="I992" s="12">
        <f t="shared" si="110"/>
        <v>5.4750894364262595E-3</v>
      </c>
      <c r="J992" s="12">
        <f t="shared" si="111"/>
        <v>7.4054730214398717E-3</v>
      </c>
    </row>
    <row r="993" spans="1:10">
      <c r="A993" s="15">
        <v>41649</v>
      </c>
      <c r="B993" s="11">
        <v>1.6575</v>
      </c>
      <c r="C993" s="11">
        <f t="shared" si="105"/>
        <v>2.9999999999996696E-4</v>
      </c>
      <c r="D993" s="12">
        <f t="shared" si="106"/>
        <v>8.9999999999980173E-8</v>
      </c>
      <c r="E993" s="12">
        <f t="shared" si="107"/>
        <v>2.2500000000001707E-6</v>
      </c>
      <c r="F993" s="12">
        <f t="shared" si="108"/>
        <v>2.9290785061968259E-5</v>
      </c>
      <c r="G993" s="12">
        <f t="shared" si="109"/>
        <v>4.2986439372604819</v>
      </c>
      <c r="I993" s="12">
        <f t="shared" si="110"/>
        <v>5.4120961800367389E-3</v>
      </c>
      <c r="J993" s="12">
        <f t="shared" si="111"/>
        <v>7.4054730214398717E-3</v>
      </c>
    </row>
    <row r="994" spans="1:10">
      <c r="A994" s="15">
        <v>41652</v>
      </c>
      <c r="B994" s="11">
        <v>1.6528</v>
      </c>
      <c r="C994" s="11">
        <f t="shared" si="105"/>
        <v>-4.6999999999999265E-3</v>
      </c>
      <c r="D994" s="12">
        <f t="shared" si="106"/>
        <v>2.2089999999999309E-5</v>
      </c>
      <c r="E994" s="12">
        <f t="shared" si="107"/>
        <v>8.9999999999980173E-8</v>
      </c>
      <c r="F994" s="12">
        <f t="shared" si="108"/>
        <v>2.8522891091567073E-5</v>
      </c>
      <c r="G994" s="12">
        <f t="shared" si="109"/>
        <v>3.9262304221420439</v>
      </c>
      <c r="I994" s="12">
        <f t="shared" si="110"/>
        <v>5.3406826428432416E-3</v>
      </c>
      <c r="J994" s="12">
        <f t="shared" si="111"/>
        <v>7.4054730214398717E-3</v>
      </c>
    </row>
    <row r="995" spans="1:10">
      <c r="A995" s="15">
        <v>41653</v>
      </c>
      <c r="B995" s="11">
        <v>1.6523000000000001</v>
      </c>
      <c r="C995" s="11">
        <f t="shared" si="105"/>
        <v>-4.9999999999994493E-4</v>
      </c>
      <c r="D995" s="12">
        <f t="shared" si="106"/>
        <v>2.4999999999994493E-7</v>
      </c>
      <c r="E995" s="12">
        <f t="shared" si="107"/>
        <v>2.2089999999999309E-5</v>
      </c>
      <c r="F995" s="12">
        <f t="shared" si="108"/>
        <v>2.9676595327448971E-5</v>
      </c>
      <c r="G995" s="12">
        <f t="shared" si="109"/>
        <v>4.2894253154002158</v>
      </c>
      <c r="I995" s="12">
        <f t="shared" si="110"/>
        <v>5.4476229061352043E-3</v>
      </c>
      <c r="J995" s="12">
        <f t="shared" si="111"/>
        <v>7.4054730214398717E-3</v>
      </c>
    </row>
    <row r="996" spans="1:10">
      <c r="A996" s="15">
        <v>41654</v>
      </c>
      <c r="B996" s="11">
        <v>1.655</v>
      </c>
      <c r="C996" s="11">
        <f t="shared" si="105"/>
        <v>2.6999999999999247E-3</v>
      </c>
      <c r="D996" s="12">
        <f t="shared" si="106"/>
        <v>7.2899999999995931E-6</v>
      </c>
      <c r="E996" s="12">
        <f t="shared" si="107"/>
        <v>2.4999999999994493E-7</v>
      </c>
      <c r="F996" s="12">
        <f t="shared" si="108"/>
        <v>2.8867870238285418E-5</v>
      </c>
      <c r="G996" s="12">
        <f t="shared" si="109"/>
        <v>4.1811871849514723</v>
      </c>
      <c r="I996" s="12">
        <f t="shared" si="110"/>
        <v>5.3728828610239976E-3</v>
      </c>
      <c r="J996" s="12">
        <f t="shared" si="111"/>
        <v>7.4054730214398717E-3</v>
      </c>
    </row>
    <row r="997" spans="1:10">
      <c r="A997" s="15">
        <v>41655</v>
      </c>
      <c r="B997" s="11">
        <v>1.6513</v>
      </c>
      <c r="C997" s="11">
        <f t="shared" si="105"/>
        <v>-3.7000000000000366E-3</v>
      </c>
      <c r="D997" s="12">
        <f t="shared" si="106"/>
        <v>1.369000000000027E-5</v>
      </c>
      <c r="E997" s="12">
        <f t="shared" si="107"/>
        <v>7.2899999999995931E-6</v>
      </c>
      <c r="F997" s="12">
        <f t="shared" si="108"/>
        <v>2.8752892383733788E-5</v>
      </c>
      <c r="G997" s="12">
        <f t="shared" si="109"/>
        <v>4.0713845486977842</v>
      </c>
      <c r="I997" s="12">
        <f t="shared" si="110"/>
        <v>5.362172356772373E-3</v>
      </c>
      <c r="J997" s="12">
        <f t="shared" si="111"/>
        <v>7.4054730214398717E-3</v>
      </c>
    </row>
    <row r="998" spans="1:10">
      <c r="A998" s="15">
        <v>41656</v>
      </c>
      <c r="B998" s="11">
        <v>1.6636</v>
      </c>
      <c r="C998" s="11">
        <f t="shared" si="105"/>
        <v>1.2299999999999978E-2</v>
      </c>
      <c r="D998" s="12">
        <f t="shared" si="106"/>
        <v>1.5128999999999945E-4</v>
      </c>
      <c r="E998" s="12">
        <f t="shared" si="107"/>
        <v>1.369000000000027E-5</v>
      </c>
      <c r="F998" s="12">
        <f t="shared" si="108"/>
        <v>2.9181744518428917E-5</v>
      </c>
      <c r="G998" s="12">
        <f t="shared" si="109"/>
        <v>1.7098422702167173</v>
      </c>
      <c r="I998" s="12">
        <f t="shared" si="110"/>
        <v>5.4020130061328909E-3</v>
      </c>
      <c r="J998" s="12">
        <f t="shared" si="111"/>
        <v>7.4054730214398717E-3</v>
      </c>
    </row>
    <row r="999" spans="1:10">
      <c r="A999" s="15">
        <v>41659</v>
      </c>
      <c r="B999" s="11">
        <v>1.6513</v>
      </c>
      <c r="C999" s="11">
        <f t="shared" si="105"/>
        <v>-1.2299999999999978E-2</v>
      </c>
      <c r="D999" s="12">
        <f t="shared" si="106"/>
        <v>1.5128999999999945E-4</v>
      </c>
      <c r="E999" s="12">
        <f t="shared" si="107"/>
        <v>1.5128999999999945E-4</v>
      </c>
      <c r="F999" s="12">
        <f t="shared" si="108"/>
        <v>4.0896736618477E-5</v>
      </c>
      <c r="G999" s="12">
        <f t="shared" si="109"/>
        <v>2.2836330177275426</v>
      </c>
      <c r="I999" s="12">
        <f t="shared" si="110"/>
        <v>6.395055638419184E-3</v>
      </c>
      <c r="J999" s="12">
        <f t="shared" si="111"/>
        <v>7.4054730214398717E-3</v>
      </c>
    </row>
    <row r="1000" spans="1:10">
      <c r="A1000" s="15">
        <v>41660</v>
      </c>
      <c r="B1000" s="11">
        <v>1.6432</v>
      </c>
      <c r="C1000" s="11">
        <f t="shared" si="105"/>
        <v>-8.0999999999999961E-3</v>
      </c>
      <c r="D1000" s="12">
        <f t="shared" si="106"/>
        <v>6.5609999999999936E-5</v>
      </c>
      <c r="E1000" s="12">
        <f t="shared" si="107"/>
        <v>1.5128999999999945E-4</v>
      </c>
      <c r="F1000" s="12">
        <f t="shared" si="108"/>
        <v>5.0971298017234341E-5</v>
      </c>
      <c r="G1000" s="12">
        <f t="shared" si="109"/>
        <v>3.379587892750179</v>
      </c>
      <c r="I1000" s="12">
        <f t="shared" si="110"/>
        <v>7.1394186049869874E-3</v>
      </c>
      <c r="J1000" s="12">
        <f t="shared" si="111"/>
        <v>7.4054730214398717E-3</v>
      </c>
    </row>
    <row r="1001" spans="1:10">
      <c r="A1001" s="15">
        <v>41661</v>
      </c>
      <c r="B1001" s="11">
        <v>1.6374</v>
      </c>
      <c r="C1001" s="11">
        <f t="shared" si="105"/>
        <v>-5.8000000000000274E-3</v>
      </c>
      <c r="D1001" s="12">
        <f t="shared" si="106"/>
        <v>3.3640000000000315E-5</v>
      </c>
      <c r="E1001" s="12">
        <f t="shared" si="107"/>
        <v>6.5609999999999936E-5</v>
      </c>
      <c r="F1001" s="12">
        <f t="shared" si="108"/>
        <v>5.2570152335252309E-5</v>
      </c>
      <c r="G1001" s="12">
        <f t="shared" si="109"/>
        <v>3.687789062660153</v>
      </c>
      <c r="I1001" s="12">
        <f t="shared" si="110"/>
        <v>7.2505277280520974E-3</v>
      </c>
      <c r="J1001" s="12">
        <f t="shared" si="111"/>
        <v>7.4054730214398717E-3</v>
      </c>
    </row>
    <row r="1002" spans="1:10">
      <c r="A1002" s="15">
        <v>41662</v>
      </c>
      <c r="B1002" s="11">
        <v>1.6225000000000001</v>
      </c>
      <c r="C1002" s="11">
        <f t="shared" si="105"/>
        <v>-1.4899999999999913E-2</v>
      </c>
      <c r="D1002" s="12">
        <f t="shared" si="106"/>
        <v>2.2200999999999742E-4</v>
      </c>
      <c r="E1002" s="12">
        <f t="shared" si="107"/>
        <v>3.3640000000000315E-5</v>
      </c>
      <c r="F1002" s="12">
        <f t="shared" si="108"/>
        <v>5.130894633221948E-5</v>
      </c>
      <c r="G1002" s="12">
        <f t="shared" si="109"/>
        <v>1.856421309308899</v>
      </c>
      <c r="I1002" s="12">
        <f t="shared" si="110"/>
        <v>7.1630263389310164E-3</v>
      </c>
      <c r="J1002" s="12">
        <f t="shared" si="111"/>
        <v>7.4054730214398717E-3</v>
      </c>
    </row>
    <row r="1003" spans="1:10">
      <c r="A1003" s="15">
        <v>41663</v>
      </c>
      <c r="B1003" s="11">
        <v>1.6242000000000001</v>
      </c>
      <c r="C1003" s="11">
        <f t="shared" si="105"/>
        <v>1.7000000000000348E-3</v>
      </c>
      <c r="D1003" s="12">
        <f t="shared" si="106"/>
        <v>2.8900000000001184E-6</v>
      </c>
      <c r="E1003" s="12">
        <f t="shared" si="107"/>
        <v>2.2200999999999742E-4</v>
      </c>
      <c r="F1003" s="12">
        <f t="shared" si="108"/>
        <v>6.575691811814733E-5</v>
      </c>
      <c r="G1003" s="12">
        <f t="shared" si="109"/>
        <v>3.8738594222182763</v>
      </c>
      <c r="I1003" s="12">
        <f t="shared" si="110"/>
        <v>8.1090639483325892E-3</v>
      </c>
      <c r="J1003" s="12">
        <f t="shared" si="111"/>
        <v>7.4054730214398717E-3</v>
      </c>
    </row>
    <row r="1004" spans="1:10">
      <c r="A1004" s="15">
        <v>41666</v>
      </c>
      <c r="B1004" s="11">
        <v>1.6237999999999999</v>
      </c>
      <c r="C1004" s="11">
        <f t="shared" si="105"/>
        <v>-4.0000000000017799E-4</v>
      </c>
      <c r="D1004" s="12">
        <f t="shared" si="106"/>
        <v>1.6000000000014238E-7</v>
      </c>
      <c r="E1004" s="12">
        <f t="shared" si="107"/>
        <v>2.8900000000001184E-6</v>
      </c>
      <c r="F1004" s="12">
        <f t="shared" si="108"/>
        <v>6.0113614480466786E-5</v>
      </c>
      <c r="G1004" s="12">
        <f t="shared" si="109"/>
        <v>3.9393677518801358</v>
      </c>
      <c r="I1004" s="12">
        <f t="shared" si="110"/>
        <v>7.753297007110381E-3</v>
      </c>
      <c r="J1004" s="12">
        <f t="shared" si="111"/>
        <v>7.4054730214398717E-3</v>
      </c>
    </row>
    <row r="1005" spans="1:10">
      <c r="A1005" s="15">
        <v>41667</v>
      </c>
      <c r="B1005" s="11">
        <v>1.6153</v>
      </c>
      <c r="C1005" s="11">
        <f t="shared" si="105"/>
        <v>-8.499999999999952E-3</v>
      </c>
      <c r="D1005" s="12">
        <f t="shared" si="106"/>
        <v>7.2249999999999181E-5</v>
      </c>
      <c r="E1005" s="12">
        <f t="shared" si="107"/>
        <v>1.6000000000014238E-7</v>
      </c>
      <c r="F1005" s="12">
        <f t="shared" si="108"/>
        <v>5.5035423432153433E-5</v>
      </c>
      <c r="G1005" s="12">
        <f t="shared" si="109"/>
        <v>3.3284327960276401</v>
      </c>
      <c r="I1005" s="12">
        <f t="shared" si="110"/>
        <v>7.4185863499829554E-3</v>
      </c>
      <c r="J1005" s="12">
        <f t="shared" si="111"/>
        <v>7.4054730214398717E-3</v>
      </c>
    </row>
    <row r="1006" spans="1:10">
      <c r="A1006" s="15">
        <v>41668</v>
      </c>
      <c r="B1006" s="11">
        <v>1.6076999999999999</v>
      </c>
      <c r="C1006" s="11">
        <f t="shared" si="105"/>
        <v>-7.6000000000000512E-3</v>
      </c>
      <c r="D1006" s="12">
        <f t="shared" si="106"/>
        <v>5.7760000000000775E-5</v>
      </c>
      <c r="E1006" s="12">
        <f t="shared" si="107"/>
        <v>7.2249999999999181E-5</v>
      </c>
      <c r="F1006" s="12">
        <f t="shared" si="108"/>
        <v>5.6612704784418915E-5</v>
      </c>
      <c r="G1006" s="12">
        <f t="shared" si="109"/>
        <v>3.4605671830376834</v>
      </c>
      <c r="I1006" s="12">
        <f t="shared" si="110"/>
        <v>7.5241414649392995E-3</v>
      </c>
      <c r="J1006" s="12">
        <f t="shared" si="111"/>
        <v>7.4054730214398717E-3</v>
      </c>
    </row>
    <row r="1007" spans="1:10">
      <c r="A1007" s="15">
        <v>41669</v>
      </c>
      <c r="B1007" s="11">
        <v>1.607</v>
      </c>
      <c r="C1007" s="11">
        <f t="shared" si="105"/>
        <v>-6.9999999999992291E-4</v>
      </c>
      <c r="D1007" s="12">
        <f t="shared" si="106"/>
        <v>4.8999999999989208E-7</v>
      </c>
      <c r="E1007" s="12">
        <f t="shared" si="107"/>
        <v>5.7760000000000775E-5</v>
      </c>
      <c r="F1007" s="12">
        <f t="shared" si="108"/>
        <v>5.6774308748392936E-5</v>
      </c>
      <c r="G1007" s="12">
        <f t="shared" si="109"/>
        <v>3.9649594499201601</v>
      </c>
      <c r="I1007" s="12">
        <f t="shared" si="110"/>
        <v>7.5348728422179054E-3</v>
      </c>
      <c r="J1007" s="12">
        <f t="shared" si="111"/>
        <v>7.4054730214398717E-3</v>
      </c>
    </row>
    <row r="1008" spans="1:10">
      <c r="A1008" s="15">
        <v>41670</v>
      </c>
      <c r="B1008" s="11">
        <v>1.6054999999999999</v>
      </c>
      <c r="C1008" s="11">
        <f t="shared" si="105"/>
        <v>-1.5000000000000568E-3</v>
      </c>
      <c r="D1008" s="12">
        <f t="shared" si="106"/>
        <v>2.2500000000001707E-6</v>
      </c>
      <c r="E1008" s="12">
        <f t="shared" si="107"/>
        <v>4.8999999999989208E-7</v>
      </c>
      <c r="F1008" s="12">
        <f t="shared" si="108"/>
        <v>5.2190926152258685E-5</v>
      </c>
      <c r="G1008" s="12">
        <f t="shared" si="109"/>
        <v>3.9898069416589554</v>
      </c>
      <c r="I1008" s="12">
        <f t="shared" si="110"/>
        <v>7.2243287682841988E-3</v>
      </c>
      <c r="J1008" s="12">
        <f t="shared" si="111"/>
        <v>7.4054730214398717E-3</v>
      </c>
    </row>
    <row r="1009" spans="1:10">
      <c r="A1009" s="15">
        <v>41673</v>
      </c>
      <c r="B1009" s="11">
        <v>1.6037999999999999</v>
      </c>
      <c r="C1009" s="11">
        <f t="shared" si="105"/>
        <v>-1.7000000000000348E-3</v>
      </c>
      <c r="D1009" s="12">
        <f t="shared" si="106"/>
        <v>2.8900000000001184E-6</v>
      </c>
      <c r="E1009" s="12">
        <f t="shared" si="107"/>
        <v>2.2500000000001707E-6</v>
      </c>
      <c r="F1009" s="12">
        <f t="shared" si="108"/>
        <v>4.8394472640213017E-5</v>
      </c>
      <c r="G1009" s="12">
        <f t="shared" si="109"/>
        <v>4.0192651537918218</v>
      </c>
      <c r="I1009" s="12">
        <f t="shared" si="110"/>
        <v>6.9566135899741489E-3</v>
      </c>
      <c r="J1009" s="12">
        <f t="shared" si="111"/>
        <v>7.4054730214398717E-3</v>
      </c>
    </row>
    <row r="1010" spans="1:10">
      <c r="A1010" s="15">
        <v>41674</v>
      </c>
      <c r="B1010" s="11">
        <v>1.6066</v>
      </c>
      <c r="C1010" s="11">
        <f t="shared" si="105"/>
        <v>2.8000000000001357E-3</v>
      </c>
      <c r="D1010" s="12">
        <f t="shared" si="106"/>
        <v>7.8400000000007601E-6</v>
      </c>
      <c r="E1010" s="12">
        <f t="shared" si="107"/>
        <v>2.8900000000001184E-6</v>
      </c>
      <c r="F1010" s="12">
        <f t="shared" si="108"/>
        <v>4.5182403131266815E-5</v>
      </c>
      <c r="G1010" s="12">
        <f t="shared" si="109"/>
        <v>3.996703448356826</v>
      </c>
      <c r="I1010" s="12">
        <f t="shared" si="110"/>
        <v>6.7217857100079301E-3</v>
      </c>
      <c r="J1010" s="12">
        <f t="shared" si="111"/>
        <v>7.4054730214398717E-3</v>
      </c>
    </row>
    <row r="1011" spans="1:10">
      <c r="A1011" s="15">
        <v>41675</v>
      </c>
      <c r="B1011" s="11">
        <v>1.6047</v>
      </c>
      <c r="C1011" s="11">
        <f t="shared" si="105"/>
        <v>-1.9000000000000128E-3</v>
      </c>
      <c r="D1011" s="12">
        <f t="shared" si="106"/>
        <v>3.6100000000000484E-6</v>
      </c>
      <c r="E1011" s="12">
        <f t="shared" si="107"/>
        <v>7.8400000000007601E-6</v>
      </c>
      <c r="F1011" s="12">
        <f t="shared" si="108"/>
        <v>4.2828280372749503E-5</v>
      </c>
      <c r="G1011" s="12">
        <f t="shared" si="109"/>
        <v>4.0680723684263658</v>
      </c>
      <c r="I1011" s="12">
        <f t="shared" si="110"/>
        <v>6.5443319271526485E-3</v>
      </c>
      <c r="J1011" s="12">
        <f t="shared" si="111"/>
        <v>7.4054730214398717E-3</v>
      </c>
    </row>
    <row r="1012" spans="1:10">
      <c r="A1012" s="15">
        <v>41676</v>
      </c>
      <c r="B1012" s="11">
        <v>1.5991</v>
      </c>
      <c r="C1012" s="11">
        <f t="shared" si="105"/>
        <v>-5.6000000000000494E-3</v>
      </c>
      <c r="D1012" s="12">
        <f t="shared" si="106"/>
        <v>3.1360000000000554E-5</v>
      </c>
      <c r="E1012" s="12">
        <f t="shared" si="107"/>
        <v>3.6100000000000484E-6</v>
      </c>
      <c r="F1012" s="12">
        <f t="shared" si="108"/>
        <v>4.0455005040423446E-5</v>
      </c>
      <c r="G1012" s="12">
        <f t="shared" si="109"/>
        <v>3.751130451094518</v>
      </c>
      <c r="I1012" s="12">
        <f t="shared" si="110"/>
        <v>6.3604249103675018E-3</v>
      </c>
      <c r="J1012" s="12">
        <f t="shared" si="111"/>
        <v>7.4054730214398717E-3</v>
      </c>
    </row>
    <row r="1013" spans="1:10">
      <c r="A1013" s="15">
        <v>41677</v>
      </c>
      <c r="B1013" s="11">
        <v>1.595</v>
      </c>
      <c r="C1013" s="11">
        <f t="shared" si="105"/>
        <v>-4.0999999999999925E-3</v>
      </c>
      <c r="D1013" s="12">
        <f t="shared" si="106"/>
        <v>1.6809999999999939E-5</v>
      </c>
      <c r="E1013" s="12">
        <f t="shared" si="107"/>
        <v>3.1360000000000554E-5</v>
      </c>
      <c r="F1013" s="12">
        <f t="shared" si="108"/>
        <v>4.070225904664151E-5</v>
      </c>
      <c r="G1013" s="12">
        <f t="shared" si="109"/>
        <v>3.9291753457353558</v>
      </c>
      <c r="I1013" s="12">
        <f t="shared" si="110"/>
        <v>6.3798322114802918E-3</v>
      </c>
      <c r="J1013" s="12">
        <f t="shared" si="111"/>
        <v>7.4054730214398717E-3</v>
      </c>
    </row>
    <row r="1014" spans="1:10">
      <c r="A1014" s="15">
        <v>41680</v>
      </c>
      <c r="B1014" s="11">
        <v>1.5941000000000001</v>
      </c>
      <c r="C1014" s="11">
        <f t="shared" si="105"/>
        <v>-8.9999999999990088E-4</v>
      </c>
      <c r="D1014" s="12">
        <f t="shared" si="106"/>
        <v>8.0999999999982157E-7</v>
      </c>
      <c r="E1014" s="12">
        <f t="shared" si="107"/>
        <v>1.6809999999999939E-5</v>
      </c>
      <c r="F1014" s="12">
        <f t="shared" si="108"/>
        <v>3.9715129696598664E-5</v>
      </c>
      <c r="G1014" s="12">
        <f t="shared" si="109"/>
        <v>4.1377530054964051</v>
      </c>
      <c r="I1014" s="12">
        <f t="shared" si="110"/>
        <v>6.3019941047733983E-3</v>
      </c>
      <c r="J1014" s="12">
        <f t="shared" si="111"/>
        <v>7.4054730214398717E-3</v>
      </c>
    </row>
    <row r="1015" spans="1:10">
      <c r="A1015" s="15">
        <v>41681</v>
      </c>
      <c r="B1015" s="11">
        <v>1.5955999999999999</v>
      </c>
      <c r="C1015" s="11">
        <f t="shared" si="105"/>
        <v>1.4999999999998348E-3</v>
      </c>
      <c r="D1015" s="12">
        <f t="shared" si="106"/>
        <v>2.2499999999995045E-6</v>
      </c>
      <c r="E1015" s="12">
        <f t="shared" si="107"/>
        <v>8.0999999999982157E-7</v>
      </c>
      <c r="F1015" s="12">
        <f t="shared" si="108"/>
        <v>3.7546901831684758E-5</v>
      </c>
      <c r="G1015" s="12">
        <f t="shared" si="109"/>
        <v>4.1460587794889161</v>
      </c>
      <c r="I1015" s="12">
        <f t="shared" si="110"/>
        <v>6.1275526788176007E-3</v>
      </c>
      <c r="J1015" s="12">
        <f t="shared" si="111"/>
        <v>7.4054730214398717E-3</v>
      </c>
    </row>
    <row r="1016" spans="1:10">
      <c r="A1016" s="15">
        <v>41682</v>
      </c>
      <c r="B1016" s="11">
        <v>1.5982000000000001</v>
      </c>
      <c r="C1016" s="11">
        <f t="shared" si="105"/>
        <v>2.6000000000001577E-3</v>
      </c>
      <c r="D1016" s="12">
        <f t="shared" si="106"/>
        <v>6.7600000000008204E-6</v>
      </c>
      <c r="E1016" s="12">
        <f t="shared" si="107"/>
        <v>2.2499999999995045E-6</v>
      </c>
      <c r="F1016" s="12">
        <f t="shared" si="108"/>
        <v>3.5801026491673755E-5</v>
      </c>
      <c r="G1016" s="12">
        <f t="shared" si="109"/>
        <v>4.1054177546295945</v>
      </c>
      <c r="I1016" s="12">
        <f t="shared" si="110"/>
        <v>5.9833958996270463E-3</v>
      </c>
      <c r="J1016" s="12">
        <f t="shared" si="111"/>
        <v>7.4054730214398717E-3</v>
      </c>
    </row>
    <row r="1017" spans="1:10">
      <c r="A1017" s="15">
        <v>41683</v>
      </c>
      <c r="B1017" s="11">
        <v>1.587</v>
      </c>
      <c r="C1017" s="11">
        <f t="shared" si="105"/>
        <v>-1.1200000000000099E-2</v>
      </c>
      <c r="D1017" s="12">
        <f t="shared" si="106"/>
        <v>1.2544000000000221E-4</v>
      </c>
      <c r="E1017" s="12">
        <f t="shared" si="107"/>
        <v>6.7600000000008204E-6</v>
      </c>
      <c r="F1017" s="12">
        <f t="shared" si="108"/>
        <v>3.4671507764954778E-5</v>
      </c>
      <c r="G1017" s="12">
        <f t="shared" si="109"/>
        <v>2.4068794637567028</v>
      </c>
      <c r="I1017" s="12">
        <f t="shared" si="110"/>
        <v>5.8882516730312043E-3</v>
      </c>
      <c r="J1017" s="12">
        <f t="shared" si="111"/>
        <v>7.4054730214398717E-3</v>
      </c>
    </row>
    <row r="1018" spans="1:10">
      <c r="A1018" s="15">
        <v>41684</v>
      </c>
      <c r="B1018" s="11">
        <v>1.5852999999999999</v>
      </c>
      <c r="C1018" s="11">
        <f t="shared" si="105"/>
        <v>-1.7000000000000348E-3</v>
      </c>
      <c r="D1018" s="12">
        <f t="shared" si="106"/>
        <v>2.8900000000001184E-6</v>
      </c>
      <c r="E1018" s="12">
        <f t="shared" si="107"/>
        <v>1.2544000000000221E-4</v>
      </c>
      <c r="F1018" s="12">
        <f t="shared" si="108"/>
        <v>4.348624374342478E-5</v>
      </c>
      <c r="G1018" s="12">
        <f t="shared" si="109"/>
        <v>4.0693655132704452</v>
      </c>
      <c r="I1018" s="12">
        <f t="shared" si="110"/>
        <v>6.5944100375564139E-3</v>
      </c>
      <c r="J1018" s="12">
        <f t="shared" si="111"/>
        <v>7.4054730214398717E-3</v>
      </c>
    </row>
    <row r="1019" spans="1:10">
      <c r="A1019" s="15">
        <v>41687</v>
      </c>
      <c r="B1019" s="11">
        <v>1.5813999999999999</v>
      </c>
      <c r="C1019" s="11">
        <f t="shared" si="105"/>
        <v>-3.9000000000000146E-3</v>
      </c>
      <c r="D1019" s="12">
        <f t="shared" si="106"/>
        <v>1.5210000000000114E-5</v>
      </c>
      <c r="E1019" s="12">
        <f t="shared" si="107"/>
        <v>2.8900000000001184E-6</v>
      </c>
      <c r="F1019" s="12">
        <f t="shared" si="108"/>
        <v>4.0961465297288658E-5</v>
      </c>
      <c r="G1019" s="12">
        <f t="shared" si="109"/>
        <v>3.946838557960239</v>
      </c>
      <c r="I1019" s="12">
        <f t="shared" si="110"/>
        <v>6.4001144753268796E-3</v>
      </c>
      <c r="J1019" s="12">
        <f t="shared" si="111"/>
        <v>7.4054730214398717E-3</v>
      </c>
    </row>
    <row r="1020" spans="1:10">
      <c r="A1020" s="15">
        <v>41688</v>
      </c>
      <c r="B1020" s="11">
        <v>1.5785</v>
      </c>
      <c r="C1020" s="11">
        <f t="shared" si="105"/>
        <v>-2.8999999999999027E-3</v>
      </c>
      <c r="D1020" s="12">
        <f t="shared" si="106"/>
        <v>8.409999999999435E-6</v>
      </c>
      <c r="E1020" s="12">
        <f t="shared" si="107"/>
        <v>1.5210000000000114E-5</v>
      </c>
      <c r="F1020" s="12">
        <f t="shared" si="108"/>
        <v>3.9806107272313568E-5</v>
      </c>
      <c r="G1020" s="12">
        <f t="shared" si="109"/>
        <v>4.0411695071799834</v>
      </c>
      <c r="I1020" s="12">
        <f t="shared" si="110"/>
        <v>6.3092081335389127E-3</v>
      </c>
      <c r="J1020" s="12">
        <f t="shared" si="111"/>
        <v>7.4054730214398717E-3</v>
      </c>
    </row>
    <row r="1021" spans="1:10">
      <c r="A1021" s="15">
        <v>41689</v>
      </c>
      <c r="B1021" s="11">
        <v>1.5829</v>
      </c>
      <c r="C1021" s="11">
        <f t="shared" si="105"/>
        <v>4.3999999999999595E-3</v>
      </c>
      <c r="D1021" s="12">
        <f t="shared" si="106"/>
        <v>1.9359999999999645E-5</v>
      </c>
      <c r="E1021" s="12">
        <f t="shared" si="107"/>
        <v>8.409999999999435E-6</v>
      </c>
      <c r="F1021" s="12">
        <f t="shared" si="108"/>
        <v>3.8251819146768865E-5</v>
      </c>
      <c r="G1021" s="12">
        <f t="shared" si="109"/>
        <v>3.9136613190723253</v>
      </c>
      <c r="I1021" s="12">
        <f t="shared" si="110"/>
        <v>6.1848055059774403E-3</v>
      </c>
      <c r="J1021" s="12">
        <f t="shared" si="111"/>
        <v>7.4054730214398717E-3</v>
      </c>
    </row>
    <row r="1022" spans="1:10">
      <c r="A1022" s="15">
        <v>41690</v>
      </c>
      <c r="B1022" s="11">
        <v>1.5832999999999999</v>
      </c>
      <c r="C1022" s="11">
        <f t="shared" si="105"/>
        <v>3.9999999999995595E-4</v>
      </c>
      <c r="D1022" s="12">
        <f t="shared" si="106"/>
        <v>1.5999999999996475E-7</v>
      </c>
      <c r="E1022" s="12">
        <f t="shared" si="107"/>
        <v>1.9359999999999645E-5</v>
      </c>
      <c r="F1022" s="12">
        <f t="shared" si="108"/>
        <v>3.7818088142621209E-5</v>
      </c>
      <c r="G1022" s="12">
        <f t="shared" si="109"/>
        <v>4.1703075933049361</v>
      </c>
      <c r="I1022" s="12">
        <f t="shared" si="110"/>
        <v>6.1496413019477168E-3</v>
      </c>
      <c r="J1022" s="12">
        <f t="shared" si="111"/>
        <v>7.4054730214398717E-3</v>
      </c>
    </row>
    <row r="1023" spans="1:10">
      <c r="A1023" s="15">
        <v>41691</v>
      </c>
      <c r="B1023" s="11">
        <v>1.5818000000000001</v>
      </c>
      <c r="C1023" s="11">
        <f t="shared" si="105"/>
        <v>-1.4999999999998348E-3</v>
      </c>
      <c r="D1023" s="12">
        <f t="shared" si="106"/>
        <v>2.2499999999995045E-6</v>
      </c>
      <c r="E1023" s="12">
        <f t="shared" si="107"/>
        <v>1.5999999999996475E-7</v>
      </c>
      <c r="F1023" s="12">
        <f t="shared" si="108"/>
        <v>3.5861902264579193E-5</v>
      </c>
      <c r="G1023" s="12">
        <f t="shared" si="109"/>
        <v>4.1676086433884514</v>
      </c>
      <c r="I1023" s="12">
        <f t="shared" si="110"/>
        <v>5.988480797713156E-3</v>
      </c>
      <c r="J1023" s="12">
        <f t="shared" si="111"/>
        <v>7.4054730214398717E-3</v>
      </c>
    </row>
    <row r="1024" spans="1:10">
      <c r="A1024" s="15">
        <v>41694</v>
      </c>
      <c r="B1024" s="11">
        <v>1.5819000000000001</v>
      </c>
      <c r="C1024" s="11">
        <f t="shared" si="105"/>
        <v>9.9999999999988987E-5</v>
      </c>
      <c r="D1024" s="12">
        <f t="shared" si="106"/>
        <v>9.9999999999977966E-9</v>
      </c>
      <c r="E1024" s="12">
        <f t="shared" si="107"/>
        <v>2.2499999999995045E-6</v>
      </c>
      <c r="F1024" s="12">
        <f t="shared" si="108"/>
        <v>3.4351974588718149E-5</v>
      </c>
      <c r="G1024" s="12">
        <f t="shared" si="109"/>
        <v>4.2203414356484945</v>
      </c>
      <c r="I1024" s="12">
        <f t="shared" si="110"/>
        <v>5.8610557571753359E-3</v>
      </c>
      <c r="J1024" s="12">
        <f t="shared" si="111"/>
        <v>7.4054730214398717E-3</v>
      </c>
    </row>
    <row r="1025" spans="1:10">
      <c r="A1025" s="15">
        <v>41695</v>
      </c>
      <c r="B1025" s="11">
        <v>1.5807</v>
      </c>
      <c r="C1025" s="11">
        <f t="shared" si="105"/>
        <v>-1.2000000000000899E-3</v>
      </c>
      <c r="D1025" s="12">
        <f t="shared" si="106"/>
        <v>1.4400000000002158E-6</v>
      </c>
      <c r="E1025" s="12">
        <f t="shared" si="107"/>
        <v>9.9999999999977966E-9</v>
      </c>
      <c r="F1025" s="12">
        <f t="shared" si="108"/>
        <v>3.2868774112048596E-5</v>
      </c>
      <c r="G1025" s="12">
        <f t="shared" si="109"/>
        <v>4.2206499032988267</v>
      </c>
      <c r="I1025" s="12">
        <f t="shared" si="110"/>
        <v>5.7331295216529509E-3</v>
      </c>
      <c r="J1025" s="12">
        <f t="shared" si="111"/>
        <v>7.4054730214398717E-3</v>
      </c>
    </row>
    <row r="1026" spans="1:10">
      <c r="A1026" s="15">
        <v>41696</v>
      </c>
      <c r="B1026" s="11">
        <v>1.5872999999999999</v>
      </c>
      <c r="C1026" s="11">
        <f t="shared" si="105"/>
        <v>6.5999999999999392E-3</v>
      </c>
      <c r="D1026" s="12">
        <f t="shared" si="106"/>
        <v>4.3559999999999197E-5</v>
      </c>
      <c r="E1026" s="12">
        <f t="shared" si="107"/>
        <v>1.4400000000002158E-6</v>
      </c>
      <c r="F1026" s="12">
        <f t="shared" si="108"/>
        <v>3.1711178345824588E-5</v>
      </c>
      <c r="G1026" s="12">
        <f t="shared" si="109"/>
        <v>3.5736580625892245</v>
      </c>
      <c r="I1026" s="12">
        <f t="shared" si="110"/>
        <v>5.6312679163599191E-3</v>
      </c>
      <c r="J1026" s="12">
        <f t="shared" si="111"/>
        <v>7.4054730214398717E-3</v>
      </c>
    </row>
    <row r="1027" spans="1:10">
      <c r="A1027" s="15">
        <v>41697</v>
      </c>
      <c r="B1027" s="11">
        <v>1.5844</v>
      </c>
      <c r="C1027" s="11">
        <f t="shared" si="105"/>
        <v>-2.8999999999999027E-3</v>
      </c>
      <c r="D1027" s="12">
        <f t="shared" si="106"/>
        <v>8.409999999999435E-6</v>
      </c>
      <c r="E1027" s="12">
        <f t="shared" si="107"/>
        <v>4.3559999999999197E-5</v>
      </c>
      <c r="F1027" s="12">
        <f t="shared" si="108"/>
        <v>3.4188800737613414E-5</v>
      </c>
      <c r="G1027" s="12">
        <f t="shared" si="109"/>
        <v>4.0998741827848422</v>
      </c>
      <c r="I1027" s="12">
        <f t="shared" si="110"/>
        <v>5.8471190117538579E-3</v>
      </c>
      <c r="J1027" s="12">
        <f t="shared" si="111"/>
        <v>7.4054730214398717E-3</v>
      </c>
    </row>
    <row r="1028" spans="1:10">
      <c r="A1028" s="15">
        <v>41698</v>
      </c>
      <c r="B1028" s="11">
        <v>1.5750999999999999</v>
      </c>
      <c r="C1028" s="11">
        <f t="shared" si="105"/>
        <v>-9.300000000000086E-3</v>
      </c>
      <c r="D1028" s="12">
        <f t="shared" si="106"/>
        <v>8.6490000000001593E-5</v>
      </c>
      <c r="E1028" s="12">
        <f t="shared" si="107"/>
        <v>8.409999999999435E-6</v>
      </c>
      <c r="F1028" s="12">
        <f t="shared" si="108"/>
        <v>3.3421094627608047E-5</v>
      </c>
      <c r="G1028" s="12">
        <f t="shared" si="109"/>
        <v>2.9402798442870637</v>
      </c>
      <c r="I1028" s="12">
        <f t="shared" si="110"/>
        <v>5.7810980468772583E-3</v>
      </c>
      <c r="J1028" s="12">
        <f t="shared" si="111"/>
        <v>7.4054730214398717E-3</v>
      </c>
    </row>
    <row r="1029" spans="1:10">
      <c r="A1029" s="15">
        <v>41701</v>
      </c>
      <c r="B1029" s="11">
        <v>1.5818000000000001</v>
      </c>
      <c r="C1029" s="11">
        <f t="shared" si="105"/>
        <v>6.7000000000001503E-3</v>
      </c>
      <c r="D1029" s="12">
        <f t="shared" si="106"/>
        <v>4.4890000000002011E-5</v>
      </c>
      <c r="E1029" s="12">
        <f t="shared" si="107"/>
        <v>8.6490000000001593E-5</v>
      </c>
      <c r="F1029" s="12">
        <f t="shared" si="108"/>
        <v>3.9199193080269385E-5</v>
      </c>
      <c r="G1029" s="12">
        <f t="shared" si="109"/>
        <v>3.5819003402787164</v>
      </c>
      <c r="I1029" s="12">
        <f t="shared" si="110"/>
        <v>6.2609258964045717E-3</v>
      </c>
      <c r="J1029" s="12">
        <f t="shared" si="111"/>
        <v>7.4054730214398717E-3</v>
      </c>
    </row>
    <row r="1030" spans="1:10">
      <c r="A1030" s="15">
        <v>41702</v>
      </c>
      <c r="B1030" s="11">
        <v>1.5820000000000001</v>
      </c>
      <c r="C1030" s="11">
        <f t="shared" si="105"/>
        <v>1.9999999999997797E-4</v>
      </c>
      <c r="D1030" s="12">
        <f t="shared" si="106"/>
        <v>3.9999999999991186E-8</v>
      </c>
      <c r="E1030" s="12">
        <f t="shared" si="107"/>
        <v>4.4890000000002011E-5</v>
      </c>
      <c r="F1030" s="12">
        <f t="shared" si="108"/>
        <v>4.0737950179849698E-5</v>
      </c>
      <c r="G1030" s="12">
        <f t="shared" si="109"/>
        <v>4.1347457482473846</v>
      </c>
      <c r="I1030" s="12">
        <f t="shared" si="110"/>
        <v>6.3826287828644473E-3</v>
      </c>
      <c r="J1030" s="12">
        <f t="shared" si="111"/>
        <v>7.4054730214398717E-3</v>
      </c>
    </row>
    <row r="1031" spans="1:10">
      <c r="A1031" s="15">
        <v>41703</v>
      </c>
      <c r="B1031" s="11">
        <v>1.5828</v>
      </c>
      <c r="C1031" s="11">
        <f t="shared" si="105"/>
        <v>7.9999999999991189E-4</v>
      </c>
      <c r="D1031" s="12">
        <f t="shared" si="106"/>
        <v>6.3999999999985898E-7</v>
      </c>
      <c r="E1031" s="12">
        <f t="shared" si="107"/>
        <v>3.9999999999991186E-8</v>
      </c>
      <c r="F1031" s="12">
        <f t="shared" si="108"/>
        <v>3.8363005982085411E-5</v>
      </c>
      <c r="G1031" s="12">
        <f t="shared" si="109"/>
        <v>4.1569285644222731</v>
      </c>
      <c r="I1031" s="12">
        <f t="shared" si="110"/>
        <v>6.1937876926873598E-3</v>
      </c>
      <c r="J1031" s="12">
        <f t="shared" si="111"/>
        <v>7.4054730214398717E-3</v>
      </c>
    </row>
    <row r="1032" spans="1:10">
      <c r="A1032" s="15">
        <v>41704</v>
      </c>
      <c r="B1032" s="11">
        <v>1.5714999999999999</v>
      </c>
      <c r="C1032" s="11">
        <f t="shared" si="105"/>
        <v>-1.1300000000000088E-2</v>
      </c>
      <c r="D1032" s="12">
        <f t="shared" si="106"/>
        <v>1.2769000000000197E-4</v>
      </c>
      <c r="E1032" s="12">
        <f t="shared" si="107"/>
        <v>6.3999999999985898E-7</v>
      </c>
      <c r="F1032" s="12">
        <f t="shared" si="108"/>
        <v>3.6370095910123965E-5</v>
      </c>
      <c r="G1032" s="12">
        <f t="shared" si="109"/>
        <v>2.4365176198372693</v>
      </c>
      <c r="I1032" s="12">
        <f t="shared" si="110"/>
        <v>6.0307624650722206E-3</v>
      </c>
      <c r="J1032" s="12">
        <f t="shared" si="111"/>
        <v>7.4054730214398717E-3</v>
      </c>
    </row>
    <row r="1033" spans="1:10">
      <c r="A1033" s="15">
        <v>41705</v>
      </c>
      <c r="B1033" s="11">
        <v>1.5714999999999999</v>
      </c>
      <c r="C1033" s="11">
        <f t="shared" si="105"/>
        <v>0</v>
      </c>
      <c r="D1033" s="12">
        <f t="shared" si="106"/>
        <v>0</v>
      </c>
      <c r="E1033" s="12">
        <f t="shared" si="107"/>
        <v>1.2769000000000197E-4</v>
      </c>
      <c r="F1033" s="12">
        <f t="shared" si="108"/>
        <v>4.5132511458075661E-5</v>
      </c>
      <c r="G1033" s="12">
        <f t="shared" si="109"/>
        <v>4.0840153075385395</v>
      </c>
      <c r="I1033" s="12">
        <f t="shared" si="110"/>
        <v>6.7180734930540661E-3</v>
      </c>
      <c r="J1033" s="12">
        <f t="shared" si="111"/>
        <v>7.4054730214398717E-3</v>
      </c>
    </row>
    <row r="1034" spans="1:10">
      <c r="A1034" s="15">
        <v>41708</v>
      </c>
      <c r="B1034" s="11">
        <v>1.5680000000000001</v>
      </c>
      <c r="C1034" s="11">
        <f t="shared" si="105"/>
        <v>-3.4999999999998366E-3</v>
      </c>
      <c r="D1034" s="12">
        <f t="shared" si="106"/>
        <v>1.2249999999998856E-5</v>
      </c>
      <c r="E1034" s="12">
        <f t="shared" si="107"/>
        <v>0</v>
      </c>
      <c r="F1034" s="12">
        <f t="shared" si="108"/>
        <v>4.2138905901407581E-5</v>
      </c>
      <c r="G1034" s="12">
        <f t="shared" si="109"/>
        <v>3.9729784050219985</v>
      </c>
      <c r="I1034" s="12">
        <f t="shared" si="110"/>
        <v>6.4914486750961512E-3</v>
      </c>
      <c r="J1034" s="12">
        <f t="shared" si="111"/>
        <v>7.4054730214398717E-3</v>
      </c>
    </row>
    <row r="1035" spans="1:10">
      <c r="A1035" s="15">
        <v>41709</v>
      </c>
      <c r="B1035" s="11">
        <v>1.5697000000000001</v>
      </c>
      <c r="C1035" s="11">
        <f t="shared" si="105"/>
        <v>1.7000000000000348E-3</v>
      </c>
      <c r="D1035" s="12">
        <f t="shared" si="106"/>
        <v>2.8900000000001184E-6</v>
      </c>
      <c r="E1035" s="12">
        <f t="shared" si="107"/>
        <v>1.2249999999998856E-5</v>
      </c>
      <c r="F1035" s="12">
        <f t="shared" si="108"/>
        <v>4.0574597795058688E-5</v>
      </c>
      <c r="G1035" s="12">
        <f t="shared" si="109"/>
        <v>4.1016322227770017</v>
      </c>
      <c r="I1035" s="12">
        <f t="shared" si="110"/>
        <v>6.3698192906124652E-3</v>
      </c>
      <c r="J1035" s="12">
        <f t="shared" si="111"/>
        <v>7.4054730214398717E-3</v>
      </c>
    </row>
    <row r="1036" spans="1:10">
      <c r="A1036" s="15">
        <v>41710</v>
      </c>
      <c r="B1036" s="11">
        <v>1.5656000000000001</v>
      </c>
      <c r="C1036" s="11">
        <f t="shared" si="105"/>
        <v>-4.0999999999999925E-3</v>
      </c>
      <c r="D1036" s="12">
        <f t="shared" si="106"/>
        <v>1.6809999999999939E-5</v>
      </c>
      <c r="E1036" s="12">
        <f t="shared" si="107"/>
        <v>2.8900000000001184E-6</v>
      </c>
      <c r="F1036" s="12">
        <f t="shared" si="108"/>
        <v>3.8457532249127504E-5</v>
      </c>
      <c r="G1036" s="12">
        <f t="shared" si="109"/>
        <v>3.9454866865958929</v>
      </c>
      <c r="I1036" s="12">
        <f t="shared" si="110"/>
        <v>6.201413729878656E-3</v>
      </c>
      <c r="J1036" s="12">
        <f t="shared" si="111"/>
        <v>7.4054730214398717E-3</v>
      </c>
    </row>
    <row r="1037" spans="1:10">
      <c r="A1037" s="15">
        <v>41711</v>
      </c>
      <c r="B1037" s="11">
        <v>1.5752999999999999</v>
      </c>
      <c r="C1037" s="11">
        <f t="shared" si="105"/>
        <v>9.6999999999998199E-3</v>
      </c>
      <c r="D1037" s="12">
        <f t="shared" si="106"/>
        <v>9.4089999999996506E-5</v>
      </c>
      <c r="E1037" s="12">
        <f t="shared" si="107"/>
        <v>1.6809999999999939E-5</v>
      </c>
      <c r="F1037" s="12">
        <f t="shared" si="108"/>
        <v>3.778472822881637E-5</v>
      </c>
      <c r="G1037" s="12">
        <f t="shared" si="109"/>
        <v>2.9277844848417462</v>
      </c>
      <c r="I1037" s="12">
        <f t="shared" si="110"/>
        <v>6.1469283572217082E-3</v>
      </c>
      <c r="J1037" s="12">
        <f t="shared" si="111"/>
        <v>7.4054730214398717E-3</v>
      </c>
    </row>
    <row r="1038" spans="1:10">
      <c r="A1038" s="15">
        <v>41712</v>
      </c>
      <c r="B1038" s="11">
        <v>1.5757000000000001</v>
      </c>
      <c r="C1038" s="11">
        <f t="shared" ref="C1038:C1101" si="112">B1038-B1037</f>
        <v>4.0000000000017799E-4</v>
      </c>
      <c r="D1038" s="12">
        <f t="shared" ref="D1038:D1101" si="113">C1038^2</f>
        <v>1.6000000000014238E-7</v>
      </c>
      <c r="E1038" s="12">
        <f t="shared" si="107"/>
        <v>9.4089999999996506E-5</v>
      </c>
      <c r="F1038" s="12">
        <f t="shared" si="108"/>
        <v>4.3578473561541444E-5</v>
      </c>
      <c r="G1038" s="12">
        <f t="shared" si="109"/>
        <v>4.0996993182497894</v>
      </c>
      <c r="I1038" s="12">
        <f t="shared" si="110"/>
        <v>6.6013993638880421E-3</v>
      </c>
      <c r="J1038" s="12">
        <f t="shared" si="111"/>
        <v>7.4054730214398717E-3</v>
      </c>
    </row>
    <row r="1039" spans="1:10">
      <c r="A1039" s="15">
        <v>41715</v>
      </c>
      <c r="B1039" s="11">
        <v>1.5719000000000001</v>
      </c>
      <c r="C1039" s="11">
        <f t="shared" si="112"/>
        <v>-3.8000000000000256E-3</v>
      </c>
      <c r="D1039" s="12">
        <f t="shared" si="113"/>
        <v>1.4440000000000194E-5</v>
      </c>
      <c r="E1039" s="12">
        <f t="shared" ref="E1039:E1102" si="114">D1038</f>
        <v>1.6000000000014238E-7</v>
      </c>
      <c r="F1039" s="12">
        <f t="shared" ref="F1039:F1102" si="115">$B$5+$B$6*E1039+$B$7*F1038</f>
        <v>4.0815670571702544E-5</v>
      </c>
      <c r="G1039" s="12">
        <f t="shared" ref="G1039:G1102" si="116">LN((1/SQRT(2*3.1415927*F1039))*EXP(-0.5*D1039/F1039))</f>
        <v>3.9573908503928443</v>
      </c>
      <c r="I1039" s="12">
        <f t="shared" ref="I1039:I1102" si="117">SQRT(F1039)</f>
        <v>6.3887143128881999E-3</v>
      </c>
      <c r="J1039" s="12">
        <f t="shared" si="111"/>
        <v>7.4054730214398717E-3</v>
      </c>
    </row>
    <row r="1040" spans="1:10">
      <c r="A1040" s="15">
        <v>41716</v>
      </c>
      <c r="B1040" s="11">
        <v>1.5709</v>
      </c>
      <c r="C1040" s="11">
        <f t="shared" si="112"/>
        <v>-1.0000000000001119E-3</v>
      </c>
      <c r="D1040" s="12">
        <f t="shared" si="113"/>
        <v>1.0000000000002238E-6</v>
      </c>
      <c r="E1040" s="12">
        <f t="shared" si="114"/>
        <v>1.4440000000000194E-5</v>
      </c>
      <c r="F1040" s="12">
        <f t="shared" si="115"/>
        <v>3.9617235442158232E-5</v>
      </c>
      <c r="G1040" s="12">
        <f t="shared" si="116"/>
        <v>4.1365638378038296</v>
      </c>
      <c r="I1040" s="12">
        <f t="shared" si="117"/>
        <v>6.294222385820049E-3</v>
      </c>
      <c r="J1040" s="12">
        <f t="shared" ref="J1040:J1103" si="118">J1039</f>
        <v>7.4054730214398717E-3</v>
      </c>
    </row>
    <row r="1041" spans="1:10">
      <c r="A1041" s="15">
        <v>41717</v>
      </c>
      <c r="B1041" s="11">
        <v>1.5765</v>
      </c>
      <c r="C1041" s="11">
        <f t="shared" si="112"/>
        <v>5.6000000000000494E-3</v>
      </c>
      <c r="D1041" s="12">
        <f t="shared" si="113"/>
        <v>3.1360000000000554E-5</v>
      </c>
      <c r="E1041" s="12">
        <f t="shared" si="114"/>
        <v>1.0000000000002238E-6</v>
      </c>
      <c r="F1041" s="12">
        <f t="shared" si="115"/>
        <v>3.7478382524973634E-5</v>
      </c>
      <c r="G1041" s="12">
        <f t="shared" si="116"/>
        <v>3.7585600759983455</v>
      </c>
      <c r="I1041" s="12">
        <f t="shared" si="117"/>
        <v>6.1219590430656784E-3</v>
      </c>
      <c r="J1041" s="12">
        <f t="shared" si="118"/>
        <v>7.4054730214398717E-3</v>
      </c>
    </row>
    <row r="1042" spans="1:10">
      <c r="A1042" s="15">
        <v>41718</v>
      </c>
      <c r="B1042" s="11">
        <v>1.5859000000000001</v>
      </c>
      <c r="C1042" s="11">
        <f t="shared" si="112"/>
        <v>9.400000000000075E-3</v>
      </c>
      <c r="D1042" s="12">
        <f t="shared" si="113"/>
        <v>8.8360000000001411E-5</v>
      </c>
      <c r="E1042" s="12">
        <f t="shared" si="114"/>
        <v>3.1360000000000554E-5</v>
      </c>
      <c r="F1042" s="12">
        <f t="shared" si="115"/>
        <v>3.8142447991139419E-5</v>
      </c>
      <c r="G1042" s="12">
        <f t="shared" si="116"/>
        <v>3.0098632688327904</v>
      </c>
      <c r="I1042" s="12">
        <f t="shared" si="117"/>
        <v>6.1759572530207347E-3</v>
      </c>
      <c r="J1042" s="12">
        <f t="shared" si="118"/>
        <v>7.4054730214398717E-3</v>
      </c>
    </row>
    <row r="1043" spans="1:10">
      <c r="A1043" s="15">
        <v>41719</v>
      </c>
      <c r="B1043" s="11">
        <v>1.5832999999999999</v>
      </c>
      <c r="C1043" s="11">
        <f t="shared" si="112"/>
        <v>-2.6000000000001577E-3</v>
      </c>
      <c r="D1043" s="12">
        <f t="shared" si="113"/>
        <v>6.7600000000008204E-6</v>
      </c>
      <c r="E1043" s="12">
        <f t="shared" si="114"/>
        <v>8.8360000000001411E-5</v>
      </c>
      <c r="F1043" s="12">
        <f t="shared" si="115"/>
        <v>4.3413619309175448E-5</v>
      </c>
      <c r="G1043" s="12">
        <f t="shared" si="116"/>
        <v>4.025574385469624</v>
      </c>
      <c r="I1043" s="12">
        <f t="shared" si="117"/>
        <v>6.5889012216890494E-3</v>
      </c>
      <c r="J1043" s="12">
        <f t="shared" si="118"/>
        <v>7.4054730214398717E-3</v>
      </c>
    </row>
    <row r="1044" spans="1:10">
      <c r="A1044" s="15">
        <v>41722</v>
      </c>
      <c r="B1044" s="11">
        <v>1.5744</v>
      </c>
      <c r="C1044" s="11">
        <f t="shared" si="112"/>
        <v>-8.899999999999908E-3</v>
      </c>
      <c r="D1044" s="12">
        <f t="shared" si="113"/>
        <v>7.9209999999998356E-5</v>
      </c>
      <c r="E1044" s="12">
        <f t="shared" si="114"/>
        <v>6.7600000000008204E-6</v>
      </c>
      <c r="F1044" s="12">
        <f t="shared" si="115"/>
        <v>4.1218121974224724E-5</v>
      </c>
      <c r="G1044" s="12">
        <f t="shared" si="116"/>
        <v>3.1685139634536115</v>
      </c>
      <c r="I1044" s="12">
        <f t="shared" si="117"/>
        <v>6.4201341087413996E-3</v>
      </c>
      <c r="J1044" s="12">
        <f t="shared" si="118"/>
        <v>7.4054730214398717E-3</v>
      </c>
    </row>
    <row r="1045" spans="1:10">
      <c r="A1045" s="15">
        <v>41723</v>
      </c>
      <c r="B1045" s="11">
        <v>1.5791999999999999</v>
      </c>
      <c r="C1045" s="11">
        <f t="shared" si="112"/>
        <v>4.7999999999999154E-3</v>
      </c>
      <c r="D1045" s="12">
        <f t="shared" si="113"/>
        <v>2.303999999999919E-5</v>
      </c>
      <c r="E1045" s="12">
        <f t="shared" si="114"/>
        <v>7.9209999999998356E-5</v>
      </c>
      <c r="F1045" s="12">
        <f t="shared" si="115"/>
        <v>4.5304123075680661E-5</v>
      </c>
      <c r="G1045" s="12">
        <f t="shared" si="116"/>
        <v>3.8278362238641468</v>
      </c>
      <c r="I1045" s="12">
        <f t="shared" si="117"/>
        <v>6.7308337578401581E-3</v>
      </c>
      <c r="J1045" s="12">
        <f t="shared" si="118"/>
        <v>7.4054730214398717E-3</v>
      </c>
    </row>
    <row r="1046" spans="1:10">
      <c r="A1046" s="15">
        <v>41724</v>
      </c>
      <c r="B1046" s="11">
        <v>1.5802</v>
      </c>
      <c r="C1046" s="11">
        <f t="shared" si="112"/>
        <v>1.0000000000001119E-3</v>
      </c>
      <c r="D1046" s="12">
        <f t="shared" si="113"/>
        <v>1.0000000000002238E-6</v>
      </c>
      <c r="E1046" s="12">
        <f t="shared" si="114"/>
        <v>2.303999999999919E-5</v>
      </c>
      <c r="F1046" s="12">
        <f t="shared" si="115"/>
        <v>4.4186314430944017E-5</v>
      </c>
      <c r="G1046" s="12">
        <f t="shared" si="116"/>
        <v>4.0832934610896556</v>
      </c>
      <c r="I1046" s="12">
        <f t="shared" si="117"/>
        <v>6.6472787237292835E-3</v>
      </c>
      <c r="J1046" s="12">
        <f t="shared" si="118"/>
        <v>7.4054730214398717E-3</v>
      </c>
    </row>
    <row r="1047" spans="1:10">
      <c r="A1047" s="15">
        <v>41725</v>
      </c>
      <c r="B1047" s="11">
        <v>1.5859000000000001</v>
      </c>
      <c r="C1047" s="11">
        <f t="shared" si="112"/>
        <v>5.7000000000000384E-3</v>
      </c>
      <c r="D1047" s="12">
        <f t="shared" si="113"/>
        <v>3.2490000000000436E-5</v>
      </c>
      <c r="E1047" s="12">
        <f t="shared" si="114"/>
        <v>1.0000000000002238E-6</v>
      </c>
      <c r="F1047" s="12">
        <f t="shared" si="115"/>
        <v>4.1407661043915656E-5</v>
      </c>
      <c r="G1047" s="12">
        <f t="shared" si="116"/>
        <v>3.7347650758317403</v>
      </c>
      <c r="I1047" s="12">
        <f t="shared" si="117"/>
        <v>6.4348784793433087E-3</v>
      </c>
      <c r="J1047" s="12">
        <f t="shared" si="118"/>
        <v>7.4054730214398717E-3</v>
      </c>
    </row>
    <row r="1048" spans="1:10">
      <c r="A1048" s="15">
        <v>41726</v>
      </c>
      <c r="B1048" s="11">
        <v>1.5851</v>
      </c>
      <c r="C1048" s="11">
        <f t="shared" si="112"/>
        <v>-8.0000000000013394E-4</v>
      </c>
      <c r="D1048" s="12">
        <f t="shared" si="113"/>
        <v>6.4000000000021431E-7</v>
      </c>
      <c r="E1048" s="12">
        <f t="shared" si="114"/>
        <v>3.2490000000000436E-5</v>
      </c>
      <c r="F1048" s="12">
        <f t="shared" si="115"/>
        <v>4.1614693525928172E-5</v>
      </c>
      <c r="G1048" s="12">
        <f t="shared" si="116"/>
        <v>4.1169004894069339</v>
      </c>
      <c r="I1048" s="12">
        <f t="shared" si="117"/>
        <v>6.4509451653171086E-3</v>
      </c>
      <c r="J1048" s="12">
        <f t="shared" si="118"/>
        <v>7.4054730214398717E-3</v>
      </c>
    </row>
    <row r="1049" spans="1:10">
      <c r="A1049" s="15">
        <v>41729</v>
      </c>
      <c r="B1049" s="11">
        <v>1.5818000000000001</v>
      </c>
      <c r="C1049" s="11">
        <f t="shared" si="112"/>
        <v>-3.2999999999998586E-3</v>
      </c>
      <c r="D1049" s="12">
        <f t="shared" si="113"/>
        <v>1.0889999999999067E-5</v>
      </c>
      <c r="E1049" s="12">
        <f t="shared" si="114"/>
        <v>6.4000000000021431E-7</v>
      </c>
      <c r="F1049" s="12">
        <f t="shared" si="115"/>
        <v>3.9166455099293561E-5</v>
      </c>
      <c r="G1049" s="12">
        <f t="shared" si="116"/>
        <v>4.015884389246553</v>
      </c>
      <c r="I1049" s="12">
        <f t="shared" si="117"/>
        <v>6.2583108822823396E-3</v>
      </c>
      <c r="J1049" s="12">
        <f t="shared" si="118"/>
        <v>7.4054730214398717E-3</v>
      </c>
    </row>
    <row r="1050" spans="1:10">
      <c r="A1050" s="15">
        <v>41730</v>
      </c>
      <c r="B1050" s="11">
        <v>1.581</v>
      </c>
      <c r="C1050" s="11">
        <f t="shared" si="112"/>
        <v>-8.0000000000013394E-4</v>
      </c>
      <c r="D1050" s="12">
        <f t="shared" si="113"/>
        <v>6.4000000000021431E-7</v>
      </c>
      <c r="E1050" s="12">
        <f t="shared" si="114"/>
        <v>1.0889999999999067E-5</v>
      </c>
      <c r="F1050" s="12">
        <f t="shared" si="115"/>
        <v>3.790623170534414E-5</v>
      </c>
      <c r="G1050" s="12">
        <f t="shared" si="116"/>
        <v>4.1628170929218875</v>
      </c>
      <c r="I1050" s="12">
        <f t="shared" si="117"/>
        <v>6.1568036922858066E-3</v>
      </c>
      <c r="J1050" s="12">
        <f t="shared" si="118"/>
        <v>7.4054730214398717E-3</v>
      </c>
    </row>
    <row r="1051" spans="1:10">
      <c r="A1051" s="15">
        <v>41731</v>
      </c>
      <c r="B1051" s="11">
        <v>1.5835999999999999</v>
      </c>
      <c r="C1051" s="11">
        <f t="shared" si="112"/>
        <v>2.5999999999999357E-3</v>
      </c>
      <c r="D1051" s="12">
        <f t="shared" si="113"/>
        <v>6.7599999999996659E-6</v>
      </c>
      <c r="E1051" s="12">
        <f t="shared" si="114"/>
        <v>6.4000000000021431E-7</v>
      </c>
      <c r="F1051" s="12">
        <f t="shared" si="115"/>
        <v>3.5977282969483258E-5</v>
      </c>
      <c r="G1051" s="12">
        <f t="shared" si="116"/>
        <v>4.1034247101916295</v>
      </c>
      <c r="I1051" s="12">
        <f t="shared" si="117"/>
        <v>5.9981066153814953E-3</v>
      </c>
      <c r="J1051" s="12">
        <f t="shared" si="118"/>
        <v>7.4054730214398717E-3</v>
      </c>
    </row>
    <row r="1052" spans="1:10">
      <c r="A1052" s="15">
        <v>41732</v>
      </c>
      <c r="B1052" s="11">
        <v>1.5883</v>
      </c>
      <c r="C1052" s="11">
        <f t="shared" si="112"/>
        <v>4.7000000000001485E-3</v>
      </c>
      <c r="D1052" s="12">
        <f t="shared" si="113"/>
        <v>2.2090000000001396E-5</v>
      </c>
      <c r="E1052" s="12">
        <f t="shared" si="114"/>
        <v>6.7599999999996659E-6</v>
      </c>
      <c r="F1052" s="12">
        <f t="shared" si="115"/>
        <v>3.4823083343705034E-5</v>
      </c>
      <c r="G1052" s="12">
        <f t="shared" si="116"/>
        <v>3.8965018267904141</v>
      </c>
      <c r="I1052" s="12">
        <f t="shared" si="117"/>
        <v>5.9011086537789689E-3</v>
      </c>
      <c r="J1052" s="12">
        <f t="shared" si="118"/>
        <v>7.4054730214398717E-3</v>
      </c>
    </row>
    <row r="1053" spans="1:10">
      <c r="A1053" s="15">
        <v>41733</v>
      </c>
      <c r="B1053" s="11">
        <v>1.591</v>
      </c>
      <c r="C1053" s="11">
        <f t="shared" si="112"/>
        <v>2.6999999999999247E-3</v>
      </c>
      <c r="D1053" s="12">
        <f t="shared" si="113"/>
        <v>7.2899999999995931E-6</v>
      </c>
      <c r="E1053" s="12">
        <f t="shared" si="114"/>
        <v>2.2090000000001396E-5</v>
      </c>
      <c r="F1053" s="12">
        <f t="shared" si="115"/>
        <v>3.5094582222026626E-5</v>
      </c>
      <c r="G1053" s="12">
        <f t="shared" si="116"/>
        <v>4.1059311701867927</v>
      </c>
      <c r="I1053" s="12">
        <f t="shared" si="117"/>
        <v>5.9240680467079901E-3</v>
      </c>
      <c r="J1053" s="12">
        <f t="shared" si="118"/>
        <v>7.4054730214398717E-3</v>
      </c>
    </row>
    <row r="1054" spans="1:10">
      <c r="A1054" s="15">
        <v>41736</v>
      </c>
      <c r="B1054" s="11">
        <v>1.5880000000000001</v>
      </c>
      <c r="C1054" s="11">
        <f t="shared" si="112"/>
        <v>-2.9999999999998916E-3</v>
      </c>
      <c r="D1054" s="12">
        <f t="shared" si="113"/>
        <v>8.9999999999993497E-6</v>
      </c>
      <c r="E1054" s="12">
        <f t="shared" si="114"/>
        <v>7.2899999999995931E-6</v>
      </c>
      <c r="F1054" s="12">
        <f t="shared" si="115"/>
        <v>3.4107688328694048E-5</v>
      </c>
      <c r="G1054" s="12">
        <f t="shared" si="116"/>
        <v>4.0921202641078276</v>
      </c>
      <c r="I1054" s="12">
        <f t="shared" si="117"/>
        <v>5.8401787925280203E-3</v>
      </c>
      <c r="J1054" s="12">
        <f t="shared" si="118"/>
        <v>7.4054730214398717E-3</v>
      </c>
    </row>
    <row r="1055" spans="1:10">
      <c r="A1055" s="15">
        <v>41737</v>
      </c>
      <c r="B1055" s="11">
        <v>1.5871</v>
      </c>
      <c r="C1055" s="11">
        <f t="shared" si="112"/>
        <v>-9.0000000000012292E-4</v>
      </c>
      <c r="D1055" s="12">
        <f t="shared" si="113"/>
        <v>8.1000000000022126E-7</v>
      </c>
      <c r="E1055" s="12">
        <f t="shared" si="114"/>
        <v>8.9999999999993497E-6</v>
      </c>
      <c r="F1055" s="12">
        <f t="shared" si="115"/>
        <v>3.3399990347293732E-5</v>
      </c>
      <c r="G1055" s="12">
        <f t="shared" si="116"/>
        <v>4.2224131808939562</v>
      </c>
      <c r="I1055" s="12">
        <f t="shared" si="117"/>
        <v>5.7792724756057087E-3</v>
      </c>
      <c r="J1055" s="12">
        <f t="shared" si="118"/>
        <v>7.4054730214398717E-3</v>
      </c>
    </row>
    <row r="1056" spans="1:10">
      <c r="A1056" s="15">
        <v>41738</v>
      </c>
      <c r="B1056" s="11">
        <v>1.5854999999999999</v>
      </c>
      <c r="C1056" s="11">
        <f t="shared" si="112"/>
        <v>-1.6000000000000458E-3</v>
      </c>
      <c r="D1056" s="12">
        <f t="shared" si="113"/>
        <v>2.5600000000001466E-6</v>
      </c>
      <c r="E1056" s="12">
        <f t="shared" si="114"/>
        <v>8.1000000000022126E-7</v>
      </c>
      <c r="F1056" s="12">
        <f t="shared" si="115"/>
        <v>3.2116060856894897E-5</v>
      </c>
      <c r="G1056" s="12">
        <f t="shared" si="116"/>
        <v>4.2142831685722193</v>
      </c>
      <c r="I1056" s="12">
        <f t="shared" si="117"/>
        <v>5.6671033921126667E-3</v>
      </c>
      <c r="J1056" s="12">
        <f t="shared" si="118"/>
        <v>7.4054730214398717E-3</v>
      </c>
    </row>
    <row r="1057" spans="1:10">
      <c r="A1057" s="15">
        <v>41739</v>
      </c>
      <c r="B1057" s="11">
        <v>1.5791999999999999</v>
      </c>
      <c r="C1057" s="11">
        <f t="shared" si="112"/>
        <v>-6.2999999999999723E-3</v>
      </c>
      <c r="D1057" s="12">
        <f t="shared" si="113"/>
        <v>3.9689999999999649E-5</v>
      </c>
      <c r="E1057" s="12">
        <f t="shared" si="114"/>
        <v>2.5600000000001466E-6</v>
      </c>
      <c r="F1057" s="12">
        <f t="shared" si="115"/>
        <v>3.1156218986503767E-5</v>
      </c>
      <c r="G1057" s="12">
        <f t="shared" si="116"/>
        <v>3.6323583159285819</v>
      </c>
      <c r="I1057" s="12">
        <f t="shared" si="117"/>
        <v>5.581775612339121E-3</v>
      </c>
      <c r="J1057" s="12">
        <f t="shared" si="118"/>
        <v>7.4054730214398717E-3</v>
      </c>
    </row>
    <row r="1058" spans="1:10">
      <c r="A1058" s="15">
        <v>41740</v>
      </c>
      <c r="B1058" s="11">
        <v>1.5795999999999999</v>
      </c>
      <c r="C1058" s="11">
        <f t="shared" si="112"/>
        <v>3.9999999999995595E-4</v>
      </c>
      <c r="D1058" s="12">
        <f t="shared" si="113"/>
        <v>1.5999999999996475E-7</v>
      </c>
      <c r="E1058" s="12">
        <f t="shared" si="114"/>
        <v>3.9689999999999649E-5</v>
      </c>
      <c r="F1058" s="12">
        <f t="shared" si="115"/>
        <v>3.3392439773453759E-5</v>
      </c>
      <c r="G1058" s="12">
        <f t="shared" si="116"/>
        <v>4.2322562263857373</v>
      </c>
      <c r="I1058" s="12">
        <f t="shared" si="117"/>
        <v>5.7786191926319005E-3</v>
      </c>
      <c r="J1058" s="12">
        <f t="shared" si="118"/>
        <v>7.4054730214398717E-3</v>
      </c>
    </row>
    <row r="1059" spans="1:10">
      <c r="A1059" s="15">
        <v>41743</v>
      </c>
      <c r="B1059" s="11">
        <v>1.585</v>
      </c>
      <c r="C1059" s="11">
        <f t="shared" si="112"/>
        <v>5.4000000000000714E-3</v>
      </c>
      <c r="D1059" s="12">
        <f t="shared" si="113"/>
        <v>2.9160000000000771E-5</v>
      </c>
      <c r="E1059" s="12">
        <f t="shared" si="114"/>
        <v>1.5999999999996475E-7</v>
      </c>
      <c r="F1059" s="12">
        <f t="shared" si="115"/>
        <v>3.2055970016079874E-5</v>
      </c>
      <c r="G1059" s="12">
        <f t="shared" si="116"/>
        <v>3.8002455448111032</v>
      </c>
      <c r="I1059" s="12">
        <f t="shared" si="117"/>
        <v>5.6617991854250602E-3</v>
      </c>
      <c r="J1059" s="12">
        <f t="shared" si="118"/>
        <v>7.4054730214398717E-3</v>
      </c>
    </row>
    <row r="1060" spans="1:10">
      <c r="A1060" s="15">
        <v>41744</v>
      </c>
      <c r="B1060" s="11">
        <v>1.5874999999999999</v>
      </c>
      <c r="C1060" s="11">
        <f t="shared" si="112"/>
        <v>2.4999999999999467E-3</v>
      </c>
      <c r="D1060" s="12">
        <f t="shared" si="113"/>
        <v>6.2499999999997335E-6</v>
      </c>
      <c r="E1060" s="12">
        <f t="shared" si="114"/>
        <v>2.9160000000000771E-5</v>
      </c>
      <c r="F1060" s="12">
        <f t="shared" si="115"/>
        <v>3.3297919684016107E-5</v>
      </c>
      <c r="G1060" s="12">
        <f t="shared" si="116"/>
        <v>4.142219570031143</v>
      </c>
      <c r="I1060" s="12">
        <f t="shared" si="117"/>
        <v>5.7704349648892246E-3</v>
      </c>
      <c r="J1060" s="12">
        <f t="shared" si="118"/>
        <v>7.4054730214398717E-3</v>
      </c>
    </row>
    <row r="1061" spans="1:10">
      <c r="A1061" s="15">
        <v>41745</v>
      </c>
      <c r="B1061" s="11">
        <v>1.5865</v>
      </c>
      <c r="C1061" s="11">
        <f t="shared" si="112"/>
        <v>-9.9999999999988987E-4</v>
      </c>
      <c r="D1061" s="12">
        <f t="shared" si="113"/>
        <v>9.9999999999977973E-7</v>
      </c>
      <c r="E1061" s="12">
        <f t="shared" si="114"/>
        <v>6.2499999999997335E-6</v>
      </c>
      <c r="F1061" s="12">
        <f t="shared" si="115"/>
        <v>3.2476853335552758E-5</v>
      </c>
      <c r="G1061" s="12">
        <f t="shared" si="116"/>
        <v>4.2331573429276883</v>
      </c>
      <c r="I1061" s="12">
        <f t="shared" si="117"/>
        <v>5.6988466671382514E-3</v>
      </c>
      <c r="J1061" s="12">
        <f t="shared" si="118"/>
        <v>7.4054730214398717E-3</v>
      </c>
    </row>
    <row r="1062" spans="1:10">
      <c r="A1062" s="15">
        <v>41746</v>
      </c>
      <c r="B1062" s="11">
        <v>1.5866</v>
      </c>
      <c r="C1062" s="11">
        <f t="shared" si="112"/>
        <v>9.9999999999988987E-5</v>
      </c>
      <c r="D1062" s="12">
        <f t="shared" si="113"/>
        <v>9.9999999999977966E-9</v>
      </c>
      <c r="E1062" s="12">
        <f t="shared" si="114"/>
        <v>9.9999999999977973E-7</v>
      </c>
      <c r="F1062" s="12">
        <f t="shared" si="115"/>
        <v>3.1337856152506822E-5</v>
      </c>
      <c r="G1062" s="12">
        <f t="shared" si="116"/>
        <v>4.2662437727145219</v>
      </c>
      <c r="I1062" s="12">
        <f t="shared" si="117"/>
        <v>5.5980225216148262E-3</v>
      </c>
      <c r="J1062" s="12">
        <f t="shared" si="118"/>
        <v>7.4054730214398717E-3</v>
      </c>
    </row>
    <row r="1063" spans="1:10">
      <c r="A1063" s="15">
        <v>41747</v>
      </c>
      <c r="B1063" s="11">
        <v>1.5903</v>
      </c>
      <c r="C1063" s="11">
        <f t="shared" si="112"/>
        <v>3.7000000000000366E-3</v>
      </c>
      <c r="D1063" s="12">
        <f t="shared" si="113"/>
        <v>1.369000000000027E-5</v>
      </c>
      <c r="E1063" s="12">
        <f t="shared" si="114"/>
        <v>9.9999999999977966E-9</v>
      </c>
      <c r="F1063" s="12">
        <f t="shared" si="115"/>
        <v>3.0276717626699977E-5</v>
      </c>
      <c r="G1063" s="12">
        <f t="shared" si="116"/>
        <v>4.0575459168525239</v>
      </c>
      <c r="I1063" s="12">
        <f t="shared" si="117"/>
        <v>5.5024283390790263E-3</v>
      </c>
      <c r="J1063" s="12">
        <f t="shared" si="118"/>
        <v>7.4054730214398717E-3</v>
      </c>
    </row>
    <row r="1064" spans="1:10">
      <c r="A1064" s="15">
        <v>41750</v>
      </c>
      <c r="B1064" s="11">
        <v>1.5923</v>
      </c>
      <c r="C1064" s="11">
        <f t="shared" si="112"/>
        <v>2.0000000000000018E-3</v>
      </c>
      <c r="D1064" s="12">
        <f t="shared" si="113"/>
        <v>4.0000000000000074E-6</v>
      </c>
      <c r="E1064" s="12">
        <f t="shared" si="114"/>
        <v>1.369000000000027E-5</v>
      </c>
      <c r="F1064" s="12">
        <f t="shared" si="115"/>
        <v>3.0492191067614057E-5</v>
      </c>
      <c r="G1064" s="12">
        <f t="shared" si="116"/>
        <v>4.2144908645788828</v>
      </c>
      <c r="I1064" s="12">
        <f t="shared" si="117"/>
        <v>5.5219734758158749E-3</v>
      </c>
      <c r="J1064" s="12">
        <f t="shared" si="118"/>
        <v>7.4054730214398717E-3</v>
      </c>
    </row>
    <row r="1065" spans="1:10">
      <c r="A1065" s="15">
        <v>41751</v>
      </c>
      <c r="B1065" s="11">
        <v>1.5920000000000001</v>
      </c>
      <c r="C1065" s="11">
        <f t="shared" si="112"/>
        <v>-2.9999999999996696E-4</v>
      </c>
      <c r="D1065" s="12">
        <f t="shared" si="113"/>
        <v>8.9999999999980173E-8</v>
      </c>
      <c r="E1065" s="12">
        <f t="shared" si="114"/>
        <v>4.0000000000000074E-6</v>
      </c>
      <c r="F1065" s="12">
        <f t="shared" si="115"/>
        <v>2.9878476173517891E-5</v>
      </c>
      <c r="G1065" s="12">
        <f t="shared" si="116"/>
        <v>4.2887414571085882</v>
      </c>
      <c r="I1065" s="12">
        <f t="shared" si="117"/>
        <v>5.4661207609709734E-3</v>
      </c>
      <c r="J1065" s="12">
        <f t="shared" si="118"/>
        <v>7.4054730214398717E-3</v>
      </c>
    </row>
    <row r="1066" spans="1:10">
      <c r="A1066" s="15">
        <v>41752</v>
      </c>
      <c r="B1066" s="11">
        <v>1.5958000000000001</v>
      </c>
      <c r="C1066" s="11">
        <f t="shared" si="112"/>
        <v>3.8000000000000256E-3</v>
      </c>
      <c r="D1066" s="12">
        <f t="shared" si="113"/>
        <v>1.4440000000000194E-5</v>
      </c>
      <c r="E1066" s="12">
        <f t="shared" si="114"/>
        <v>8.9999999999980173E-8</v>
      </c>
      <c r="F1066" s="12">
        <f t="shared" si="115"/>
        <v>2.9028288802145675E-5</v>
      </c>
      <c r="G1066" s="12">
        <f t="shared" si="116"/>
        <v>4.0559584291200235</v>
      </c>
      <c r="I1066" s="12">
        <f t="shared" si="117"/>
        <v>5.3877907162533396E-3</v>
      </c>
      <c r="J1066" s="12">
        <f t="shared" si="118"/>
        <v>7.4054730214398717E-3</v>
      </c>
    </row>
    <row r="1067" spans="1:10">
      <c r="A1067" s="15">
        <v>41753</v>
      </c>
      <c r="B1067" s="11">
        <v>1.5931999999999999</v>
      </c>
      <c r="C1067" s="11">
        <f t="shared" si="112"/>
        <v>-2.6000000000001577E-3</v>
      </c>
      <c r="D1067" s="12">
        <f t="shared" si="113"/>
        <v>6.7600000000008204E-6</v>
      </c>
      <c r="E1067" s="12">
        <f t="shared" si="114"/>
        <v>1.4440000000000194E-5</v>
      </c>
      <c r="F1067" s="12">
        <f t="shared" si="115"/>
        <v>2.948042097793796E-5</v>
      </c>
      <c r="G1067" s="12">
        <f t="shared" si="116"/>
        <v>4.1823011992572772</v>
      </c>
      <c r="I1067" s="12">
        <f t="shared" si="117"/>
        <v>5.4295875513650166E-3</v>
      </c>
      <c r="J1067" s="12">
        <f t="shared" si="118"/>
        <v>7.4054730214398717E-3</v>
      </c>
    </row>
    <row r="1068" spans="1:10">
      <c r="A1068" s="15">
        <v>41754</v>
      </c>
      <c r="B1068" s="11">
        <v>1.5948</v>
      </c>
      <c r="C1068" s="11">
        <f t="shared" si="112"/>
        <v>1.6000000000000458E-3</v>
      </c>
      <c r="D1068" s="12">
        <f t="shared" si="113"/>
        <v>2.5600000000001466E-6</v>
      </c>
      <c r="E1068" s="12">
        <f t="shared" si="114"/>
        <v>6.7600000000008204E-6</v>
      </c>
      <c r="F1068" s="12">
        <f t="shared" si="115"/>
        <v>2.923596604357418E-5</v>
      </c>
      <c r="G1068" s="12">
        <f t="shared" si="116"/>
        <v>4.2573352158862257</v>
      </c>
      <c r="I1068" s="12">
        <f t="shared" si="117"/>
        <v>5.4070293178023528E-3</v>
      </c>
      <c r="J1068" s="12">
        <f t="shared" si="118"/>
        <v>7.4054730214398717E-3</v>
      </c>
    </row>
    <row r="1069" spans="1:10">
      <c r="A1069" s="15">
        <v>41757</v>
      </c>
      <c r="B1069" s="11">
        <v>1.5978000000000001</v>
      </c>
      <c r="C1069" s="11">
        <f t="shared" si="112"/>
        <v>3.0000000000001137E-3</v>
      </c>
      <c r="D1069" s="12">
        <f t="shared" si="113"/>
        <v>9.0000000000006829E-6</v>
      </c>
      <c r="E1069" s="12">
        <f t="shared" si="114"/>
        <v>2.5600000000001466E-6</v>
      </c>
      <c r="F1069" s="12">
        <f t="shared" si="115"/>
        <v>2.8679419020849242E-5</v>
      </c>
      <c r="G1069" s="12">
        <f t="shared" si="116"/>
        <v>4.1538199150739512</v>
      </c>
      <c r="I1069" s="12">
        <f t="shared" si="117"/>
        <v>5.3553168926637048E-3</v>
      </c>
      <c r="J1069" s="12">
        <f t="shared" si="118"/>
        <v>7.4054730214398717E-3</v>
      </c>
    </row>
    <row r="1070" spans="1:10">
      <c r="A1070" s="15">
        <v>41758</v>
      </c>
      <c r="B1070" s="11">
        <v>1.6056999999999999</v>
      </c>
      <c r="C1070" s="11">
        <f t="shared" si="112"/>
        <v>7.8999999999997961E-3</v>
      </c>
      <c r="D1070" s="12">
        <f t="shared" si="113"/>
        <v>6.2409999999996782E-5</v>
      </c>
      <c r="E1070" s="12">
        <f t="shared" si="114"/>
        <v>9.0000000000006829E-6</v>
      </c>
      <c r="F1070" s="12">
        <f t="shared" si="115"/>
        <v>2.8731832489069759E-5</v>
      </c>
      <c r="G1070" s="12">
        <f t="shared" si="116"/>
        <v>3.2237362999823884</v>
      </c>
      <c r="I1070" s="12">
        <f t="shared" si="117"/>
        <v>5.3602082505318539E-3</v>
      </c>
      <c r="J1070" s="12">
        <f t="shared" si="118"/>
        <v>7.4054730214398717E-3</v>
      </c>
    </row>
    <row r="1071" spans="1:10">
      <c r="A1071" s="15">
        <v>41759</v>
      </c>
      <c r="B1071" s="11">
        <v>1.5993999999999999</v>
      </c>
      <c r="C1071" s="11">
        <f t="shared" si="112"/>
        <v>-6.2999999999999723E-3</v>
      </c>
      <c r="D1071" s="12">
        <f t="shared" si="113"/>
        <v>3.9689999999999649E-5</v>
      </c>
      <c r="E1071" s="12">
        <f t="shared" si="114"/>
        <v>6.2409999999996782E-5</v>
      </c>
      <c r="F1071" s="12">
        <f t="shared" si="115"/>
        <v>3.3180976959647754E-5</v>
      </c>
      <c r="G1071" s="12">
        <f t="shared" si="116"/>
        <v>3.639744718401861</v>
      </c>
      <c r="I1071" s="12">
        <f t="shared" si="117"/>
        <v>5.7602931313994561E-3</v>
      </c>
      <c r="J1071" s="12">
        <f t="shared" si="118"/>
        <v>7.4054730214398717E-3</v>
      </c>
    </row>
    <row r="1072" spans="1:10">
      <c r="A1072" s="15">
        <v>41760</v>
      </c>
      <c r="B1072" s="11">
        <v>1.5992</v>
      </c>
      <c r="C1072" s="11">
        <f t="shared" si="112"/>
        <v>-1.9999999999997797E-4</v>
      </c>
      <c r="D1072" s="12">
        <f t="shared" si="113"/>
        <v>3.9999999999991186E-8</v>
      </c>
      <c r="E1072" s="12">
        <f t="shared" si="114"/>
        <v>3.9689999999999649E-5</v>
      </c>
      <c r="F1072" s="12">
        <f t="shared" si="115"/>
        <v>3.5133674282521749E-5</v>
      </c>
      <c r="G1072" s="12">
        <f t="shared" si="116"/>
        <v>4.2086674580392112</v>
      </c>
      <c r="I1072" s="12">
        <f t="shared" si="117"/>
        <v>5.9273665554377304E-3</v>
      </c>
      <c r="J1072" s="12">
        <f t="shared" si="118"/>
        <v>7.4054730214398717E-3</v>
      </c>
    </row>
    <row r="1073" spans="1:10">
      <c r="A1073" s="15">
        <v>41761</v>
      </c>
      <c r="B1073" s="11">
        <v>1.6031</v>
      </c>
      <c r="C1073" s="11">
        <f t="shared" si="112"/>
        <v>3.9000000000000146E-3</v>
      </c>
      <c r="D1073" s="12">
        <f t="shared" si="113"/>
        <v>1.5210000000000114E-5</v>
      </c>
      <c r="E1073" s="12">
        <f t="shared" si="114"/>
        <v>3.9999999999991186E-8</v>
      </c>
      <c r="F1073" s="12">
        <f t="shared" si="115"/>
        <v>3.3543487441993989E-5</v>
      </c>
      <c r="G1073" s="12">
        <f t="shared" si="116"/>
        <v>4.0056747616435651</v>
      </c>
      <c r="I1073" s="12">
        <f t="shared" si="117"/>
        <v>5.7916739758030224E-3</v>
      </c>
      <c r="J1073" s="12">
        <f t="shared" si="118"/>
        <v>7.4054730214398717E-3</v>
      </c>
    </row>
    <row r="1074" spans="1:10">
      <c r="A1074" s="15">
        <v>41764</v>
      </c>
      <c r="B1074" s="11">
        <v>1.6014999999999999</v>
      </c>
      <c r="C1074" s="11">
        <f t="shared" si="112"/>
        <v>-1.6000000000000458E-3</v>
      </c>
      <c r="D1074" s="12">
        <f t="shared" si="113"/>
        <v>2.5600000000001466E-6</v>
      </c>
      <c r="E1074" s="12">
        <f t="shared" si="114"/>
        <v>1.5210000000000114E-5</v>
      </c>
      <c r="F1074" s="12">
        <f t="shared" si="115"/>
        <v>3.3426856418402905E-5</v>
      </c>
      <c r="G1074" s="12">
        <f t="shared" si="116"/>
        <v>4.1958443449177549</v>
      </c>
      <c r="I1074" s="12">
        <f t="shared" si="117"/>
        <v>5.7815963555408207E-3</v>
      </c>
      <c r="J1074" s="12">
        <f t="shared" si="118"/>
        <v>7.4054730214398717E-3</v>
      </c>
    </row>
    <row r="1075" spans="1:10">
      <c r="A1075" s="15">
        <v>41765</v>
      </c>
      <c r="B1075" s="11">
        <v>1.6015999999999999</v>
      </c>
      <c r="C1075" s="11">
        <f t="shared" si="112"/>
        <v>9.9999999999988987E-5</v>
      </c>
      <c r="D1075" s="12">
        <f t="shared" si="113"/>
        <v>9.9999999999977966E-9</v>
      </c>
      <c r="E1075" s="12">
        <f t="shared" si="114"/>
        <v>2.5600000000001466E-6</v>
      </c>
      <c r="F1075" s="12">
        <f t="shared" si="115"/>
        <v>3.2283466043339326E-5</v>
      </c>
      <c r="G1075" s="12">
        <f t="shared" si="116"/>
        <v>4.2513842543660969</v>
      </c>
      <c r="I1075" s="12">
        <f t="shared" si="117"/>
        <v>5.6818541026094046E-3</v>
      </c>
      <c r="J1075" s="12">
        <f t="shared" si="118"/>
        <v>7.4054730214398717E-3</v>
      </c>
    </row>
    <row r="1076" spans="1:10">
      <c r="A1076" s="15">
        <v>41766</v>
      </c>
      <c r="B1076" s="11">
        <v>1.6040000000000001</v>
      </c>
      <c r="C1076" s="11">
        <f t="shared" si="112"/>
        <v>2.4000000000001798E-3</v>
      </c>
      <c r="D1076" s="12">
        <f t="shared" si="113"/>
        <v>5.760000000000863E-6</v>
      </c>
      <c r="E1076" s="12">
        <f t="shared" si="114"/>
        <v>9.9999999999977966E-9</v>
      </c>
      <c r="F1076" s="12">
        <f t="shared" si="115"/>
        <v>3.1089915350019414E-5</v>
      </c>
      <c r="G1076" s="12">
        <f t="shared" si="116"/>
        <v>4.1777404479554461</v>
      </c>
      <c r="I1076" s="12">
        <f t="shared" si="117"/>
        <v>5.5758331529933191E-3</v>
      </c>
      <c r="J1076" s="12">
        <f t="shared" si="118"/>
        <v>7.4054730214398717E-3</v>
      </c>
    </row>
    <row r="1077" spans="1:10">
      <c r="A1077" s="15">
        <v>41767</v>
      </c>
      <c r="B1077" s="11">
        <v>1.61</v>
      </c>
      <c r="C1077" s="11">
        <f t="shared" si="112"/>
        <v>6.0000000000000053E-3</v>
      </c>
      <c r="D1077" s="12">
        <f t="shared" si="113"/>
        <v>3.6000000000000062E-5</v>
      </c>
      <c r="E1077" s="12">
        <f t="shared" si="114"/>
        <v>5.760000000000863E-6</v>
      </c>
      <c r="F1077" s="12">
        <f t="shared" si="115"/>
        <v>3.053762783095054E-5</v>
      </c>
      <c r="G1077" s="12">
        <f t="shared" si="116"/>
        <v>3.6899001804075318</v>
      </c>
      <c r="I1077" s="12">
        <f t="shared" si="117"/>
        <v>5.5260861222885893E-3</v>
      </c>
      <c r="J1077" s="12">
        <f t="shared" si="118"/>
        <v>7.4054730214398717E-3</v>
      </c>
    </row>
    <row r="1078" spans="1:10">
      <c r="A1078" s="15">
        <v>41768</v>
      </c>
      <c r="B1078" s="11">
        <v>1.6197999999999999</v>
      </c>
      <c r="C1078" s="11">
        <f t="shared" si="112"/>
        <v>9.7999999999998089E-3</v>
      </c>
      <c r="D1078" s="12">
        <f t="shared" si="113"/>
        <v>9.6039999999996255E-5</v>
      </c>
      <c r="E1078" s="12">
        <f t="shared" si="114"/>
        <v>3.6000000000000062E-5</v>
      </c>
      <c r="F1078" s="12">
        <f t="shared" si="115"/>
        <v>3.2556199668351668E-5</v>
      </c>
      <c r="G1078" s="12">
        <f t="shared" si="116"/>
        <v>2.7723449479712023</v>
      </c>
      <c r="I1078" s="12">
        <f t="shared" si="117"/>
        <v>5.7058040334690488E-3</v>
      </c>
      <c r="J1078" s="12">
        <f t="shared" si="118"/>
        <v>7.4054730214398717E-3</v>
      </c>
    </row>
    <row r="1079" spans="1:10">
      <c r="A1079" s="15">
        <v>41771</v>
      </c>
      <c r="B1079" s="11">
        <v>1.6172</v>
      </c>
      <c r="C1079" s="11">
        <f t="shared" si="112"/>
        <v>-2.5999999999999357E-3</v>
      </c>
      <c r="D1079" s="12">
        <f t="shared" si="113"/>
        <v>6.7599999999996659E-6</v>
      </c>
      <c r="E1079" s="12">
        <f t="shared" si="114"/>
        <v>9.6039999999996255E-5</v>
      </c>
      <c r="F1079" s="12">
        <f t="shared" si="115"/>
        <v>3.9242879772255773E-5</v>
      </c>
      <c r="G1079" s="12">
        <f t="shared" si="116"/>
        <v>4.0678014537203424</v>
      </c>
      <c r="I1079" s="12">
        <f t="shared" si="117"/>
        <v>6.2644137612593706E-3</v>
      </c>
      <c r="J1079" s="12">
        <f t="shared" si="118"/>
        <v>7.4054730214398717E-3</v>
      </c>
    </row>
    <row r="1080" spans="1:10">
      <c r="A1080" s="15">
        <v>41772</v>
      </c>
      <c r="B1080" s="11">
        <v>1.6207</v>
      </c>
      <c r="C1080" s="11">
        <f t="shared" si="112"/>
        <v>3.5000000000000586E-3</v>
      </c>
      <c r="D1080" s="12">
        <f t="shared" si="113"/>
        <v>1.225000000000041E-5</v>
      </c>
      <c r="E1080" s="12">
        <f t="shared" si="114"/>
        <v>6.7599999999996659E-6</v>
      </c>
      <c r="F1080" s="12">
        <f t="shared" si="115"/>
        <v>3.7631404101598015E-5</v>
      </c>
      <c r="G1080" s="12">
        <f t="shared" si="116"/>
        <v>4.0121342857582789</v>
      </c>
      <c r="I1080" s="12">
        <f t="shared" si="117"/>
        <v>6.1344440743720217E-3</v>
      </c>
      <c r="J1080" s="12">
        <f t="shared" si="118"/>
        <v>7.4054730214398717E-3</v>
      </c>
    </row>
    <row r="1081" spans="1:10">
      <c r="A1081" s="15">
        <v>41773</v>
      </c>
      <c r="B1081" s="11">
        <v>1.6205000000000001</v>
      </c>
      <c r="C1081" s="11">
        <f t="shared" si="112"/>
        <v>-1.9999999999997797E-4</v>
      </c>
      <c r="D1081" s="12">
        <f t="shared" si="113"/>
        <v>3.9999999999991186E-8</v>
      </c>
      <c r="E1081" s="12">
        <f t="shared" si="114"/>
        <v>1.225000000000041E-5</v>
      </c>
      <c r="F1081" s="12">
        <f t="shared" si="115"/>
        <v>3.6698273914566884E-5</v>
      </c>
      <c r="G1081" s="12">
        <f t="shared" si="116"/>
        <v>4.1869068928041777</v>
      </c>
      <c r="I1081" s="12">
        <f t="shared" si="117"/>
        <v>6.0579100285962388E-3</v>
      </c>
      <c r="J1081" s="12">
        <f t="shared" si="118"/>
        <v>7.4054730214398717E-3</v>
      </c>
    </row>
    <row r="1082" spans="1:10">
      <c r="A1082" s="15">
        <v>41774</v>
      </c>
      <c r="B1082" s="11">
        <v>1.6220000000000001</v>
      </c>
      <c r="C1082" s="11">
        <f t="shared" si="112"/>
        <v>1.5000000000000568E-3</v>
      </c>
      <c r="D1082" s="12">
        <f t="shared" si="113"/>
        <v>2.2500000000001707E-6</v>
      </c>
      <c r="E1082" s="12">
        <f t="shared" si="114"/>
        <v>3.9999999999991186E-8</v>
      </c>
      <c r="F1082" s="12">
        <f t="shared" si="115"/>
        <v>3.48889988109216E-5</v>
      </c>
      <c r="G1082" s="12">
        <f t="shared" si="116"/>
        <v>4.1804858374543166</v>
      </c>
      <c r="I1082" s="12">
        <f t="shared" si="117"/>
        <v>5.9066910204378896E-3</v>
      </c>
      <c r="J1082" s="12">
        <f t="shared" si="118"/>
        <v>7.4054730214398717E-3</v>
      </c>
    </row>
    <row r="1083" spans="1:10">
      <c r="A1083" s="15">
        <v>41775</v>
      </c>
      <c r="B1083" s="11">
        <v>1.6237999999999999</v>
      </c>
      <c r="C1083" s="11">
        <f t="shared" si="112"/>
        <v>1.7999999999998018E-3</v>
      </c>
      <c r="D1083" s="12">
        <f t="shared" si="113"/>
        <v>3.2399999999992863E-6</v>
      </c>
      <c r="E1083" s="12">
        <f t="shared" si="114"/>
        <v>2.2500000000001707E-6</v>
      </c>
      <c r="F1083" s="12">
        <f t="shared" si="115"/>
        <v>3.351530517441307E-5</v>
      </c>
      <c r="G1083" s="12">
        <f t="shared" si="116"/>
        <v>4.1844795101163239</v>
      </c>
      <c r="I1083" s="12">
        <f t="shared" si="117"/>
        <v>5.7892404661071964E-3</v>
      </c>
      <c r="J1083" s="12">
        <f t="shared" si="118"/>
        <v>7.4054730214398717E-3</v>
      </c>
    </row>
    <row r="1084" spans="1:10">
      <c r="A1084" s="15">
        <v>41778</v>
      </c>
      <c r="B1084" s="11">
        <v>1.6221000000000001</v>
      </c>
      <c r="C1084" s="11">
        <f t="shared" si="112"/>
        <v>-1.6999999999998128E-3</v>
      </c>
      <c r="D1084" s="12">
        <f t="shared" si="113"/>
        <v>2.8899999999993633E-6</v>
      </c>
      <c r="E1084" s="12">
        <f t="shared" si="114"/>
        <v>3.2399999999992863E-6</v>
      </c>
      <c r="F1084" s="12">
        <f t="shared" si="115"/>
        <v>3.2415600763109263E-5</v>
      </c>
      <c r="G1084" s="12">
        <f t="shared" si="116"/>
        <v>4.2049195311808356</v>
      </c>
      <c r="I1084" s="12">
        <f t="shared" si="117"/>
        <v>5.6934700107324062E-3</v>
      </c>
      <c r="J1084" s="12">
        <f t="shared" si="118"/>
        <v>7.4054730214398717E-3</v>
      </c>
    </row>
    <row r="1085" spans="1:10">
      <c r="A1085" s="15">
        <v>41779</v>
      </c>
      <c r="B1085" s="11">
        <v>1.6235999999999999</v>
      </c>
      <c r="C1085" s="11">
        <f t="shared" si="112"/>
        <v>1.4999999999998348E-3</v>
      </c>
      <c r="D1085" s="12">
        <f t="shared" si="113"/>
        <v>2.2499999999995045E-6</v>
      </c>
      <c r="E1085" s="12">
        <f t="shared" si="114"/>
        <v>2.8899999999993633E-6</v>
      </c>
      <c r="F1085" s="12">
        <f t="shared" si="115"/>
        <v>3.1441025891405183E-5</v>
      </c>
      <c r="G1085" s="12">
        <f t="shared" si="116"/>
        <v>4.2289786646095591</v>
      </c>
      <c r="I1085" s="12">
        <f t="shared" si="117"/>
        <v>5.607229787640701E-3</v>
      </c>
      <c r="J1085" s="12">
        <f t="shared" si="118"/>
        <v>7.4054730214398717E-3</v>
      </c>
    </row>
    <row r="1086" spans="1:10">
      <c r="A1086" s="15">
        <v>41780</v>
      </c>
      <c r="B1086" s="11">
        <v>1.6258999999999999</v>
      </c>
      <c r="C1086" s="11">
        <f t="shared" si="112"/>
        <v>2.2999999999999687E-3</v>
      </c>
      <c r="D1086" s="12">
        <f t="shared" si="113"/>
        <v>5.2899999999998562E-6</v>
      </c>
      <c r="E1086" s="12">
        <f t="shared" si="114"/>
        <v>2.2499999999995045E-6</v>
      </c>
      <c r="F1086" s="12">
        <f t="shared" si="115"/>
        <v>3.0550146121614493E-5</v>
      </c>
      <c r="G1086" s="12">
        <f t="shared" si="116"/>
        <v>4.1925530401133626</v>
      </c>
      <c r="I1086" s="12">
        <f t="shared" si="117"/>
        <v>5.5272186605574503E-3</v>
      </c>
      <c r="J1086" s="12">
        <f t="shared" si="118"/>
        <v>7.4054730214398717E-3</v>
      </c>
    </row>
    <row r="1087" spans="1:10">
      <c r="A1087" s="15">
        <v>41781</v>
      </c>
      <c r="B1087" s="11">
        <v>1.6279999999999999</v>
      </c>
      <c r="C1087" s="11">
        <f t="shared" si="112"/>
        <v>2.0999999999999908E-3</v>
      </c>
      <c r="D1087" s="12">
        <f t="shared" si="113"/>
        <v>4.4099999999999612E-6</v>
      </c>
      <c r="E1087" s="12">
        <f t="shared" si="114"/>
        <v>5.2899999999998562E-6</v>
      </c>
      <c r="F1087" s="12">
        <f t="shared" si="115"/>
        <v>3.0034686422955129E-5</v>
      </c>
      <c r="G1087" s="12">
        <f t="shared" si="116"/>
        <v>4.2142251580537282</v>
      </c>
      <c r="I1087" s="12">
        <f t="shared" si="117"/>
        <v>5.4803910830300354E-3</v>
      </c>
      <c r="J1087" s="12">
        <f t="shared" si="118"/>
        <v>7.4054730214398717E-3</v>
      </c>
    </row>
    <row r="1088" spans="1:10">
      <c r="A1088" s="15">
        <v>41782</v>
      </c>
      <c r="B1088" s="11">
        <v>1.6318999999999999</v>
      </c>
      <c r="C1088" s="11">
        <f t="shared" si="112"/>
        <v>3.9000000000000146E-3</v>
      </c>
      <c r="D1088" s="12">
        <f t="shared" si="113"/>
        <v>1.5210000000000114E-5</v>
      </c>
      <c r="E1088" s="12">
        <f t="shared" si="114"/>
        <v>4.4099999999999612E-6</v>
      </c>
      <c r="F1088" s="12">
        <f t="shared" si="115"/>
        <v>2.9518842829584591E-5</v>
      </c>
      <c r="G1088" s="12">
        <f t="shared" si="116"/>
        <v>4.038670288401657</v>
      </c>
      <c r="I1088" s="12">
        <f t="shared" si="117"/>
        <v>5.4331245917597542E-3</v>
      </c>
      <c r="J1088" s="12">
        <f t="shared" si="118"/>
        <v>7.4054730214398717E-3</v>
      </c>
    </row>
    <row r="1089" spans="1:10">
      <c r="A1089" s="15">
        <v>41785</v>
      </c>
      <c r="B1089" s="11">
        <v>1.6306</v>
      </c>
      <c r="C1089" s="11">
        <f t="shared" si="112"/>
        <v>-1.2999999999998568E-3</v>
      </c>
      <c r="D1089" s="12">
        <f t="shared" si="113"/>
        <v>1.6899999999996276E-6</v>
      </c>
      <c r="E1089" s="12">
        <f t="shared" si="114"/>
        <v>1.5210000000000114E-5</v>
      </c>
      <c r="F1089" s="12">
        <f t="shared" si="115"/>
        <v>2.9965776042964155E-5</v>
      </c>
      <c r="G1089" s="12">
        <f t="shared" si="116"/>
        <v>4.260589936588679</v>
      </c>
      <c r="I1089" s="12">
        <f t="shared" si="117"/>
        <v>5.4741004779748203E-3</v>
      </c>
      <c r="J1089" s="12">
        <f t="shared" si="118"/>
        <v>7.4054730214398717E-3</v>
      </c>
    </row>
    <row r="1090" spans="1:10">
      <c r="A1090" s="15">
        <v>41786</v>
      </c>
      <c r="B1090" s="11">
        <v>1.6318999999999999</v>
      </c>
      <c r="C1090" s="11">
        <f t="shared" si="112"/>
        <v>1.2999999999998568E-3</v>
      </c>
      <c r="D1090" s="12">
        <f t="shared" si="113"/>
        <v>1.6899999999996276E-6</v>
      </c>
      <c r="E1090" s="12">
        <f t="shared" si="114"/>
        <v>1.6899999999996276E-6</v>
      </c>
      <c r="F1090" s="12">
        <f t="shared" si="115"/>
        <v>2.9235296675512865E-5</v>
      </c>
      <c r="G1090" s="12">
        <f t="shared" si="116"/>
        <v>4.272224935630347</v>
      </c>
      <c r="I1090" s="12">
        <f t="shared" si="117"/>
        <v>5.4069674194980001E-3</v>
      </c>
      <c r="J1090" s="12">
        <f t="shared" si="118"/>
        <v>7.4054730214398717E-3</v>
      </c>
    </row>
    <row r="1091" spans="1:10">
      <c r="A1091" s="15">
        <v>41787</v>
      </c>
      <c r="B1091" s="11">
        <v>1.6323000000000001</v>
      </c>
      <c r="C1091" s="11">
        <f t="shared" si="112"/>
        <v>4.0000000000017799E-4</v>
      </c>
      <c r="D1091" s="12">
        <f t="shared" si="113"/>
        <v>1.6000000000014238E-7</v>
      </c>
      <c r="E1091" s="12">
        <f t="shared" si="114"/>
        <v>1.6899999999996276E-6</v>
      </c>
      <c r="F1091" s="12">
        <f t="shared" si="115"/>
        <v>2.8607105109094032E-5</v>
      </c>
      <c r="G1091" s="12">
        <f t="shared" si="116"/>
        <v>4.3091926716514317</v>
      </c>
      <c r="I1091" s="12">
        <f t="shared" si="117"/>
        <v>5.348561031632156E-3</v>
      </c>
      <c r="J1091" s="12">
        <f t="shared" si="118"/>
        <v>7.4054730214398717E-3</v>
      </c>
    </row>
    <row r="1092" spans="1:10">
      <c r="A1092" s="15">
        <v>41788</v>
      </c>
      <c r="B1092" s="11">
        <v>1.6342000000000001</v>
      </c>
      <c r="C1092" s="11">
        <f t="shared" si="112"/>
        <v>1.9000000000000128E-3</v>
      </c>
      <c r="D1092" s="12">
        <f t="shared" si="113"/>
        <v>3.6100000000000484E-6</v>
      </c>
      <c r="E1092" s="12">
        <f t="shared" si="114"/>
        <v>1.6000000000014238E-7</v>
      </c>
      <c r="F1092" s="12">
        <f t="shared" si="115"/>
        <v>2.7940717741219533E-5</v>
      </c>
      <c r="G1092" s="12">
        <f t="shared" si="116"/>
        <v>4.2591731567108448</v>
      </c>
      <c r="I1092" s="12">
        <f t="shared" si="117"/>
        <v>5.2858980070768988E-3</v>
      </c>
      <c r="J1092" s="12">
        <f t="shared" si="118"/>
        <v>7.4054730214398717E-3</v>
      </c>
    </row>
    <row r="1093" spans="1:10">
      <c r="A1093" s="15">
        <v>41789</v>
      </c>
      <c r="B1093" s="11">
        <v>1.63</v>
      </c>
      <c r="C1093" s="11">
        <f t="shared" si="112"/>
        <v>-4.2000000000002036E-3</v>
      </c>
      <c r="D1093" s="12">
        <f t="shared" si="113"/>
        <v>1.7640000000001712E-5</v>
      </c>
      <c r="E1093" s="12">
        <f t="shared" si="114"/>
        <v>3.6100000000000484E-6</v>
      </c>
      <c r="F1093" s="12">
        <f t="shared" si="115"/>
        <v>2.7652122842271683E-5</v>
      </c>
      <c r="G1093" s="12">
        <f t="shared" si="116"/>
        <v>4.0100026348927642</v>
      </c>
      <c r="I1093" s="12">
        <f t="shared" si="117"/>
        <v>5.2585285814828169E-3</v>
      </c>
      <c r="J1093" s="12">
        <f t="shared" si="118"/>
        <v>7.4054730214398717E-3</v>
      </c>
    </row>
    <row r="1094" spans="1:10">
      <c r="A1094" s="15">
        <v>41792</v>
      </c>
      <c r="B1094" s="11">
        <v>1.6315</v>
      </c>
      <c r="C1094" s="11">
        <f t="shared" si="112"/>
        <v>1.5000000000000568E-3</v>
      </c>
      <c r="D1094" s="12">
        <f t="shared" si="113"/>
        <v>2.2500000000001707E-6</v>
      </c>
      <c r="E1094" s="12">
        <f t="shared" si="114"/>
        <v>1.7640000000001712E-5</v>
      </c>
      <c r="F1094" s="12">
        <f t="shared" si="115"/>
        <v>2.8560822146541819E-5</v>
      </c>
      <c r="G1094" s="12">
        <f t="shared" si="116"/>
        <v>4.2734091541332102</v>
      </c>
      <c r="I1094" s="12">
        <f t="shared" si="117"/>
        <v>5.3442326059539944E-3</v>
      </c>
      <c r="J1094" s="12">
        <f t="shared" si="118"/>
        <v>7.4054730214398717E-3</v>
      </c>
    </row>
    <row r="1095" spans="1:10">
      <c r="A1095" s="15">
        <v>41793</v>
      </c>
      <c r="B1095" s="11">
        <v>1.6391</v>
      </c>
      <c r="C1095" s="11">
        <f t="shared" si="112"/>
        <v>7.6000000000000512E-3</v>
      </c>
      <c r="D1095" s="12">
        <f t="shared" si="113"/>
        <v>5.7760000000000775E-5</v>
      </c>
      <c r="E1095" s="12">
        <f t="shared" si="114"/>
        <v>2.2500000000001707E-6</v>
      </c>
      <c r="F1095" s="12">
        <f t="shared" si="115"/>
        <v>2.8073252477918648E-5</v>
      </c>
      <c r="G1095" s="12">
        <f t="shared" si="116"/>
        <v>3.2926708811227532</v>
      </c>
      <c r="I1095" s="12">
        <f t="shared" si="117"/>
        <v>5.2984198095204433E-3</v>
      </c>
      <c r="J1095" s="12">
        <f t="shared" si="118"/>
        <v>7.4054730214398717E-3</v>
      </c>
    </row>
    <row r="1096" spans="1:10">
      <c r="A1096" s="15">
        <v>41794</v>
      </c>
      <c r="B1096" s="11">
        <v>1.6342000000000001</v>
      </c>
      <c r="C1096" s="11">
        <f t="shared" si="112"/>
        <v>-4.8999999999999044E-3</v>
      </c>
      <c r="D1096" s="12">
        <f t="shared" si="113"/>
        <v>2.4009999999999064E-5</v>
      </c>
      <c r="E1096" s="12">
        <f t="shared" si="114"/>
        <v>5.7760000000000775E-5</v>
      </c>
      <c r="F1096" s="12">
        <f t="shared" si="115"/>
        <v>3.2231188096389786E-5</v>
      </c>
      <c r="G1096" s="12">
        <f t="shared" si="116"/>
        <v>3.8798841327195226</v>
      </c>
      <c r="I1096" s="12">
        <f t="shared" si="117"/>
        <v>5.6772518084359956E-3</v>
      </c>
      <c r="J1096" s="12">
        <f t="shared" si="118"/>
        <v>7.4054730214398717E-3</v>
      </c>
    </row>
    <row r="1097" spans="1:10">
      <c r="A1097" s="15">
        <v>41795</v>
      </c>
      <c r="B1097" s="11">
        <v>1.6316999999999999</v>
      </c>
      <c r="C1097" s="11">
        <f t="shared" si="112"/>
        <v>-2.5000000000001688E-3</v>
      </c>
      <c r="D1097" s="12">
        <f t="shared" si="113"/>
        <v>6.2500000000008439E-6</v>
      </c>
      <c r="E1097" s="12">
        <f t="shared" si="114"/>
        <v>2.4009999999999064E-5</v>
      </c>
      <c r="F1097" s="12">
        <f t="shared" si="115"/>
        <v>3.3023944670289678E-5</v>
      </c>
      <c r="G1097" s="12">
        <f t="shared" si="116"/>
        <v>4.1455719834130846</v>
      </c>
      <c r="I1097" s="12">
        <f t="shared" si="117"/>
        <v>5.7466463846568526E-3</v>
      </c>
      <c r="J1097" s="12">
        <f t="shared" si="118"/>
        <v>7.4054730214398717E-3</v>
      </c>
    </row>
    <row r="1098" spans="1:10">
      <c r="A1098" s="15">
        <v>41796</v>
      </c>
      <c r="B1098" s="11">
        <v>1.64</v>
      </c>
      <c r="C1098" s="11">
        <f t="shared" si="112"/>
        <v>8.2999999999999741E-3</v>
      </c>
      <c r="D1098" s="12">
        <f t="shared" si="113"/>
        <v>6.8889999999999566E-5</v>
      </c>
      <c r="E1098" s="12">
        <f t="shared" si="114"/>
        <v>6.2500000000008439E-6</v>
      </c>
      <c r="F1098" s="12">
        <f t="shared" si="115"/>
        <v>3.2241242583625759E-5</v>
      </c>
      <c r="G1098" s="12">
        <f t="shared" si="116"/>
        <v>3.1838413849383342</v>
      </c>
      <c r="I1098" s="12">
        <f t="shared" si="117"/>
        <v>5.6781372459307252E-3</v>
      </c>
      <c r="J1098" s="12">
        <f t="shared" si="118"/>
        <v>7.4054730214398717E-3</v>
      </c>
    </row>
    <row r="1099" spans="1:10">
      <c r="A1099" s="15">
        <v>41799</v>
      </c>
      <c r="B1099" s="11">
        <v>1.6419999999999999</v>
      </c>
      <c r="C1099" s="11">
        <f t="shared" si="112"/>
        <v>2.0000000000000018E-3</v>
      </c>
      <c r="D1099" s="12">
        <f t="shared" si="113"/>
        <v>4.0000000000000074E-6</v>
      </c>
      <c r="E1099" s="12">
        <f t="shared" si="114"/>
        <v>6.8889999999999566E-5</v>
      </c>
      <c r="F1099" s="12">
        <f t="shared" si="115"/>
        <v>3.6733296698846693E-5</v>
      </c>
      <c r="G1099" s="12">
        <f t="shared" si="116"/>
        <v>4.1325284177404438</v>
      </c>
      <c r="I1099" s="12">
        <f t="shared" si="117"/>
        <v>6.0608000048546972E-3</v>
      </c>
      <c r="J1099" s="12">
        <f t="shared" si="118"/>
        <v>7.4054730214398717E-3</v>
      </c>
    </row>
    <row r="1100" spans="1:10">
      <c r="A1100" s="15">
        <v>41800</v>
      </c>
      <c r="B1100" s="11">
        <v>1.6518999999999999</v>
      </c>
      <c r="C1100" s="11">
        <f t="shared" si="112"/>
        <v>9.9000000000000199E-3</v>
      </c>
      <c r="D1100" s="12">
        <f t="shared" si="113"/>
        <v>9.8010000000000398E-5</v>
      </c>
      <c r="E1100" s="12">
        <f t="shared" si="114"/>
        <v>4.0000000000000074E-6</v>
      </c>
      <c r="F1100" s="12">
        <f t="shared" si="115"/>
        <v>3.5245650247645116E-5</v>
      </c>
      <c r="G1100" s="12">
        <f t="shared" si="116"/>
        <v>2.8172613406509175</v>
      </c>
      <c r="I1100" s="12">
        <f t="shared" si="117"/>
        <v>5.9368047169875071E-3</v>
      </c>
      <c r="J1100" s="12">
        <f t="shared" si="118"/>
        <v>7.4054730214398717E-3</v>
      </c>
    </row>
    <row r="1101" spans="1:10">
      <c r="A1101" s="15">
        <v>41801</v>
      </c>
      <c r="B1101" s="11">
        <v>1.6535</v>
      </c>
      <c r="C1101" s="11">
        <f t="shared" si="112"/>
        <v>1.6000000000000458E-3</v>
      </c>
      <c r="D1101" s="12">
        <f t="shared" si="113"/>
        <v>2.5600000000001466E-6</v>
      </c>
      <c r="E1101" s="12">
        <f t="shared" si="114"/>
        <v>9.8010000000000398E-5</v>
      </c>
      <c r="F1101" s="12">
        <f t="shared" si="115"/>
        <v>4.1718172935559586E-5</v>
      </c>
      <c r="G1101" s="12">
        <f t="shared" si="116"/>
        <v>4.0926662482073333</v>
      </c>
      <c r="I1101" s="12">
        <f t="shared" si="117"/>
        <v>6.4589606699189291E-3</v>
      </c>
      <c r="J1101" s="12">
        <f t="shared" si="118"/>
        <v>7.4054730214398717E-3</v>
      </c>
    </row>
    <row r="1102" spans="1:10">
      <c r="A1102" s="15">
        <v>41802</v>
      </c>
      <c r="B1102" s="11">
        <v>1.6492</v>
      </c>
      <c r="C1102" s="11">
        <f t="shared" ref="C1102:C1165" si="119">B1102-B1101</f>
        <v>-4.2999999999999705E-3</v>
      </c>
      <c r="D1102" s="12">
        <f t="shared" ref="D1102:D1165" si="120">C1102^2</f>
        <v>1.8489999999999747E-5</v>
      </c>
      <c r="E1102" s="12">
        <f t="shared" si="114"/>
        <v>2.5600000000001466E-6</v>
      </c>
      <c r="F1102" s="12">
        <f t="shared" si="115"/>
        <v>3.9413763410614804E-5</v>
      </c>
      <c r="G1102" s="12">
        <f t="shared" si="116"/>
        <v>3.9171964667765757</v>
      </c>
      <c r="I1102" s="12">
        <f t="shared" si="117"/>
        <v>6.2780381816786371E-3</v>
      </c>
      <c r="J1102" s="12">
        <f t="shared" si="118"/>
        <v>7.4054730214398717E-3</v>
      </c>
    </row>
    <row r="1103" spans="1:10">
      <c r="A1103" s="15">
        <v>41803</v>
      </c>
      <c r="B1103" s="11">
        <v>1.6642999999999999</v>
      </c>
      <c r="C1103" s="11">
        <f t="shared" si="119"/>
        <v>1.5099999999999891E-2</v>
      </c>
      <c r="D1103" s="12">
        <f t="shared" si="120"/>
        <v>2.2800999999999673E-4</v>
      </c>
      <c r="E1103" s="12">
        <f t="shared" ref="E1103:E1166" si="121">D1102</f>
        <v>1.8489999999999747E-5</v>
      </c>
      <c r="F1103" s="12">
        <f t="shared" ref="F1103:F1166" si="122">$B$5+$B$6*E1103+$B$7*F1102</f>
        <v>3.8745589025246827E-5</v>
      </c>
      <c r="G1103" s="12">
        <f t="shared" ref="G1103:G1166" si="123">LN((1/SQRT(2*3.1415927*F1103))*EXP(-0.5*D1103/F1103))</f>
        <v>1.217908825348371</v>
      </c>
      <c r="I1103" s="12">
        <f t="shared" ref="I1103:I1166" si="124">SQRT(F1103)</f>
        <v>6.2245954908931094E-3</v>
      </c>
      <c r="J1103" s="12">
        <f t="shared" si="118"/>
        <v>7.4054730214398717E-3</v>
      </c>
    </row>
    <row r="1104" spans="1:10">
      <c r="A1104" s="15">
        <v>41806</v>
      </c>
      <c r="B1104" s="11">
        <v>1.6573</v>
      </c>
      <c r="C1104" s="11">
        <f t="shared" si="119"/>
        <v>-6.9999999999998952E-3</v>
      </c>
      <c r="D1104" s="12">
        <f t="shared" si="120"/>
        <v>4.8999999999998535E-5</v>
      </c>
      <c r="E1104" s="12">
        <f t="shared" si="121"/>
        <v>2.2800999999999673E-4</v>
      </c>
      <c r="F1104" s="12">
        <f t="shared" si="122"/>
        <v>5.5447533388431255E-5</v>
      </c>
      <c r="G1104" s="12">
        <f t="shared" si="123"/>
        <v>3.5392389732570546</v>
      </c>
      <c r="I1104" s="12">
        <f t="shared" si="124"/>
        <v>7.4463100518599983E-3</v>
      </c>
      <c r="J1104" s="12">
        <f t="shared" ref="J1104:J1167" si="125">J1103</f>
        <v>7.4054730214398717E-3</v>
      </c>
    </row>
    <row r="1105" spans="1:10">
      <c r="A1105" s="15">
        <v>41807</v>
      </c>
      <c r="B1105" s="11">
        <v>1.6619999999999999</v>
      </c>
      <c r="C1105" s="11">
        <f t="shared" si="119"/>
        <v>4.6999999999999265E-3</v>
      </c>
      <c r="D1105" s="12">
        <f t="shared" si="120"/>
        <v>2.2089999999999309E-5</v>
      </c>
      <c r="E1105" s="12">
        <f t="shared" si="121"/>
        <v>4.8999999999998535E-5</v>
      </c>
      <c r="F1105" s="12">
        <f t="shared" si="122"/>
        <v>5.5049964140350755E-5</v>
      </c>
      <c r="G1105" s="12">
        <f t="shared" si="123"/>
        <v>3.7840602161636037</v>
      </c>
      <c r="I1105" s="12">
        <f t="shared" si="124"/>
        <v>7.4195663040605517E-3</v>
      </c>
      <c r="J1105" s="12">
        <f t="shared" si="125"/>
        <v>7.4054730214398717E-3</v>
      </c>
    </row>
    <row r="1106" spans="1:10">
      <c r="A1106" s="15">
        <v>41808</v>
      </c>
      <c r="B1106" s="11">
        <v>1.6640999999999999</v>
      </c>
      <c r="C1106" s="11">
        <f t="shared" si="119"/>
        <v>2.0999999999999908E-3</v>
      </c>
      <c r="D1106" s="12">
        <f t="shared" si="120"/>
        <v>4.4099999999999612E-6</v>
      </c>
      <c r="E1106" s="12">
        <f t="shared" si="121"/>
        <v>2.2089999999999309E-5</v>
      </c>
      <c r="F1106" s="12">
        <f t="shared" si="122"/>
        <v>5.2489126815045578E-5</v>
      </c>
      <c r="G1106" s="12">
        <f t="shared" si="123"/>
        <v>3.9665050181097481</v>
      </c>
      <c r="I1106" s="12">
        <f t="shared" si="124"/>
        <v>7.2449380131955291E-3</v>
      </c>
      <c r="J1106" s="12">
        <f t="shared" si="125"/>
        <v>7.4054730214398717E-3</v>
      </c>
    </row>
    <row r="1107" spans="1:10">
      <c r="A1107" s="15">
        <v>41809</v>
      </c>
      <c r="B1107" s="11">
        <v>1.6559999999999999</v>
      </c>
      <c r="C1107" s="11">
        <f t="shared" si="119"/>
        <v>-8.0999999999999961E-3</v>
      </c>
      <c r="D1107" s="12">
        <f t="shared" si="120"/>
        <v>6.5609999999999936E-5</v>
      </c>
      <c r="E1107" s="12">
        <f t="shared" si="121"/>
        <v>4.4099999999999612E-6</v>
      </c>
      <c r="F1107" s="12">
        <f t="shared" si="122"/>
        <v>4.8829025582838314E-5</v>
      </c>
      <c r="G1107" s="12">
        <f t="shared" si="123"/>
        <v>3.3728202683662305</v>
      </c>
      <c r="I1107" s="12">
        <f t="shared" si="124"/>
        <v>6.9877768698519789E-3</v>
      </c>
      <c r="J1107" s="12">
        <f t="shared" si="125"/>
        <v>7.4054730214398717E-3</v>
      </c>
    </row>
    <row r="1108" spans="1:10">
      <c r="A1108" s="15">
        <v>41810</v>
      </c>
      <c r="B1108" s="11">
        <v>1.6707000000000001</v>
      </c>
      <c r="C1108" s="11">
        <f t="shared" si="119"/>
        <v>1.4700000000000157E-2</v>
      </c>
      <c r="D1108" s="12">
        <f t="shared" si="120"/>
        <v>2.1609000000000463E-4</v>
      </c>
      <c r="E1108" s="12">
        <f t="shared" si="121"/>
        <v>6.5609999999999936E-5</v>
      </c>
      <c r="F1108" s="12">
        <f t="shared" si="122"/>
        <v>5.0727858717905395E-5</v>
      </c>
      <c r="G1108" s="12">
        <f t="shared" si="123"/>
        <v>1.8956843669906336</v>
      </c>
      <c r="I1108" s="12">
        <f t="shared" si="124"/>
        <v>7.1223492415006858E-3</v>
      </c>
      <c r="J1108" s="12">
        <f t="shared" si="125"/>
        <v>7.4054730214398717E-3</v>
      </c>
    </row>
    <row r="1109" spans="1:10">
      <c r="A1109" s="15">
        <v>41813</v>
      </c>
      <c r="B1109" s="11">
        <v>1.6717</v>
      </c>
      <c r="C1109" s="11">
        <f t="shared" si="119"/>
        <v>9.9999999999988987E-4</v>
      </c>
      <c r="D1109" s="12">
        <f t="shared" si="120"/>
        <v>9.9999999999977973E-7</v>
      </c>
      <c r="E1109" s="12">
        <f t="shared" si="121"/>
        <v>2.1609000000000463E-4</v>
      </c>
      <c r="F1109" s="12">
        <f t="shared" si="122"/>
        <v>6.4769049132581551E-5</v>
      </c>
      <c r="G1109" s="12">
        <f t="shared" si="123"/>
        <v>3.8956830755724425</v>
      </c>
      <c r="I1109" s="12">
        <f t="shared" si="124"/>
        <v>8.0479220381774047E-3</v>
      </c>
      <c r="J1109" s="12">
        <f t="shared" si="125"/>
        <v>7.4054730214398717E-3</v>
      </c>
    </row>
    <row r="1110" spans="1:10">
      <c r="A1110" s="15">
        <v>41814</v>
      </c>
      <c r="B1110" s="11">
        <v>1.6884999999999999</v>
      </c>
      <c r="C1110" s="11">
        <f t="shared" si="119"/>
        <v>1.6799999999999926E-2</v>
      </c>
      <c r="D1110" s="12">
        <f t="shared" si="120"/>
        <v>2.8223999999999751E-4</v>
      </c>
      <c r="E1110" s="12">
        <f t="shared" si="121"/>
        <v>9.9999999999977973E-7</v>
      </c>
      <c r="F1110" s="12">
        <f t="shared" si="122"/>
        <v>5.9108229916269329E-5</v>
      </c>
      <c r="G1110" s="12">
        <f t="shared" si="123"/>
        <v>1.5616468621119923</v>
      </c>
      <c r="I1110" s="12">
        <f t="shared" si="124"/>
        <v>7.6881876873727091E-3</v>
      </c>
      <c r="J1110" s="12">
        <f t="shared" si="125"/>
        <v>7.4054730214398717E-3</v>
      </c>
    </row>
    <row r="1111" spans="1:10">
      <c r="A1111" s="15">
        <v>41815</v>
      </c>
      <c r="B1111" s="11">
        <v>1.6869000000000001</v>
      </c>
      <c r="C1111" s="11">
        <f t="shared" si="119"/>
        <v>-1.5999999999998238E-3</v>
      </c>
      <c r="D1111" s="12">
        <f t="shared" si="120"/>
        <v>2.5599999999994359E-6</v>
      </c>
      <c r="E1111" s="12">
        <f t="shared" si="121"/>
        <v>2.8223999999999751E-4</v>
      </c>
      <c r="F1111" s="12">
        <f t="shared" si="122"/>
        <v>7.7430513574731701E-5</v>
      </c>
      <c r="G1111" s="12">
        <f t="shared" si="123"/>
        <v>3.7975953201552444</v>
      </c>
      <c r="I1111" s="12">
        <f t="shared" si="124"/>
        <v>8.7994609820563272E-3</v>
      </c>
      <c r="J1111" s="12">
        <f t="shared" si="125"/>
        <v>7.4054730214398717E-3</v>
      </c>
    </row>
    <row r="1112" spans="1:10">
      <c r="A1112" s="15">
        <v>41816</v>
      </c>
      <c r="B1112" s="11">
        <v>1.6850000000000001</v>
      </c>
      <c r="C1112" s="11">
        <f t="shared" si="119"/>
        <v>-1.9000000000000128E-3</v>
      </c>
      <c r="D1112" s="12">
        <f t="shared" si="120"/>
        <v>3.6100000000000484E-6</v>
      </c>
      <c r="E1112" s="12">
        <f t="shared" si="121"/>
        <v>2.5599999999994359E-6</v>
      </c>
      <c r="F1112" s="12">
        <f t="shared" si="122"/>
        <v>7.0125364868818017E-5</v>
      </c>
      <c r="G1112" s="12">
        <f t="shared" si="123"/>
        <v>3.8379348383968792</v>
      </c>
      <c r="I1112" s="12">
        <f t="shared" si="124"/>
        <v>8.3740888978334847E-3</v>
      </c>
      <c r="J1112" s="12">
        <f t="shared" si="125"/>
        <v>7.4054730214398717E-3</v>
      </c>
    </row>
    <row r="1113" spans="1:10">
      <c r="A1113" s="15">
        <v>41817</v>
      </c>
      <c r="B1113" s="11">
        <v>1.6800999999999999</v>
      </c>
      <c r="C1113" s="11">
        <f t="shared" si="119"/>
        <v>-4.9000000000001265E-3</v>
      </c>
      <c r="D1113" s="12">
        <f t="shared" si="120"/>
        <v>2.4010000000001239E-5</v>
      </c>
      <c r="E1113" s="12">
        <f t="shared" si="121"/>
        <v>3.6100000000000484E-6</v>
      </c>
      <c r="F1113" s="12">
        <f t="shared" si="122"/>
        <v>6.3929724563416607E-5</v>
      </c>
      <c r="G1113" s="12">
        <f t="shared" si="123"/>
        <v>3.7221402029415986</v>
      </c>
      <c r="I1113" s="12">
        <f t="shared" si="124"/>
        <v>7.9956065788291883E-3</v>
      </c>
      <c r="J1113" s="12">
        <f t="shared" si="125"/>
        <v>7.4054730214398717E-3</v>
      </c>
    </row>
    <row r="1114" spans="1:10">
      <c r="A1114" s="15">
        <v>41820</v>
      </c>
      <c r="B1114" s="11">
        <v>1.6808000000000001</v>
      </c>
      <c r="C1114" s="11">
        <f t="shared" si="119"/>
        <v>7.0000000000014495E-4</v>
      </c>
      <c r="D1114" s="12">
        <f t="shared" si="120"/>
        <v>4.9000000000020294E-7</v>
      </c>
      <c r="E1114" s="12">
        <f t="shared" si="121"/>
        <v>2.4010000000001239E-5</v>
      </c>
      <c r="F1114" s="12">
        <f t="shared" si="122"/>
        <v>6.0283788224644414E-5</v>
      </c>
      <c r="G1114" s="12">
        <f t="shared" si="123"/>
        <v>3.9352210197095947</v>
      </c>
      <c r="I1114" s="12">
        <f t="shared" si="124"/>
        <v>7.7642635339512022E-3</v>
      </c>
      <c r="J1114" s="12">
        <f t="shared" si="125"/>
        <v>7.4054730214398717E-3</v>
      </c>
    </row>
    <row r="1115" spans="1:10">
      <c r="A1115" s="15">
        <v>41821</v>
      </c>
      <c r="B1115" s="11">
        <v>1.6808000000000001</v>
      </c>
      <c r="C1115" s="11">
        <f t="shared" si="119"/>
        <v>0</v>
      </c>
      <c r="D1115" s="12">
        <f t="shared" si="120"/>
        <v>0</v>
      </c>
      <c r="E1115" s="12">
        <f t="shared" si="121"/>
        <v>4.9000000000020294E-7</v>
      </c>
      <c r="F1115" s="12">
        <f t="shared" si="122"/>
        <v>5.5208979101780477E-5</v>
      </c>
      <c r="G1115" s="12">
        <f t="shared" si="123"/>
        <v>3.9832539359201111</v>
      </c>
      <c r="I1115" s="12">
        <f t="shared" si="124"/>
        <v>7.4302744970680913E-3</v>
      </c>
      <c r="J1115" s="12">
        <f t="shared" si="125"/>
        <v>7.4054730214398717E-3</v>
      </c>
    </row>
    <row r="1116" spans="1:10">
      <c r="A1116" s="15">
        <v>41822</v>
      </c>
      <c r="B1116" s="11">
        <v>1.6856</v>
      </c>
      <c r="C1116" s="11">
        <f t="shared" si="119"/>
        <v>4.7999999999999154E-3</v>
      </c>
      <c r="D1116" s="12">
        <f t="shared" si="120"/>
        <v>2.303999999999919E-5</v>
      </c>
      <c r="E1116" s="12">
        <f t="shared" si="121"/>
        <v>0</v>
      </c>
      <c r="F1116" s="12">
        <f t="shared" si="122"/>
        <v>5.0804382676136198E-5</v>
      </c>
      <c r="G1116" s="12">
        <f t="shared" si="123"/>
        <v>3.7980733354577185</v>
      </c>
      <c r="I1116" s="12">
        <f t="shared" si="124"/>
        <v>7.1277193179961991E-3</v>
      </c>
      <c r="J1116" s="12">
        <f t="shared" si="125"/>
        <v>7.4054730214398717E-3</v>
      </c>
    </row>
    <row r="1117" spans="1:10">
      <c r="A1117" s="15">
        <v>41823</v>
      </c>
      <c r="B1117" s="11">
        <v>1.6915</v>
      </c>
      <c r="C1117" s="11">
        <f t="shared" si="119"/>
        <v>5.9000000000000163E-3</v>
      </c>
      <c r="D1117" s="12">
        <f t="shared" si="120"/>
        <v>3.481000000000019E-5</v>
      </c>
      <c r="E1117" s="12">
        <f t="shared" si="121"/>
        <v>2.303999999999919E-5</v>
      </c>
      <c r="F1117" s="12">
        <f t="shared" si="122"/>
        <v>4.8916381901810378E-5</v>
      </c>
      <c r="G1117" s="12">
        <f t="shared" si="123"/>
        <v>3.6879492934452198</v>
      </c>
      <c r="I1117" s="12">
        <f t="shared" si="124"/>
        <v>6.9940247284242842E-3</v>
      </c>
      <c r="J1117" s="12">
        <f t="shared" si="125"/>
        <v>7.4054730214398717E-3</v>
      </c>
    </row>
    <row r="1118" spans="1:10">
      <c r="A1118" s="15">
        <v>41824</v>
      </c>
      <c r="B1118" s="11">
        <v>1.694</v>
      </c>
      <c r="C1118" s="11">
        <f t="shared" si="119"/>
        <v>2.4999999999999467E-3</v>
      </c>
      <c r="D1118" s="12">
        <f t="shared" si="120"/>
        <v>6.2499999999997335E-6</v>
      </c>
      <c r="E1118" s="12">
        <f t="shared" si="121"/>
        <v>3.481000000000019E-5</v>
      </c>
      <c r="F1118" s="12">
        <f t="shared" si="122"/>
        <v>4.8263282856416263E-5</v>
      </c>
      <c r="G1118" s="12">
        <f t="shared" si="123"/>
        <v>3.9857321827918955</v>
      </c>
      <c r="I1118" s="12">
        <f t="shared" si="124"/>
        <v>6.9471780498570977E-3</v>
      </c>
      <c r="J1118" s="12">
        <f t="shared" si="125"/>
        <v>7.4054730214398717E-3</v>
      </c>
    </row>
    <row r="1119" spans="1:10">
      <c r="A1119" s="15">
        <v>41827</v>
      </c>
      <c r="B1119" s="11">
        <v>1.6936</v>
      </c>
      <c r="C1119" s="11">
        <f t="shared" si="119"/>
        <v>-3.9999999999995595E-4</v>
      </c>
      <c r="D1119" s="12">
        <f t="shared" si="120"/>
        <v>1.5999999999996475E-7</v>
      </c>
      <c r="E1119" s="12">
        <f t="shared" si="121"/>
        <v>6.2499999999997335E-6</v>
      </c>
      <c r="F1119" s="12">
        <f t="shared" si="122"/>
        <v>4.5346641795284502E-5</v>
      </c>
      <c r="G1119" s="12">
        <f t="shared" si="123"/>
        <v>4.0798844889203112</v>
      </c>
      <c r="I1119" s="12">
        <f t="shared" si="124"/>
        <v>6.7339915202860555E-3</v>
      </c>
      <c r="J1119" s="12">
        <f t="shared" si="125"/>
        <v>7.4054730214398717E-3</v>
      </c>
    </row>
    <row r="1120" spans="1:10">
      <c r="A1120" s="15">
        <v>41828</v>
      </c>
      <c r="B1120" s="11">
        <v>1.6951000000000001</v>
      </c>
      <c r="C1120" s="11">
        <f t="shared" si="119"/>
        <v>1.5000000000000568E-3</v>
      </c>
      <c r="D1120" s="12">
        <f t="shared" si="120"/>
        <v>2.2500000000001707E-6</v>
      </c>
      <c r="E1120" s="12">
        <f t="shared" si="121"/>
        <v>1.5999999999996475E-7</v>
      </c>
      <c r="F1120" s="12">
        <f t="shared" si="122"/>
        <v>4.2336245172354941E-5</v>
      </c>
      <c r="G1120" s="12">
        <f t="shared" si="123"/>
        <v>4.0894219735143551</v>
      </c>
      <c r="I1120" s="12">
        <f t="shared" si="124"/>
        <v>6.5066308618481608E-3</v>
      </c>
      <c r="J1120" s="12">
        <f t="shared" si="125"/>
        <v>7.4054730214398717E-3</v>
      </c>
    </row>
    <row r="1121" spans="1:10">
      <c r="A1121" s="15">
        <v>41829</v>
      </c>
      <c r="B1121" s="11">
        <v>1.6929000000000001</v>
      </c>
      <c r="C1121" s="11">
        <f t="shared" si="119"/>
        <v>-2.1999999999999797E-3</v>
      </c>
      <c r="D1121" s="12">
        <f t="shared" si="120"/>
        <v>4.8399999999999113E-6</v>
      </c>
      <c r="E1121" s="12">
        <f t="shared" si="121"/>
        <v>2.2500000000001707E-6</v>
      </c>
      <c r="F1121" s="12">
        <f t="shared" si="122"/>
        <v>3.9919726114622194E-5</v>
      </c>
      <c r="G1121" s="12">
        <f t="shared" si="123"/>
        <v>4.0847597847078188</v>
      </c>
      <c r="I1121" s="12">
        <f t="shared" si="124"/>
        <v>6.3182059253099844E-3</v>
      </c>
      <c r="J1121" s="12">
        <f t="shared" si="125"/>
        <v>7.4054730214398717E-3</v>
      </c>
    </row>
    <row r="1122" spans="1:10">
      <c r="A1122" s="15">
        <v>41830</v>
      </c>
      <c r="B1122" s="11">
        <v>1.7043999999999999</v>
      </c>
      <c r="C1122" s="11">
        <f t="shared" si="119"/>
        <v>1.1499999999999844E-2</v>
      </c>
      <c r="D1122" s="12">
        <f t="shared" si="120"/>
        <v>1.3224999999999641E-4</v>
      </c>
      <c r="E1122" s="12">
        <f t="shared" si="121"/>
        <v>4.8399999999999113E-6</v>
      </c>
      <c r="F1122" s="12">
        <f t="shared" si="122"/>
        <v>3.8055153835591341E-5</v>
      </c>
      <c r="G1122" s="12">
        <f t="shared" si="123"/>
        <v>2.4316888929737428</v>
      </c>
      <c r="I1122" s="12">
        <f t="shared" si="124"/>
        <v>6.168885947688719E-3</v>
      </c>
      <c r="J1122" s="12">
        <f t="shared" si="125"/>
        <v>7.4054730214398717E-3</v>
      </c>
    </row>
    <row r="1123" spans="1:10">
      <c r="A1123" s="15">
        <v>41831</v>
      </c>
      <c r="B1123" s="11">
        <v>1.7059</v>
      </c>
      <c r="C1123" s="11">
        <f t="shared" si="119"/>
        <v>1.5000000000000568E-3</v>
      </c>
      <c r="D1123" s="12">
        <f t="shared" si="120"/>
        <v>2.2500000000001707E-6</v>
      </c>
      <c r="E1123" s="12">
        <f t="shared" si="121"/>
        <v>1.3224999999999641E-4</v>
      </c>
      <c r="F1123" s="12">
        <f t="shared" si="122"/>
        <v>4.6957621053621986E-5</v>
      </c>
      <c r="G1123" s="12">
        <f t="shared" si="123"/>
        <v>4.0402362083198584</v>
      </c>
      <c r="I1123" s="12">
        <f t="shared" si="124"/>
        <v>6.8525631010317584E-3</v>
      </c>
      <c r="J1123" s="12">
        <f t="shared" si="125"/>
        <v>7.4054730214398717E-3</v>
      </c>
    </row>
    <row r="1124" spans="1:10">
      <c r="A1124" s="15">
        <v>41834</v>
      </c>
      <c r="B1124" s="11">
        <v>1.7087000000000001</v>
      </c>
      <c r="C1124" s="11">
        <f t="shared" si="119"/>
        <v>2.8000000000001357E-3</v>
      </c>
      <c r="D1124" s="12">
        <f t="shared" si="120"/>
        <v>7.8400000000007601E-6</v>
      </c>
      <c r="E1124" s="12">
        <f t="shared" si="121"/>
        <v>2.2500000000001707E-6</v>
      </c>
      <c r="F1124" s="12">
        <f t="shared" si="122"/>
        <v>4.3893978479877318E-5</v>
      </c>
      <c r="G1124" s="12">
        <f t="shared" si="123"/>
        <v>4.0086220660063097</v>
      </c>
      <c r="I1124" s="12">
        <f t="shared" si="124"/>
        <v>6.6252530879867006E-3</v>
      </c>
      <c r="J1124" s="12">
        <f t="shared" si="125"/>
        <v>7.4054730214398717E-3</v>
      </c>
    </row>
    <row r="1125" spans="1:10">
      <c r="A1125" s="15">
        <v>41835</v>
      </c>
      <c r="B1125" s="11">
        <v>1.714</v>
      </c>
      <c r="C1125" s="11">
        <f t="shared" si="119"/>
        <v>5.2999999999998604E-3</v>
      </c>
      <c r="D1125" s="12">
        <f t="shared" si="120"/>
        <v>2.808999999999852E-5</v>
      </c>
      <c r="E1125" s="12">
        <f t="shared" si="121"/>
        <v>7.8400000000007601E-6</v>
      </c>
      <c r="F1125" s="12">
        <f t="shared" si="122"/>
        <v>4.1720271664997769E-5</v>
      </c>
      <c r="G1125" s="12">
        <f t="shared" si="123"/>
        <v>3.7866762704753549</v>
      </c>
      <c r="I1125" s="12">
        <f t="shared" si="124"/>
        <v>6.4591231343734089E-3</v>
      </c>
      <c r="J1125" s="12">
        <f t="shared" si="125"/>
        <v>7.4054730214398717E-3</v>
      </c>
    </row>
    <row r="1126" spans="1:10">
      <c r="A1126" s="15">
        <v>41836</v>
      </c>
      <c r="B1126" s="11">
        <v>1.7222999999999999</v>
      </c>
      <c r="C1126" s="11">
        <f t="shared" si="119"/>
        <v>8.2999999999999741E-3</v>
      </c>
      <c r="D1126" s="12">
        <f t="shared" si="120"/>
        <v>6.8889999999999566E-5</v>
      </c>
      <c r="E1126" s="12">
        <f t="shared" si="121"/>
        <v>2.808999999999852E-5</v>
      </c>
      <c r="F1126" s="12">
        <f t="shared" si="122"/>
        <v>4.1520715545666429E-5</v>
      </c>
      <c r="G1126" s="12">
        <f t="shared" si="123"/>
        <v>3.2961346063621018</v>
      </c>
      <c r="I1126" s="12">
        <f t="shared" si="124"/>
        <v>6.4436570009325008E-3</v>
      </c>
      <c r="J1126" s="12">
        <f t="shared" si="125"/>
        <v>7.4054730214398717E-3</v>
      </c>
    </row>
    <row r="1127" spans="1:10">
      <c r="A1127" s="15">
        <v>41837</v>
      </c>
      <c r="B1127" s="11">
        <v>1.7251000000000001</v>
      </c>
      <c r="C1127" s="11">
        <f t="shared" si="119"/>
        <v>2.8000000000001357E-3</v>
      </c>
      <c r="D1127" s="12">
        <f t="shared" si="120"/>
        <v>7.8400000000007601E-6</v>
      </c>
      <c r="E1127" s="12">
        <f t="shared" si="121"/>
        <v>6.8889999999999566E-5</v>
      </c>
      <c r="F1127" s="12">
        <f t="shared" si="122"/>
        <v>4.47133806208669E-5</v>
      </c>
      <c r="G1127" s="12">
        <f t="shared" si="123"/>
        <v>4.0010108323942308</v>
      </c>
      <c r="I1127" s="12">
        <f t="shared" si="124"/>
        <v>6.686806459055541E-3</v>
      </c>
      <c r="J1127" s="12">
        <f t="shared" si="125"/>
        <v>7.4054730214398717E-3</v>
      </c>
    </row>
    <row r="1128" spans="1:10">
      <c r="A1128" s="15">
        <v>41838</v>
      </c>
      <c r="B1128" s="11">
        <v>1.7246999999999999</v>
      </c>
      <c r="C1128" s="11">
        <f t="shared" si="119"/>
        <v>-4.0000000000017799E-4</v>
      </c>
      <c r="D1128" s="12">
        <f t="shared" si="120"/>
        <v>1.6000000000014238E-7</v>
      </c>
      <c r="E1128" s="12">
        <f t="shared" si="121"/>
        <v>7.8400000000007601E-6</v>
      </c>
      <c r="F1128" s="12">
        <f t="shared" si="122"/>
        <v>4.2424934298072779E-5</v>
      </c>
      <c r="G1128" s="12">
        <f t="shared" si="123"/>
        <v>4.1130629236286884</v>
      </c>
      <c r="I1128" s="12">
        <f t="shared" si="124"/>
        <v>6.5134425842309209E-3</v>
      </c>
      <c r="J1128" s="12">
        <f t="shared" si="125"/>
        <v>7.4054730214398717E-3</v>
      </c>
    </row>
    <row r="1129" spans="1:10">
      <c r="A1129" s="15">
        <v>41841</v>
      </c>
      <c r="B1129" s="11">
        <v>1.7255</v>
      </c>
      <c r="C1129" s="11">
        <f t="shared" si="119"/>
        <v>8.0000000000013394E-4</v>
      </c>
      <c r="D1129" s="12">
        <f t="shared" si="120"/>
        <v>6.4000000000021431E-7</v>
      </c>
      <c r="E1129" s="12">
        <f t="shared" si="121"/>
        <v>1.6000000000014238E-7</v>
      </c>
      <c r="F1129" s="12">
        <f t="shared" si="122"/>
        <v>3.9823659477162862E-5</v>
      </c>
      <c r="G1129" s="12">
        <f t="shared" si="123"/>
        <v>4.1385507166707622</v>
      </c>
      <c r="I1129" s="12">
        <f t="shared" si="124"/>
        <v>6.3105989792699444E-3</v>
      </c>
      <c r="J1129" s="12">
        <f t="shared" si="125"/>
        <v>7.4054730214398717E-3</v>
      </c>
    </row>
    <row r="1130" spans="1:10">
      <c r="A1130" s="15">
        <v>41842</v>
      </c>
      <c r="B1130" s="11">
        <v>1.7279</v>
      </c>
      <c r="C1130" s="11">
        <f t="shared" si="119"/>
        <v>2.3999999999999577E-3</v>
      </c>
      <c r="D1130" s="12">
        <f t="shared" si="120"/>
        <v>5.7599999999997975E-6</v>
      </c>
      <c r="E1130" s="12">
        <f t="shared" si="121"/>
        <v>6.4000000000021431E-7</v>
      </c>
      <c r="F1130" s="12">
        <f t="shared" si="122"/>
        <v>3.7626216545357446E-5</v>
      </c>
      <c r="G1130" s="12">
        <f t="shared" si="123"/>
        <v>4.0984238347814914</v>
      </c>
      <c r="I1130" s="12">
        <f t="shared" si="124"/>
        <v>6.1340212377654392E-3</v>
      </c>
      <c r="J1130" s="12">
        <f t="shared" si="125"/>
        <v>7.4054730214398717E-3</v>
      </c>
    </row>
    <row r="1131" spans="1:10">
      <c r="A1131" s="15">
        <v>41843</v>
      </c>
      <c r="B1131" s="11">
        <v>1.7237</v>
      </c>
      <c r="C1131" s="11">
        <f t="shared" si="119"/>
        <v>-4.1999999999999815E-3</v>
      </c>
      <c r="D1131" s="12">
        <f t="shared" si="120"/>
        <v>1.7639999999999845E-5</v>
      </c>
      <c r="E1131" s="12">
        <f t="shared" si="121"/>
        <v>5.7599999999997975E-6</v>
      </c>
      <c r="F1131" s="12">
        <f t="shared" si="122"/>
        <v>3.6158661729294585E-5</v>
      </c>
      <c r="G1131" s="12">
        <f t="shared" si="123"/>
        <v>3.9509335190281596</v>
      </c>
      <c r="I1131" s="12">
        <f t="shared" si="124"/>
        <v>6.0132072747656543E-3</v>
      </c>
      <c r="J1131" s="12">
        <f t="shared" si="125"/>
        <v>7.4054730214398717E-3</v>
      </c>
    </row>
    <row r="1132" spans="1:10">
      <c r="A1132" s="15">
        <v>41844</v>
      </c>
      <c r="B1132" s="11">
        <v>1.7234</v>
      </c>
      <c r="C1132" s="11">
        <f t="shared" si="119"/>
        <v>-2.9999999999996696E-4</v>
      </c>
      <c r="D1132" s="12">
        <f t="shared" si="120"/>
        <v>8.9999999999980173E-8</v>
      </c>
      <c r="E1132" s="12">
        <f t="shared" si="121"/>
        <v>1.7639999999999845E-5</v>
      </c>
      <c r="F1132" s="12">
        <f t="shared" si="122"/>
        <v>3.5876204656093457E-5</v>
      </c>
      <c r="G1132" s="12">
        <f t="shared" si="123"/>
        <v>4.1975252987192988</v>
      </c>
      <c r="I1132" s="12">
        <f t="shared" si="124"/>
        <v>5.9896748372589856E-3</v>
      </c>
      <c r="J1132" s="12">
        <f t="shared" si="125"/>
        <v>7.4054730214398717E-3</v>
      </c>
    </row>
    <row r="1133" spans="1:10">
      <c r="A1133" s="15">
        <v>41845</v>
      </c>
      <c r="B1133" s="11">
        <v>1.7261</v>
      </c>
      <c r="C1133" s="11">
        <f t="shared" si="119"/>
        <v>2.6999999999999247E-3</v>
      </c>
      <c r="D1133" s="12">
        <f t="shared" si="120"/>
        <v>7.2899999999995931E-6</v>
      </c>
      <c r="E1133" s="12">
        <f t="shared" si="121"/>
        <v>8.9999999999980173E-8</v>
      </c>
      <c r="F1133" s="12">
        <f t="shared" si="122"/>
        <v>3.4186165421672827E-5</v>
      </c>
      <c r="G1133" s="12">
        <f t="shared" si="123"/>
        <v>4.1162841390801761</v>
      </c>
      <c r="I1133" s="12">
        <f t="shared" si="124"/>
        <v>5.8468936557519863E-3</v>
      </c>
      <c r="J1133" s="12">
        <f t="shared" si="125"/>
        <v>7.4054730214398717E-3</v>
      </c>
    </row>
    <row r="1134" spans="1:10">
      <c r="A1134" s="15">
        <v>41848</v>
      </c>
      <c r="B1134" s="11">
        <v>1.7238</v>
      </c>
      <c r="C1134" s="11">
        <f t="shared" si="119"/>
        <v>-2.2999999999999687E-3</v>
      </c>
      <c r="D1134" s="12">
        <f t="shared" si="120"/>
        <v>5.2899999999998562E-6</v>
      </c>
      <c r="E1134" s="12">
        <f t="shared" si="121"/>
        <v>7.2899999999995931E-6</v>
      </c>
      <c r="F1134" s="12">
        <f t="shared" si="122"/>
        <v>3.3326475609755083E-5</v>
      </c>
      <c r="G1134" s="12">
        <f t="shared" si="123"/>
        <v>4.1562743379973703</v>
      </c>
      <c r="I1134" s="12">
        <f t="shared" si="124"/>
        <v>5.7729087650642014E-3</v>
      </c>
      <c r="J1134" s="12">
        <f t="shared" si="125"/>
        <v>7.4054730214398717E-3</v>
      </c>
    </row>
    <row r="1135" spans="1:10">
      <c r="A1135" s="15">
        <v>41849</v>
      </c>
      <c r="B1135" s="11">
        <v>1.7241</v>
      </c>
      <c r="C1135" s="11">
        <f t="shared" si="119"/>
        <v>2.9999999999996696E-4</v>
      </c>
      <c r="D1135" s="12">
        <f t="shared" si="120"/>
        <v>8.9999999999980173E-8</v>
      </c>
      <c r="E1135" s="12">
        <f t="shared" si="121"/>
        <v>5.2899999999998562E-6</v>
      </c>
      <c r="F1135" s="12">
        <f t="shared" si="122"/>
        <v>3.242225114793161E-5</v>
      </c>
      <c r="G1135" s="12">
        <f t="shared" si="123"/>
        <v>4.2480063272317095</v>
      </c>
      <c r="I1135" s="12">
        <f t="shared" si="124"/>
        <v>5.6940540169488742E-3</v>
      </c>
      <c r="J1135" s="12">
        <f t="shared" si="125"/>
        <v>7.4054730214398717E-3</v>
      </c>
    </row>
    <row r="1136" spans="1:10">
      <c r="A1136" s="15">
        <v>41850</v>
      </c>
      <c r="B1136" s="11">
        <v>1.7222</v>
      </c>
      <c r="C1136" s="11">
        <f t="shared" si="119"/>
        <v>-1.9000000000000128E-3</v>
      </c>
      <c r="D1136" s="12">
        <f t="shared" si="120"/>
        <v>3.6100000000000484E-6</v>
      </c>
      <c r="E1136" s="12">
        <f t="shared" si="121"/>
        <v>8.9999999999980173E-8</v>
      </c>
      <c r="F1136" s="12">
        <f t="shared" si="122"/>
        <v>3.1215863232029259E-5</v>
      </c>
      <c r="G1136" s="12">
        <f t="shared" si="123"/>
        <v>4.2105303724558709</v>
      </c>
      <c r="I1136" s="12">
        <f t="shared" si="124"/>
        <v>5.5871158241107962E-3</v>
      </c>
      <c r="J1136" s="12">
        <f t="shared" si="125"/>
        <v>7.4054730214398717E-3</v>
      </c>
    </row>
    <row r="1137" spans="1:10">
      <c r="A1137" s="15">
        <v>41851</v>
      </c>
      <c r="B1137" s="11">
        <v>1.7231000000000001</v>
      </c>
      <c r="C1137" s="11">
        <f t="shared" si="119"/>
        <v>9.0000000000012292E-4</v>
      </c>
      <c r="D1137" s="12">
        <f t="shared" si="120"/>
        <v>8.1000000000022126E-7</v>
      </c>
      <c r="E1137" s="12">
        <f t="shared" si="121"/>
        <v>3.6100000000000484E-6</v>
      </c>
      <c r="F1137" s="12">
        <f t="shared" si="122"/>
        <v>3.0468655201426277E-5</v>
      </c>
      <c r="G1137" s="12">
        <f t="shared" si="123"/>
        <v>4.2671751609140127</v>
      </c>
      <c r="I1137" s="12">
        <f t="shared" si="124"/>
        <v>5.5198419543883931E-3</v>
      </c>
      <c r="J1137" s="12">
        <f t="shared" si="125"/>
        <v>7.4054730214398717E-3</v>
      </c>
    </row>
    <row r="1138" spans="1:10">
      <c r="A1138" s="15">
        <v>41852</v>
      </c>
      <c r="B1138" s="11">
        <v>1.7121</v>
      </c>
      <c r="C1138" s="11">
        <f t="shared" si="119"/>
        <v>-1.1000000000000121E-2</v>
      </c>
      <c r="D1138" s="12">
        <f t="shared" si="120"/>
        <v>1.2100000000000266E-4</v>
      </c>
      <c r="E1138" s="12">
        <f t="shared" si="121"/>
        <v>8.1000000000022126E-7</v>
      </c>
      <c r="F1138" s="12">
        <f t="shared" si="122"/>
        <v>2.9595195656545697E-5</v>
      </c>
      <c r="G1138" s="12">
        <f t="shared" si="123"/>
        <v>2.2507599997575642</v>
      </c>
      <c r="I1138" s="12">
        <f t="shared" si="124"/>
        <v>5.4401466576320988E-3</v>
      </c>
      <c r="J1138" s="12">
        <f t="shared" si="125"/>
        <v>7.4054730214398717E-3</v>
      </c>
    </row>
    <row r="1139" spans="1:10">
      <c r="A1139" s="15">
        <v>41855</v>
      </c>
      <c r="B1139" s="11">
        <v>1.7083999999999999</v>
      </c>
      <c r="C1139" s="11">
        <f t="shared" si="119"/>
        <v>-3.7000000000000366E-3</v>
      </c>
      <c r="D1139" s="12">
        <f t="shared" si="120"/>
        <v>1.369000000000027E-5</v>
      </c>
      <c r="E1139" s="12">
        <f t="shared" si="121"/>
        <v>1.2100000000000266E-4</v>
      </c>
      <c r="F1139" s="12">
        <f t="shared" si="122"/>
        <v>3.8754646536441547E-5</v>
      </c>
      <c r="G1139" s="12">
        <f t="shared" si="123"/>
        <v>3.9835674265773071</v>
      </c>
      <c r="I1139" s="12">
        <f t="shared" si="124"/>
        <v>6.2253230065950427E-3</v>
      </c>
      <c r="J1139" s="12">
        <f t="shared" si="125"/>
        <v>7.4054730214398717E-3</v>
      </c>
    </row>
    <row r="1140" spans="1:10">
      <c r="A1140" s="15">
        <v>41856</v>
      </c>
      <c r="B1140" s="11">
        <v>1.7162999999999999</v>
      </c>
      <c r="C1140" s="11">
        <f t="shared" si="119"/>
        <v>7.9000000000000181E-3</v>
      </c>
      <c r="D1140" s="12">
        <f t="shared" si="120"/>
        <v>6.2410000000000292E-5</v>
      </c>
      <c r="E1140" s="12">
        <f t="shared" si="121"/>
        <v>1.369000000000027E-5</v>
      </c>
      <c r="F1140" s="12">
        <f t="shared" si="122"/>
        <v>3.7782969807032998E-5</v>
      </c>
      <c r="G1140" s="12">
        <f t="shared" si="123"/>
        <v>3.3469863076727142</v>
      </c>
      <c r="I1140" s="12">
        <f t="shared" si="124"/>
        <v>6.1467853229987624E-3</v>
      </c>
      <c r="J1140" s="12">
        <f t="shared" si="125"/>
        <v>7.4054730214398717E-3</v>
      </c>
    </row>
    <row r="1141" spans="1:10">
      <c r="A1141" s="15">
        <v>41857</v>
      </c>
      <c r="B1141" s="11">
        <v>1.7146999999999999</v>
      </c>
      <c r="C1141" s="11">
        <f t="shared" si="119"/>
        <v>-1.6000000000000458E-3</v>
      </c>
      <c r="D1141" s="12">
        <f t="shared" si="120"/>
        <v>2.5600000000001466E-6</v>
      </c>
      <c r="E1141" s="12">
        <f t="shared" si="121"/>
        <v>6.2410000000000292E-5</v>
      </c>
      <c r="F1141" s="12">
        <f t="shared" si="122"/>
        <v>4.096469869498154E-5</v>
      </c>
      <c r="G1141" s="12">
        <f t="shared" si="123"/>
        <v>4.1012149786071328</v>
      </c>
      <c r="I1141" s="12">
        <f t="shared" si="124"/>
        <v>6.4003670750185527E-3</v>
      </c>
      <c r="J1141" s="12">
        <f t="shared" si="125"/>
        <v>7.4054730214398717E-3</v>
      </c>
    </row>
    <row r="1142" spans="1:10">
      <c r="A1142" s="15">
        <v>41858</v>
      </c>
      <c r="B1142" s="11">
        <v>1.7166999999999999</v>
      </c>
      <c r="C1142" s="11">
        <f t="shared" si="119"/>
        <v>2.0000000000000018E-3</v>
      </c>
      <c r="D1142" s="12">
        <f t="shared" si="120"/>
        <v>4.0000000000000074E-6</v>
      </c>
      <c r="E1142" s="12">
        <f t="shared" si="121"/>
        <v>2.5600000000001466E-6</v>
      </c>
      <c r="F1142" s="12">
        <f t="shared" si="122"/>
        <v>3.876579690459775E-5</v>
      </c>
      <c r="G1142" s="12">
        <f t="shared" si="123"/>
        <v>4.1084556998224784</v>
      </c>
      <c r="I1142" s="12">
        <f t="shared" si="124"/>
        <v>6.2262185076174242E-3</v>
      </c>
      <c r="J1142" s="12">
        <f t="shared" si="125"/>
        <v>7.4054730214398717E-3</v>
      </c>
    </row>
    <row r="1143" spans="1:10">
      <c r="A1143" s="15">
        <v>41859</v>
      </c>
      <c r="B1143" s="11">
        <v>1.7156</v>
      </c>
      <c r="C1143" s="11">
        <f t="shared" si="119"/>
        <v>-1.0999999999998789E-3</v>
      </c>
      <c r="D1143" s="12">
        <f t="shared" si="120"/>
        <v>1.2099999999997335E-6</v>
      </c>
      <c r="E1143" s="12">
        <f t="shared" si="121"/>
        <v>4.0000000000000074E-6</v>
      </c>
      <c r="F1143" s="12">
        <f t="shared" si="122"/>
        <v>3.6993542857469578E-5</v>
      </c>
      <c r="G1143" s="12">
        <f t="shared" si="123"/>
        <v>4.1670908429225459</v>
      </c>
      <c r="I1143" s="12">
        <f t="shared" si="124"/>
        <v>6.082231733292442E-3</v>
      </c>
      <c r="J1143" s="12">
        <f t="shared" si="125"/>
        <v>7.4054730214398717E-3</v>
      </c>
    </row>
    <row r="1144" spans="1:10">
      <c r="A1144" s="15">
        <v>41862</v>
      </c>
      <c r="B1144" s="11">
        <v>1.7153</v>
      </c>
      <c r="C1144" s="11">
        <f t="shared" si="119"/>
        <v>-2.9999999999996696E-4</v>
      </c>
      <c r="D1144" s="12">
        <f t="shared" si="120"/>
        <v>8.9999999999980173E-8</v>
      </c>
      <c r="E1144" s="12">
        <f t="shared" si="121"/>
        <v>1.2099999999997335E-6</v>
      </c>
      <c r="F1144" s="12">
        <f t="shared" si="122"/>
        <v>3.5239397348931508E-5</v>
      </c>
      <c r="G1144" s="12">
        <f t="shared" si="123"/>
        <v>4.2064574087576725</v>
      </c>
      <c r="I1144" s="12">
        <f t="shared" si="124"/>
        <v>5.9362780720693589E-3</v>
      </c>
      <c r="J1144" s="12">
        <f t="shared" si="125"/>
        <v>7.4054730214398717E-3</v>
      </c>
    </row>
    <row r="1145" spans="1:10">
      <c r="A1145" s="15">
        <v>41863</v>
      </c>
      <c r="B1145" s="11">
        <v>1.7215</v>
      </c>
      <c r="C1145" s="11">
        <f t="shared" si="119"/>
        <v>6.1999999999999833E-3</v>
      </c>
      <c r="D1145" s="12">
        <f t="shared" si="120"/>
        <v>3.8439999999999795E-5</v>
      </c>
      <c r="E1145" s="12">
        <f t="shared" si="121"/>
        <v>8.9999999999980173E-8</v>
      </c>
      <c r="F1145" s="12">
        <f t="shared" si="122"/>
        <v>3.3638529174000577E-5</v>
      </c>
      <c r="G1145" s="12">
        <f t="shared" si="123"/>
        <v>3.6596120623742143</v>
      </c>
      <c r="I1145" s="12">
        <f t="shared" si="124"/>
        <v>5.7998732032692388E-3</v>
      </c>
      <c r="J1145" s="12">
        <f t="shared" si="125"/>
        <v>7.4054730214398717E-3</v>
      </c>
    </row>
    <row r="1146" spans="1:10">
      <c r="A1146" s="15">
        <v>41864</v>
      </c>
      <c r="B1146" s="11">
        <v>1.7218</v>
      </c>
      <c r="C1146" s="11">
        <f t="shared" si="119"/>
        <v>2.9999999999996696E-4</v>
      </c>
      <c r="D1146" s="12">
        <f t="shared" si="120"/>
        <v>8.9999999999980173E-8</v>
      </c>
      <c r="E1146" s="12">
        <f t="shared" si="121"/>
        <v>3.8439999999999795E-5</v>
      </c>
      <c r="F1146" s="12">
        <f t="shared" si="122"/>
        <v>3.5424083994455778E-5</v>
      </c>
      <c r="G1146" s="12">
        <f t="shared" si="123"/>
        <v>4.203850452379573</v>
      </c>
      <c r="I1146" s="12">
        <f t="shared" si="124"/>
        <v>5.9518135046770218E-3</v>
      </c>
      <c r="J1146" s="12">
        <f t="shared" si="125"/>
        <v>7.4054730214398717E-3</v>
      </c>
    </row>
    <row r="1147" spans="1:10">
      <c r="A1147" s="15">
        <v>41865</v>
      </c>
      <c r="B1147" s="11">
        <v>1.7212000000000001</v>
      </c>
      <c r="C1147" s="11">
        <f t="shared" si="119"/>
        <v>-5.9999999999993392E-4</v>
      </c>
      <c r="D1147" s="12">
        <f t="shared" si="120"/>
        <v>3.5999999999992069E-7</v>
      </c>
      <c r="E1147" s="12">
        <f t="shared" si="121"/>
        <v>8.9999999999980173E-8</v>
      </c>
      <c r="F1147" s="12">
        <f t="shared" si="122"/>
        <v>3.3797354458215419E-5</v>
      </c>
      <c r="G1147" s="12">
        <f t="shared" si="123"/>
        <v>4.2232996132671294</v>
      </c>
      <c r="I1147" s="12">
        <f t="shared" si="124"/>
        <v>5.8135492135368925E-3</v>
      </c>
      <c r="J1147" s="12">
        <f t="shared" si="125"/>
        <v>7.4054730214398717E-3</v>
      </c>
    </row>
    <row r="1148" spans="1:10">
      <c r="A1148" s="15">
        <v>41866</v>
      </c>
      <c r="B1148" s="11">
        <v>1.7189000000000001</v>
      </c>
      <c r="C1148" s="11">
        <f t="shared" si="119"/>
        <v>-2.2999999999999687E-3</v>
      </c>
      <c r="D1148" s="12">
        <f t="shared" si="120"/>
        <v>5.2899999999998562E-6</v>
      </c>
      <c r="E1148" s="12">
        <f t="shared" si="121"/>
        <v>3.5999999999992069E-7</v>
      </c>
      <c r="F1148" s="12">
        <f t="shared" si="122"/>
        <v>3.2420676733736159E-5</v>
      </c>
      <c r="G1148" s="12">
        <f t="shared" si="123"/>
        <v>4.16783480525676</v>
      </c>
      <c r="I1148" s="12">
        <f t="shared" si="124"/>
        <v>5.6939157645451832E-3</v>
      </c>
      <c r="J1148" s="12">
        <f t="shared" si="125"/>
        <v>7.4054730214398717E-3</v>
      </c>
    </row>
    <row r="1149" spans="1:10">
      <c r="A1149" s="15">
        <v>41869</v>
      </c>
      <c r="B1149" s="11">
        <v>1.7223999999999999</v>
      </c>
      <c r="C1149" s="11">
        <f t="shared" si="119"/>
        <v>3.4999999999998366E-3</v>
      </c>
      <c r="D1149" s="12">
        <f t="shared" si="120"/>
        <v>1.2249999999998856E-5</v>
      </c>
      <c r="E1149" s="12">
        <f t="shared" si="121"/>
        <v>5.2899999999998562E-6</v>
      </c>
      <c r="F1149" s="12">
        <f t="shared" si="122"/>
        <v>3.1643289769772367E-5</v>
      </c>
      <c r="G1149" s="12">
        <f t="shared" si="123"/>
        <v>4.0679897371510947</v>
      </c>
      <c r="I1149" s="12">
        <f t="shared" si="124"/>
        <v>5.6252368634371625E-3</v>
      </c>
      <c r="J1149" s="12">
        <f t="shared" si="125"/>
        <v>7.4054730214398717E-3</v>
      </c>
    </row>
    <row r="1150" spans="1:10">
      <c r="A1150" s="15">
        <v>41870</v>
      </c>
      <c r="B1150" s="11">
        <v>1.7255</v>
      </c>
      <c r="C1150" s="11">
        <f t="shared" si="119"/>
        <v>3.1000000000001027E-3</v>
      </c>
      <c r="D1150" s="12">
        <f t="shared" si="120"/>
        <v>9.6100000000006364E-6</v>
      </c>
      <c r="E1150" s="12">
        <f t="shared" si="121"/>
        <v>1.2249999999998856E-5</v>
      </c>
      <c r="F1150" s="12">
        <f t="shared" si="122"/>
        <v>3.1548665192380023E-5</v>
      </c>
      <c r="G1150" s="12">
        <f t="shared" si="123"/>
        <v>4.1107467147651624</v>
      </c>
      <c r="I1150" s="12">
        <f t="shared" si="124"/>
        <v>5.6168198468866722E-3</v>
      </c>
      <c r="J1150" s="12">
        <f t="shared" si="125"/>
        <v>7.4054730214398717E-3</v>
      </c>
    </row>
    <row r="1151" spans="1:10">
      <c r="A1151" s="15">
        <v>41871</v>
      </c>
      <c r="B1151" s="11">
        <v>1.7327999999999999</v>
      </c>
      <c r="C1151" s="11">
        <f t="shared" si="119"/>
        <v>7.2999999999998622E-3</v>
      </c>
      <c r="D1151" s="12">
        <f t="shared" si="120"/>
        <v>5.3289999999997987E-5</v>
      </c>
      <c r="E1151" s="12">
        <f t="shared" si="121"/>
        <v>9.6100000000006364E-6</v>
      </c>
      <c r="F1151" s="12">
        <f t="shared" si="122"/>
        <v>3.1249602179767536E-5</v>
      </c>
      <c r="G1151" s="12">
        <f t="shared" si="123"/>
        <v>3.4151625610077558</v>
      </c>
      <c r="I1151" s="12">
        <f t="shared" si="124"/>
        <v>5.5901343615129264E-3</v>
      </c>
      <c r="J1151" s="12">
        <f t="shared" si="125"/>
        <v>7.4054730214398717E-3</v>
      </c>
    </row>
    <row r="1152" spans="1:10">
      <c r="A1152" s="15">
        <v>41872</v>
      </c>
      <c r="B1152" s="11">
        <v>1.7250000000000001</v>
      </c>
      <c r="C1152" s="11">
        <f t="shared" si="119"/>
        <v>-7.7999999999998071E-3</v>
      </c>
      <c r="D1152" s="12">
        <f t="shared" si="120"/>
        <v>6.0839999999996992E-5</v>
      </c>
      <c r="E1152" s="12">
        <f t="shared" si="121"/>
        <v>5.3289999999997987E-5</v>
      </c>
      <c r="F1152" s="12">
        <f t="shared" si="122"/>
        <v>3.4594172569985443E-5</v>
      </c>
      <c r="G1152" s="12">
        <f t="shared" si="123"/>
        <v>3.3376352636824547</v>
      </c>
      <c r="I1152" s="12">
        <f t="shared" si="124"/>
        <v>5.8816811006705766E-3</v>
      </c>
      <c r="J1152" s="12">
        <f t="shared" si="125"/>
        <v>7.4054730214398717E-3</v>
      </c>
    </row>
    <row r="1153" spans="1:10">
      <c r="A1153" s="15">
        <v>41873</v>
      </c>
      <c r="B1153" s="11">
        <v>1.7327999999999999</v>
      </c>
      <c r="C1153" s="11">
        <f t="shared" si="119"/>
        <v>7.7999999999998071E-3</v>
      </c>
      <c r="D1153" s="12">
        <f t="shared" si="120"/>
        <v>6.0839999999996992E-5</v>
      </c>
      <c r="E1153" s="12">
        <f t="shared" si="121"/>
        <v>6.0839999999996992E-5</v>
      </c>
      <c r="F1153" s="12">
        <f t="shared" si="122"/>
        <v>3.809296466372256E-5</v>
      </c>
      <c r="G1153" s="12">
        <f t="shared" si="123"/>
        <v>3.370229276216421</v>
      </c>
      <c r="I1153" s="12">
        <f t="shared" si="124"/>
        <v>6.1719498267340574E-3</v>
      </c>
      <c r="J1153" s="12">
        <f t="shared" si="125"/>
        <v>7.4054730214398717E-3</v>
      </c>
    </row>
    <row r="1154" spans="1:10">
      <c r="A1154" s="15">
        <v>41876</v>
      </c>
      <c r="B1154" s="11">
        <v>1.7359</v>
      </c>
      <c r="C1154" s="11">
        <f t="shared" si="119"/>
        <v>3.1000000000001027E-3</v>
      </c>
      <c r="D1154" s="12">
        <f t="shared" si="120"/>
        <v>9.6100000000006364E-6</v>
      </c>
      <c r="E1154" s="12">
        <f t="shared" si="121"/>
        <v>6.0839999999996992E-5</v>
      </c>
      <c r="F1154" s="12">
        <f t="shared" si="122"/>
        <v>4.1101826766983961E-5</v>
      </c>
      <c r="G1154" s="12">
        <f t="shared" si="123"/>
        <v>4.0138856750754135</v>
      </c>
      <c r="I1154" s="12">
        <f t="shared" si="124"/>
        <v>6.4110706412411301E-3</v>
      </c>
      <c r="J1154" s="12">
        <f t="shared" si="125"/>
        <v>7.4054730214398717E-3</v>
      </c>
    </row>
    <row r="1155" spans="1:10">
      <c r="A1155" s="15">
        <v>41877</v>
      </c>
      <c r="B1155" s="11">
        <v>1.7376</v>
      </c>
      <c r="C1155" s="11">
        <f t="shared" si="119"/>
        <v>1.7000000000000348E-3</v>
      </c>
      <c r="D1155" s="12">
        <f t="shared" si="120"/>
        <v>2.8900000000001184E-6</v>
      </c>
      <c r="E1155" s="12">
        <f t="shared" si="121"/>
        <v>9.6100000000006364E-6</v>
      </c>
      <c r="F1155" s="12">
        <f t="shared" si="122"/>
        <v>3.946505055682634E-5</v>
      </c>
      <c r="G1155" s="12">
        <f t="shared" si="123"/>
        <v>4.1144943212838117</v>
      </c>
      <c r="I1155" s="12">
        <f t="shared" si="124"/>
        <v>6.2821215012785559E-3</v>
      </c>
      <c r="J1155" s="12">
        <f t="shared" si="125"/>
        <v>7.4054730214398717E-3</v>
      </c>
    </row>
    <row r="1156" spans="1:10">
      <c r="A1156" s="15">
        <v>41878</v>
      </c>
      <c r="B1156" s="11">
        <v>1.7364999999999999</v>
      </c>
      <c r="C1156" s="11">
        <f t="shared" si="119"/>
        <v>-1.1000000000001009E-3</v>
      </c>
      <c r="D1156" s="12">
        <f t="shared" si="120"/>
        <v>1.210000000000222E-6</v>
      </c>
      <c r="E1156" s="12">
        <f t="shared" si="121"/>
        <v>2.8900000000001184E-6</v>
      </c>
      <c r="F1156" s="12">
        <f t="shared" si="122"/>
        <v>3.7503353050291547E-5</v>
      </c>
      <c r="G1156" s="12">
        <f t="shared" si="123"/>
        <v>4.1604696756587112</v>
      </c>
      <c r="I1156" s="12">
        <f t="shared" si="124"/>
        <v>6.1239981262482066E-3</v>
      </c>
      <c r="J1156" s="12">
        <f t="shared" si="125"/>
        <v>7.4054730214398717E-3</v>
      </c>
    </row>
    <row r="1157" spans="1:10">
      <c r="A1157" s="15">
        <v>41879</v>
      </c>
      <c r="B1157" s="11">
        <v>1.7383999999999999</v>
      </c>
      <c r="C1157" s="11">
        <f t="shared" si="119"/>
        <v>1.9000000000000128E-3</v>
      </c>
      <c r="D1157" s="12">
        <f t="shared" si="120"/>
        <v>3.6100000000000484E-6</v>
      </c>
      <c r="E1157" s="12">
        <f t="shared" si="121"/>
        <v>1.210000000000222E-6</v>
      </c>
      <c r="F1157" s="12">
        <f t="shared" si="122"/>
        <v>3.567781967524931E-5</v>
      </c>
      <c r="G1157" s="12">
        <f t="shared" si="123"/>
        <v>4.1509604827819055</v>
      </c>
      <c r="I1157" s="12">
        <f t="shared" si="124"/>
        <v>5.9730912997583846E-3</v>
      </c>
      <c r="J1157" s="12">
        <f t="shared" si="125"/>
        <v>7.4054730214398717E-3</v>
      </c>
    </row>
    <row r="1158" spans="1:10">
      <c r="A1158" s="15">
        <v>41880</v>
      </c>
      <c r="B1158" s="11">
        <v>1.7432000000000001</v>
      </c>
      <c r="C1158" s="11">
        <f t="shared" si="119"/>
        <v>4.8000000000001375E-3</v>
      </c>
      <c r="D1158" s="12">
        <f t="shared" si="120"/>
        <v>2.3040000000001321E-5</v>
      </c>
      <c r="E1158" s="12">
        <f t="shared" si="121"/>
        <v>3.6100000000000484E-6</v>
      </c>
      <c r="F1158" s="12">
        <f t="shared" si="122"/>
        <v>3.4305811365246207E-5</v>
      </c>
      <c r="G1158" s="12">
        <f t="shared" si="123"/>
        <v>3.8853561907026726</v>
      </c>
      <c r="I1158" s="12">
        <f t="shared" si="124"/>
        <v>5.8571163011541961E-3</v>
      </c>
      <c r="J1158" s="12">
        <f t="shared" si="125"/>
        <v>7.4054730214398717E-3</v>
      </c>
    </row>
    <row r="1159" spans="1:10">
      <c r="A1159" s="15">
        <v>41883</v>
      </c>
      <c r="B1159" s="11">
        <v>1.7433000000000001</v>
      </c>
      <c r="C1159" s="11">
        <f t="shared" si="119"/>
        <v>9.9999999999988987E-5</v>
      </c>
      <c r="D1159" s="12">
        <f t="shared" si="120"/>
        <v>9.9999999999977966E-9</v>
      </c>
      <c r="E1159" s="12">
        <f t="shared" si="121"/>
        <v>2.3040000000001321E-5</v>
      </c>
      <c r="F1159" s="12">
        <f t="shared" si="122"/>
        <v>3.4728077868497942E-5</v>
      </c>
      <c r="G1159" s="12">
        <f t="shared" si="123"/>
        <v>4.2148985025542869</v>
      </c>
      <c r="I1159" s="12">
        <f t="shared" si="124"/>
        <v>5.8930533570041551E-3</v>
      </c>
      <c r="J1159" s="12">
        <f t="shared" si="125"/>
        <v>7.4054730214398717E-3</v>
      </c>
    </row>
    <row r="1160" spans="1:10">
      <c r="A1160" s="15">
        <v>41884</v>
      </c>
      <c r="B1160" s="11">
        <v>1.7426999999999999</v>
      </c>
      <c r="C1160" s="11">
        <f t="shared" si="119"/>
        <v>-6.0000000000015596E-4</v>
      </c>
      <c r="D1160" s="12">
        <f t="shared" si="120"/>
        <v>3.6000000000018714E-7</v>
      </c>
      <c r="E1160" s="12">
        <f t="shared" si="121"/>
        <v>9.9999999999977966E-9</v>
      </c>
      <c r="F1160" s="12">
        <f t="shared" si="122"/>
        <v>3.3192212280171641E-5</v>
      </c>
      <c r="G1160" s="12">
        <f t="shared" si="123"/>
        <v>4.2322361403151536</v>
      </c>
      <c r="I1160" s="12">
        <f t="shared" si="124"/>
        <v>5.761268287466887E-3</v>
      </c>
      <c r="J1160" s="12">
        <f t="shared" si="125"/>
        <v>7.4054730214398717E-3</v>
      </c>
    </row>
    <row r="1161" spans="1:10">
      <c r="A1161" s="15">
        <v>41885</v>
      </c>
      <c r="B1161" s="11">
        <v>1.7413000000000001</v>
      </c>
      <c r="C1161" s="11">
        <f t="shared" si="119"/>
        <v>-1.3999999999998458E-3</v>
      </c>
      <c r="D1161" s="12">
        <f t="shared" si="120"/>
        <v>1.9599999999995683E-6</v>
      </c>
      <c r="E1161" s="12">
        <f t="shared" si="121"/>
        <v>3.6000000000018714E-7</v>
      </c>
      <c r="F1161" s="12">
        <f t="shared" si="122"/>
        <v>3.1900271600244481E-5</v>
      </c>
      <c r="G1161" s="12">
        <f t="shared" si="123"/>
        <v>4.2267887348817643</v>
      </c>
      <c r="I1161" s="12">
        <f t="shared" si="124"/>
        <v>5.6480325424208104E-3</v>
      </c>
      <c r="J1161" s="12">
        <f t="shared" si="125"/>
        <v>7.4054730214398717E-3</v>
      </c>
    </row>
    <row r="1162" spans="1:10">
      <c r="A1162" s="15">
        <v>41886</v>
      </c>
      <c r="B1162" s="11">
        <v>1.7596000000000001</v>
      </c>
      <c r="C1162" s="11">
        <f t="shared" si="119"/>
        <v>1.8299999999999983E-2</v>
      </c>
      <c r="D1162" s="12">
        <f t="shared" si="120"/>
        <v>3.3488999999999936E-4</v>
      </c>
      <c r="E1162" s="12">
        <f t="shared" si="121"/>
        <v>1.9599999999995683E-6</v>
      </c>
      <c r="F1162" s="12">
        <f t="shared" si="122"/>
        <v>3.0921171665800035E-5</v>
      </c>
      <c r="G1162" s="12">
        <f t="shared" si="123"/>
        <v>-1.1421255264998365</v>
      </c>
      <c r="I1162" s="12">
        <f t="shared" si="124"/>
        <v>5.5606808635094351E-3</v>
      </c>
      <c r="J1162" s="12">
        <f t="shared" si="125"/>
        <v>7.4054730214398717E-3</v>
      </c>
    </row>
    <row r="1163" spans="1:10">
      <c r="A1163" s="15">
        <v>41887</v>
      </c>
      <c r="B1163" s="11">
        <v>1.7592000000000001</v>
      </c>
      <c r="C1163" s="11">
        <f t="shared" si="119"/>
        <v>-3.9999999999995595E-4</v>
      </c>
      <c r="D1163" s="12">
        <f t="shared" si="120"/>
        <v>1.5999999999996475E-7</v>
      </c>
      <c r="E1163" s="12">
        <f t="shared" si="121"/>
        <v>3.3488999999999936E-4</v>
      </c>
      <c r="F1163" s="12">
        <f t="shared" si="122"/>
        <v>5.7531844284707104E-5</v>
      </c>
      <c r="G1163" s="12">
        <f t="shared" si="123"/>
        <v>3.9612569000639679</v>
      </c>
      <c r="I1163" s="12">
        <f t="shared" si="124"/>
        <v>7.5849749033669919E-3</v>
      </c>
      <c r="J1163" s="12">
        <f t="shared" si="125"/>
        <v>7.4054730214398717E-3</v>
      </c>
    </row>
    <row r="1164" spans="1:10">
      <c r="A1164" s="15">
        <v>41890</v>
      </c>
      <c r="B1164" s="11">
        <v>1.7649999999999999</v>
      </c>
      <c r="C1164" s="11">
        <f t="shared" si="119"/>
        <v>5.7999999999998053E-3</v>
      </c>
      <c r="D1164" s="12">
        <f t="shared" si="120"/>
        <v>3.363999999999774E-5</v>
      </c>
      <c r="E1164" s="12">
        <f t="shared" si="121"/>
        <v>1.5999999999996475E-7</v>
      </c>
      <c r="F1164" s="12">
        <f t="shared" si="122"/>
        <v>5.2815174188062515E-5</v>
      </c>
      <c r="G1164" s="12">
        <f t="shared" si="123"/>
        <v>3.6869483874614444</v>
      </c>
      <c r="I1164" s="12">
        <f t="shared" si="124"/>
        <v>7.2674049142773455E-3</v>
      </c>
      <c r="J1164" s="12">
        <f t="shared" si="125"/>
        <v>7.4054730214398717E-3</v>
      </c>
    </row>
    <row r="1165" spans="1:10">
      <c r="A1165" s="15">
        <v>41891</v>
      </c>
      <c r="B1165" s="11">
        <v>1.7626999999999999</v>
      </c>
      <c r="C1165" s="11">
        <f t="shared" si="119"/>
        <v>-2.2999999999999687E-3</v>
      </c>
      <c r="D1165" s="12">
        <f t="shared" si="120"/>
        <v>5.2899999999998562E-6</v>
      </c>
      <c r="E1165" s="12">
        <f t="shared" si="121"/>
        <v>3.363999999999774E-5</v>
      </c>
      <c r="F1165" s="12">
        <f t="shared" si="122"/>
        <v>5.1519658185807599E-5</v>
      </c>
      <c r="G1165" s="12">
        <f t="shared" si="123"/>
        <v>3.9664953884683567</v>
      </c>
      <c r="I1165" s="12">
        <f t="shared" si="124"/>
        <v>7.1777195672307788E-3</v>
      </c>
      <c r="J1165" s="12">
        <f t="shared" si="125"/>
        <v>7.4054730214398717E-3</v>
      </c>
    </row>
    <row r="1166" spans="1:10">
      <c r="A1166" s="15">
        <v>41892</v>
      </c>
      <c r="B1166" s="11">
        <v>1.7641</v>
      </c>
      <c r="C1166" s="11">
        <f t="shared" ref="C1166:C1229" si="126">B1166-B1165</f>
        <v>1.4000000000000679E-3</v>
      </c>
      <c r="D1166" s="12">
        <f t="shared" ref="D1166:D1229" si="127">C1166^2</f>
        <v>1.96000000000019E-6</v>
      </c>
      <c r="E1166" s="12">
        <f t="shared" si="121"/>
        <v>5.2899999999998562E-6</v>
      </c>
      <c r="F1166" s="12">
        <f t="shared" si="122"/>
        <v>4.8067872872293771E-5</v>
      </c>
      <c r="G1166" s="12">
        <f t="shared" si="123"/>
        <v>4.0321218853484666</v>
      </c>
      <c r="I1166" s="12">
        <f t="shared" si="124"/>
        <v>6.9330998025626152E-3</v>
      </c>
      <c r="J1166" s="12">
        <f t="shared" si="125"/>
        <v>7.4054730214398717E-3</v>
      </c>
    </row>
    <row r="1167" spans="1:10">
      <c r="A1167" s="15">
        <v>41893</v>
      </c>
      <c r="B1167" s="11">
        <v>1.7642</v>
      </c>
      <c r="C1167" s="11">
        <f t="shared" si="126"/>
        <v>9.9999999999988987E-5</v>
      </c>
      <c r="D1167" s="12">
        <f t="shared" si="127"/>
        <v>9.9999999999977966E-9</v>
      </c>
      <c r="E1167" s="12">
        <f t="shared" ref="E1167:E1230" si="128">D1166</f>
        <v>1.96000000000019E-6</v>
      </c>
      <c r="F1167" s="12">
        <f t="shared" ref="F1167:F1230" si="129">$B$5+$B$6*E1167+$B$7*F1166</f>
        <v>4.4824850839874762E-5</v>
      </c>
      <c r="G1167" s="12">
        <f t="shared" ref="G1167:G1230" si="130">LN((1/SQRT(2*3.1415927*F1167))*EXP(-0.5*D1167/F1167))</f>
        <v>4.0873238471852984</v>
      </c>
      <c r="I1167" s="12">
        <f t="shared" ref="I1167:I1230" si="131">SQRT(F1167)</f>
        <v>6.695136357078529E-3</v>
      </c>
      <c r="J1167" s="12">
        <f t="shared" si="125"/>
        <v>7.4054730214398717E-3</v>
      </c>
    </row>
    <row r="1168" spans="1:10">
      <c r="A1168" s="15">
        <v>41894</v>
      </c>
      <c r="B1168" s="11">
        <v>1.7593000000000001</v>
      </c>
      <c r="C1168" s="11">
        <f t="shared" si="126"/>
        <v>-4.8999999999999044E-3</v>
      </c>
      <c r="D1168" s="12">
        <f t="shared" si="127"/>
        <v>2.4009999999999064E-5</v>
      </c>
      <c r="E1168" s="12">
        <f t="shared" si="128"/>
        <v>9.9999999999977966E-9</v>
      </c>
      <c r="F1168" s="12">
        <f t="shared" si="129"/>
        <v>4.1875151061584216E-5</v>
      </c>
      <c r="G1168" s="12">
        <f t="shared" si="130"/>
        <v>3.8347849066382054</v>
      </c>
      <c r="I1168" s="12">
        <f t="shared" si="131"/>
        <v>6.4711012247981575E-3</v>
      </c>
      <c r="J1168" s="12">
        <f t="shared" ref="J1168:J1231" si="132">J1167</f>
        <v>7.4054730214398717E-3</v>
      </c>
    </row>
    <row r="1169" spans="1:10">
      <c r="A1169" s="15">
        <v>41897</v>
      </c>
      <c r="B1169" s="11">
        <v>1.7659</v>
      </c>
      <c r="C1169" s="11">
        <f t="shared" si="126"/>
        <v>6.5999999999999392E-3</v>
      </c>
      <c r="D1169" s="12">
        <f t="shared" si="127"/>
        <v>4.3559999999999197E-5</v>
      </c>
      <c r="E1169" s="12">
        <f t="shared" si="128"/>
        <v>2.4009999999999064E-5</v>
      </c>
      <c r="F1169" s="12">
        <f t="shared" si="129"/>
        <v>4.1317479671460901E-5</v>
      </c>
      <c r="G1169" s="12">
        <f t="shared" si="130"/>
        <v>3.601036244014308</v>
      </c>
      <c r="I1169" s="12">
        <f t="shared" si="131"/>
        <v>6.4278674279624731E-3</v>
      </c>
      <c r="J1169" s="12">
        <f t="shared" si="132"/>
        <v>7.4054730214398717E-3</v>
      </c>
    </row>
    <row r="1170" spans="1:10">
      <c r="A1170" s="15">
        <v>41898</v>
      </c>
      <c r="B1170" s="11">
        <v>1.7685999999999999</v>
      </c>
      <c r="C1170" s="11">
        <f t="shared" si="126"/>
        <v>2.6999999999999247E-3</v>
      </c>
      <c r="D1170" s="12">
        <f t="shared" si="127"/>
        <v>7.2899999999995931E-6</v>
      </c>
      <c r="E1170" s="12">
        <f t="shared" si="128"/>
        <v>4.3559999999999197E-5</v>
      </c>
      <c r="F1170" s="12">
        <f t="shared" si="129"/>
        <v>4.2449947795466737E-5</v>
      </c>
      <c r="G1170" s="12">
        <f t="shared" si="130"/>
        <v>4.0287880669286809</v>
      </c>
      <c r="I1170" s="12">
        <f t="shared" si="131"/>
        <v>6.5153624454412926E-3</v>
      </c>
      <c r="J1170" s="12">
        <f t="shared" si="132"/>
        <v>7.4054730214398717E-3</v>
      </c>
    </row>
    <row r="1171" spans="1:10">
      <c r="A1171" s="15">
        <v>41899</v>
      </c>
      <c r="B1171" s="11">
        <v>1.7755000000000001</v>
      </c>
      <c r="C1171" s="11">
        <f t="shared" si="126"/>
        <v>6.9000000000001283E-3</v>
      </c>
      <c r="D1171" s="12">
        <f t="shared" si="127"/>
        <v>4.7610000000001768E-5</v>
      </c>
      <c r="E1171" s="12">
        <f t="shared" si="128"/>
        <v>7.2899999999995931E-6</v>
      </c>
      <c r="F1171" s="12">
        <f t="shared" si="129"/>
        <v>4.0433094393596493E-5</v>
      </c>
      <c r="G1171" s="12">
        <f t="shared" si="130"/>
        <v>3.5502420417993492</v>
      </c>
      <c r="I1171" s="12">
        <f t="shared" si="131"/>
        <v>6.3587022570329938E-3</v>
      </c>
      <c r="J1171" s="12">
        <f t="shared" si="132"/>
        <v>7.4054730214398717E-3</v>
      </c>
    </row>
    <row r="1172" spans="1:10">
      <c r="A1172" s="15">
        <v>41900</v>
      </c>
      <c r="B1172" s="11">
        <v>1.7703</v>
      </c>
      <c r="C1172" s="11">
        <f t="shared" si="126"/>
        <v>-5.2000000000000934E-3</v>
      </c>
      <c r="D1172" s="12">
        <f t="shared" si="127"/>
        <v>2.7040000000000971E-5</v>
      </c>
      <c r="E1172" s="12">
        <f t="shared" si="128"/>
        <v>4.7610000000001768E-5</v>
      </c>
      <c r="F1172" s="12">
        <f t="shared" si="129"/>
        <v>4.2023355540197951E-5</v>
      </c>
      <c r="G1172" s="12">
        <f t="shared" si="130"/>
        <v>3.7979781091720732</v>
      </c>
      <c r="I1172" s="12">
        <f t="shared" si="131"/>
        <v>6.4825423670191278E-3</v>
      </c>
      <c r="J1172" s="12">
        <f t="shared" si="132"/>
        <v>7.4054730214398717E-3</v>
      </c>
    </row>
    <row r="1173" spans="1:10">
      <c r="A1173" s="15">
        <v>41901</v>
      </c>
      <c r="B1173" s="11">
        <v>1.7837000000000001</v>
      </c>
      <c r="C1173" s="11">
        <f t="shared" si="126"/>
        <v>1.3400000000000079E-2</v>
      </c>
      <c r="D1173" s="12">
        <f t="shared" si="127"/>
        <v>1.7956000000000211E-4</v>
      </c>
      <c r="E1173" s="12">
        <f t="shared" si="128"/>
        <v>2.7040000000000971E-5</v>
      </c>
      <c r="F1173" s="12">
        <f t="shared" si="129"/>
        <v>4.1694778418266149E-5</v>
      </c>
      <c r="G1173" s="12">
        <f t="shared" si="130"/>
        <v>1.970361557525981</v>
      </c>
      <c r="I1173" s="12">
        <f t="shared" si="131"/>
        <v>6.457149403433852E-3</v>
      </c>
      <c r="J1173" s="12">
        <f t="shared" si="132"/>
        <v>7.4054730214398717E-3</v>
      </c>
    </row>
    <row r="1174" spans="1:10">
      <c r="A1174" s="15">
        <v>41904</v>
      </c>
      <c r="B1174" s="11">
        <v>1.7815000000000001</v>
      </c>
      <c r="C1174" s="11">
        <f t="shared" si="126"/>
        <v>-2.1999999999999797E-3</v>
      </c>
      <c r="D1174" s="12">
        <f t="shared" si="127"/>
        <v>4.8399999999999113E-6</v>
      </c>
      <c r="E1174" s="12">
        <f t="shared" si="128"/>
        <v>1.7956000000000211E-4</v>
      </c>
      <c r="F1174" s="12">
        <f t="shared" si="129"/>
        <v>5.3988672983827925E-5</v>
      </c>
      <c r="G1174" s="12">
        <f t="shared" si="130"/>
        <v>3.9496053887667721</v>
      </c>
      <c r="I1174" s="12">
        <f t="shared" si="131"/>
        <v>7.3476984820981814E-3</v>
      </c>
      <c r="J1174" s="12">
        <f t="shared" si="132"/>
        <v>7.4054730214398717E-3</v>
      </c>
    </row>
    <row r="1175" spans="1:10">
      <c r="A1175" s="15">
        <v>41905</v>
      </c>
      <c r="B1175" s="11">
        <v>1.7802</v>
      </c>
      <c r="C1175" s="11">
        <f t="shared" si="126"/>
        <v>-1.3000000000000789E-3</v>
      </c>
      <c r="D1175" s="12">
        <f t="shared" si="127"/>
        <v>1.6900000000002051E-6</v>
      </c>
      <c r="E1175" s="12">
        <f t="shared" si="128"/>
        <v>4.8399999999999113E-6</v>
      </c>
      <c r="F1175" s="12">
        <f t="shared" si="129"/>
        <v>5.0154049664047446E-5</v>
      </c>
      <c r="G1175" s="12">
        <f t="shared" si="130"/>
        <v>4.0144190161588504</v>
      </c>
      <c r="I1175" s="12">
        <f t="shared" si="131"/>
        <v>7.0819523906933638E-3</v>
      </c>
      <c r="J1175" s="12">
        <f t="shared" si="132"/>
        <v>7.4054730214398717E-3</v>
      </c>
    </row>
    <row r="1176" spans="1:10">
      <c r="A1176" s="15">
        <v>41906</v>
      </c>
      <c r="B1176" s="11">
        <v>1.7879</v>
      </c>
      <c r="C1176" s="11">
        <f t="shared" si="126"/>
        <v>7.7000000000000401E-3</v>
      </c>
      <c r="D1176" s="12">
        <f t="shared" si="127"/>
        <v>5.929000000000062E-5</v>
      </c>
      <c r="E1176" s="12">
        <f t="shared" si="128"/>
        <v>1.6900000000002051E-6</v>
      </c>
      <c r="F1176" s="12">
        <f t="shared" si="129"/>
        <v>4.659664019103112E-5</v>
      </c>
      <c r="G1176" s="12">
        <f t="shared" si="130"/>
        <v>3.4318478506342052</v>
      </c>
      <c r="I1176" s="12">
        <f t="shared" si="131"/>
        <v>6.8261731732377779E-3</v>
      </c>
      <c r="J1176" s="12">
        <f t="shared" si="132"/>
        <v>7.4054730214398717E-3</v>
      </c>
    </row>
    <row r="1177" spans="1:10">
      <c r="A1177" s="15">
        <v>41907</v>
      </c>
      <c r="B1177" s="11">
        <v>1.7907999999999999</v>
      </c>
      <c r="C1177" s="11">
        <f t="shared" si="126"/>
        <v>2.8999999999999027E-3</v>
      </c>
      <c r="D1177" s="12">
        <f t="shared" si="127"/>
        <v>8.409999999999435E-6</v>
      </c>
      <c r="E1177" s="12">
        <f t="shared" si="128"/>
        <v>5.929000000000062E-5</v>
      </c>
      <c r="F1177" s="12">
        <f t="shared" si="129"/>
        <v>4.8286937299338097E-5</v>
      </c>
      <c r="G1177" s="12">
        <f t="shared" si="130"/>
        <v>3.9631526078916166</v>
      </c>
      <c r="I1177" s="12">
        <f t="shared" si="131"/>
        <v>6.9488802910496377E-3</v>
      </c>
      <c r="J1177" s="12">
        <f t="shared" si="132"/>
        <v>7.4054730214398717E-3</v>
      </c>
    </row>
    <row r="1178" spans="1:10">
      <c r="A1178" s="15">
        <v>41908</v>
      </c>
      <c r="B1178" s="11">
        <v>1.7975000000000001</v>
      </c>
      <c r="C1178" s="11">
        <f t="shared" si="126"/>
        <v>6.7000000000001503E-3</v>
      </c>
      <c r="D1178" s="12">
        <f t="shared" si="127"/>
        <v>4.4890000000002011E-5</v>
      </c>
      <c r="E1178" s="12">
        <f t="shared" si="128"/>
        <v>8.409999999999435E-6</v>
      </c>
      <c r="F1178" s="12">
        <f t="shared" si="129"/>
        <v>4.5545092764881922E-5</v>
      </c>
      <c r="G1178" s="12">
        <f t="shared" si="130"/>
        <v>3.5866569901716749</v>
      </c>
      <c r="I1178" s="12">
        <f t="shared" si="131"/>
        <v>6.7487104519961382E-3</v>
      </c>
      <c r="J1178" s="12">
        <f t="shared" si="132"/>
        <v>7.4054730214398717E-3</v>
      </c>
    </row>
    <row r="1179" spans="1:10">
      <c r="A1179" s="15">
        <v>41911</v>
      </c>
      <c r="B1179" s="11">
        <v>1.7955000000000001</v>
      </c>
      <c r="C1179" s="11">
        <f t="shared" si="126"/>
        <v>-2.0000000000000018E-3</v>
      </c>
      <c r="D1179" s="12">
        <f t="shared" si="127"/>
        <v>4.0000000000000074E-6</v>
      </c>
      <c r="E1179" s="12">
        <f t="shared" si="128"/>
        <v>4.4890000000002011E-5</v>
      </c>
      <c r="F1179" s="12">
        <f t="shared" si="129"/>
        <v>4.6195244171769799E-5</v>
      </c>
      <c r="G1179" s="12">
        <f t="shared" si="130"/>
        <v>4.0290838119729466</v>
      </c>
      <c r="I1179" s="12">
        <f t="shared" si="131"/>
        <v>6.7967083335810285E-3</v>
      </c>
      <c r="J1179" s="12">
        <f t="shared" si="132"/>
        <v>7.4054730214398717E-3</v>
      </c>
    </row>
    <row r="1180" spans="1:10">
      <c r="A1180" s="15">
        <v>41912</v>
      </c>
      <c r="B1180" s="11">
        <v>1.8017000000000001</v>
      </c>
      <c r="C1180" s="11">
        <f t="shared" si="126"/>
        <v>6.1999999999999833E-3</v>
      </c>
      <c r="D1180" s="12">
        <f t="shared" si="127"/>
        <v>3.8439999999999795E-5</v>
      </c>
      <c r="E1180" s="12">
        <f t="shared" si="128"/>
        <v>4.0000000000000074E-6</v>
      </c>
      <c r="F1180" s="12">
        <f t="shared" si="129"/>
        <v>4.3382657080743148E-5</v>
      </c>
      <c r="G1180" s="12">
        <f t="shared" si="130"/>
        <v>3.6607526788200464</v>
      </c>
      <c r="I1180" s="12">
        <f t="shared" si="131"/>
        <v>6.5865512281271408E-3</v>
      </c>
      <c r="J1180" s="12">
        <f t="shared" si="132"/>
        <v>7.4054730214398717E-3</v>
      </c>
    </row>
    <row r="1181" spans="1:10">
      <c r="A1181" s="15">
        <v>41913</v>
      </c>
      <c r="B1181" s="11">
        <v>1.8032999999999999</v>
      </c>
      <c r="C1181" s="11">
        <f t="shared" si="126"/>
        <v>1.5999999999998238E-3</v>
      </c>
      <c r="D1181" s="12">
        <f t="shared" si="127"/>
        <v>2.5599999999994359E-6</v>
      </c>
      <c r="E1181" s="12">
        <f t="shared" si="128"/>
        <v>3.8439999999999795E-5</v>
      </c>
      <c r="F1181" s="12">
        <f t="shared" si="129"/>
        <v>4.3803758008356306E-5</v>
      </c>
      <c r="G1181" s="12">
        <f t="shared" si="130"/>
        <v>4.0697356947701575</v>
      </c>
      <c r="I1181" s="12">
        <f t="shared" si="131"/>
        <v>6.6184407535579181E-3</v>
      </c>
      <c r="J1181" s="12">
        <f t="shared" si="132"/>
        <v>7.4054730214398717E-3</v>
      </c>
    </row>
    <row r="1182" spans="1:10">
      <c r="A1182" s="15">
        <v>41914</v>
      </c>
      <c r="B1182" s="11">
        <v>1.7971999999999999</v>
      </c>
      <c r="C1182" s="11">
        <f t="shared" si="126"/>
        <v>-6.0999999999999943E-3</v>
      </c>
      <c r="D1182" s="12">
        <f t="shared" si="127"/>
        <v>3.720999999999993E-5</v>
      </c>
      <c r="E1182" s="12">
        <f t="shared" si="128"/>
        <v>2.5599999999994359E-6</v>
      </c>
      <c r="F1182" s="12">
        <f t="shared" si="129"/>
        <v>4.1207307502559637E-5</v>
      </c>
      <c r="G1182" s="12">
        <f t="shared" si="130"/>
        <v>3.6780113454681214</v>
      </c>
      <c r="I1182" s="12">
        <f t="shared" si="131"/>
        <v>6.4192918225112368E-3</v>
      </c>
      <c r="J1182" s="12">
        <f t="shared" si="132"/>
        <v>7.4054730214398717E-3</v>
      </c>
    </row>
    <row r="1183" spans="1:10">
      <c r="A1183" s="15">
        <v>41915</v>
      </c>
      <c r="B1183" s="11">
        <v>1.8165</v>
      </c>
      <c r="C1183" s="11">
        <f t="shared" si="126"/>
        <v>1.9300000000000095E-2</v>
      </c>
      <c r="D1183" s="12">
        <f t="shared" si="127"/>
        <v>3.7249000000000364E-4</v>
      </c>
      <c r="E1183" s="12">
        <f t="shared" si="128"/>
        <v>3.720999999999993E-5</v>
      </c>
      <c r="F1183" s="12">
        <f t="shared" si="129"/>
        <v>4.1831595906915575E-5</v>
      </c>
      <c r="G1183" s="12">
        <f t="shared" si="130"/>
        <v>-0.33026585481653892</v>
      </c>
      <c r="I1183" s="12">
        <f t="shared" si="131"/>
        <v>6.4677349904673411E-3</v>
      </c>
      <c r="J1183" s="12">
        <f t="shared" si="132"/>
        <v>7.4054730214398717E-3</v>
      </c>
    </row>
    <row r="1184" spans="1:10">
      <c r="A1184" s="15">
        <v>41918</v>
      </c>
      <c r="B1184" s="11">
        <v>1.7964</v>
      </c>
      <c r="C1184" s="11">
        <f t="shared" si="126"/>
        <v>-2.0100000000000007E-2</v>
      </c>
      <c r="D1184" s="12">
        <f t="shared" si="127"/>
        <v>4.0401000000000027E-4</v>
      </c>
      <c r="E1184" s="12">
        <f t="shared" si="128"/>
        <v>3.7249000000000364E-4</v>
      </c>
      <c r="F1184" s="12">
        <f t="shared" si="129"/>
        <v>7.0014912882011273E-5</v>
      </c>
      <c r="G1184" s="12">
        <f t="shared" si="130"/>
        <v>0.9792915540614785</v>
      </c>
      <c r="I1184" s="12">
        <f t="shared" si="131"/>
        <v>8.3674914330408058E-3</v>
      </c>
      <c r="J1184" s="12">
        <f t="shared" si="132"/>
        <v>7.4054730214398717E-3</v>
      </c>
    </row>
    <row r="1185" spans="1:10">
      <c r="A1185" s="15">
        <v>41919</v>
      </c>
      <c r="B1185" s="11">
        <v>1.7956000000000001</v>
      </c>
      <c r="C1185" s="11">
        <f t="shared" si="126"/>
        <v>-7.9999999999991189E-4</v>
      </c>
      <c r="D1185" s="12">
        <f t="shared" si="127"/>
        <v>6.3999999999985898E-7</v>
      </c>
      <c r="E1185" s="12">
        <f t="shared" si="128"/>
        <v>4.0401000000000027E-4</v>
      </c>
      <c r="F1185" s="12">
        <f t="shared" si="129"/>
        <v>9.6850836663739926E-5</v>
      </c>
      <c r="G1185" s="12">
        <f t="shared" si="130"/>
        <v>3.6989266741750879</v>
      </c>
      <c r="I1185" s="12">
        <f t="shared" si="131"/>
        <v>9.8412822672525723E-3</v>
      </c>
      <c r="J1185" s="12">
        <f t="shared" si="132"/>
        <v>7.4054730214398717E-3</v>
      </c>
    </row>
    <row r="1186" spans="1:10">
      <c r="A1186" s="15">
        <v>41920</v>
      </c>
      <c r="B1186" s="11">
        <v>1.7875000000000001</v>
      </c>
      <c r="C1186" s="11">
        <f t="shared" si="126"/>
        <v>-8.0999999999999961E-3</v>
      </c>
      <c r="D1186" s="12">
        <f t="shared" si="127"/>
        <v>6.5609999999999936E-5</v>
      </c>
      <c r="E1186" s="12">
        <f t="shared" si="128"/>
        <v>6.3999999999985898E-7</v>
      </c>
      <c r="F1186" s="12">
        <f t="shared" si="129"/>
        <v>8.6667973727731152E-5</v>
      </c>
      <c r="G1186" s="12">
        <f t="shared" si="130"/>
        <v>3.3792610043098392</v>
      </c>
      <c r="I1186" s="12">
        <f t="shared" si="131"/>
        <v>9.309563562688165E-3</v>
      </c>
      <c r="J1186" s="12">
        <f t="shared" si="132"/>
        <v>7.4054730214398717E-3</v>
      </c>
    </row>
    <row r="1187" spans="1:10">
      <c r="A1187" s="15">
        <v>41921</v>
      </c>
      <c r="B1187" s="11">
        <v>1.7944</v>
      </c>
      <c r="C1187" s="11">
        <f t="shared" si="126"/>
        <v>6.8999999999999062E-3</v>
      </c>
      <c r="D1187" s="12">
        <f t="shared" si="127"/>
        <v>4.7609999999998706E-5</v>
      </c>
      <c r="E1187" s="12">
        <f t="shared" si="128"/>
        <v>6.5609999999999936E-5</v>
      </c>
      <c r="F1187" s="12">
        <f t="shared" si="129"/>
        <v>8.3268282398477354E-5</v>
      </c>
      <c r="G1187" s="12">
        <f t="shared" si="130"/>
        <v>3.4918997182162941</v>
      </c>
      <c r="I1187" s="12">
        <f t="shared" si="131"/>
        <v>9.1251456097137078E-3</v>
      </c>
      <c r="J1187" s="12">
        <f t="shared" si="132"/>
        <v>7.4054730214398717E-3</v>
      </c>
    </row>
    <row r="1188" spans="1:10">
      <c r="A1188" s="15">
        <v>41922</v>
      </c>
      <c r="B1188" s="11">
        <v>1.8013999999999999</v>
      </c>
      <c r="C1188" s="11">
        <f t="shared" si="126"/>
        <v>6.9999999999998952E-3</v>
      </c>
      <c r="D1188" s="12">
        <f t="shared" si="127"/>
        <v>4.8999999999998535E-5</v>
      </c>
      <c r="E1188" s="12">
        <f t="shared" si="128"/>
        <v>4.7609999999998706E-5</v>
      </c>
      <c r="F1188" s="12">
        <f t="shared" si="129"/>
        <v>7.8860403990338362E-5</v>
      </c>
      <c r="G1188" s="12">
        <f t="shared" si="130"/>
        <v>3.4943015549077843</v>
      </c>
      <c r="I1188" s="12">
        <f t="shared" si="131"/>
        <v>8.8803380560842585E-3</v>
      </c>
      <c r="J1188" s="12">
        <f t="shared" si="132"/>
        <v>7.4054730214398717E-3</v>
      </c>
    </row>
    <row r="1189" spans="1:10">
      <c r="A1189" s="15">
        <v>41925</v>
      </c>
      <c r="B1189" s="11">
        <v>1.7891999999999999</v>
      </c>
      <c r="C1189" s="11">
        <f t="shared" si="126"/>
        <v>-1.2199999999999989E-2</v>
      </c>
      <c r="D1189" s="12">
        <f t="shared" si="127"/>
        <v>1.4883999999999972E-4</v>
      </c>
      <c r="E1189" s="12">
        <f t="shared" si="128"/>
        <v>4.8999999999998535E-5</v>
      </c>
      <c r="F1189" s="12">
        <f t="shared" si="129"/>
        <v>7.5184369728136498E-5</v>
      </c>
      <c r="G1189" s="12">
        <f t="shared" si="130"/>
        <v>2.8390116625827524</v>
      </c>
      <c r="I1189" s="12">
        <f t="shared" si="131"/>
        <v>8.6708920952884936E-3</v>
      </c>
      <c r="J1189" s="12">
        <f t="shared" si="132"/>
        <v>7.4054730214398717E-3</v>
      </c>
    </row>
    <row r="1190" spans="1:10">
      <c r="A1190" s="15">
        <v>41926</v>
      </c>
      <c r="B1190" s="11">
        <v>1.8031999999999999</v>
      </c>
      <c r="C1190" s="11">
        <f t="shared" si="126"/>
        <v>1.4000000000000012E-2</v>
      </c>
      <c r="D1190" s="12">
        <f t="shared" si="127"/>
        <v>1.9600000000000035E-4</v>
      </c>
      <c r="E1190" s="12">
        <f t="shared" si="128"/>
        <v>1.4883999999999972E-4</v>
      </c>
      <c r="F1190" s="12">
        <f t="shared" si="129"/>
        <v>8.0255669775764401E-5</v>
      </c>
      <c r="G1190" s="12">
        <f t="shared" si="130"/>
        <v>2.5751105045689111</v>
      </c>
      <c r="I1190" s="12">
        <f t="shared" si="131"/>
        <v>8.9585528840189586E-3</v>
      </c>
      <c r="J1190" s="12">
        <f t="shared" si="132"/>
        <v>7.4054730214398717E-3</v>
      </c>
    </row>
    <row r="1191" spans="1:10">
      <c r="A1191" s="15">
        <v>41927</v>
      </c>
      <c r="B1191" s="11">
        <v>1.7814000000000001</v>
      </c>
      <c r="C1191" s="11">
        <f t="shared" si="126"/>
        <v>-2.179999999999982E-2</v>
      </c>
      <c r="D1191" s="12">
        <f t="shared" si="127"/>
        <v>4.7523999999999212E-4</v>
      </c>
      <c r="E1191" s="12">
        <f t="shared" si="128"/>
        <v>1.9600000000000035E-4</v>
      </c>
      <c r="F1191" s="12">
        <f t="shared" si="129"/>
        <v>8.8505553388087708E-5</v>
      </c>
      <c r="G1191" s="12">
        <f t="shared" si="130"/>
        <v>1.0624808086849702</v>
      </c>
      <c r="I1191" s="12">
        <f t="shared" si="131"/>
        <v>9.407739015729959E-3</v>
      </c>
      <c r="J1191" s="12">
        <f t="shared" si="132"/>
        <v>7.4054730214398717E-3</v>
      </c>
    </row>
    <row r="1192" spans="1:10">
      <c r="A1192" s="15">
        <v>41928</v>
      </c>
      <c r="B1192" s="11">
        <v>1.7907</v>
      </c>
      <c r="C1192" s="11">
        <f t="shared" si="126"/>
        <v>9.2999999999998639E-3</v>
      </c>
      <c r="D1192" s="12">
        <f t="shared" si="127"/>
        <v>8.6489999999997473E-5</v>
      </c>
      <c r="E1192" s="12">
        <f t="shared" si="128"/>
        <v>4.7523999999999212E-4</v>
      </c>
      <c r="F1192" s="12">
        <f t="shared" si="129"/>
        <v>1.1862573190927919E-4</v>
      </c>
      <c r="G1192" s="12">
        <f t="shared" si="130"/>
        <v>3.2362801140478434</v>
      </c>
      <c r="I1192" s="12">
        <f t="shared" si="131"/>
        <v>1.0891544055333898E-2</v>
      </c>
      <c r="J1192" s="12">
        <f t="shared" si="132"/>
        <v>7.4054730214398717E-3</v>
      </c>
    </row>
    <row r="1193" spans="1:10">
      <c r="A1193" s="15">
        <v>41929</v>
      </c>
      <c r="B1193" s="11">
        <v>1.7961</v>
      </c>
      <c r="C1193" s="11">
        <f t="shared" si="126"/>
        <v>5.4000000000000714E-3</v>
      </c>
      <c r="D1193" s="12">
        <f t="shared" si="127"/>
        <v>2.9160000000000771E-5</v>
      </c>
      <c r="E1193" s="12">
        <f t="shared" si="128"/>
        <v>8.6489999999997473E-5</v>
      </c>
      <c r="F1193" s="12">
        <f t="shared" si="129"/>
        <v>1.124727678656521E-4</v>
      </c>
      <c r="G1193" s="12">
        <f t="shared" si="130"/>
        <v>3.497829794913581</v>
      </c>
      <c r="I1193" s="12">
        <f t="shared" si="131"/>
        <v>1.0605317904978243E-2</v>
      </c>
      <c r="J1193" s="12">
        <f t="shared" si="132"/>
        <v>7.4054730214398717E-3</v>
      </c>
    </row>
    <row r="1194" spans="1:10">
      <c r="A1194" s="15">
        <v>41932</v>
      </c>
      <c r="B1194" s="11">
        <v>1.7907999999999999</v>
      </c>
      <c r="C1194" s="11">
        <f t="shared" si="126"/>
        <v>-5.3000000000000824E-3</v>
      </c>
      <c r="D1194" s="12">
        <f t="shared" si="127"/>
        <v>2.8090000000000875E-5</v>
      </c>
      <c r="E1194" s="12">
        <f t="shared" si="128"/>
        <v>2.9160000000000771E-5</v>
      </c>
      <c r="F1194" s="12">
        <f t="shared" si="129"/>
        <v>1.024540881652264E-4</v>
      </c>
      <c r="G1194" s="12">
        <f t="shared" si="130"/>
        <v>3.5370235556854328</v>
      </c>
      <c r="I1194" s="12">
        <f t="shared" si="131"/>
        <v>1.0121960687792973E-2</v>
      </c>
      <c r="J1194" s="12">
        <f t="shared" si="132"/>
        <v>7.4054730214398717E-3</v>
      </c>
    </row>
    <row r="1195" spans="1:10">
      <c r="A1195" s="15">
        <v>41933</v>
      </c>
      <c r="B1195" s="11">
        <v>1.8</v>
      </c>
      <c r="C1195" s="11">
        <f t="shared" si="126"/>
        <v>9.200000000000097E-3</v>
      </c>
      <c r="D1195" s="12">
        <f t="shared" si="127"/>
        <v>8.4640000000001778E-5</v>
      </c>
      <c r="E1195" s="12">
        <f t="shared" si="128"/>
        <v>2.8090000000000875E-5</v>
      </c>
      <c r="F1195" s="12">
        <f t="shared" si="129"/>
        <v>9.3750077553508173E-5</v>
      </c>
      <c r="G1195" s="12">
        <f t="shared" si="130"/>
        <v>3.2670875324396009</v>
      </c>
      <c r="I1195" s="12">
        <f t="shared" si="131"/>
        <v>9.6824623703636557E-3</v>
      </c>
      <c r="J1195" s="12">
        <f t="shared" si="132"/>
        <v>7.4054730214398717E-3</v>
      </c>
    </row>
    <row r="1196" spans="1:10">
      <c r="A1196" s="15">
        <v>41934</v>
      </c>
      <c r="B1196" s="11">
        <v>1.8057000000000001</v>
      </c>
      <c r="C1196" s="11">
        <f t="shared" si="126"/>
        <v>5.7000000000000384E-3</v>
      </c>
      <c r="D1196" s="12">
        <f t="shared" si="127"/>
        <v>3.2490000000000436E-5</v>
      </c>
      <c r="E1196" s="12">
        <f t="shared" si="128"/>
        <v>8.4640000000001778E-5</v>
      </c>
      <c r="F1196" s="12">
        <f t="shared" si="129"/>
        <v>9.0927862775544915E-5</v>
      </c>
      <c r="G1196" s="12">
        <f t="shared" si="130"/>
        <v>3.5551253918995362</v>
      </c>
      <c r="I1196" s="12">
        <f t="shared" si="131"/>
        <v>9.5356102466252739E-3</v>
      </c>
      <c r="J1196" s="12">
        <f t="shared" si="132"/>
        <v>7.4054730214398717E-3</v>
      </c>
    </row>
    <row r="1197" spans="1:10">
      <c r="A1197" s="15">
        <v>41935</v>
      </c>
      <c r="B1197" s="11">
        <v>1.8073999999999999</v>
      </c>
      <c r="C1197" s="11">
        <f t="shared" si="126"/>
        <v>1.6999999999998128E-3</v>
      </c>
      <c r="D1197" s="12">
        <f t="shared" si="127"/>
        <v>2.8899999999993633E-6</v>
      </c>
      <c r="E1197" s="12">
        <f t="shared" si="128"/>
        <v>3.2490000000000436E-5</v>
      </c>
      <c r="F1197" s="12">
        <f t="shared" si="129"/>
        <v>8.4200664439395621E-5</v>
      </c>
      <c r="G1197" s="12">
        <f t="shared" si="130"/>
        <v>3.7550539474143383</v>
      </c>
      <c r="I1197" s="12">
        <f t="shared" si="131"/>
        <v>9.1760920025572776E-3</v>
      </c>
      <c r="J1197" s="12">
        <f t="shared" si="132"/>
        <v>7.4054730214398717E-3</v>
      </c>
    </row>
    <row r="1198" spans="1:10">
      <c r="A1198" s="15">
        <v>41936</v>
      </c>
      <c r="B1198" s="11">
        <v>1.8043</v>
      </c>
      <c r="C1198" s="11">
        <f t="shared" si="126"/>
        <v>-3.0999999999998806E-3</v>
      </c>
      <c r="D1198" s="12">
        <f t="shared" si="127"/>
        <v>9.6099999999992592E-6</v>
      </c>
      <c r="E1198" s="12">
        <f t="shared" si="128"/>
        <v>2.8899999999993633E-6</v>
      </c>
      <c r="F1198" s="12">
        <f t="shared" si="129"/>
        <v>7.5974713928904101E-5</v>
      </c>
      <c r="G1198" s="12">
        <f t="shared" si="130"/>
        <v>3.7603717252032371</v>
      </c>
      <c r="I1198" s="12">
        <f t="shared" si="131"/>
        <v>8.7163475107928153E-3</v>
      </c>
      <c r="J1198" s="12">
        <f t="shared" si="132"/>
        <v>7.4054730214398717E-3</v>
      </c>
    </row>
    <row r="1199" spans="1:10">
      <c r="A1199" s="15">
        <v>41939</v>
      </c>
      <c r="B1199" s="11">
        <v>1.8022</v>
      </c>
      <c r="C1199" s="11">
        <f t="shared" si="126"/>
        <v>-2.0999999999999908E-3</v>
      </c>
      <c r="D1199" s="12">
        <f t="shared" si="127"/>
        <v>4.4099999999999612E-6</v>
      </c>
      <c r="E1199" s="12">
        <f t="shared" si="128"/>
        <v>9.6099999999992592E-6</v>
      </c>
      <c r="F1199" s="12">
        <f t="shared" si="129"/>
        <v>6.9454745800688923E-5</v>
      </c>
      <c r="G1199" s="12">
        <f t="shared" si="130"/>
        <v>3.8367317473047766</v>
      </c>
      <c r="I1199" s="12">
        <f t="shared" si="131"/>
        <v>8.333951391788226E-3</v>
      </c>
      <c r="J1199" s="12">
        <f t="shared" si="132"/>
        <v>7.4054730214398717E-3</v>
      </c>
    </row>
    <row r="1200" spans="1:10">
      <c r="A1200" s="15">
        <v>41940</v>
      </c>
      <c r="B1200" s="11">
        <v>1.7994000000000001</v>
      </c>
      <c r="C1200" s="11">
        <f t="shared" si="126"/>
        <v>-2.7999999999999137E-3</v>
      </c>
      <c r="D1200" s="12">
        <f t="shared" si="127"/>
        <v>7.8399999999995167E-6</v>
      </c>
      <c r="E1200" s="12">
        <f t="shared" si="128"/>
        <v>4.4099999999999612E-6</v>
      </c>
      <c r="F1200" s="12">
        <f t="shared" si="129"/>
        <v>6.341897738810549E-5</v>
      </c>
      <c r="G1200" s="12">
        <f t="shared" si="130"/>
        <v>3.8521240149247449</v>
      </c>
      <c r="I1200" s="12">
        <f t="shared" si="131"/>
        <v>7.9636032917333021E-3</v>
      </c>
      <c r="J1200" s="12">
        <f t="shared" si="132"/>
        <v>7.4054730214398717E-3</v>
      </c>
    </row>
    <row r="1201" spans="1:10">
      <c r="A1201" s="15">
        <v>41941</v>
      </c>
      <c r="B1201" s="11">
        <v>1.8078000000000001</v>
      </c>
      <c r="C1201" s="11">
        <f t="shared" si="126"/>
        <v>8.3999999999999631E-3</v>
      </c>
      <c r="D1201" s="12">
        <f t="shared" si="127"/>
        <v>7.0559999999999379E-5</v>
      </c>
      <c r="E1201" s="12">
        <f t="shared" si="128"/>
        <v>7.8399999999995167E-6</v>
      </c>
      <c r="F1201" s="12">
        <f t="shared" si="129"/>
        <v>5.8511217713591888E-5</v>
      </c>
      <c r="G1201" s="12">
        <f t="shared" si="130"/>
        <v>3.351246190812164</v>
      </c>
      <c r="I1201" s="12">
        <f t="shared" si="131"/>
        <v>7.6492625601159679E-3</v>
      </c>
      <c r="J1201" s="12">
        <f t="shared" si="132"/>
        <v>7.4054730214398717E-3</v>
      </c>
    </row>
    <row r="1202" spans="1:10">
      <c r="A1202" s="15">
        <v>41942</v>
      </c>
      <c r="B1202" s="11">
        <v>1.81</v>
      </c>
      <c r="C1202" s="11">
        <f t="shared" si="126"/>
        <v>2.1999999999999797E-3</v>
      </c>
      <c r="D1202" s="12">
        <f t="shared" si="127"/>
        <v>4.8399999999999113E-6</v>
      </c>
      <c r="E1202" s="12">
        <f t="shared" si="128"/>
        <v>7.0559999999999379E-5</v>
      </c>
      <c r="F1202" s="12">
        <f t="shared" si="129"/>
        <v>5.9462435761435969E-5</v>
      </c>
      <c r="G1202" s="12">
        <f t="shared" si="130"/>
        <v>3.9054463848491761</v>
      </c>
      <c r="I1202" s="12">
        <f t="shared" si="131"/>
        <v>7.7111889979066114E-3</v>
      </c>
      <c r="J1202" s="12">
        <f t="shared" si="132"/>
        <v>7.4054730214398717E-3</v>
      </c>
    </row>
    <row r="1203" spans="1:10">
      <c r="A1203" s="15">
        <v>41943</v>
      </c>
      <c r="B1203" s="11">
        <v>1.8188</v>
      </c>
      <c r="C1203" s="11">
        <f t="shared" si="126"/>
        <v>8.799999999999919E-3</v>
      </c>
      <c r="D1203" s="12">
        <f t="shared" si="127"/>
        <v>7.7439999999998581E-5</v>
      </c>
      <c r="E1203" s="12">
        <f t="shared" si="128"/>
        <v>4.8399999999999113E-6</v>
      </c>
      <c r="F1203" s="12">
        <f t="shared" si="129"/>
        <v>5.4861330617742536E-5</v>
      </c>
      <c r="G1203" s="12">
        <f t="shared" si="130"/>
        <v>3.2806329138255736</v>
      </c>
      <c r="I1203" s="12">
        <f t="shared" si="131"/>
        <v>7.4068434989368135E-3</v>
      </c>
      <c r="J1203" s="12">
        <f t="shared" si="132"/>
        <v>7.4054730214398717E-3</v>
      </c>
    </row>
    <row r="1204" spans="1:10">
      <c r="A1204" s="15">
        <v>41946</v>
      </c>
      <c r="B1204" s="11">
        <v>1.8259000000000001</v>
      </c>
      <c r="C1204" s="11">
        <f t="shared" si="126"/>
        <v>7.1000000000001062E-3</v>
      </c>
      <c r="D1204" s="12">
        <f t="shared" si="127"/>
        <v>5.0410000000001511E-5</v>
      </c>
      <c r="E1204" s="12">
        <f t="shared" si="128"/>
        <v>7.7439999999998581E-5</v>
      </c>
      <c r="F1204" s="12">
        <f t="shared" si="129"/>
        <v>5.6890945806403668E-5</v>
      </c>
      <c r="G1204" s="12">
        <f t="shared" si="130"/>
        <v>3.5252080147750307</v>
      </c>
      <c r="I1204" s="12">
        <f t="shared" si="131"/>
        <v>7.5426086870792695E-3</v>
      </c>
      <c r="J1204" s="12">
        <f t="shared" si="132"/>
        <v>7.4054730214398717E-3</v>
      </c>
    </row>
    <row r="1205" spans="1:10">
      <c r="A1205" s="15">
        <v>41947</v>
      </c>
      <c r="B1205" s="11">
        <v>1.8168</v>
      </c>
      <c r="C1205" s="11">
        <f t="shared" si="126"/>
        <v>-9.100000000000108E-3</v>
      </c>
      <c r="D1205" s="12">
        <f t="shared" si="127"/>
        <v>8.2810000000001967E-5</v>
      </c>
      <c r="E1205" s="12">
        <f t="shared" si="128"/>
        <v>5.0410000000001511E-5</v>
      </c>
      <c r="F1205" s="12">
        <f t="shared" si="129"/>
        <v>5.6407523416443702E-5</v>
      </c>
      <c r="G1205" s="12">
        <f t="shared" si="130"/>
        <v>3.2384821765286596</v>
      </c>
      <c r="I1205" s="12">
        <f t="shared" si="131"/>
        <v>7.5104942191871566E-3</v>
      </c>
      <c r="J1205" s="12">
        <f t="shared" si="132"/>
        <v>7.4054730214398717E-3</v>
      </c>
    </row>
    <row r="1206" spans="1:10">
      <c r="A1206" s="15">
        <v>41948</v>
      </c>
      <c r="B1206" s="11">
        <v>1.8239000000000001</v>
      </c>
      <c r="C1206" s="11">
        <f t="shared" si="126"/>
        <v>7.1000000000001062E-3</v>
      </c>
      <c r="D1206" s="12">
        <f t="shared" si="127"/>
        <v>5.0410000000001511E-5</v>
      </c>
      <c r="E1206" s="12">
        <f t="shared" si="128"/>
        <v>8.2810000000001967E-5</v>
      </c>
      <c r="F1206" s="12">
        <f t="shared" si="129"/>
        <v>5.8663426133047256E-5</v>
      </c>
      <c r="G1206" s="12">
        <f t="shared" si="130"/>
        <v>3.5232540897853184</v>
      </c>
      <c r="I1206" s="12">
        <f t="shared" si="131"/>
        <v>7.6592053199432677E-3</v>
      </c>
      <c r="J1206" s="12">
        <f t="shared" si="132"/>
        <v>7.4054730214398717E-3</v>
      </c>
    </row>
    <row r="1207" spans="1:10">
      <c r="A1207" s="15">
        <v>41949</v>
      </c>
      <c r="B1207" s="11">
        <v>1.8394999999999999</v>
      </c>
      <c r="C1207" s="11">
        <f t="shared" si="126"/>
        <v>1.5599999999999836E-2</v>
      </c>
      <c r="D1207" s="12">
        <f t="shared" si="127"/>
        <v>2.4335999999999488E-4</v>
      </c>
      <c r="E1207" s="12">
        <f t="shared" si="128"/>
        <v>5.0410000000001511E-5</v>
      </c>
      <c r="F1207" s="12">
        <f t="shared" si="129"/>
        <v>5.793180629485785E-5</v>
      </c>
      <c r="G1207" s="12">
        <f t="shared" si="130"/>
        <v>1.8587828678536158</v>
      </c>
      <c r="I1207" s="12">
        <f t="shared" si="131"/>
        <v>7.6112946530046939E-3</v>
      </c>
      <c r="J1207" s="12">
        <f t="shared" si="132"/>
        <v>7.4054730214398717E-3</v>
      </c>
    </row>
    <row r="1208" spans="1:10">
      <c r="A1208" s="15">
        <v>41950</v>
      </c>
      <c r="B1208" s="11">
        <v>1.8299000000000001</v>
      </c>
      <c r="C1208" s="11">
        <f t="shared" si="126"/>
        <v>-9.5999999999998309E-3</v>
      </c>
      <c r="D1208" s="12">
        <f t="shared" si="127"/>
        <v>9.2159999999996759E-5</v>
      </c>
      <c r="E1208" s="12">
        <f t="shared" si="128"/>
        <v>2.4335999999999488E-4</v>
      </c>
      <c r="F1208" s="12">
        <f t="shared" si="129"/>
        <v>7.321286384470195E-5</v>
      </c>
      <c r="G1208" s="12">
        <f t="shared" si="130"/>
        <v>3.2127335786667905</v>
      </c>
      <c r="I1208" s="12">
        <f t="shared" si="131"/>
        <v>8.5564515919101629E-3</v>
      </c>
      <c r="J1208" s="12">
        <f t="shared" si="132"/>
        <v>7.4054730214398717E-3</v>
      </c>
    </row>
    <row r="1209" spans="1:10">
      <c r="A1209" s="15">
        <v>41953</v>
      </c>
      <c r="B1209" s="11">
        <v>1.8364</v>
      </c>
      <c r="C1209" s="11">
        <f t="shared" si="126"/>
        <v>6.4999999999999503E-3</v>
      </c>
      <c r="D1209" s="12">
        <f t="shared" si="127"/>
        <v>4.2249999999999353E-5</v>
      </c>
      <c r="E1209" s="12">
        <f t="shared" si="128"/>
        <v>9.2159999999996759E-5</v>
      </c>
      <c r="F1209" s="12">
        <f t="shared" si="129"/>
        <v>7.3886523221562461E-5</v>
      </c>
      <c r="G1209" s="12">
        <f t="shared" si="130"/>
        <v>3.5516401057265319</v>
      </c>
      <c r="I1209" s="12">
        <f t="shared" si="131"/>
        <v>8.5957270327507752E-3</v>
      </c>
      <c r="J1209" s="12">
        <f t="shared" si="132"/>
        <v>7.4054730214398717E-3</v>
      </c>
    </row>
    <row r="1210" spans="1:10">
      <c r="A1210" s="15">
        <v>41954</v>
      </c>
      <c r="B1210" s="11">
        <v>1.827</v>
      </c>
      <c r="C1210" s="11">
        <f t="shared" si="126"/>
        <v>-9.400000000000075E-3</v>
      </c>
      <c r="D1210" s="12">
        <f t="shared" si="127"/>
        <v>8.8360000000001411E-5</v>
      </c>
      <c r="E1210" s="12">
        <f t="shared" si="128"/>
        <v>4.2249999999999353E-5</v>
      </c>
      <c r="F1210" s="12">
        <f t="shared" si="129"/>
        <v>7.035038308542493E-5</v>
      </c>
      <c r="G1210" s="12">
        <f t="shared" si="130"/>
        <v>3.2340732007008905</v>
      </c>
      <c r="I1210" s="12">
        <f t="shared" si="131"/>
        <v>8.3875135222200945E-3</v>
      </c>
      <c r="J1210" s="12">
        <f t="shared" si="132"/>
        <v>7.4054730214398717E-3</v>
      </c>
    </row>
    <row r="1211" spans="1:10">
      <c r="A1211" s="15">
        <v>41955</v>
      </c>
      <c r="B1211" s="11">
        <v>1.8335999999999999</v>
      </c>
      <c r="C1211" s="11">
        <f t="shared" si="126"/>
        <v>6.5999999999999392E-3</v>
      </c>
      <c r="D1211" s="12">
        <f t="shared" si="127"/>
        <v>4.3559999999999197E-5</v>
      </c>
      <c r="E1211" s="12">
        <f t="shared" si="128"/>
        <v>8.8360000000001411E-5</v>
      </c>
      <c r="F1211" s="12">
        <f t="shared" si="129"/>
        <v>7.1111531255120249E-5</v>
      </c>
      <c r="G1211" s="12">
        <f t="shared" si="130"/>
        <v>3.5504125443366701</v>
      </c>
      <c r="I1211" s="12">
        <f t="shared" si="131"/>
        <v>8.4327653385541483E-3</v>
      </c>
      <c r="J1211" s="12">
        <f t="shared" si="132"/>
        <v>7.4054730214398717E-3</v>
      </c>
    </row>
    <row r="1212" spans="1:10">
      <c r="A1212" s="15">
        <v>41956</v>
      </c>
      <c r="B1212" s="11">
        <v>1.8318000000000001</v>
      </c>
      <c r="C1212" s="11">
        <f t="shared" si="126"/>
        <v>-1.7999999999998018E-3</v>
      </c>
      <c r="D1212" s="12">
        <f t="shared" si="127"/>
        <v>3.2399999999992863E-6</v>
      </c>
      <c r="E1212" s="12">
        <f t="shared" si="128"/>
        <v>4.3559999999999197E-5</v>
      </c>
      <c r="F1212" s="12">
        <f t="shared" si="129"/>
        <v>6.8071988291429805E-5</v>
      </c>
      <c r="G1212" s="12">
        <f t="shared" si="130"/>
        <v>3.8547355048466723</v>
      </c>
      <c r="I1212" s="12">
        <f t="shared" si="131"/>
        <v>8.250575027925618E-3</v>
      </c>
      <c r="J1212" s="12">
        <f t="shared" si="132"/>
        <v>7.4054730214398717E-3</v>
      </c>
    </row>
    <row r="1213" spans="1:10">
      <c r="A1213" s="15">
        <v>41957</v>
      </c>
      <c r="B1213" s="11">
        <v>1.8285</v>
      </c>
      <c r="C1213" s="11">
        <f t="shared" si="126"/>
        <v>-3.3000000000000806E-3</v>
      </c>
      <c r="D1213" s="12">
        <f t="shared" si="127"/>
        <v>1.0890000000000533E-5</v>
      </c>
      <c r="E1213" s="12">
        <f t="shared" si="128"/>
        <v>3.2399999999992863E-6</v>
      </c>
      <c r="F1213" s="12">
        <f t="shared" si="129"/>
        <v>6.2133369484298364E-5</v>
      </c>
      <c r="G1213" s="12">
        <f t="shared" si="130"/>
        <v>3.8365410715013768</v>
      </c>
      <c r="I1213" s="12">
        <f t="shared" si="131"/>
        <v>7.8824722951811484E-3</v>
      </c>
      <c r="J1213" s="12">
        <f t="shared" si="132"/>
        <v>7.4054730214398717E-3</v>
      </c>
    </row>
    <row r="1214" spans="1:10">
      <c r="A1214" s="15">
        <v>41960</v>
      </c>
      <c r="B1214" s="11">
        <v>1.8352999999999999</v>
      </c>
      <c r="C1214" s="11">
        <f t="shared" si="126"/>
        <v>6.7999999999999172E-3</v>
      </c>
      <c r="D1214" s="12">
        <f t="shared" si="127"/>
        <v>4.6239999999998873E-5</v>
      </c>
      <c r="E1214" s="12">
        <f t="shared" si="128"/>
        <v>1.0890000000000533E-5</v>
      </c>
      <c r="F1214" s="12">
        <f t="shared" si="129"/>
        <v>5.7657127577547573E-5</v>
      </c>
      <c r="G1214" s="12">
        <f t="shared" si="130"/>
        <v>3.5605686146396178</v>
      </c>
      <c r="I1214" s="12">
        <f t="shared" si="131"/>
        <v>7.5932290613116345E-3</v>
      </c>
      <c r="J1214" s="12">
        <f t="shared" si="132"/>
        <v>7.4054730214398717E-3</v>
      </c>
    </row>
    <row r="1215" spans="1:10">
      <c r="A1215" s="15">
        <v>41961</v>
      </c>
      <c r="B1215" s="11">
        <v>1.8292999999999999</v>
      </c>
      <c r="C1215" s="11">
        <f t="shared" si="126"/>
        <v>-6.0000000000000053E-3</v>
      </c>
      <c r="D1215" s="12">
        <f t="shared" si="127"/>
        <v>3.6000000000000062E-5</v>
      </c>
      <c r="E1215" s="12">
        <f t="shared" si="128"/>
        <v>4.6239999999998873E-5</v>
      </c>
      <c r="F1215" s="12">
        <f t="shared" si="129"/>
        <v>5.6722569069476902E-5</v>
      </c>
      <c r="G1215" s="12">
        <f t="shared" si="130"/>
        <v>3.6523966461411899</v>
      </c>
      <c r="I1215" s="12">
        <f t="shared" si="131"/>
        <v>7.5314387117918517E-3</v>
      </c>
      <c r="J1215" s="12">
        <f t="shared" si="132"/>
        <v>7.4054730214398717E-3</v>
      </c>
    </row>
    <row r="1216" spans="1:10">
      <c r="A1216" s="15">
        <v>41962</v>
      </c>
      <c r="B1216" s="11">
        <v>1.8257000000000001</v>
      </c>
      <c r="C1216" s="11">
        <f t="shared" si="126"/>
        <v>-3.5999999999998256E-3</v>
      </c>
      <c r="D1216" s="12">
        <f t="shared" si="127"/>
        <v>1.2959999999998744E-5</v>
      </c>
      <c r="E1216" s="12">
        <f t="shared" si="128"/>
        <v>3.6000000000000062E-5</v>
      </c>
      <c r="F1216" s="12">
        <f t="shared" si="129"/>
        <v>5.5074507489430289E-5</v>
      </c>
      <c r="G1216" s="12">
        <f t="shared" si="130"/>
        <v>3.8668144717234352</v>
      </c>
      <c r="I1216" s="12">
        <f t="shared" si="131"/>
        <v>7.4212200809186547E-3</v>
      </c>
      <c r="J1216" s="12">
        <f t="shared" si="132"/>
        <v>7.4054730214398717E-3</v>
      </c>
    </row>
    <row r="1217" spans="1:10">
      <c r="A1217" s="15">
        <v>41963</v>
      </c>
      <c r="B1217" s="11">
        <v>1.8286</v>
      </c>
      <c r="C1217" s="11">
        <f t="shared" si="126"/>
        <v>2.8999999999999027E-3</v>
      </c>
      <c r="D1217" s="12">
        <f t="shared" si="127"/>
        <v>8.409999999999435E-6</v>
      </c>
      <c r="E1217" s="12">
        <f t="shared" si="128"/>
        <v>1.2959999999998744E-5</v>
      </c>
      <c r="F1217" s="12">
        <f t="shared" si="129"/>
        <v>5.175739381013519E-5</v>
      </c>
      <c r="G1217" s="12">
        <f t="shared" si="130"/>
        <v>3.9342886588381591</v>
      </c>
      <c r="I1217" s="12">
        <f t="shared" si="131"/>
        <v>7.1942611719435926E-3</v>
      </c>
      <c r="J1217" s="12">
        <f t="shared" si="132"/>
        <v>7.4054730214398717E-3</v>
      </c>
    </row>
    <row r="1218" spans="1:10">
      <c r="A1218" s="15">
        <v>41964</v>
      </c>
      <c r="B1218" s="11">
        <v>1.8374999999999999</v>
      </c>
      <c r="C1218" s="11">
        <f t="shared" si="126"/>
        <v>8.899999999999908E-3</v>
      </c>
      <c r="D1218" s="12">
        <f t="shared" si="127"/>
        <v>7.9209999999998356E-5</v>
      </c>
      <c r="E1218" s="12">
        <f t="shared" si="128"/>
        <v>8.409999999999435E-6</v>
      </c>
      <c r="F1218" s="12">
        <f t="shared" si="129"/>
        <v>4.852958706937223E-5</v>
      </c>
      <c r="G1218" s="12">
        <f t="shared" si="130"/>
        <v>3.2316298288125891</v>
      </c>
      <c r="I1218" s="12">
        <f t="shared" si="131"/>
        <v>6.9663180425079815E-3</v>
      </c>
      <c r="J1218" s="12">
        <f t="shared" si="132"/>
        <v>7.4054730214398717E-3</v>
      </c>
    </row>
    <row r="1219" spans="1:10">
      <c r="A1219" s="15">
        <v>41967</v>
      </c>
      <c r="B1219" s="11">
        <v>1.8406</v>
      </c>
      <c r="C1219" s="11">
        <f t="shared" si="126"/>
        <v>3.1000000000001027E-3</v>
      </c>
      <c r="D1219" s="12">
        <f t="shared" si="127"/>
        <v>9.6100000000006364E-6</v>
      </c>
      <c r="E1219" s="12">
        <f t="shared" si="128"/>
        <v>7.9209999999998356E-5</v>
      </c>
      <c r="F1219" s="12">
        <f t="shared" si="129"/>
        <v>5.1591775972658072E-5</v>
      </c>
      <c r="G1219" s="12">
        <f t="shared" si="130"/>
        <v>3.9240005997561083</v>
      </c>
      <c r="I1219" s="12">
        <f t="shared" si="131"/>
        <v>7.182741535977615E-3</v>
      </c>
      <c r="J1219" s="12">
        <f t="shared" si="132"/>
        <v>7.4054730214398717E-3</v>
      </c>
    </row>
    <row r="1220" spans="1:10">
      <c r="A1220" s="15">
        <v>41968</v>
      </c>
      <c r="B1220" s="11">
        <v>1.8353999999999999</v>
      </c>
      <c r="C1220" s="11">
        <f t="shared" si="126"/>
        <v>-5.2000000000000934E-3</v>
      </c>
      <c r="D1220" s="12">
        <f t="shared" si="127"/>
        <v>2.7040000000000971E-5</v>
      </c>
      <c r="E1220" s="12">
        <f t="shared" si="128"/>
        <v>9.6100000000006364E-6</v>
      </c>
      <c r="F1220" s="12">
        <f t="shared" si="129"/>
        <v>4.8486109763684527E-5</v>
      </c>
      <c r="G1220" s="12">
        <f t="shared" si="130"/>
        <v>3.7693353120221471</v>
      </c>
      <c r="I1220" s="12">
        <f t="shared" si="131"/>
        <v>6.9631968063300154E-3</v>
      </c>
      <c r="J1220" s="12">
        <f t="shared" si="132"/>
        <v>7.4054730214398717E-3</v>
      </c>
    </row>
    <row r="1221" spans="1:10">
      <c r="A1221" s="15">
        <v>41969</v>
      </c>
      <c r="B1221" s="11">
        <v>1.835</v>
      </c>
      <c r="C1221" s="11">
        <f t="shared" si="126"/>
        <v>-3.9999999999995595E-4</v>
      </c>
      <c r="D1221" s="12">
        <f t="shared" si="127"/>
        <v>1.5999999999996475E-7</v>
      </c>
      <c r="E1221" s="12">
        <f t="shared" si="128"/>
        <v>2.7040000000000971E-5</v>
      </c>
      <c r="F1221" s="12">
        <f t="shared" si="129"/>
        <v>4.7252564003911277E-5</v>
      </c>
      <c r="G1221" s="12">
        <f t="shared" si="130"/>
        <v>4.0593702500193096</v>
      </c>
      <c r="I1221" s="12">
        <f t="shared" si="131"/>
        <v>6.8740500437450463E-3</v>
      </c>
      <c r="J1221" s="12">
        <f t="shared" si="132"/>
        <v>7.4054730214398717E-3</v>
      </c>
    </row>
    <row r="1222" spans="1:10">
      <c r="A1222" s="15">
        <v>41970</v>
      </c>
      <c r="B1222" s="11">
        <v>1.8412999999999999</v>
      </c>
      <c r="C1222" s="11">
        <f t="shared" si="126"/>
        <v>6.2999999999999723E-3</v>
      </c>
      <c r="D1222" s="12">
        <f t="shared" si="127"/>
        <v>3.9689999999999649E-5</v>
      </c>
      <c r="E1222" s="12">
        <f t="shared" si="128"/>
        <v>1.5999999999996475E-7</v>
      </c>
      <c r="F1222" s="12">
        <f t="shared" si="129"/>
        <v>4.3975284289759626E-5</v>
      </c>
      <c r="G1222" s="12">
        <f t="shared" si="130"/>
        <v>3.6457266422273351</v>
      </c>
      <c r="I1222" s="12">
        <f t="shared" si="131"/>
        <v>6.6313863022568389E-3</v>
      </c>
      <c r="J1222" s="12">
        <f t="shared" si="132"/>
        <v>7.4054730214398717E-3</v>
      </c>
    </row>
    <row r="1223" spans="1:10">
      <c r="A1223" s="15">
        <v>41971</v>
      </c>
      <c r="B1223" s="11">
        <v>1.8431999999999999</v>
      </c>
      <c r="C1223" s="11">
        <f t="shared" si="126"/>
        <v>1.9000000000000128E-3</v>
      </c>
      <c r="D1223" s="12">
        <f t="shared" si="127"/>
        <v>3.6100000000000484E-6</v>
      </c>
      <c r="E1223" s="12">
        <f t="shared" si="128"/>
        <v>3.9689999999999649E-5</v>
      </c>
      <c r="F1223" s="12">
        <f t="shared" si="129"/>
        <v>4.4416472855968685E-5</v>
      </c>
      <c r="G1223" s="12">
        <f t="shared" si="130"/>
        <v>4.0513734569312057</v>
      </c>
      <c r="I1223" s="12">
        <f t="shared" si="131"/>
        <v>6.6645684673479564E-3</v>
      </c>
      <c r="J1223" s="12">
        <f t="shared" si="132"/>
        <v>7.4054730214398717E-3</v>
      </c>
    </row>
    <row r="1224" spans="1:10">
      <c r="A1224" s="15">
        <v>41974</v>
      </c>
      <c r="B1224" s="11">
        <v>1.841</v>
      </c>
      <c r="C1224" s="11">
        <f t="shared" si="126"/>
        <v>-2.1999999999999797E-3</v>
      </c>
      <c r="D1224" s="12">
        <f t="shared" si="127"/>
        <v>4.8399999999999113E-6</v>
      </c>
      <c r="E1224" s="12">
        <f t="shared" si="128"/>
        <v>3.6100000000000484E-6</v>
      </c>
      <c r="F1224" s="12">
        <f t="shared" si="129"/>
        <v>4.1820805593133241E-5</v>
      </c>
      <c r="G1224" s="12">
        <f t="shared" si="130"/>
        <v>4.0642538252433296</v>
      </c>
      <c r="I1224" s="12">
        <f t="shared" si="131"/>
        <v>6.4669007718638483E-3</v>
      </c>
      <c r="J1224" s="12">
        <f t="shared" si="132"/>
        <v>7.4054730214398717E-3</v>
      </c>
    </row>
    <row r="1225" spans="1:10">
      <c r="A1225" s="15">
        <v>41975</v>
      </c>
      <c r="B1225" s="11">
        <v>1.8468</v>
      </c>
      <c r="C1225" s="11">
        <f t="shared" si="126"/>
        <v>5.8000000000000274E-3</v>
      </c>
      <c r="D1225" s="12">
        <f t="shared" si="127"/>
        <v>3.3640000000000315E-5</v>
      </c>
      <c r="E1225" s="12">
        <f t="shared" si="128"/>
        <v>4.8399999999999113E-6</v>
      </c>
      <c r="F1225" s="12">
        <f t="shared" si="129"/>
        <v>3.9690028342258615E-5</v>
      </c>
      <c r="G1225" s="12">
        <f t="shared" si="130"/>
        <v>3.724482722022338</v>
      </c>
      <c r="I1225" s="12">
        <f t="shared" si="131"/>
        <v>6.3000022493852025E-3</v>
      </c>
      <c r="J1225" s="12">
        <f t="shared" si="132"/>
        <v>7.4054730214398717E-3</v>
      </c>
    </row>
    <row r="1226" spans="1:10">
      <c r="A1226" s="15">
        <v>41976</v>
      </c>
      <c r="B1226" s="11">
        <v>1.8567</v>
      </c>
      <c r="C1226" s="11">
        <f t="shared" si="126"/>
        <v>9.9000000000000199E-3</v>
      </c>
      <c r="D1226" s="12">
        <f t="shared" si="127"/>
        <v>9.8010000000000398E-5</v>
      </c>
      <c r="E1226" s="12">
        <f t="shared" si="128"/>
        <v>3.3640000000000315E-5</v>
      </c>
      <c r="F1226" s="12">
        <f t="shared" si="129"/>
        <v>4.0232404505913855E-5</v>
      </c>
      <c r="G1226" s="12">
        <f t="shared" si="130"/>
        <v>2.9234323579281951</v>
      </c>
      <c r="I1226" s="12">
        <f t="shared" si="131"/>
        <v>6.3429018994395504E-3</v>
      </c>
      <c r="J1226" s="12">
        <f t="shared" si="132"/>
        <v>7.4054730214398717E-3</v>
      </c>
    </row>
    <row r="1227" spans="1:10">
      <c r="A1227" s="15">
        <v>41977</v>
      </c>
      <c r="B1227" s="11">
        <v>1.8542000000000001</v>
      </c>
      <c r="C1227" s="11">
        <f t="shared" si="126"/>
        <v>-2.4999999999999467E-3</v>
      </c>
      <c r="D1227" s="12">
        <f t="shared" si="127"/>
        <v>6.2499999999997335E-6</v>
      </c>
      <c r="E1227" s="12">
        <f t="shared" si="128"/>
        <v>9.8010000000000398E-5</v>
      </c>
      <c r="F1227" s="12">
        <f t="shared" si="129"/>
        <v>4.600664035631327E-5</v>
      </c>
      <c r="G1227" s="12">
        <f t="shared" si="130"/>
        <v>4.0064988903098753</v>
      </c>
      <c r="I1227" s="12">
        <f t="shared" si="131"/>
        <v>6.7828194990220162E-3</v>
      </c>
      <c r="J1227" s="12">
        <f t="shared" si="132"/>
        <v>7.4054730214398717E-3</v>
      </c>
    </row>
    <row r="1228" spans="1:10">
      <c r="A1228" s="15">
        <v>41978</v>
      </c>
      <c r="B1228" s="11">
        <v>1.8552</v>
      </c>
      <c r="C1228" s="11">
        <f t="shared" si="126"/>
        <v>9.9999999999988987E-4</v>
      </c>
      <c r="D1228" s="12">
        <f t="shared" si="127"/>
        <v>9.9999999999977973E-7</v>
      </c>
      <c r="E1228" s="12">
        <f t="shared" si="128"/>
        <v>6.2499999999997335E-6</v>
      </c>
      <c r="F1228" s="12">
        <f t="shared" si="129"/>
        <v>4.3405993160767746E-5</v>
      </c>
      <c r="G1228" s="12">
        <f t="shared" si="130"/>
        <v>4.0919988303400752</v>
      </c>
      <c r="I1228" s="12">
        <f t="shared" si="131"/>
        <v>6.5883224845758532E-3</v>
      </c>
      <c r="J1228" s="12">
        <f t="shared" si="132"/>
        <v>7.4054730214398717E-3</v>
      </c>
    </row>
    <row r="1229" spans="1:10">
      <c r="A1229" s="15">
        <v>41981</v>
      </c>
      <c r="B1229" s="11">
        <v>1.8589</v>
      </c>
      <c r="C1229" s="11">
        <f t="shared" si="126"/>
        <v>3.7000000000000366E-3</v>
      </c>
      <c r="D1229" s="12">
        <f t="shared" si="127"/>
        <v>1.369000000000027E-5</v>
      </c>
      <c r="E1229" s="12">
        <f t="shared" si="128"/>
        <v>9.9999999999977973E-7</v>
      </c>
      <c r="F1229" s="12">
        <f t="shared" si="129"/>
        <v>4.0736606852840675E-5</v>
      </c>
      <c r="G1229" s="12">
        <f t="shared" si="130"/>
        <v>3.9672224925251065</v>
      </c>
      <c r="I1229" s="12">
        <f t="shared" si="131"/>
        <v>6.3825235489452506E-3</v>
      </c>
      <c r="J1229" s="12">
        <f t="shared" si="132"/>
        <v>7.4054730214398717E-3</v>
      </c>
    </row>
    <row r="1230" spans="1:10">
      <c r="A1230" s="15">
        <v>41982</v>
      </c>
      <c r="B1230" s="11">
        <v>1.8537999999999999</v>
      </c>
      <c r="C1230" s="11">
        <f t="shared" ref="C1230:C1293" si="133">B1230-B1229</f>
        <v>-5.1000000000001044E-3</v>
      </c>
      <c r="D1230" s="12">
        <f t="shared" ref="D1230:D1293" si="134">C1230^2</f>
        <v>2.6010000000001064E-5</v>
      </c>
      <c r="E1230" s="12">
        <f t="shared" si="128"/>
        <v>1.369000000000027E-5</v>
      </c>
      <c r="F1230" s="12">
        <f t="shared" si="129"/>
        <v>3.9487399543471451E-5</v>
      </c>
      <c r="G1230" s="12">
        <f t="shared" si="130"/>
        <v>3.8214803601301206</v>
      </c>
      <c r="I1230" s="12">
        <f t="shared" si="131"/>
        <v>6.2839000265337971E-3</v>
      </c>
      <c r="J1230" s="12">
        <f t="shared" si="132"/>
        <v>7.4054730214398717E-3</v>
      </c>
    </row>
    <row r="1231" spans="1:10">
      <c r="A1231" s="15">
        <v>41983</v>
      </c>
      <c r="B1231" s="11">
        <v>1.8512999999999999</v>
      </c>
      <c r="C1231" s="11">
        <f t="shared" si="133"/>
        <v>-2.4999999999999467E-3</v>
      </c>
      <c r="D1231" s="12">
        <f t="shared" si="134"/>
        <v>6.2499999999997335E-6</v>
      </c>
      <c r="E1231" s="12">
        <f t="shared" ref="E1231:E1294" si="135">D1230</f>
        <v>2.6010000000001064E-5</v>
      </c>
      <c r="F1231" s="12">
        <f t="shared" ref="F1231:F1294" si="136">$B$5+$B$6*E1231+$B$7*F1230</f>
        <v>3.9428996567726727E-5</v>
      </c>
      <c r="G1231" s="12">
        <f t="shared" ref="G1231:G1294" si="137">LN((1/SQRT(2*3.1415927*F1231))*EXP(-0.5*D1231/F1231))</f>
        <v>4.0723095970382035</v>
      </c>
      <c r="I1231" s="12">
        <f t="shared" ref="I1231:I1294" si="138">SQRT(F1231)</f>
        <v>6.2792512744535654E-3</v>
      </c>
      <c r="J1231" s="12">
        <f t="shared" si="132"/>
        <v>7.4054730214398717E-3</v>
      </c>
    </row>
    <row r="1232" spans="1:10">
      <c r="A1232" s="15">
        <v>41984</v>
      </c>
      <c r="B1232" s="11">
        <v>1.8540000000000001</v>
      </c>
      <c r="C1232" s="11">
        <f t="shared" si="133"/>
        <v>2.7000000000001467E-3</v>
      </c>
      <c r="D1232" s="12">
        <f t="shared" si="134"/>
        <v>7.2900000000007925E-6</v>
      </c>
      <c r="E1232" s="12">
        <f t="shared" si="135"/>
        <v>6.2499999999997335E-6</v>
      </c>
      <c r="F1232" s="12">
        <f t="shared" si="136"/>
        <v>3.7749405803188735E-5</v>
      </c>
      <c r="G1232" s="12">
        <f t="shared" si="137"/>
        <v>4.0767740595210151</v>
      </c>
      <c r="I1232" s="12">
        <f t="shared" si="138"/>
        <v>6.144054508481247E-3</v>
      </c>
      <c r="J1232" s="12">
        <f t="shared" ref="J1232:J1295" si="139">J1231</f>
        <v>7.4054730214398717E-3</v>
      </c>
    </row>
    <row r="1233" spans="1:10">
      <c r="A1233" s="15">
        <v>41985</v>
      </c>
      <c r="B1233" s="11">
        <v>1.8465</v>
      </c>
      <c r="C1233" s="11">
        <f t="shared" si="133"/>
        <v>-7.5000000000000622E-3</v>
      </c>
      <c r="D1233" s="12">
        <f t="shared" si="134"/>
        <v>5.6250000000000934E-5</v>
      </c>
      <c r="E1233" s="12">
        <f t="shared" si="135"/>
        <v>7.2900000000007925E-6</v>
      </c>
      <c r="F1233" s="12">
        <f t="shared" si="136"/>
        <v>3.6390761415117888E-5</v>
      </c>
      <c r="G1233" s="12">
        <f t="shared" si="137"/>
        <v>3.4187982779065096</v>
      </c>
      <c r="I1233" s="12">
        <f t="shared" si="138"/>
        <v>6.0324755627451897E-3</v>
      </c>
      <c r="J1233" s="12">
        <f t="shared" si="139"/>
        <v>7.4054730214398717E-3</v>
      </c>
    </row>
    <row r="1234" spans="1:10">
      <c r="A1234" s="15">
        <v>41988</v>
      </c>
      <c r="B1234" s="11">
        <v>1.8514999999999999</v>
      </c>
      <c r="C1234" s="11">
        <f t="shared" si="133"/>
        <v>4.9999999999998934E-3</v>
      </c>
      <c r="D1234" s="12">
        <f t="shared" si="134"/>
        <v>2.4999999999998934E-5</v>
      </c>
      <c r="E1234" s="12">
        <f t="shared" si="135"/>
        <v>5.6250000000000934E-5</v>
      </c>
      <c r="F1234" s="12">
        <f t="shared" si="136"/>
        <v>3.9259498945559176E-5</v>
      </c>
      <c r="G1234" s="12">
        <f t="shared" si="137"/>
        <v>3.8353257426920693</v>
      </c>
      <c r="I1234" s="12">
        <f t="shared" si="138"/>
        <v>6.2657400955959848E-3</v>
      </c>
      <c r="J1234" s="12">
        <f t="shared" si="139"/>
        <v>7.4054730214398717E-3</v>
      </c>
    </row>
    <row r="1235" spans="1:10">
      <c r="A1235" s="15">
        <v>41989</v>
      </c>
      <c r="B1235" s="11">
        <v>1.8402000000000001</v>
      </c>
      <c r="C1235" s="11">
        <f t="shared" si="133"/>
        <v>-1.1299999999999866E-2</v>
      </c>
      <c r="D1235" s="12">
        <f t="shared" si="134"/>
        <v>1.2768999999999696E-4</v>
      </c>
      <c r="E1235" s="12">
        <f t="shared" si="135"/>
        <v>2.4999999999998934E-5</v>
      </c>
      <c r="F1235" s="12">
        <f t="shared" si="136"/>
        <v>3.9149726144140674E-5</v>
      </c>
      <c r="G1235" s="12">
        <f t="shared" si="137"/>
        <v>2.5243295623421629</v>
      </c>
      <c r="I1235" s="12">
        <f t="shared" si="138"/>
        <v>6.256974200373586E-3</v>
      </c>
      <c r="J1235" s="12">
        <f t="shared" si="139"/>
        <v>7.4054730214398717E-3</v>
      </c>
    </row>
    <row r="1236" spans="1:10">
      <c r="A1236" s="15">
        <v>41990</v>
      </c>
      <c r="B1236" s="11">
        <v>1.8605</v>
      </c>
      <c r="C1236" s="11">
        <f t="shared" si="133"/>
        <v>2.0299999999999985E-2</v>
      </c>
      <c r="D1236" s="12">
        <f t="shared" si="134"/>
        <v>4.120899999999994E-4</v>
      </c>
      <c r="E1236" s="12">
        <f t="shared" si="135"/>
        <v>1.2768999999999696E-4</v>
      </c>
      <c r="F1236" s="12">
        <f t="shared" si="136"/>
        <v>4.7522914731017159E-5</v>
      </c>
      <c r="G1236" s="12">
        <f t="shared" si="137"/>
        <v>-0.27748713296954008</v>
      </c>
      <c r="I1236" s="12">
        <f t="shared" si="138"/>
        <v>6.8936865849135581E-3</v>
      </c>
      <c r="J1236" s="12">
        <f t="shared" si="139"/>
        <v>7.4054730214398717E-3</v>
      </c>
    </row>
    <row r="1237" spans="1:10">
      <c r="A1237" s="15">
        <v>41991</v>
      </c>
      <c r="B1237" s="11">
        <v>1.8673</v>
      </c>
      <c r="C1237" s="11">
        <f t="shared" si="133"/>
        <v>6.7999999999999172E-3</v>
      </c>
      <c r="D1237" s="12">
        <f t="shared" si="134"/>
        <v>4.6239999999998873E-5</v>
      </c>
      <c r="E1237" s="12">
        <f t="shared" si="135"/>
        <v>4.120899999999994E-4</v>
      </c>
      <c r="F1237" s="12">
        <f t="shared" si="136"/>
        <v>7.8174614215822925E-5</v>
      </c>
      <c r="G1237" s="12">
        <f t="shared" si="137"/>
        <v>3.5135960725853752</v>
      </c>
      <c r="I1237" s="12">
        <f t="shared" si="138"/>
        <v>8.8416409232575672E-3</v>
      </c>
      <c r="J1237" s="12">
        <f t="shared" si="139"/>
        <v>7.4054730214398717E-3</v>
      </c>
    </row>
    <row r="1238" spans="1:10">
      <c r="A1238" s="15">
        <v>41992</v>
      </c>
      <c r="B1238" s="11">
        <v>1.8594999999999999</v>
      </c>
      <c r="C1238" s="11">
        <f t="shared" si="133"/>
        <v>-7.8000000000000291E-3</v>
      </c>
      <c r="D1238" s="12">
        <f t="shared" si="134"/>
        <v>6.0840000000000454E-5</v>
      </c>
      <c r="E1238" s="12">
        <f t="shared" si="135"/>
        <v>4.6239999999998873E-5</v>
      </c>
      <c r="F1238" s="12">
        <f t="shared" si="136"/>
        <v>7.4367026455379867E-5</v>
      </c>
      <c r="G1238" s="12">
        <f t="shared" si="137"/>
        <v>3.4252581562344155</v>
      </c>
      <c r="I1238" s="12">
        <f t="shared" si="138"/>
        <v>8.6236318599172516E-3</v>
      </c>
      <c r="J1238" s="12">
        <f t="shared" si="139"/>
        <v>7.4054730214398717E-3</v>
      </c>
    </row>
    <row r="1239" spans="1:10">
      <c r="A1239" s="15">
        <v>41995</v>
      </c>
      <c r="B1239" s="11">
        <v>1.8701000000000001</v>
      </c>
      <c r="C1239" s="11">
        <f t="shared" si="133"/>
        <v>1.0600000000000165E-2</v>
      </c>
      <c r="D1239" s="12">
        <f t="shared" si="134"/>
        <v>1.123600000000035E-4</v>
      </c>
      <c r="E1239" s="12">
        <f t="shared" si="135"/>
        <v>6.0840000000000454E-5</v>
      </c>
      <c r="F1239" s="12">
        <f t="shared" si="136"/>
        <v>7.2296492506525756E-5</v>
      </c>
      <c r="G1239" s="12">
        <f t="shared" si="137"/>
        <v>3.0713511218575471</v>
      </c>
      <c r="I1239" s="12">
        <f t="shared" si="138"/>
        <v>8.5027344135005043E-3</v>
      </c>
      <c r="J1239" s="12">
        <f t="shared" si="139"/>
        <v>7.4054730214398717E-3</v>
      </c>
    </row>
    <row r="1240" spans="1:10">
      <c r="A1240" s="15">
        <v>41996</v>
      </c>
      <c r="B1240" s="11">
        <v>1.8729</v>
      </c>
      <c r="C1240" s="11">
        <f t="shared" si="133"/>
        <v>2.7999999999999137E-3</v>
      </c>
      <c r="D1240" s="12">
        <f t="shared" si="134"/>
        <v>7.8399999999995167E-6</v>
      </c>
      <c r="E1240" s="12">
        <f t="shared" si="135"/>
        <v>1.123600000000035E-4</v>
      </c>
      <c r="F1240" s="12">
        <f t="shared" si="136"/>
        <v>7.4764117110980897E-5</v>
      </c>
      <c r="G1240" s="12">
        <f t="shared" si="137"/>
        <v>3.7792161428675874</v>
      </c>
      <c r="I1240" s="12">
        <f t="shared" si="138"/>
        <v>8.6466246079600854E-3</v>
      </c>
      <c r="J1240" s="12">
        <f t="shared" si="139"/>
        <v>7.4054730214398717E-3</v>
      </c>
    </row>
    <row r="1241" spans="1:10">
      <c r="A1241" s="15">
        <v>41997</v>
      </c>
      <c r="B1241" s="11">
        <v>1.8643000000000001</v>
      </c>
      <c r="C1241" s="11">
        <f t="shared" si="133"/>
        <v>-8.599999999999941E-3</v>
      </c>
      <c r="D1241" s="12">
        <f t="shared" si="134"/>
        <v>7.3959999999998987E-5</v>
      </c>
      <c r="E1241" s="12">
        <f t="shared" si="135"/>
        <v>7.8399999999995167E-6</v>
      </c>
      <c r="F1241" s="12">
        <f t="shared" si="136"/>
        <v>6.8267716543422079E-5</v>
      </c>
      <c r="G1241" s="12">
        <f t="shared" si="137"/>
        <v>3.3354073586179851</v>
      </c>
      <c r="I1241" s="12">
        <f t="shared" si="138"/>
        <v>8.2624280053397187E-3</v>
      </c>
      <c r="J1241" s="12">
        <f t="shared" si="139"/>
        <v>7.4054730214398717E-3</v>
      </c>
    </row>
    <row r="1242" spans="1:10">
      <c r="A1242" s="15">
        <v>41998</v>
      </c>
      <c r="B1242" s="11">
        <v>1.859</v>
      </c>
      <c r="C1242" s="11">
        <f t="shared" si="133"/>
        <v>-5.3000000000000824E-3</v>
      </c>
      <c r="D1242" s="12">
        <f t="shared" si="134"/>
        <v>2.8090000000000875E-5</v>
      </c>
      <c r="E1242" s="12">
        <f t="shared" si="135"/>
        <v>7.3959999999998987E-5</v>
      </c>
      <c r="F1242" s="12">
        <f t="shared" si="136"/>
        <v>6.8133104892617791E-5</v>
      </c>
      <c r="G1242" s="12">
        <f t="shared" si="137"/>
        <v>3.6719445171069016</v>
      </c>
      <c r="I1242" s="12">
        <f t="shared" si="138"/>
        <v>8.2542779752451875E-3</v>
      </c>
      <c r="J1242" s="12">
        <f t="shared" si="139"/>
        <v>7.4054730214398717E-3</v>
      </c>
    </row>
    <row r="1243" spans="1:10">
      <c r="A1243" s="15">
        <v>41999</v>
      </c>
      <c r="B1243" s="11">
        <v>1.8615999999999999</v>
      </c>
      <c r="C1243" s="11">
        <f t="shared" si="133"/>
        <v>2.5999999999999357E-3</v>
      </c>
      <c r="D1243" s="12">
        <f t="shared" si="134"/>
        <v>6.7599999999996659E-6</v>
      </c>
      <c r="E1243" s="12">
        <f t="shared" si="135"/>
        <v>2.8090000000000875E-5</v>
      </c>
      <c r="F1243" s="12">
        <f t="shared" si="136"/>
        <v>6.4235004022711672E-5</v>
      </c>
      <c r="G1243" s="12">
        <f t="shared" si="137"/>
        <v>3.8549233050822305</v>
      </c>
      <c r="I1243" s="12">
        <f t="shared" si="138"/>
        <v>8.0146742929898072E-3</v>
      </c>
      <c r="J1243" s="12">
        <f t="shared" si="139"/>
        <v>7.4054730214398717E-3</v>
      </c>
    </row>
    <row r="1244" spans="1:10">
      <c r="A1244" s="15">
        <v>42002</v>
      </c>
      <c r="B1244" s="11">
        <v>1.8652</v>
      </c>
      <c r="C1244" s="11">
        <f t="shared" si="133"/>
        <v>3.6000000000000476E-3</v>
      </c>
      <c r="D1244" s="12">
        <f t="shared" si="134"/>
        <v>1.2960000000000343E-5</v>
      </c>
      <c r="E1244" s="12">
        <f t="shared" si="135"/>
        <v>6.7599999999996659E-6</v>
      </c>
      <c r="F1244" s="12">
        <f t="shared" si="136"/>
        <v>5.9123923097454347E-5</v>
      </c>
      <c r="G1244" s="12">
        <f t="shared" si="137"/>
        <v>3.8393986171385581</v>
      </c>
      <c r="I1244" s="12">
        <f t="shared" si="138"/>
        <v>7.6892082230522506E-3</v>
      </c>
      <c r="J1244" s="12">
        <f t="shared" si="139"/>
        <v>7.4054730214398717E-3</v>
      </c>
    </row>
    <row r="1245" spans="1:10">
      <c r="A1245" s="15">
        <v>42003</v>
      </c>
      <c r="B1245" s="11">
        <v>1.8627</v>
      </c>
      <c r="C1245" s="11">
        <f t="shared" si="133"/>
        <v>-2.4999999999999467E-3</v>
      </c>
      <c r="D1245" s="12">
        <f t="shared" si="134"/>
        <v>6.2499999999997335E-6</v>
      </c>
      <c r="E1245" s="12">
        <f t="shared" si="135"/>
        <v>1.2960000000000343E-5</v>
      </c>
      <c r="F1245" s="12">
        <f t="shared" si="136"/>
        <v>5.523977654020624E-5</v>
      </c>
      <c r="G1245" s="12">
        <f t="shared" si="137"/>
        <v>3.9264035427782749</v>
      </c>
      <c r="I1245" s="12">
        <f t="shared" si="138"/>
        <v>7.4323466375167298E-3</v>
      </c>
      <c r="J1245" s="12">
        <f t="shared" si="139"/>
        <v>7.4054730214398717E-3</v>
      </c>
    </row>
    <row r="1246" spans="1:10">
      <c r="A1246" s="15">
        <v>42004</v>
      </c>
      <c r="B1246" s="11">
        <v>1.8637999999999999</v>
      </c>
      <c r="C1246" s="11">
        <f t="shared" si="133"/>
        <v>1.0999999999998789E-3</v>
      </c>
      <c r="D1246" s="12">
        <f t="shared" si="134"/>
        <v>1.2099999999997335E-6</v>
      </c>
      <c r="E1246" s="12">
        <f t="shared" si="135"/>
        <v>6.2499999999997335E-6</v>
      </c>
      <c r="F1246" s="12">
        <f t="shared" si="136"/>
        <v>5.1346228765991582E-5</v>
      </c>
      <c r="G1246" s="12">
        <f t="shared" si="137"/>
        <v>4.0077382380854685</v>
      </c>
      <c r="I1246" s="12">
        <f t="shared" si="138"/>
        <v>7.1656282882934684E-3</v>
      </c>
      <c r="J1246" s="12">
        <f t="shared" si="139"/>
        <v>7.4054730214398717E-3</v>
      </c>
    </row>
    <row r="1247" spans="1:10">
      <c r="A1247" s="15">
        <v>42005</v>
      </c>
      <c r="B1247" s="11">
        <v>1.8667</v>
      </c>
      <c r="C1247" s="11">
        <f t="shared" si="133"/>
        <v>2.9000000000001247E-3</v>
      </c>
      <c r="D1247" s="12">
        <f t="shared" si="134"/>
        <v>8.4100000000007225E-6</v>
      </c>
      <c r="E1247" s="12">
        <f t="shared" si="135"/>
        <v>1.2099999999997335E-6</v>
      </c>
      <c r="F1247" s="12">
        <f t="shared" si="136"/>
        <v>4.7582300714772513E-5</v>
      </c>
      <c r="G1247" s="12">
        <f t="shared" si="137"/>
        <v>3.9692131129385797</v>
      </c>
      <c r="I1247" s="12">
        <f t="shared" si="138"/>
        <v>6.8979925133891319E-3</v>
      </c>
      <c r="J1247" s="12">
        <f t="shared" si="139"/>
        <v>7.4054730214398717E-3</v>
      </c>
    </row>
    <row r="1248" spans="1:10">
      <c r="A1248" s="15">
        <v>42006</v>
      </c>
      <c r="B1248" s="11">
        <v>1.8758999999999999</v>
      </c>
      <c r="C1248" s="11">
        <f t="shared" si="133"/>
        <v>9.1999999999998749E-3</v>
      </c>
      <c r="D1248" s="12">
        <f t="shared" si="134"/>
        <v>8.4639999999997699E-5</v>
      </c>
      <c r="E1248" s="12">
        <f t="shared" si="135"/>
        <v>8.4100000000007225E-6</v>
      </c>
      <c r="F1248" s="12">
        <f t="shared" si="136"/>
        <v>4.4939125259791903E-5</v>
      </c>
      <c r="G1248" s="12">
        <f t="shared" si="137"/>
        <v>3.1444439627212892</v>
      </c>
      <c r="I1248" s="12">
        <f t="shared" si="138"/>
        <v>6.7036650617249595E-3</v>
      </c>
      <c r="J1248" s="12">
        <f t="shared" si="139"/>
        <v>7.4054730214398717E-3</v>
      </c>
    </row>
    <row r="1249" spans="1:10">
      <c r="A1249" s="15">
        <v>42009</v>
      </c>
      <c r="B1249" s="11">
        <v>1.8828</v>
      </c>
      <c r="C1249" s="11">
        <f t="shared" si="133"/>
        <v>6.9000000000001283E-3</v>
      </c>
      <c r="D1249" s="12">
        <f t="shared" si="134"/>
        <v>4.7610000000001768E-5</v>
      </c>
      <c r="E1249" s="12">
        <f t="shared" si="135"/>
        <v>8.4639999999997699E-5</v>
      </c>
      <c r="F1249" s="12">
        <f t="shared" si="136"/>
        <v>4.8951826290394762E-5</v>
      </c>
      <c r="G1249" s="12">
        <f t="shared" si="137"/>
        <v>3.5571039790644856</v>
      </c>
      <c r="I1249" s="12">
        <f t="shared" si="138"/>
        <v>6.9965581745880428E-3</v>
      </c>
      <c r="J1249" s="12">
        <f t="shared" si="139"/>
        <v>7.4054730214398717E-3</v>
      </c>
    </row>
    <row r="1250" spans="1:10">
      <c r="A1250" s="15">
        <v>42010</v>
      </c>
      <c r="B1250" s="11">
        <v>1.8836999999999999</v>
      </c>
      <c r="C1250" s="11">
        <f t="shared" si="133"/>
        <v>8.9999999999990088E-4</v>
      </c>
      <c r="D1250" s="12">
        <f t="shared" si="134"/>
        <v>8.0999999999982157E-7</v>
      </c>
      <c r="E1250" s="12">
        <f t="shared" si="135"/>
        <v>4.7610000000001768E-5</v>
      </c>
      <c r="F1250" s="12">
        <f t="shared" si="136"/>
        <v>4.9349223692810238E-5</v>
      </c>
      <c r="G1250" s="12">
        <f t="shared" si="137"/>
        <v>4.031148904805665</v>
      </c>
      <c r="I1250" s="12">
        <f t="shared" si="138"/>
        <v>7.0249002621254513E-3</v>
      </c>
      <c r="J1250" s="12">
        <f t="shared" si="139"/>
        <v>7.4054730214398717E-3</v>
      </c>
    </row>
    <row r="1251" spans="1:10">
      <c r="A1251" s="15">
        <v>42011</v>
      </c>
      <c r="B1251" s="11">
        <v>1.8900999999999999</v>
      </c>
      <c r="C1251" s="11">
        <f t="shared" si="133"/>
        <v>6.3999999999999613E-3</v>
      </c>
      <c r="D1251" s="12">
        <f t="shared" si="134"/>
        <v>4.0959999999999506E-5</v>
      </c>
      <c r="E1251" s="12">
        <f t="shared" si="135"/>
        <v>8.0999999999982157E-7</v>
      </c>
      <c r="F1251" s="12">
        <f t="shared" si="136"/>
        <v>4.583194979905254E-5</v>
      </c>
      <c r="G1251" s="12">
        <f t="shared" si="137"/>
        <v>3.6294761651643603</v>
      </c>
      <c r="I1251" s="12">
        <f t="shared" si="138"/>
        <v>6.7699298223137102E-3</v>
      </c>
      <c r="J1251" s="12">
        <f t="shared" si="139"/>
        <v>7.4054730214398717E-3</v>
      </c>
    </row>
    <row r="1252" spans="1:10">
      <c r="A1252" s="15">
        <v>42012</v>
      </c>
      <c r="B1252" s="11">
        <v>1.8951</v>
      </c>
      <c r="C1252" s="11">
        <f t="shared" si="133"/>
        <v>5.0000000000001155E-3</v>
      </c>
      <c r="D1252" s="12">
        <f t="shared" si="134"/>
        <v>2.5000000000001153E-5</v>
      </c>
      <c r="E1252" s="12">
        <f t="shared" si="135"/>
        <v>4.0959999999999506E-5</v>
      </c>
      <c r="F1252" s="12">
        <f t="shared" si="136"/>
        <v>4.611787399580591E-5</v>
      </c>
      <c r="G1252" s="12">
        <f t="shared" si="137"/>
        <v>3.8021718552325616</v>
      </c>
      <c r="I1252" s="12">
        <f t="shared" si="138"/>
        <v>6.7910142096601379E-3</v>
      </c>
      <c r="J1252" s="12">
        <f t="shared" si="139"/>
        <v>7.4054730214398717E-3</v>
      </c>
    </row>
    <row r="1253" spans="1:10">
      <c r="A1253" s="15">
        <v>42013</v>
      </c>
      <c r="B1253" s="11">
        <v>1.8861000000000001</v>
      </c>
      <c r="C1253" s="11">
        <f t="shared" si="133"/>
        <v>-8.999999999999897E-3</v>
      </c>
      <c r="D1253" s="12">
        <f t="shared" si="134"/>
        <v>8.0999999999998147E-5</v>
      </c>
      <c r="E1253" s="12">
        <f t="shared" si="135"/>
        <v>2.5000000000001153E-5</v>
      </c>
      <c r="F1253" s="12">
        <f t="shared" si="136"/>
        <v>4.504773443551073E-5</v>
      </c>
      <c r="G1253" s="12">
        <f t="shared" si="137"/>
        <v>3.1859090690787921</v>
      </c>
      <c r="I1253" s="12">
        <f t="shared" si="138"/>
        <v>6.7117609042270515E-3</v>
      </c>
      <c r="J1253" s="12">
        <f t="shared" si="139"/>
        <v>7.4054730214398717E-3</v>
      </c>
    </row>
    <row r="1254" spans="1:10">
      <c r="A1254" s="15">
        <v>42016</v>
      </c>
      <c r="B1254" s="11">
        <v>1.8867</v>
      </c>
      <c r="C1254" s="11">
        <f t="shared" si="133"/>
        <v>5.9999999999993392E-4</v>
      </c>
      <c r="D1254" s="12">
        <f t="shared" si="134"/>
        <v>3.5999999999992069E-7</v>
      </c>
      <c r="E1254" s="12">
        <f t="shared" si="135"/>
        <v>8.0999999999998147E-5</v>
      </c>
      <c r="F1254" s="12">
        <f t="shared" si="136"/>
        <v>4.8745080762791266E-5</v>
      </c>
      <c r="G1254" s="12">
        <f t="shared" si="137"/>
        <v>4.0418219156186463</v>
      </c>
      <c r="I1254" s="12">
        <f t="shared" si="138"/>
        <v>6.9817677391038483E-3</v>
      </c>
      <c r="J1254" s="12">
        <f t="shared" si="139"/>
        <v>7.4054730214398717E-3</v>
      </c>
    </row>
    <row r="1255" spans="1:10">
      <c r="A1255" s="15">
        <v>42017</v>
      </c>
      <c r="B1255" s="11">
        <v>1.8984000000000001</v>
      </c>
      <c r="C1255" s="11">
        <f t="shared" si="133"/>
        <v>1.1700000000000044E-2</v>
      </c>
      <c r="D1255" s="12">
        <f t="shared" si="134"/>
        <v>1.3689000000000103E-4</v>
      </c>
      <c r="E1255" s="12">
        <f t="shared" si="135"/>
        <v>3.5999999999992069E-7</v>
      </c>
      <c r="F1255" s="12">
        <f t="shared" si="136"/>
        <v>4.5275297986673371E-5</v>
      </c>
      <c r="G1255" s="12">
        <f t="shared" si="137"/>
        <v>2.5706844378084859</v>
      </c>
      <c r="I1255" s="12">
        <f t="shared" si="138"/>
        <v>6.7286921453335469E-3</v>
      </c>
      <c r="J1255" s="12">
        <f t="shared" si="139"/>
        <v>7.4054730214398717E-3</v>
      </c>
    </row>
    <row r="1256" spans="1:10">
      <c r="A1256" s="15">
        <v>42018</v>
      </c>
      <c r="B1256" s="11">
        <v>1.8915999999999999</v>
      </c>
      <c r="C1256" s="11">
        <f t="shared" si="133"/>
        <v>-6.8000000000001393E-3</v>
      </c>
      <c r="D1256" s="12">
        <f t="shared" si="134"/>
        <v>4.6240000000001895E-5</v>
      </c>
      <c r="E1256" s="12">
        <f t="shared" si="135"/>
        <v>1.3689000000000103E-4</v>
      </c>
      <c r="F1256" s="12">
        <f t="shared" si="136"/>
        <v>5.3549344654180465E-5</v>
      </c>
      <c r="G1256" s="12">
        <f t="shared" si="137"/>
        <v>3.5667636434641374</v>
      </c>
      <c r="I1256" s="12">
        <f t="shared" si="138"/>
        <v>7.3177417728545512E-3</v>
      </c>
      <c r="J1256" s="12">
        <f t="shared" si="139"/>
        <v>7.4054730214398717E-3</v>
      </c>
    </row>
    <row r="1257" spans="1:10">
      <c r="A1257" s="15">
        <v>42019</v>
      </c>
      <c r="B1257" s="11">
        <v>1.9076</v>
      </c>
      <c r="C1257" s="11">
        <f t="shared" si="133"/>
        <v>1.6000000000000014E-2</v>
      </c>
      <c r="D1257" s="12">
        <f t="shared" si="134"/>
        <v>2.5600000000000048E-4</v>
      </c>
      <c r="E1257" s="12">
        <f t="shared" si="135"/>
        <v>4.6240000000001895E-5</v>
      </c>
      <c r="F1257" s="12">
        <f t="shared" si="136"/>
        <v>5.3189992101366434E-5</v>
      </c>
      <c r="G1257" s="12">
        <f t="shared" si="137"/>
        <v>1.5954138698197278</v>
      </c>
      <c r="I1257" s="12">
        <f t="shared" si="138"/>
        <v>7.2931469271752944E-3</v>
      </c>
      <c r="J1257" s="12">
        <f t="shared" si="139"/>
        <v>7.4054730214398717E-3</v>
      </c>
    </row>
    <row r="1258" spans="1:10">
      <c r="A1258" s="15">
        <v>42020</v>
      </c>
      <c r="B1258" s="11">
        <v>1.9126000000000001</v>
      </c>
      <c r="C1258" s="11">
        <f t="shared" si="133"/>
        <v>5.0000000000001155E-3</v>
      </c>
      <c r="D1258" s="12">
        <f t="shared" si="134"/>
        <v>2.5000000000001153E-5</v>
      </c>
      <c r="E1258" s="12">
        <f t="shared" si="135"/>
        <v>2.5600000000000048E-4</v>
      </c>
      <c r="F1258" s="12">
        <f t="shared" si="136"/>
        <v>7.0177304362432327E-5</v>
      </c>
      <c r="G1258" s="12">
        <f t="shared" si="137"/>
        <v>3.6851839945644858</v>
      </c>
      <c r="I1258" s="12">
        <f t="shared" si="138"/>
        <v>8.3771895264720085E-3</v>
      </c>
      <c r="J1258" s="12">
        <f t="shared" si="139"/>
        <v>7.4054730214398717E-3</v>
      </c>
    </row>
    <row r="1259" spans="1:10">
      <c r="A1259" s="15">
        <v>42023</v>
      </c>
      <c r="B1259" s="11">
        <v>1.9135</v>
      </c>
      <c r="C1259" s="11">
        <f t="shared" si="133"/>
        <v>8.9999999999990088E-4</v>
      </c>
      <c r="D1259" s="12">
        <f t="shared" si="134"/>
        <v>8.0999999999982157E-7</v>
      </c>
      <c r="E1259" s="12">
        <f t="shared" si="135"/>
        <v>2.5000000000001153E-5</v>
      </c>
      <c r="F1259" s="12">
        <f t="shared" si="136"/>
        <v>6.5738163108246229E-5</v>
      </c>
      <c r="G1259" s="12">
        <f t="shared" si="137"/>
        <v>3.8898161204119996</v>
      </c>
      <c r="I1259" s="12">
        <f t="shared" si="138"/>
        <v>8.1079074432461439E-3</v>
      </c>
      <c r="J1259" s="12">
        <f t="shared" si="139"/>
        <v>7.4054730214398717E-3</v>
      </c>
    </row>
    <row r="1260" spans="1:10">
      <c r="A1260" s="15">
        <v>42024</v>
      </c>
      <c r="B1260" s="11">
        <v>1.9151</v>
      </c>
      <c r="C1260" s="11">
        <f t="shared" si="133"/>
        <v>1.6000000000000458E-3</v>
      </c>
      <c r="D1260" s="12">
        <f t="shared" si="134"/>
        <v>2.5600000000001466E-6</v>
      </c>
      <c r="E1260" s="12">
        <f t="shared" si="135"/>
        <v>8.0999999999982157E-7</v>
      </c>
      <c r="F1260" s="12">
        <f t="shared" si="136"/>
        <v>5.9925973507412229E-5</v>
      </c>
      <c r="G1260" s="12">
        <f t="shared" si="137"/>
        <v>3.9209020392038854</v>
      </c>
      <c r="I1260" s="12">
        <f t="shared" si="138"/>
        <v>7.74118682809117E-3</v>
      </c>
      <c r="J1260" s="12">
        <f t="shared" si="139"/>
        <v>7.4054730214398717E-3</v>
      </c>
    </row>
    <row r="1261" spans="1:10">
      <c r="A1261" s="15">
        <v>42025</v>
      </c>
      <c r="B1261" s="11">
        <v>1.9118999999999999</v>
      </c>
      <c r="C1261" s="11">
        <f t="shared" si="133"/>
        <v>-3.2000000000000917E-3</v>
      </c>
      <c r="D1261" s="12">
        <f t="shared" si="134"/>
        <v>1.0240000000000586E-5</v>
      </c>
      <c r="E1261" s="12">
        <f t="shared" si="135"/>
        <v>2.5600000000001466E-6</v>
      </c>
      <c r="F1261" s="12">
        <f t="shared" si="136"/>
        <v>5.5071956197335133E-5</v>
      </c>
      <c r="G1261" s="12">
        <f t="shared" si="137"/>
        <v>3.8915271481658298</v>
      </c>
      <c r="I1261" s="12">
        <f t="shared" si="138"/>
        <v>7.4210481872398005E-3</v>
      </c>
      <c r="J1261" s="12">
        <f t="shared" si="139"/>
        <v>7.4054730214398717E-3</v>
      </c>
    </row>
    <row r="1262" spans="1:10">
      <c r="A1262" s="15">
        <v>42026</v>
      </c>
      <c r="B1262" s="11">
        <v>1.9464999999999999</v>
      </c>
      <c r="C1262" s="11">
        <f t="shared" si="133"/>
        <v>3.4599999999999964E-2</v>
      </c>
      <c r="D1262" s="12">
        <f t="shared" si="134"/>
        <v>1.1971599999999975E-3</v>
      </c>
      <c r="E1262" s="12">
        <f t="shared" si="135"/>
        <v>1.0240000000000586E-5</v>
      </c>
      <c r="F1262" s="12">
        <f t="shared" si="136"/>
        <v>5.1530914592145422E-5</v>
      </c>
      <c r="G1262" s="12">
        <f t="shared" si="137"/>
        <v>-7.5982139832746771</v>
      </c>
      <c r="I1262" s="12">
        <f t="shared" si="138"/>
        <v>7.178503645756922E-3</v>
      </c>
      <c r="J1262" s="12">
        <f t="shared" si="139"/>
        <v>7.4054730214398717E-3</v>
      </c>
    </row>
    <row r="1263" spans="1:10">
      <c r="A1263" s="15">
        <v>42027</v>
      </c>
      <c r="B1263" s="11">
        <v>1.9498</v>
      </c>
      <c r="C1263" s="11">
        <f t="shared" si="133"/>
        <v>3.3000000000000806E-3</v>
      </c>
      <c r="D1263" s="12">
        <f t="shared" si="134"/>
        <v>1.0890000000000533E-5</v>
      </c>
      <c r="E1263" s="12">
        <f t="shared" si="135"/>
        <v>1.1971599999999975E-3</v>
      </c>
      <c r="F1263" s="12">
        <f t="shared" si="136"/>
        <v>1.4635651495750813E-4</v>
      </c>
      <c r="G1263" s="12">
        <f t="shared" si="137"/>
        <v>3.4585903006577783</v>
      </c>
      <c r="I1263" s="12">
        <f t="shared" si="138"/>
        <v>1.2097789672395042E-2</v>
      </c>
      <c r="J1263" s="12">
        <f t="shared" si="139"/>
        <v>7.4054730214398717E-3</v>
      </c>
    </row>
    <row r="1264" spans="1:10">
      <c r="A1264" s="15">
        <v>42030</v>
      </c>
      <c r="B1264" s="11">
        <v>1.9428000000000001</v>
      </c>
      <c r="C1264" s="11">
        <f t="shared" si="133"/>
        <v>-6.9999999999998952E-3</v>
      </c>
      <c r="D1264" s="12">
        <f t="shared" si="134"/>
        <v>4.8999999999998535E-5</v>
      </c>
      <c r="E1264" s="12">
        <f t="shared" si="135"/>
        <v>1.0890000000000533E-5</v>
      </c>
      <c r="F1264" s="12">
        <f t="shared" si="136"/>
        <v>1.3008664720674484E-4</v>
      </c>
      <c r="G1264" s="12">
        <f t="shared" si="137"/>
        <v>3.366380356373345</v>
      </c>
      <c r="I1264" s="12">
        <f t="shared" si="138"/>
        <v>1.1405553349432234E-2</v>
      </c>
      <c r="J1264" s="12">
        <f t="shared" si="139"/>
        <v>7.4054730214398717E-3</v>
      </c>
    </row>
    <row r="1265" spans="1:10">
      <c r="A1265" s="15">
        <v>42031</v>
      </c>
      <c r="B1265" s="11">
        <v>1.929</v>
      </c>
      <c r="C1265" s="11">
        <f t="shared" si="133"/>
        <v>-1.3800000000000034E-2</v>
      </c>
      <c r="D1265" s="12">
        <f t="shared" si="134"/>
        <v>1.9044000000000095E-4</v>
      </c>
      <c r="E1265" s="12">
        <f t="shared" si="135"/>
        <v>4.8999999999998535E-5</v>
      </c>
      <c r="F1265" s="12">
        <f t="shared" si="136"/>
        <v>1.1923748799778054E-4</v>
      </c>
      <c r="G1265" s="12">
        <f t="shared" si="137"/>
        <v>2.7996837830685433</v>
      </c>
      <c r="I1265" s="12">
        <f t="shared" si="138"/>
        <v>1.0919591933665861E-2</v>
      </c>
      <c r="J1265" s="12">
        <f t="shared" si="139"/>
        <v>7.4054730214398717E-3</v>
      </c>
    </row>
    <row r="1266" spans="1:10">
      <c r="A1266" s="15">
        <v>42032</v>
      </c>
      <c r="B1266" s="11">
        <v>1.9375</v>
      </c>
      <c r="C1266" s="11">
        <f t="shared" si="133"/>
        <v>8.499999999999952E-3</v>
      </c>
      <c r="D1266" s="12">
        <f t="shared" si="134"/>
        <v>7.2249999999999181E-5</v>
      </c>
      <c r="E1266" s="12">
        <f t="shared" si="135"/>
        <v>1.9044000000000095E-4</v>
      </c>
      <c r="F1266" s="12">
        <f t="shared" si="136"/>
        <v>1.2157034767266097E-4</v>
      </c>
      <c r="G1266" s="12">
        <f t="shared" si="137"/>
        <v>3.2914171408951507</v>
      </c>
      <c r="I1266" s="12">
        <f t="shared" si="138"/>
        <v>1.1025894415994603E-2</v>
      </c>
      <c r="J1266" s="12">
        <f t="shared" si="139"/>
        <v>7.4054730214398717E-3</v>
      </c>
    </row>
    <row r="1267" spans="1:10">
      <c r="A1267" s="15">
        <v>42033</v>
      </c>
      <c r="B1267" s="11">
        <v>1.9332</v>
      </c>
      <c r="C1267" s="11">
        <f t="shared" si="133"/>
        <v>-4.2999999999999705E-3</v>
      </c>
      <c r="D1267" s="12">
        <f t="shared" si="134"/>
        <v>1.8489999999999747E-5</v>
      </c>
      <c r="E1267" s="12">
        <f t="shared" si="135"/>
        <v>7.2249999999999181E-5</v>
      </c>
      <c r="F1267" s="12">
        <f t="shared" si="136"/>
        <v>1.1383085514236156E-4</v>
      </c>
      <c r="G1267" s="12">
        <f t="shared" si="137"/>
        <v>3.5402429334488197</v>
      </c>
      <c r="I1267" s="12">
        <f t="shared" si="138"/>
        <v>1.0669154378035851E-2</v>
      </c>
      <c r="J1267" s="12">
        <f t="shared" si="139"/>
        <v>7.4054730214398717E-3</v>
      </c>
    </row>
    <row r="1268" spans="1:10">
      <c r="A1268" s="15">
        <v>42034</v>
      </c>
      <c r="B1268" s="11">
        <v>1.9354</v>
      </c>
      <c r="C1268" s="11">
        <f t="shared" si="133"/>
        <v>2.1999999999999797E-3</v>
      </c>
      <c r="D1268" s="12">
        <f t="shared" si="134"/>
        <v>4.8399999999999113E-6</v>
      </c>
      <c r="E1268" s="12">
        <f t="shared" si="135"/>
        <v>1.8489999999999747E-5</v>
      </c>
      <c r="F1268" s="12">
        <f t="shared" si="136"/>
        <v>1.0274218017662822E-4</v>
      </c>
      <c r="G1268" s="12">
        <f t="shared" si="137"/>
        <v>3.649151261790887</v>
      </c>
      <c r="I1268" s="12">
        <f t="shared" si="138"/>
        <v>1.0136181735576184E-2</v>
      </c>
      <c r="J1268" s="12">
        <f t="shared" si="139"/>
        <v>7.4054730214398717E-3</v>
      </c>
    </row>
    <row r="1269" spans="1:10">
      <c r="A1269" s="15">
        <v>42037</v>
      </c>
      <c r="B1269" s="11">
        <v>1.9311</v>
      </c>
      <c r="C1269" s="11">
        <f t="shared" si="133"/>
        <v>-4.2999999999999705E-3</v>
      </c>
      <c r="D1269" s="12">
        <f t="shared" si="134"/>
        <v>1.8489999999999747E-5</v>
      </c>
      <c r="E1269" s="12">
        <f t="shared" si="135"/>
        <v>4.8399999999999113E-6</v>
      </c>
      <c r="F1269" s="12">
        <f t="shared" si="136"/>
        <v>9.2080684989444573E-5</v>
      </c>
      <c r="G1269" s="12">
        <f t="shared" si="137"/>
        <v>3.6270830590538083</v>
      </c>
      <c r="I1269" s="12">
        <f t="shared" si="138"/>
        <v>9.5958681206780132E-3</v>
      </c>
      <c r="J1269" s="12">
        <f t="shared" si="139"/>
        <v>7.4054730214398717E-3</v>
      </c>
    </row>
    <row r="1270" spans="1:10">
      <c r="A1270" s="15">
        <v>42038</v>
      </c>
      <c r="B1270" s="11">
        <v>1.9166000000000001</v>
      </c>
      <c r="C1270" s="11">
        <f t="shared" si="133"/>
        <v>-1.4499999999999957E-2</v>
      </c>
      <c r="D1270" s="12">
        <f t="shared" si="134"/>
        <v>2.1024999999999877E-4</v>
      </c>
      <c r="E1270" s="12">
        <f t="shared" si="135"/>
        <v>1.8489999999999747E-5</v>
      </c>
      <c r="F1270" s="12">
        <f t="shared" si="136"/>
        <v>8.4037649881803505E-5</v>
      </c>
      <c r="G1270" s="12">
        <f t="shared" si="137"/>
        <v>2.5222568692776166</v>
      </c>
      <c r="I1270" s="12">
        <f t="shared" si="138"/>
        <v>9.1672051292530539E-3</v>
      </c>
      <c r="J1270" s="12">
        <f t="shared" si="139"/>
        <v>7.4054730214398717E-3</v>
      </c>
    </row>
    <row r="1271" spans="1:10">
      <c r="A1271" s="15">
        <v>42039</v>
      </c>
      <c r="B1271" s="11">
        <v>1.9300999999999999</v>
      </c>
      <c r="C1271" s="11">
        <f t="shared" si="133"/>
        <v>1.3499999999999845E-2</v>
      </c>
      <c r="D1271" s="12">
        <f t="shared" si="134"/>
        <v>1.8224999999999584E-4</v>
      </c>
      <c r="E1271" s="12">
        <f t="shared" si="135"/>
        <v>2.1024999999999877E-4</v>
      </c>
      <c r="F1271" s="12">
        <f t="shared" si="136"/>
        <v>9.2932972617523871E-5</v>
      </c>
      <c r="G1271" s="12">
        <f t="shared" si="137"/>
        <v>2.7423320711874934</v>
      </c>
      <c r="I1271" s="12">
        <f t="shared" si="138"/>
        <v>9.6401749267077032E-3</v>
      </c>
      <c r="J1271" s="12">
        <f t="shared" si="139"/>
        <v>7.4054730214398717E-3</v>
      </c>
    </row>
    <row r="1272" spans="1:10">
      <c r="A1272" s="15">
        <v>42040</v>
      </c>
      <c r="B1272" s="11">
        <v>1.9137999999999999</v>
      </c>
      <c r="C1272" s="11">
        <f t="shared" si="133"/>
        <v>-1.6299999999999981E-2</v>
      </c>
      <c r="D1272" s="12">
        <f t="shared" si="134"/>
        <v>2.6568999999999936E-4</v>
      </c>
      <c r="E1272" s="12">
        <f t="shared" si="135"/>
        <v>1.8224999999999584E-4</v>
      </c>
      <c r="F1272" s="12">
        <f t="shared" si="136"/>
        <v>9.8273880205688866E-5</v>
      </c>
      <c r="G1272" s="12">
        <f t="shared" si="137"/>
        <v>2.343154199160224</v>
      </c>
      <c r="I1272" s="12">
        <f t="shared" si="138"/>
        <v>9.9133183246423017E-3</v>
      </c>
      <c r="J1272" s="12">
        <f t="shared" si="139"/>
        <v>7.4054730214398717E-3</v>
      </c>
    </row>
    <row r="1273" spans="1:10">
      <c r="A1273" s="15">
        <v>42041</v>
      </c>
      <c r="B1273" s="11">
        <v>1.9336</v>
      </c>
      <c r="C1273" s="11">
        <f t="shared" si="133"/>
        <v>1.980000000000004E-2</v>
      </c>
      <c r="D1273" s="12">
        <f t="shared" si="134"/>
        <v>3.9204000000000159E-4</v>
      </c>
      <c r="E1273" s="12">
        <f t="shared" si="135"/>
        <v>2.6568999999999936E-4</v>
      </c>
      <c r="F1273" s="12">
        <f t="shared" si="136"/>
        <v>1.0974718715783832E-4</v>
      </c>
      <c r="G1273" s="12">
        <f t="shared" si="137"/>
        <v>1.8536220247837694</v>
      </c>
      <c r="I1273" s="12">
        <f t="shared" si="138"/>
        <v>1.0476029169386572E-2</v>
      </c>
      <c r="J1273" s="12">
        <f t="shared" si="139"/>
        <v>7.4054730214398717E-3</v>
      </c>
    </row>
    <row r="1274" spans="1:10">
      <c r="A1274" s="15">
        <v>42044</v>
      </c>
      <c r="B1274" s="11">
        <v>1.9326000000000001</v>
      </c>
      <c r="C1274" s="11">
        <f t="shared" si="133"/>
        <v>-9.9999999999988987E-4</v>
      </c>
      <c r="D1274" s="12">
        <f t="shared" si="134"/>
        <v>9.9999999999977973E-7</v>
      </c>
      <c r="E1274" s="12">
        <f t="shared" si="135"/>
        <v>3.9204000000000159E-4</v>
      </c>
      <c r="F1274" s="12">
        <f t="shared" si="136"/>
        <v>1.3003244748827468E-4</v>
      </c>
      <c r="G1274" s="12">
        <f t="shared" si="137"/>
        <v>3.55107953660255</v>
      </c>
      <c r="I1274" s="12">
        <f t="shared" si="138"/>
        <v>1.1403177078703754E-2</v>
      </c>
      <c r="J1274" s="12">
        <f t="shared" si="139"/>
        <v>7.4054730214398717E-3</v>
      </c>
    </row>
    <row r="1275" spans="1:10">
      <c r="A1275" s="46">
        <v>42045</v>
      </c>
      <c r="B1275" s="11">
        <v>1.9335</v>
      </c>
      <c r="C1275" s="11">
        <f t="shared" si="133"/>
        <v>8.9999999999990088E-4</v>
      </c>
      <c r="D1275" s="12">
        <f t="shared" si="134"/>
        <v>8.0999999999982157E-7</v>
      </c>
      <c r="E1275" s="12">
        <f t="shared" si="135"/>
        <v>9.9999999999977973E-7</v>
      </c>
      <c r="F1275" s="12">
        <f t="shared" si="136"/>
        <v>1.1523290402708592E-4</v>
      </c>
      <c r="G1275" s="12">
        <f t="shared" si="137"/>
        <v>3.6118244508986446</v>
      </c>
      <c r="I1275" s="12">
        <f t="shared" si="138"/>
        <v>1.0734659008421549E-2</v>
      </c>
      <c r="J1275" s="12">
        <f t="shared" si="139"/>
        <v>7.4054730214398717E-3</v>
      </c>
    </row>
    <row r="1276" spans="1:10">
      <c r="A1276" s="15">
        <v>42046</v>
      </c>
      <c r="B1276" s="11">
        <v>1.9319999999999999</v>
      </c>
      <c r="C1276" s="11">
        <f t="shared" si="133"/>
        <v>-1.5000000000000568E-3</v>
      </c>
      <c r="D1276" s="12">
        <f t="shared" si="134"/>
        <v>2.2500000000001707E-6</v>
      </c>
      <c r="E1276" s="12">
        <f t="shared" si="135"/>
        <v>8.0999999999982157E-7</v>
      </c>
      <c r="F1276" s="12">
        <f t="shared" si="136"/>
        <v>1.02490048843015E-4</v>
      </c>
      <c r="G1276" s="12">
        <f t="shared" si="137"/>
        <v>3.6629572082668282</v>
      </c>
      <c r="I1276" s="12">
        <f t="shared" si="138"/>
        <v>1.0123736901115862E-2</v>
      </c>
      <c r="J1276" s="12">
        <f t="shared" si="139"/>
        <v>7.4054730214398717E-3</v>
      </c>
    </row>
    <row r="1277" spans="1:10">
      <c r="A1277" s="15">
        <v>42047</v>
      </c>
      <c r="B1277" s="11">
        <v>1.9211</v>
      </c>
      <c r="C1277" s="11">
        <f t="shared" si="133"/>
        <v>-1.089999999999991E-2</v>
      </c>
      <c r="D1277" s="12">
        <f t="shared" si="134"/>
        <v>1.1880999999999803E-4</v>
      </c>
      <c r="E1277" s="12">
        <f t="shared" si="135"/>
        <v>2.2500000000001707E-6</v>
      </c>
      <c r="F1277" s="12">
        <f t="shared" si="136"/>
        <v>9.1650293516914528E-5</v>
      </c>
      <c r="G1277" s="12">
        <f t="shared" si="137"/>
        <v>3.0816563307979035</v>
      </c>
      <c r="I1277" s="12">
        <f t="shared" si="138"/>
        <v>9.5734159795192505E-3</v>
      </c>
      <c r="J1277" s="12">
        <f t="shared" si="139"/>
        <v>7.4054730214398717E-3</v>
      </c>
    </row>
    <row r="1278" spans="1:10">
      <c r="A1278" s="15">
        <v>42048</v>
      </c>
      <c r="B1278" s="11">
        <v>1.9229000000000001</v>
      </c>
      <c r="C1278" s="11">
        <f t="shared" si="133"/>
        <v>1.8000000000000238E-3</v>
      </c>
      <c r="D1278" s="12">
        <f t="shared" si="134"/>
        <v>3.2400000000000859E-6</v>
      </c>
      <c r="E1278" s="12">
        <f t="shared" si="135"/>
        <v>1.1880999999999803E-4</v>
      </c>
      <c r="F1278" s="12">
        <f t="shared" si="136"/>
        <v>9.1939690538700387E-5</v>
      </c>
      <c r="G1278" s="12">
        <f t="shared" si="137"/>
        <v>3.7106300797707048</v>
      </c>
      <c r="I1278" s="12">
        <f t="shared" si="138"/>
        <v>9.5885186832325876E-3</v>
      </c>
      <c r="J1278" s="12">
        <f t="shared" si="139"/>
        <v>7.4054730214398717E-3</v>
      </c>
    </row>
    <row r="1279" spans="1:10">
      <c r="A1279" s="15">
        <v>42051</v>
      </c>
      <c r="B1279" s="11">
        <v>1.9273</v>
      </c>
      <c r="C1279" s="11">
        <f t="shared" si="133"/>
        <v>4.3999999999999595E-3</v>
      </c>
      <c r="D1279" s="12">
        <f t="shared" si="134"/>
        <v>1.9359999999999645E-5</v>
      </c>
      <c r="E1279" s="12">
        <f t="shared" si="135"/>
        <v>3.2400000000000859E-6</v>
      </c>
      <c r="F1279" s="12">
        <f t="shared" si="136"/>
        <v>8.2658917404761743E-5</v>
      </c>
      <c r="G1279" s="12">
        <f t="shared" si="137"/>
        <v>3.6643476303756226</v>
      </c>
      <c r="I1279" s="12">
        <f t="shared" si="138"/>
        <v>9.0916949687482231E-3</v>
      </c>
      <c r="J1279" s="12">
        <f t="shared" si="139"/>
        <v>7.4054730214398717E-3</v>
      </c>
    </row>
    <row r="1280" spans="1:10">
      <c r="A1280" s="15">
        <v>42052</v>
      </c>
      <c r="B1280" s="11">
        <v>1.9278</v>
      </c>
      <c r="C1280" s="11">
        <f t="shared" si="133"/>
        <v>4.9999999999994493E-4</v>
      </c>
      <c r="D1280" s="12">
        <f t="shared" si="134"/>
        <v>2.4999999999994493E-7</v>
      </c>
      <c r="E1280" s="12">
        <f t="shared" si="135"/>
        <v>1.9359999999999645E-5</v>
      </c>
      <c r="F1280" s="12">
        <f t="shared" si="136"/>
        <v>7.6006934888746052E-5</v>
      </c>
      <c r="G1280" s="12">
        <f t="shared" si="137"/>
        <v>3.8217598592852973</v>
      </c>
      <c r="I1280" s="12">
        <f t="shared" si="138"/>
        <v>8.7181956211561384E-3</v>
      </c>
      <c r="J1280" s="12">
        <f t="shared" si="139"/>
        <v>7.4054730214398717E-3</v>
      </c>
    </row>
    <row r="1281" spans="1:10">
      <c r="A1281" s="15">
        <v>42053</v>
      </c>
      <c r="B1281" s="11">
        <v>1.9249000000000001</v>
      </c>
      <c r="C1281" s="11">
        <f t="shared" si="133"/>
        <v>-2.8999999999999027E-3</v>
      </c>
      <c r="D1281" s="12">
        <f t="shared" si="134"/>
        <v>8.409999999999435E-6</v>
      </c>
      <c r="E1281" s="12">
        <f t="shared" si="135"/>
        <v>2.4999999999994493E-7</v>
      </c>
      <c r="F1281" s="12">
        <f t="shared" si="136"/>
        <v>6.8710650032703552E-5</v>
      </c>
      <c r="G1281" s="12">
        <f t="shared" si="137"/>
        <v>3.8126659694046925</v>
      </c>
      <c r="I1281" s="12">
        <f t="shared" si="138"/>
        <v>8.2891887439425303E-3</v>
      </c>
      <c r="J1281" s="12">
        <f t="shared" si="139"/>
        <v>7.4054730214398717E-3</v>
      </c>
    </row>
    <row r="1282" spans="1:10">
      <c r="A1282" s="15">
        <v>42054</v>
      </c>
      <c r="B1282" s="11">
        <v>1.93</v>
      </c>
      <c r="C1282" s="11">
        <f t="shared" si="133"/>
        <v>5.0999999999998824E-3</v>
      </c>
      <c r="D1282" s="12">
        <f t="shared" si="134"/>
        <v>2.6009999999998801E-5</v>
      </c>
      <c r="E1282" s="12">
        <f t="shared" si="135"/>
        <v>8.409999999999435E-6</v>
      </c>
      <c r="F1282" s="12">
        <f t="shared" si="136"/>
        <v>6.3108907248549215E-5</v>
      </c>
      <c r="G1282" s="12">
        <f t="shared" si="137"/>
        <v>3.7103134412174597</v>
      </c>
      <c r="I1282" s="12">
        <f t="shared" si="138"/>
        <v>7.9441114826360043E-3</v>
      </c>
      <c r="J1282" s="12">
        <f t="shared" si="139"/>
        <v>7.4054730214398717E-3</v>
      </c>
    </row>
    <row r="1283" spans="1:10">
      <c r="A1283" s="15">
        <v>42055</v>
      </c>
      <c r="B1283" s="11">
        <v>1.927</v>
      </c>
      <c r="C1283" s="11">
        <f t="shared" si="133"/>
        <v>-2.9999999999998916E-3</v>
      </c>
      <c r="D1283" s="12">
        <f t="shared" si="134"/>
        <v>8.9999999999993497E-6</v>
      </c>
      <c r="E1283" s="12">
        <f t="shared" si="135"/>
        <v>2.6009999999998801E-5</v>
      </c>
      <c r="F1283" s="12">
        <f t="shared" si="136"/>
        <v>5.9742824154946923E-5</v>
      </c>
      <c r="G1283" s="12">
        <f t="shared" si="137"/>
        <v>3.8684693418616969</v>
      </c>
      <c r="I1283" s="12">
        <f t="shared" si="138"/>
        <v>7.7293482361028946E-3</v>
      </c>
      <c r="J1283" s="12">
        <f t="shared" si="139"/>
        <v>7.4054730214398717E-3</v>
      </c>
    </row>
    <row r="1284" spans="1:10">
      <c r="A1284" s="15">
        <v>42058</v>
      </c>
      <c r="B1284" s="11">
        <v>1.9373</v>
      </c>
      <c r="C1284" s="11">
        <f t="shared" si="133"/>
        <v>1.0299999999999976E-2</v>
      </c>
      <c r="D1284" s="12">
        <f t="shared" si="134"/>
        <v>1.0608999999999951E-4</v>
      </c>
      <c r="E1284" s="12">
        <f t="shared" si="135"/>
        <v>8.9999999999993497E-6</v>
      </c>
      <c r="F1284" s="12">
        <f t="shared" si="136"/>
        <v>5.5445481086123048E-5</v>
      </c>
      <c r="G1284" s="12">
        <f t="shared" si="137"/>
        <v>3.0244110713753267</v>
      </c>
      <c r="I1284" s="12">
        <f t="shared" si="138"/>
        <v>7.4461722439198956E-3</v>
      </c>
      <c r="J1284" s="12">
        <f t="shared" si="139"/>
        <v>7.4054730214398717E-3</v>
      </c>
    </row>
    <row r="1285" spans="1:10">
      <c r="A1285" s="15">
        <v>42059</v>
      </c>
      <c r="B1285" s="11">
        <v>1.9311</v>
      </c>
      <c r="C1285" s="11">
        <f t="shared" si="133"/>
        <v>-6.1999999999999833E-3</v>
      </c>
      <c r="D1285" s="12">
        <f t="shared" si="134"/>
        <v>3.8439999999999795E-5</v>
      </c>
      <c r="E1285" s="12">
        <f t="shared" si="135"/>
        <v>1.0608999999999951E-4</v>
      </c>
      <c r="F1285" s="12">
        <f t="shared" si="136"/>
        <v>5.9755714244932648E-5</v>
      </c>
      <c r="G1285" s="12">
        <f t="shared" si="137"/>
        <v>3.62204144776083</v>
      </c>
      <c r="I1285" s="12">
        <f t="shared" si="138"/>
        <v>7.7301820318109362E-3</v>
      </c>
      <c r="J1285" s="12">
        <f t="shared" si="139"/>
        <v>7.4054730214398717E-3</v>
      </c>
    </row>
    <row r="1286" spans="1:10">
      <c r="A1286" s="15">
        <v>42060</v>
      </c>
      <c r="B1286" s="11">
        <v>1.9319999999999999</v>
      </c>
      <c r="C1286" s="11">
        <f t="shared" si="133"/>
        <v>8.9999999999990088E-4</v>
      </c>
      <c r="D1286" s="12">
        <f t="shared" si="134"/>
        <v>8.0999999999982157E-7</v>
      </c>
      <c r="E1286" s="12">
        <f t="shared" si="135"/>
        <v>3.8439999999999795E-5</v>
      </c>
      <c r="F1286" s="12">
        <f t="shared" si="136"/>
        <v>5.7884123430481842E-5</v>
      </c>
      <c r="G1286" s="12">
        <f t="shared" si="137"/>
        <v>3.9525984310607996</v>
      </c>
      <c r="I1286" s="12">
        <f t="shared" si="138"/>
        <v>7.608161632778436E-3</v>
      </c>
      <c r="J1286" s="12">
        <f t="shared" si="139"/>
        <v>7.4054730214398717E-3</v>
      </c>
    </row>
    <row r="1287" spans="1:10">
      <c r="A1287" s="15">
        <v>42061</v>
      </c>
      <c r="B1287" s="11">
        <v>1.9516</v>
      </c>
      <c r="C1287" s="11">
        <f t="shared" si="133"/>
        <v>1.9600000000000062E-2</v>
      </c>
      <c r="D1287" s="12">
        <f t="shared" si="134"/>
        <v>3.8416000000000242E-4</v>
      </c>
      <c r="E1287" s="12">
        <f t="shared" si="135"/>
        <v>8.0999999999982157E-7</v>
      </c>
      <c r="F1287" s="12">
        <f t="shared" si="136"/>
        <v>5.3171721836889215E-5</v>
      </c>
      <c r="G1287" s="12">
        <f t="shared" si="137"/>
        <v>0.38960689152446748</v>
      </c>
      <c r="I1287" s="12">
        <f t="shared" si="138"/>
        <v>7.2918942557396709E-3</v>
      </c>
      <c r="J1287" s="12">
        <f t="shared" si="139"/>
        <v>7.4054730214398717E-3</v>
      </c>
    </row>
    <row r="1288" spans="1:10">
      <c r="A1288" s="15">
        <v>42062</v>
      </c>
      <c r="B1288" s="11">
        <v>1.9458</v>
      </c>
      <c r="C1288" s="11">
        <f t="shared" si="133"/>
        <v>-5.8000000000000274E-3</v>
      </c>
      <c r="D1288" s="12">
        <f t="shared" si="134"/>
        <v>3.3640000000000315E-5</v>
      </c>
      <c r="E1288" s="12">
        <f t="shared" si="135"/>
        <v>3.8416000000000242E-4</v>
      </c>
      <c r="F1288" s="12">
        <f t="shared" si="136"/>
        <v>8.0729382359417436E-5</v>
      </c>
      <c r="G1288" s="12">
        <f t="shared" si="137"/>
        <v>3.5849150259797131</v>
      </c>
      <c r="I1288" s="12">
        <f t="shared" si="138"/>
        <v>8.9849531083594104E-3</v>
      </c>
      <c r="J1288" s="12">
        <f t="shared" si="139"/>
        <v>7.4054730214398717E-3</v>
      </c>
    </row>
    <row r="1289" spans="1:10">
      <c r="A1289" s="15">
        <v>42065</v>
      </c>
      <c r="B1289" s="11">
        <v>1.9502999999999999</v>
      </c>
      <c r="C1289" s="11">
        <f t="shared" si="133"/>
        <v>4.4999999999999485E-3</v>
      </c>
      <c r="D1289" s="12">
        <f t="shared" si="134"/>
        <v>2.0249999999999537E-5</v>
      </c>
      <c r="E1289" s="12">
        <f t="shared" si="135"/>
        <v>3.3640000000000315E-5</v>
      </c>
      <c r="F1289" s="12">
        <f t="shared" si="136"/>
        <v>7.5525086590565738E-5</v>
      </c>
      <c r="G1289" s="12">
        <f t="shared" si="137"/>
        <v>3.6925228861839576</v>
      </c>
      <c r="I1289" s="12">
        <f t="shared" si="138"/>
        <v>8.6905170496677439E-3</v>
      </c>
      <c r="J1289" s="12">
        <f t="shared" si="139"/>
        <v>7.4054730214398717E-3</v>
      </c>
    </row>
    <row r="1290" spans="1:10">
      <c r="A1290" s="15">
        <v>42066</v>
      </c>
      <c r="B1290" s="11">
        <v>1.9489000000000001</v>
      </c>
      <c r="C1290" s="11">
        <f t="shared" si="133"/>
        <v>-1.3999999999998458E-3</v>
      </c>
      <c r="D1290" s="12">
        <f t="shared" si="134"/>
        <v>1.9599999999995683E-6</v>
      </c>
      <c r="E1290" s="12">
        <f t="shared" si="135"/>
        <v>2.0249999999999537E-5</v>
      </c>
      <c r="F1290" s="12">
        <f t="shared" si="136"/>
        <v>6.9945429872106615E-5</v>
      </c>
      <c r="G1290" s="12">
        <f t="shared" si="137"/>
        <v>3.8509481334663085</v>
      </c>
      <c r="I1290" s="12">
        <f t="shared" si="138"/>
        <v>8.3633384406053193E-3</v>
      </c>
      <c r="J1290" s="12">
        <f t="shared" si="139"/>
        <v>7.4054730214398717E-3</v>
      </c>
    </row>
    <row r="1291" spans="1:10">
      <c r="A1291" s="15">
        <v>42067</v>
      </c>
      <c r="B1291" s="11">
        <v>1.9626999999999999</v>
      </c>
      <c r="C1291" s="11">
        <f t="shared" si="133"/>
        <v>1.3799999999999812E-2</v>
      </c>
      <c r="D1291" s="12">
        <f t="shared" si="134"/>
        <v>1.9043999999999482E-4</v>
      </c>
      <c r="E1291" s="12">
        <f t="shared" si="135"/>
        <v>1.9599999999995683E-6</v>
      </c>
      <c r="F1291" s="12">
        <f t="shared" si="136"/>
        <v>6.3638930215013459E-5</v>
      </c>
      <c r="G1291" s="12">
        <f t="shared" si="137"/>
        <v>2.4159501028252048</v>
      </c>
      <c r="I1291" s="12">
        <f t="shared" si="138"/>
        <v>7.9774012193830051E-3</v>
      </c>
      <c r="J1291" s="12">
        <f t="shared" si="139"/>
        <v>7.4054730214398717E-3</v>
      </c>
    </row>
    <row r="1292" spans="1:10">
      <c r="A1292" s="15">
        <v>42068</v>
      </c>
      <c r="B1292" s="11">
        <v>1.9642999999999999</v>
      </c>
      <c r="C1292" s="11">
        <f t="shared" si="133"/>
        <v>1.6000000000000458E-3</v>
      </c>
      <c r="D1292" s="12">
        <f t="shared" si="134"/>
        <v>2.5600000000001466E-6</v>
      </c>
      <c r="E1292" s="12">
        <f t="shared" si="135"/>
        <v>1.9043999999999482E-4</v>
      </c>
      <c r="F1292" s="12">
        <f t="shared" si="136"/>
        <v>7.3757162714341464E-5</v>
      </c>
      <c r="G1292" s="12">
        <f t="shared" si="137"/>
        <v>3.8210734356318432</v>
      </c>
      <c r="I1292" s="12">
        <f t="shared" si="138"/>
        <v>8.5881990378857357E-3</v>
      </c>
      <c r="J1292" s="12">
        <f t="shared" si="139"/>
        <v>7.4054730214398717E-3</v>
      </c>
    </row>
    <row r="1293" spans="1:10">
      <c r="A1293" s="15">
        <v>42069</v>
      </c>
      <c r="B1293" s="11">
        <v>1.9816</v>
      </c>
      <c r="C1293" s="11">
        <f t="shared" si="133"/>
        <v>1.7300000000000093E-2</v>
      </c>
      <c r="D1293" s="12">
        <f t="shared" si="134"/>
        <v>2.9929000000000321E-4</v>
      </c>
      <c r="E1293" s="12">
        <f t="shared" si="135"/>
        <v>2.5600000000001466E-6</v>
      </c>
      <c r="F1293" s="12">
        <f t="shared" si="136"/>
        <v>6.6966387170316026E-5</v>
      </c>
      <c r="G1293" s="12">
        <f t="shared" si="137"/>
        <v>1.6520927935236207</v>
      </c>
      <c r="I1293" s="12">
        <f t="shared" si="138"/>
        <v>8.1832992839267482E-3</v>
      </c>
      <c r="J1293" s="12">
        <f t="shared" si="139"/>
        <v>7.4054730214398717E-3</v>
      </c>
    </row>
    <row r="1294" spans="1:10">
      <c r="A1294" s="15">
        <v>42072</v>
      </c>
      <c r="B1294" s="11">
        <v>1.9789000000000001</v>
      </c>
      <c r="C1294" s="11">
        <f t="shared" ref="C1294:C1316" si="140">B1294-B1293</f>
        <v>-2.6999999999999247E-3</v>
      </c>
      <c r="D1294" s="12">
        <f t="shared" ref="D1294:D1316" si="141">C1294^2</f>
        <v>7.2899999999995931E-6</v>
      </c>
      <c r="E1294" s="12">
        <f t="shared" si="135"/>
        <v>2.9929000000000321E-4</v>
      </c>
      <c r="F1294" s="12">
        <f t="shared" si="136"/>
        <v>8.5594211502612306E-5</v>
      </c>
      <c r="G1294" s="12">
        <f t="shared" si="137"/>
        <v>3.7214232538895193</v>
      </c>
      <c r="I1294" s="12">
        <f t="shared" si="138"/>
        <v>9.2517139764809152E-3</v>
      </c>
      <c r="J1294" s="12">
        <f t="shared" si="139"/>
        <v>7.4054730214398717E-3</v>
      </c>
    </row>
    <row r="1295" spans="1:10">
      <c r="A1295" s="15">
        <v>42073</v>
      </c>
      <c r="B1295" s="11">
        <v>1.9922</v>
      </c>
      <c r="C1295" s="11">
        <f t="shared" si="140"/>
        <v>1.3299999999999867E-2</v>
      </c>
      <c r="D1295" s="12">
        <f t="shared" si="141"/>
        <v>1.7688999999999647E-4</v>
      </c>
      <c r="E1295" s="12">
        <f t="shared" ref="E1295:E1316" si="142">D1294</f>
        <v>7.2899999999995931E-6</v>
      </c>
      <c r="F1295" s="12">
        <f t="shared" ref="F1295:F1316" si="143">$B$5+$B$6*E1295+$B$7*F1294</f>
        <v>7.7535939193639698E-5</v>
      </c>
      <c r="G1295" s="12">
        <f t="shared" ref="G1295:G1316" si="144">LN((1/SQRT(2*3.1415927*F1295))*EXP(-0.5*D1295/F1295))</f>
        <v>2.67274912882641</v>
      </c>
      <c r="I1295" s="12">
        <f t="shared" ref="I1295:I1316" si="145">SQRT(F1295)</f>
        <v>8.8054494032752065E-3</v>
      </c>
      <c r="J1295" s="12">
        <f t="shared" si="139"/>
        <v>7.4054730214398717E-3</v>
      </c>
    </row>
    <row r="1296" spans="1:10">
      <c r="A1296" s="15">
        <v>42074</v>
      </c>
      <c r="B1296" s="11">
        <v>2.0017999999999998</v>
      </c>
      <c r="C1296" s="11">
        <f t="shared" si="140"/>
        <v>9.5999999999998309E-3</v>
      </c>
      <c r="D1296" s="12">
        <f t="shared" si="141"/>
        <v>9.2159999999996759E-5</v>
      </c>
      <c r="E1296" s="12">
        <f t="shared" si="142"/>
        <v>1.7688999999999647E-4</v>
      </c>
      <c r="F1296" s="12">
        <f t="shared" si="143"/>
        <v>8.4590893820823713E-5</v>
      </c>
      <c r="G1296" s="12">
        <f t="shared" si="144"/>
        <v>3.2251639412467639</v>
      </c>
      <c r="I1296" s="12">
        <f t="shared" si="145"/>
        <v>9.1973307987058793E-3</v>
      </c>
      <c r="J1296" s="12">
        <f t="shared" ref="J1296:J1316" si="146">J1295</f>
        <v>7.4054730214398717E-3</v>
      </c>
    </row>
    <row r="1297" spans="1:10">
      <c r="A1297" s="15">
        <v>42075</v>
      </c>
      <c r="B1297" s="11">
        <v>1.9906999999999999</v>
      </c>
      <c r="C1297" s="11">
        <f t="shared" si="140"/>
        <v>-1.1099999999999888E-2</v>
      </c>
      <c r="D1297" s="12">
        <f t="shared" si="141"/>
        <v>1.2320999999999751E-4</v>
      </c>
      <c r="E1297" s="12">
        <f t="shared" si="142"/>
        <v>9.2159999999996759E-5</v>
      </c>
      <c r="F1297" s="12">
        <f t="shared" si="143"/>
        <v>8.3671306737623886E-5</v>
      </c>
      <c r="G1297" s="12">
        <f t="shared" si="144"/>
        <v>3.0390947764105776</v>
      </c>
      <c r="I1297" s="12">
        <f t="shared" si="145"/>
        <v>9.1472021262036119E-3</v>
      </c>
      <c r="J1297" s="12">
        <f t="shared" si="146"/>
        <v>7.4054730214398717E-3</v>
      </c>
    </row>
    <row r="1298" spans="1:10">
      <c r="A1298" s="15">
        <v>42076</v>
      </c>
      <c r="B1298" s="11">
        <v>1.9872000000000001</v>
      </c>
      <c r="C1298" s="11">
        <f t="shared" si="140"/>
        <v>-3.4999999999998366E-3</v>
      </c>
      <c r="D1298" s="12">
        <f t="shared" si="141"/>
        <v>1.2249999999998856E-5</v>
      </c>
      <c r="E1298" s="12">
        <f t="shared" si="142"/>
        <v>1.2320999999999751E-4</v>
      </c>
      <c r="F1298" s="12">
        <f t="shared" si="143"/>
        <v>8.5440802160006017E-5</v>
      </c>
      <c r="G1298" s="12">
        <f t="shared" si="144"/>
        <v>3.6932177954758112</v>
      </c>
      <c r="I1298" s="12">
        <f t="shared" si="145"/>
        <v>9.2434193976042231E-3</v>
      </c>
      <c r="J1298" s="12">
        <f t="shared" si="146"/>
        <v>7.4054730214398717E-3</v>
      </c>
    </row>
    <row r="1299" spans="1:10">
      <c r="A1299" s="15">
        <v>42079</v>
      </c>
      <c r="B1299" s="11">
        <v>1.9641</v>
      </c>
      <c r="C1299" s="11">
        <f t="shared" si="140"/>
        <v>-2.310000000000012E-2</v>
      </c>
      <c r="D1299" s="12">
        <f t="shared" si="141"/>
        <v>5.3361000000000554E-4</v>
      </c>
      <c r="E1299" s="12">
        <f t="shared" si="142"/>
        <v>1.2249999999998856E-5</v>
      </c>
      <c r="F1299" s="12">
        <f t="shared" si="143"/>
        <v>7.781300212467665E-5</v>
      </c>
      <c r="G1299" s="12">
        <f t="shared" si="144"/>
        <v>0.38286531751461028</v>
      </c>
      <c r="I1299" s="12">
        <f t="shared" si="145"/>
        <v>8.8211678435837874E-3</v>
      </c>
      <c r="J1299" s="12">
        <f t="shared" si="146"/>
        <v>7.4054730214398717E-3</v>
      </c>
    </row>
    <row r="1300" spans="1:10">
      <c r="A1300" s="15">
        <v>42080</v>
      </c>
      <c r="B1300" s="11">
        <v>1.9571000000000001</v>
      </c>
      <c r="C1300" s="11">
        <f t="shared" si="140"/>
        <v>-6.9999999999998952E-3</v>
      </c>
      <c r="D1300" s="12">
        <f t="shared" si="141"/>
        <v>4.8999999999998535E-5</v>
      </c>
      <c r="E1300" s="12">
        <f t="shared" si="142"/>
        <v>5.3361000000000554E-4</v>
      </c>
      <c r="F1300" s="12">
        <f t="shared" si="143"/>
        <v>1.1424350166417825E-4</v>
      </c>
      <c r="G1300" s="12">
        <f t="shared" si="144"/>
        <v>3.4051964525177905</v>
      </c>
      <c r="I1300" s="12">
        <f t="shared" si="145"/>
        <v>1.0688475179565057E-2</v>
      </c>
      <c r="J1300" s="12">
        <f t="shared" si="146"/>
        <v>7.4054730214398717E-3</v>
      </c>
    </row>
    <row r="1301" spans="1:10">
      <c r="A1301" s="15">
        <v>42081</v>
      </c>
      <c r="B1301" s="11">
        <v>1.9355</v>
      </c>
      <c r="C1301" s="11">
        <f t="shared" si="140"/>
        <v>-2.1600000000000064E-2</v>
      </c>
      <c r="D1301" s="12">
        <f t="shared" si="141"/>
        <v>4.6656000000000274E-4</v>
      </c>
      <c r="E1301" s="12">
        <f t="shared" si="142"/>
        <v>4.8999999999998535E-5</v>
      </c>
      <c r="F1301" s="12">
        <f t="shared" si="143"/>
        <v>1.0561283156140269E-4</v>
      </c>
      <c r="G1301" s="12">
        <f t="shared" si="144"/>
        <v>1.450104288084147</v>
      </c>
      <c r="I1301" s="12">
        <f t="shared" si="145"/>
        <v>1.0276810378780116E-2</v>
      </c>
      <c r="J1301" s="12">
        <f t="shared" si="146"/>
        <v>7.4054730214398717E-3</v>
      </c>
    </row>
    <row r="1302" spans="1:10">
      <c r="A1302" s="15">
        <v>42082</v>
      </c>
      <c r="B1302" s="11">
        <v>1.9616</v>
      </c>
      <c r="C1302" s="11">
        <f t="shared" si="140"/>
        <v>2.6100000000000012E-2</v>
      </c>
      <c r="D1302" s="12">
        <f t="shared" si="141"/>
        <v>6.8121000000000067E-4</v>
      </c>
      <c r="E1302" s="12">
        <f t="shared" si="142"/>
        <v>4.6656000000000274E-4</v>
      </c>
      <c r="F1302" s="12">
        <f t="shared" si="143"/>
        <v>1.3262177301760539E-4</v>
      </c>
      <c r="G1302" s="12">
        <f t="shared" si="144"/>
        <v>0.97682265498090903</v>
      </c>
      <c r="I1302" s="12">
        <f t="shared" si="145"/>
        <v>1.151615270034248E-2</v>
      </c>
      <c r="J1302" s="12">
        <f t="shared" si="146"/>
        <v>7.4054730214398717E-3</v>
      </c>
    </row>
    <row r="1303" spans="1:10">
      <c r="A1303" s="15">
        <v>42083</v>
      </c>
      <c r="B1303" s="11">
        <v>1.9389000000000001</v>
      </c>
      <c r="C1303" s="11">
        <f t="shared" si="140"/>
        <v>-2.2699999999999942E-2</v>
      </c>
      <c r="D1303" s="12">
        <f t="shared" si="141"/>
        <v>5.1528999999999735E-4</v>
      </c>
      <c r="E1303" s="12">
        <f t="shared" si="142"/>
        <v>6.8121000000000067E-4</v>
      </c>
      <c r="F1303" s="12">
        <f t="shared" si="143"/>
        <v>1.7354826154148109E-4</v>
      </c>
      <c r="G1303" s="12">
        <f t="shared" si="144"/>
        <v>1.9260162404187691</v>
      </c>
      <c r="I1303" s="12">
        <f t="shared" si="145"/>
        <v>1.3173771728001099E-2</v>
      </c>
      <c r="J1303" s="12">
        <f t="shared" si="146"/>
        <v>7.4054730214398717E-3</v>
      </c>
    </row>
    <row r="1304" spans="1:10">
      <c r="A1304" s="15">
        <v>42086</v>
      </c>
      <c r="B1304" s="11">
        <v>1.9429000000000001</v>
      </c>
      <c r="C1304" s="11">
        <f t="shared" si="140"/>
        <v>4.0000000000000036E-3</v>
      </c>
      <c r="D1304" s="12">
        <f t="shared" si="141"/>
        <v>1.600000000000003E-5</v>
      </c>
      <c r="E1304" s="12">
        <f t="shared" si="142"/>
        <v>5.1528999999999735E-4</v>
      </c>
      <c r="F1304" s="12">
        <f t="shared" si="143"/>
        <v>1.9506248657663708E-4</v>
      </c>
      <c r="G1304" s="12">
        <f t="shared" si="144"/>
        <v>3.3111442639662263</v>
      </c>
      <c r="I1304" s="12">
        <f t="shared" si="145"/>
        <v>1.3966477242906927E-2</v>
      </c>
      <c r="J1304" s="12">
        <f t="shared" si="146"/>
        <v>7.4054730214398717E-3</v>
      </c>
    </row>
    <row r="1305" spans="1:10">
      <c r="A1305" s="15">
        <v>42087</v>
      </c>
      <c r="B1305" s="11">
        <v>1.9318</v>
      </c>
      <c r="C1305" s="11">
        <f t="shared" si="140"/>
        <v>-1.110000000000011E-2</v>
      </c>
      <c r="D1305" s="12">
        <f t="shared" si="141"/>
        <v>1.2321000000000245E-4</v>
      </c>
      <c r="E1305" s="12">
        <f t="shared" si="142"/>
        <v>1.600000000000003E-5</v>
      </c>
      <c r="F1305" s="12">
        <f t="shared" si="143"/>
        <v>1.723937625737303E-4</v>
      </c>
      <c r="G1305" s="12">
        <f t="shared" si="144"/>
        <v>3.0565756336501337</v>
      </c>
      <c r="I1305" s="12">
        <f t="shared" si="145"/>
        <v>1.3129880523970136E-2</v>
      </c>
      <c r="J1305" s="12">
        <f t="shared" si="146"/>
        <v>7.4054730214398717E-3</v>
      </c>
    </row>
    <row r="1306" spans="1:10">
      <c r="A1306" s="15">
        <v>42088</v>
      </c>
      <c r="B1306" s="11">
        <v>1.9289000000000001</v>
      </c>
      <c r="C1306" s="11">
        <f t="shared" si="140"/>
        <v>-2.8999999999999027E-3</v>
      </c>
      <c r="D1306" s="12">
        <f t="shared" si="141"/>
        <v>8.409999999999435E-6</v>
      </c>
      <c r="E1306" s="12">
        <f t="shared" si="142"/>
        <v>1.2321000000000245E-4</v>
      </c>
      <c r="F1306" s="12">
        <f t="shared" si="143"/>
        <v>1.6173960126595905E-4</v>
      </c>
      <c r="G1306" s="12">
        <f t="shared" si="144"/>
        <v>3.4198243369669292</v>
      </c>
      <c r="I1306" s="12">
        <f t="shared" si="145"/>
        <v>1.2717688518986421E-2</v>
      </c>
      <c r="J1306" s="12">
        <f t="shared" si="146"/>
        <v>7.4054730214398717E-3</v>
      </c>
    </row>
    <row r="1307" spans="1:10">
      <c r="A1307" s="15">
        <v>42089</v>
      </c>
      <c r="B1307" s="11">
        <v>1.9455</v>
      </c>
      <c r="C1307" s="11">
        <f t="shared" si="140"/>
        <v>1.6599999999999948E-2</v>
      </c>
      <c r="D1307" s="12">
        <f t="shared" si="141"/>
        <v>2.7555999999999826E-4</v>
      </c>
      <c r="E1307" s="12">
        <f t="shared" si="142"/>
        <v>8.409999999999435E-6</v>
      </c>
      <c r="F1307" s="12">
        <f t="shared" si="143"/>
        <v>1.4311117042187121E-4</v>
      </c>
      <c r="G1307" s="12">
        <f t="shared" si="144"/>
        <v>2.5442578183027167</v>
      </c>
      <c r="I1307" s="12">
        <f t="shared" si="145"/>
        <v>1.1962908108895229E-2</v>
      </c>
      <c r="J1307" s="12">
        <f t="shared" si="146"/>
        <v>7.4054730214398717E-3</v>
      </c>
    </row>
    <row r="1308" spans="1:10">
      <c r="A1308" s="15">
        <v>42090</v>
      </c>
      <c r="B1308" s="11">
        <v>1.9390000000000001</v>
      </c>
      <c r="C1308" s="11">
        <f t="shared" si="140"/>
        <v>-6.4999999999999503E-3</v>
      </c>
      <c r="D1308" s="12">
        <f t="shared" si="141"/>
        <v>4.2249999999999353E-5</v>
      </c>
      <c r="E1308" s="12">
        <f t="shared" si="142"/>
        <v>2.7555999999999826E-4</v>
      </c>
      <c r="F1308" s="12">
        <f t="shared" si="143"/>
        <v>1.4911984515546554E-4</v>
      </c>
      <c r="G1308" s="12">
        <f t="shared" si="144"/>
        <v>3.3447770036836899</v>
      </c>
      <c r="I1308" s="12">
        <f t="shared" si="145"/>
        <v>1.2211463677850642E-2</v>
      </c>
      <c r="J1308" s="12">
        <f t="shared" si="146"/>
        <v>7.4054730214398717E-3</v>
      </c>
    </row>
    <row r="1309" spans="1:10">
      <c r="A1309" s="15">
        <v>42093</v>
      </c>
      <c r="B1309" s="11">
        <v>1.9510000000000001</v>
      </c>
      <c r="C1309" s="11">
        <f t="shared" si="140"/>
        <v>1.2000000000000011E-2</v>
      </c>
      <c r="D1309" s="12">
        <f t="shared" si="141"/>
        <v>1.4400000000000025E-4</v>
      </c>
      <c r="E1309" s="12">
        <f t="shared" si="142"/>
        <v>4.2249999999999353E-5</v>
      </c>
      <c r="F1309" s="12">
        <f t="shared" si="143"/>
        <v>1.350489090923245E-4</v>
      </c>
      <c r="G1309" s="12">
        <f t="shared" si="144"/>
        <v>3.0028580549864645</v>
      </c>
      <c r="I1309" s="12">
        <f t="shared" si="145"/>
        <v>1.1621054560250739E-2</v>
      </c>
      <c r="J1309" s="12">
        <f t="shared" si="146"/>
        <v>7.4054730214398717E-3</v>
      </c>
    </row>
    <row r="1310" spans="1:10">
      <c r="A1310" s="15">
        <v>42094</v>
      </c>
      <c r="B1310" s="11">
        <v>1.9625999999999999</v>
      </c>
      <c r="C1310" s="11">
        <f t="shared" si="140"/>
        <v>1.1599999999999833E-2</v>
      </c>
      <c r="D1310" s="12">
        <f t="shared" si="141"/>
        <v>1.3455999999999611E-4</v>
      </c>
      <c r="E1310" s="12">
        <f t="shared" si="142"/>
        <v>1.4400000000000025E-4</v>
      </c>
      <c r="F1310" s="12">
        <f t="shared" si="143"/>
        <v>1.3133838238116259E-4</v>
      </c>
      <c r="G1310" s="12">
        <f t="shared" si="144"/>
        <v>3.0376636359918439</v>
      </c>
      <c r="I1310" s="12">
        <f t="shared" si="145"/>
        <v>1.1460295911588085E-2</v>
      </c>
      <c r="J1310" s="12">
        <f t="shared" si="146"/>
        <v>7.4054730214398717E-3</v>
      </c>
    </row>
    <row r="1311" spans="1:10">
      <c r="A1311" s="15">
        <v>42095</v>
      </c>
      <c r="B1311" s="11">
        <v>1.9585999999999999</v>
      </c>
      <c r="C1311" s="11">
        <f t="shared" si="140"/>
        <v>-4.0000000000000036E-3</v>
      </c>
      <c r="D1311" s="12">
        <f t="shared" si="141"/>
        <v>1.600000000000003E-5</v>
      </c>
      <c r="E1311" s="12">
        <f t="shared" si="142"/>
        <v>1.3455999999999611E-4</v>
      </c>
      <c r="F1311" s="12">
        <f t="shared" si="143"/>
        <v>1.2736903300018077E-4</v>
      </c>
      <c r="G1311" s="12">
        <f t="shared" si="144"/>
        <v>3.5024628005476091</v>
      </c>
      <c r="I1311" s="12">
        <f t="shared" si="145"/>
        <v>1.1285788984390093E-2</v>
      </c>
      <c r="J1311" s="12">
        <f t="shared" si="146"/>
        <v>7.4054730214398717E-3</v>
      </c>
    </row>
    <row r="1312" spans="1:10">
      <c r="A1312" s="15">
        <v>42096</v>
      </c>
      <c r="B1312" s="11">
        <v>1.9441999999999999</v>
      </c>
      <c r="C1312" s="11">
        <f t="shared" si="140"/>
        <v>-1.4399999999999968E-2</v>
      </c>
      <c r="D1312" s="12">
        <f t="shared" si="141"/>
        <v>2.073599999999991E-4</v>
      </c>
      <c r="E1312" s="12">
        <f t="shared" si="142"/>
        <v>1.600000000000003E-5</v>
      </c>
      <c r="F1312" s="12">
        <f t="shared" si="143"/>
        <v>1.1417930980025044E-4</v>
      </c>
      <c r="G1312" s="12">
        <f t="shared" si="144"/>
        <v>2.711886259621441</v>
      </c>
      <c r="I1312" s="12">
        <f t="shared" si="145"/>
        <v>1.0685471903488888E-2</v>
      </c>
      <c r="J1312" s="12">
        <f t="shared" si="146"/>
        <v>7.4054730214398717E-3</v>
      </c>
    </row>
    <row r="1313" spans="1:10">
      <c r="A1313" s="15">
        <v>42097</v>
      </c>
      <c r="B1313" s="11">
        <v>1.9276</v>
      </c>
      <c r="C1313" s="11">
        <f t="shared" si="140"/>
        <v>-1.6599999999999948E-2</v>
      </c>
      <c r="D1313" s="12">
        <f t="shared" si="141"/>
        <v>2.7555999999999826E-4</v>
      </c>
      <c r="E1313" s="12">
        <f t="shared" si="142"/>
        <v>2.073599999999991E-4</v>
      </c>
      <c r="F1313" s="12">
        <f t="shared" si="143"/>
        <v>1.1861564343324805E-4</v>
      </c>
      <c r="G1313" s="12">
        <f t="shared" si="144"/>
        <v>2.4393056931931314</v>
      </c>
      <c r="I1313" s="12">
        <f t="shared" si="145"/>
        <v>1.0891080912069659E-2</v>
      </c>
      <c r="J1313" s="12">
        <f t="shared" si="146"/>
        <v>7.4054730214398717E-3</v>
      </c>
    </row>
    <row r="1314" spans="1:10">
      <c r="A1314" s="15">
        <v>42100</v>
      </c>
      <c r="B1314" s="11">
        <v>1.9415</v>
      </c>
      <c r="C1314" s="11">
        <f t="shared" si="140"/>
        <v>1.3900000000000023E-2</v>
      </c>
      <c r="D1314" s="12">
        <f t="shared" si="141"/>
        <v>1.9321000000000065E-4</v>
      </c>
      <c r="E1314" s="12">
        <f t="shared" si="142"/>
        <v>2.7555999999999826E-4</v>
      </c>
      <c r="F1314" s="12">
        <f t="shared" si="143"/>
        <v>1.2805438573951008E-4</v>
      </c>
      <c r="G1314" s="12">
        <f t="shared" si="144"/>
        <v>2.8081831832678379</v>
      </c>
      <c r="I1314" s="12">
        <f t="shared" si="145"/>
        <v>1.131611177655603E-2</v>
      </c>
      <c r="J1314" s="12">
        <f t="shared" si="146"/>
        <v>7.4054730214398717E-3</v>
      </c>
    </row>
    <row r="1315" spans="1:10">
      <c r="A1315" s="15">
        <v>42101</v>
      </c>
      <c r="B1315" s="11">
        <v>1.9545999999999999</v>
      </c>
      <c r="C1315" s="11">
        <f t="shared" si="140"/>
        <v>1.309999999999989E-2</v>
      </c>
      <c r="D1315" s="12">
        <f t="shared" si="141"/>
        <v>1.7160999999999712E-4</v>
      </c>
      <c r="E1315" s="12">
        <f t="shared" si="142"/>
        <v>1.9321000000000065E-4</v>
      </c>
      <c r="F1315" s="12">
        <f t="shared" si="143"/>
        <v>1.293810380752421E-4</v>
      </c>
      <c r="G1315" s="12">
        <f t="shared" si="144"/>
        <v>2.8942397203293497</v>
      </c>
      <c r="I1315" s="12">
        <f t="shared" si="145"/>
        <v>1.1374578588907903E-2</v>
      </c>
      <c r="J1315" s="12">
        <f t="shared" si="146"/>
        <v>7.4054730214398717E-3</v>
      </c>
    </row>
    <row r="1316" spans="1:10">
      <c r="A1316" s="15">
        <v>42102</v>
      </c>
      <c r="B1316" s="11">
        <v>1.9459</v>
      </c>
      <c r="C1316" s="11">
        <f t="shared" si="140"/>
        <v>-8.69999999999993E-3</v>
      </c>
      <c r="D1316" s="12">
        <f t="shared" si="141"/>
        <v>7.5689999999998782E-5</v>
      </c>
      <c r="E1316" s="12">
        <f t="shared" si="142"/>
        <v>1.7160999999999712E-4</v>
      </c>
      <c r="F1316" s="12">
        <f t="shared" si="143"/>
        <v>1.2874083332222729E-4</v>
      </c>
      <c r="G1316" s="12">
        <f t="shared" si="144"/>
        <v>3.26595339165539</v>
      </c>
      <c r="I1316" s="12">
        <f t="shared" si="145"/>
        <v>1.1346401778635697E-2</v>
      </c>
      <c r="J1316" s="12">
        <f t="shared" si="146"/>
        <v>7.4054730214398717E-3</v>
      </c>
    </row>
    <row r="1317" spans="1:10">
      <c r="A1317" s="15"/>
      <c r="B1317" s="11"/>
      <c r="I1317" s="12"/>
      <c r="J1317" s="12"/>
    </row>
    <row r="1318" spans="1:10">
      <c r="A1318" s="15"/>
      <c r="B1318" s="11"/>
      <c r="I1318" s="12"/>
      <c r="J1318" s="12"/>
    </row>
    <row r="1319" spans="1:10">
      <c r="A1319" s="15"/>
      <c r="B1319" s="11"/>
      <c r="I1319" s="12"/>
      <c r="J1319" s="12"/>
    </row>
    <row r="1320" spans="1:10">
      <c r="A1320" s="15"/>
      <c r="B1320" s="11"/>
      <c r="I1320" s="12"/>
      <c r="J1320" s="12"/>
    </row>
    <row r="1321" spans="1:10">
      <c r="A1321" s="15"/>
      <c r="B1321" s="11"/>
      <c r="I1321" s="12"/>
      <c r="J1321" s="12"/>
    </row>
    <row r="1322" spans="1:10">
      <c r="A1322" s="15"/>
      <c r="B1322" s="11"/>
      <c r="I1322" s="12"/>
      <c r="J1322" s="12"/>
    </row>
    <row r="1323" spans="1:10">
      <c r="A1323" s="15"/>
      <c r="B1323" s="11"/>
      <c r="I1323" s="12"/>
      <c r="J1323" s="12"/>
    </row>
    <row r="1324" spans="1:10">
      <c r="A1324" s="15"/>
      <c r="B1324" s="11"/>
      <c r="I1324" s="12"/>
      <c r="J1324" s="12"/>
    </row>
    <row r="1325" spans="1:10">
      <c r="A1325" s="15"/>
      <c r="B1325" s="11"/>
      <c r="I1325" s="12"/>
      <c r="J1325" s="12"/>
    </row>
    <row r="1326" spans="1:10">
      <c r="A1326" s="15"/>
      <c r="B1326" s="11"/>
      <c r="I1326" s="12"/>
      <c r="J1326" s="12"/>
    </row>
    <row r="1327" spans="1:10">
      <c r="A1327" s="15"/>
      <c r="B1327" s="11"/>
      <c r="I1327" s="12"/>
      <c r="J1327" s="12"/>
    </row>
    <row r="1328" spans="1:10">
      <c r="A1328" s="15"/>
      <c r="B1328" s="11"/>
      <c r="I1328" s="12"/>
      <c r="J1328" s="12"/>
    </row>
    <row r="1329" spans="1:10">
      <c r="A1329" s="15"/>
      <c r="B1329" s="11"/>
      <c r="I1329" s="12"/>
      <c r="J1329" s="12"/>
    </row>
    <row r="1330" spans="1:10">
      <c r="A1330" s="15"/>
      <c r="B1330" s="11"/>
      <c r="I1330" s="12"/>
      <c r="J1330" s="12"/>
    </row>
    <row r="1331" spans="1:10">
      <c r="A1331" s="15"/>
      <c r="B1331" s="11"/>
      <c r="I1331" s="12"/>
      <c r="J1331" s="12"/>
    </row>
    <row r="1332" spans="1:10">
      <c r="A1332" s="15"/>
      <c r="B1332" s="11"/>
      <c r="I1332" s="12"/>
      <c r="J1332" s="12"/>
    </row>
    <row r="1333" spans="1:10">
      <c r="A1333" s="15"/>
      <c r="B1333" s="11"/>
      <c r="I1333" s="12"/>
      <c r="J1333" s="12"/>
    </row>
    <row r="1334" spans="1:10">
      <c r="A1334" s="15"/>
      <c r="B1334" s="11"/>
      <c r="I1334" s="12"/>
      <c r="J1334" s="12"/>
    </row>
    <row r="1335" spans="1:10">
      <c r="A1335" s="15"/>
      <c r="B1335" s="11"/>
      <c r="I1335" s="12"/>
      <c r="J1335" s="12"/>
    </row>
    <row r="1336" spans="1:10">
      <c r="A1336" s="15"/>
      <c r="B1336" s="11"/>
      <c r="I1336" s="12"/>
      <c r="J1336" s="12"/>
    </row>
    <row r="1337" spans="1:10">
      <c r="A1337" s="15"/>
      <c r="B1337" s="11"/>
      <c r="I1337" s="12"/>
      <c r="J1337" s="12"/>
    </row>
    <row r="1338" spans="1:10">
      <c r="A1338" s="15"/>
      <c r="B1338" s="11"/>
      <c r="I1338" s="12"/>
      <c r="J1338" s="12"/>
    </row>
    <row r="1339" spans="1:10">
      <c r="A1339" s="15"/>
      <c r="B1339" s="11"/>
      <c r="I1339" s="12"/>
      <c r="J1339" s="12"/>
    </row>
    <row r="1340" spans="1:10">
      <c r="A1340" s="15"/>
      <c r="B1340" s="11"/>
      <c r="I1340" s="12"/>
      <c r="J1340" s="12"/>
    </row>
    <row r="1341" spans="1:10">
      <c r="A1341" s="15"/>
      <c r="B1341" s="11"/>
      <c r="I1341" s="12"/>
      <c r="J1341" s="12"/>
    </row>
    <row r="1342" spans="1:10">
      <c r="A1342" s="15"/>
      <c r="B1342" s="11"/>
      <c r="I1342" s="12"/>
      <c r="J1342" s="12"/>
    </row>
    <row r="1343" spans="1:10">
      <c r="A1343" s="15"/>
      <c r="B1343" s="11"/>
      <c r="I1343" s="12"/>
      <c r="J1343" s="12"/>
    </row>
    <row r="1344" spans="1:10">
      <c r="A1344" s="15"/>
      <c r="B1344" s="11"/>
      <c r="I1344" s="12"/>
      <c r="J1344" s="12"/>
    </row>
    <row r="1345" spans="1:10">
      <c r="A1345" s="15"/>
      <c r="B1345" s="11"/>
      <c r="I1345" s="12"/>
      <c r="J1345" s="12"/>
    </row>
    <row r="1346" spans="1:10">
      <c r="A1346" s="15"/>
      <c r="B1346" s="11"/>
      <c r="I1346" s="12"/>
      <c r="J1346" s="12"/>
    </row>
    <row r="1347" spans="1:10">
      <c r="A1347" s="15"/>
      <c r="B1347" s="11"/>
      <c r="I1347" s="12"/>
      <c r="J1347" s="12"/>
    </row>
    <row r="1348" spans="1:10">
      <c r="A1348" s="15"/>
      <c r="B1348" s="11"/>
      <c r="I1348" s="12"/>
      <c r="J1348" s="12"/>
    </row>
    <row r="1349" spans="1:10">
      <c r="A1349" s="15"/>
      <c r="B1349" s="11"/>
      <c r="I1349" s="12"/>
      <c r="J1349" s="12"/>
    </row>
    <row r="1350" spans="1:10">
      <c r="A1350" s="15"/>
      <c r="B1350" s="11"/>
      <c r="I1350" s="12"/>
      <c r="J1350" s="12"/>
    </row>
    <row r="1351" spans="1:10">
      <c r="A1351" s="15"/>
      <c r="B1351" s="11"/>
      <c r="I1351" s="12"/>
      <c r="J1351" s="12"/>
    </row>
    <row r="1352" spans="1:10">
      <c r="A1352" s="15"/>
      <c r="B1352" s="11"/>
      <c r="I1352" s="12"/>
      <c r="J1352" s="12"/>
    </row>
    <row r="1353" spans="1:10">
      <c r="A1353" s="15"/>
      <c r="B1353" s="11"/>
      <c r="I1353" s="12"/>
      <c r="J1353" s="12"/>
    </row>
    <row r="1354" spans="1:10">
      <c r="A1354" s="15"/>
      <c r="B1354" s="11"/>
      <c r="I1354" s="12"/>
      <c r="J1354" s="12"/>
    </row>
    <row r="1355" spans="1:10">
      <c r="A1355" s="15"/>
      <c r="B1355" s="11"/>
      <c r="I1355" s="12"/>
      <c r="J1355" s="12"/>
    </row>
    <row r="1356" spans="1:10">
      <c r="A1356" s="15"/>
      <c r="B1356" s="11"/>
      <c r="I1356" s="12"/>
      <c r="J1356" s="12"/>
    </row>
    <row r="1357" spans="1:10">
      <c r="A1357" s="15"/>
      <c r="B1357" s="11"/>
      <c r="I1357" s="12"/>
      <c r="J1357" s="12"/>
    </row>
    <row r="1358" spans="1:10">
      <c r="A1358" s="15"/>
      <c r="B1358" s="11"/>
      <c r="I1358" s="12"/>
      <c r="J1358" s="12"/>
    </row>
    <row r="1359" spans="1:10">
      <c r="A1359" s="15"/>
      <c r="B1359" s="11"/>
      <c r="I1359" s="12"/>
      <c r="J1359" s="12"/>
    </row>
    <row r="1360" spans="1:10">
      <c r="A1360" s="15"/>
      <c r="B1360" s="11"/>
      <c r="I1360" s="12"/>
      <c r="J1360" s="12"/>
    </row>
    <row r="1361" spans="1:10">
      <c r="A1361" s="15"/>
      <c r="B1361" s="11"/>
      <c r="I1361" s="12"/>
      <c r="J1361" s="12"/>
    </row>
    <row r="1362" spans="1:10">
      <c r="A1362" s="15"/>
      <c r="B1362" s="11"/>
      <c r="I1362" s="12"/>
      <c r="J1362" s="12"/>
    </row>
    <row r="1363" spans="1:10">
      <c r="A1363" s="15"/>
      <c r="B1363" s="11"/>
      <c r="I1363" s="12"/>
      <c r="J1363" s="12"/>
    </row>
    <row r="1364" spans="1:10">
      <c r="A1364" s="15"/>
      <c r="B1364" s="11"/>
      <c r="I1364" s="12"/>
      <c r="J1364" s="12"/>
    </row>
    <row r="1365" spans="1:10">
      <c r="A1365" s="15"/>
      <c r="B1365" s="11"/>
      <c r="I1365" s="12"/>
      <c r="J1365" s="12"/>
    </row>
    <row r="1366" spans="1:10">
      <c r="A1366" s="15"/>
      <c r="B1366" s="11"/>
      <c r="I1366" s="12"/>
      <c r="J1366" s="12"/>
    </row>
    <row r="1367" spans="1:10">
      <c r="A1367" s="15"/>
      <c r="B1367" s="11"/>
      <c r="I1367" s="12"/>
      <c r="J1367" s="12"/>
    </row>
    <row r="1368" spans="1:10">
      <c r="A1368" s="15"/>
      <c r="B1368" s="11"/>
      <c r="I1368" s="12"/>
      <c r="J1368" s="12"/>
    </row>
    <row r="1369" spans="1:10">
      <c r="A1369" s="15"/>
      <c r="B1369" s="11"/>
      <c r="I1369" s="12"/>
      <c r="J1369" s="12"/>
    </row>
    <row r="1370" spans="1:10">
      <c r="A1370" s="15"/>
      <c r="B1370" s="11"/>
      <c r="I1370" s="12"/>
      <c r="J1370" s="12"/>
    </row>
    <row r="1371" spans="1:10">
      <c r="A1371" s="15"/>
      <c r="B1371" s="11"/>
      <c r="I1371" s="12"/>
      <c r="J1371" s="12"/>
    </row>
    <row r="1372" spans="1:10">
      <c r="A1372" s="15"/>
      <c r="B1372" s="11"/>
      <c r="I1372" s="12"/>
      <c r="J1372" s="12"/>
    </row>
    <row r="1373" spans="1:10">
      <c r="A1373" s="15"/>
      <c r="B1373" s="11"/>
      <c r="I1373" s="12"/>
      <c r="J1373" s="12"/>
    </row>
    <row r="1374" spans="1:10">
      <c r="A1374" s="15"/>
      <c r="B1374" s="11"/>
      <c r="I1374" s="12"/>
      <c r="J1374" s="12"/>
    </row>
    <row r="1375" spans="1:10">
      <c r="A1375" s="15"/>
      <c r="B1375" s="11"/>
      <c r="I1375" s="12"/>
      <c r="J1375" s="12"/>
    </row>
    <row r="1376" spans="1:10">
      <c r="A1376" s="15"/>
      <c r="B1376" s="11"/>
      <c r="I1376" s="12"/>
      <c r="J1376" s="12"/>
    </row>
    <row r="1377" spans="1:10">
      <c r="A1377" s="15"/>
      <c r="B1377" s="11"/>
      <c r="I1377" s="12"/>
      <c r="J1377" s="12"/>
    </row>
    <row r="1378" spans="1:10">
      <c r="A1378" s="15"/>
      <c r="B1378" s="11"/>
      <c r="I1378" s="12"/>
      <c r="J1378" s="12"/>
    </row>
    <row r="1379" spans="1:10">
      <c r="A1379" s="15"/>
      <c r="B1379" s="11"/>
      <c r="I1379" s="12"/>
      <c r="J1379" s="12"/>
    </row>
    <row r="1380" spans="1:10">
      <c r="A1380" s="15"/>
      <c r="B1380" s="11"/>
      <c r="I1380" s="12"/>
      <c r="J1380" s="12"/>
    </row>
    <row r="1381" spans="1:10">
      <c r="A1381" s="15"/>
      <c r="B1381" s="11"/>
      <c r="I1381" s="12"/>
      <c r="J1381" s="12"/>
    </row>
    <row r="1382" spans="1:10">
      <c r="A1382" s="15"/>
      <c r="B1382" s="11"/>
      <c r="I1382" s="12"/>
      <c r="J1382" s="12"/>
    </row>
    <row r="1383" spans="1:10">
      <c r="A1383" s="15"/>
      <c r="B1383" s="11"/>
      <c r="I1383" s="12"/>
      <c r="J1383" s="12"/>
    </row>
    <row r="1384" spans="1:10">
      <c r="A1384" s="15"/>
      <c r="B1384" s="11"/>
      <c r="I1384" s="12"/>
      <c r="J1384" s="12"/>
    </row>
    <row r="1385" spans="1:10">
      <c r="A1385" s="15"/>
      <c r="B1385" s="11"/>
      <c r="I1385" s="12"/>
      <c r="J1385" s="12"/>
    </row>
    <row r="1386" spans="1:10">
      <c r="A1386" s="15"/>
      <c r="B1386" s="11"/>
      <c r="I1386" s="12"/>
      <c r="J1386" s="12"/>
    </row>
    <row r="1387" spans="1:10">
      <c r="A1387" s="15"/>
      <c r="B1387" s="11"/>
      <c r="I1387" s="12"/>
      <c r="J1387" s="12"/>
    </row>
    <row r="1388" spans="1:10">
      <c r="A1388" s="15"/>
      <c r="B1388" s="11"/>
      <c r="I1388" s="12"/>
      <c r="J1388" s="12"/>
    </row>
    <row r="1389" spans="1:10">
      <c r="A1389" s="15"/>
      <c r="B1389" s="11"/>
      <c r="I1389" s="12"/>
      <c r="J1389" s="12"/>
    </row>
    <row r="1390" spans="1:10">
      <c r="A1390" s="15"/>
      <c r="B1390" s="11"/>
      <c r="I1390" s="12"/>
      <c r="J1390" s="12"/>
    </row>
    <row r="1391" spans="1:10">
      <c r="A1391" s="15"/>
      <c r="B1391" s="11"/>
      <c r="I1391" s="12"/>
      <c r="J1391" s="12"/>
    </row>
    <row r="1392" spans="1:10">
      <c r="A1392" s="15"/>
      <c r="B1392" s="11"/>
      <c r="I1392" s="12"/>
      <c r="J1392" s="12"/>
    </row>
    <row r="1393" spans="1:10">
      <c r="A1393" s="15"/>
      <c r="B1393" s="11"/>
      <c r="I1393" s="12"/>
      <c r="J1393" s="12"/>
    </row>
    <row r="1394" spans="1:10">
      <c r="A1394" s="15"/>
      <c r="B1394" s="11"/>
      <c r="I1394" s="12"/>
      <c r="J1394" s="12"/>
    </row>
    <row r="1395" spans="1:10">
      <c r="A1395" s="15"/>
      <c r="B1395" s="11"/>
      <c r="I1395" s="12"/>
      <c r="J1395" s="12"/>
    </row>
    <row r="1396" spans="1:10">
      <c r="A1396" s="15"/>
      <c r="B1396" s="11"/>
      <c r="I1396" s="12"/>
      <c r="J1396" s="12"/>
    </row>
    <row r="1397" spans="1:10">
      <c r="A1397" s="15"/>
      <c r="B1397" s="11"/>
      <c r="I1397" s="12"/>
      <c r="J1397" s="12"/>
    </row>
    <row r="1398" spans="1:10">
      <c r="A1398" s="15"/>
      <c r="B1398" s="11"/>
      <c r="I1398" s="12"/>
      <c r="J1398" s="12"/>
    </row>
    <row r="1399" spans="1:10">
      <c r="A1399" s="15"/>
      <c r="B1399" s="11"/>
      <c r="I1399" s="12"/>
      <c r="J1399" s="12"/>
    </row>
    <row r="1400" spans="1:10">
      <c r="A1400" s="15"/>
      <c r="B1400" s="11"/>
      <c r="I1400" s="12"/>
      <c r="J1400" s="12"/>
    </row>
    <row r="1401" spans="1:10">
      <c r="A1401" s="15"/>
      <c r="B1401" s="11"/>
      <c r="I1401" s="12"/>
      <c r="J1401" s="12"/>
    </row>
    <row r="1402" spans="1:10">
      <c r="A1402" s="15"/>
      <c r="B1402" s="11"/>
      <c r="I1402" s="12"/>
      <c r="J1402" s="12"/>
    </row>
    <row r="1403" spans="1:10">
      <c r="A1403" s="15"/>
      <c r="B1403" s="11"/>
      <c r="I1403" s="12"/>
      <c r="J1403" s="12"/>
    </row>
    <row r="1404" spans="1:10">
      <c r="A1404" s="15"/>
      <c r="B1404" s="11"/>
      <c r="I1404" s="12"/>
      <c r="J1404" s="12"/>
    </row>
    <row r="1405" spans="1:10">
      <c r="A1405" s="15"/>
      <c r="B1405" s="11"/>
      <c r="I1405" s="12"/>
      <c r="J1405" s="12"/>
    </row>
    <row r="1406" spans="1:10">
      <c r="A1406" s="15"/>
      <c r="B1406" s="11"/>
      <c r="I1406" s="12"/>
      <c r="J1406" s="12"/>
    </row>
    <row r="1407" spans="1:10">
      <c r="A1407" s="15"/>
      <c r="B1407" s="11"/>
      <c r="I1407" s="12"/>
      <c r="J1407" s="12"/>
    </row>
    <row r="1408" spans="1:10">
      <c r="A1408" s="15"/>
      <c r="B1408" s="11"/>
      <c r="I1408" s="12"/>
      <c r="J1408" s="12"/>
    </row>
    <row r="1409" spans="1:10">
      <c r="A1409" s="15"/>
      <c r="B1409" s="11"/>
      <c r="I1409" s="12"/>
      <c r="J1409" s="12"/>
    </row>
    <row r="1410" spans="1:10">
      <c r="A1410" s="15"/>
      <c r="B1410" s="11"/>
      <c r="I1410" s="12"/>
      <c r="J1410" s="12"/>
    </row>
    <row r="1411" spans="1:10">
      <c r="A1411" s="15"/>
      <c r="B1411" s="11"/>
      <c r="I1411" s="12"/>
      <c r="J1411" s="12"/>
    </row>
    <row r="1412" spans="1:10">
      <c r="A1412" s="15"/>
      <c r="B1412" s="11"/>
      <c r="I1412" s="12"/>
      <c r="J1412" s="12"/>
    </row>
    <row r="1413" spans="1:10">
      <c r="A1413" s="15"/>
      <c r="B1413" s="11"/>
      <c r="I1413" s="12"/>
      <c r="J1413" s="12"/>
    </row>
    <row r="1414" spans="1:10">
      <c r="A1414" s="15"/>
      <c r="B1414" s="11"/>
      <c r="I1414" s="12"/>
      <c r="J1414" s="12"/>
    </row>
    <row r="1415" spans="1:10">
      <c r="A1415" s="15"/>
      <c r="B1415" s="11"/>
      <c r="I1415" s="12"/>
      <c r="J1415" s="12"/>
    </row>
    <row r="1416" spans="1:10">
      <c r="A1416" s="15"/>
      <c r="B1416" s="11"/>
      <c r="I1416" s="12"/>
      <c r="J1416" s="12"/>
    </row>
    <row r="1417" spans="1:10">
      <c r="A1417" s="15"/>
      <c r="B1417" s="11"/>
      <c r="I1417" s="12"/>
      <c r="J1417" s="12"/>
    </row>
    <row r="1418" spans="1:10">
      <c r="A1418" s="15"/>
      <c r="B1418" s="11"/>
      <c r="I1418" s="12"/>
      <c r="J1418" s="12"/>
    </row>
    <row r="1419" spans="1:10">
      <c r="A1419" s="15"/>
      <c r="B1419" s="11"/>
      <c r="I1419" s="12"/>
      <c r="J1419" s="12"/>
    </row>
    <row r="1420" spans="1:10">
      <c r="A1420" s="15"/>
      <c r="B1420" s="11"/>
      <c r="I1420" s="12"/>
      <c r="J1420" s="12"/>
    </row>
    <row r="1421" spans="1:10">
      <c r="A1421" s="15"/>
      <c r="B1421" s="11"/>
      <c r="I1421" s="12"/>
      <c r="J1421" s="12"/>
    </row>
    <row r="1422" spans="1:10">
      <c r="A1422" s="15"/>
      <c r="B1422" s="11"/>
      <c r="I1422" s="12"/>
      <c r="J1422" s="12"/>
    </row>
    <row r="1423" spans="1:10">
      <c r="A1423" s="15"/>
      <c r="B1423" s="11"/>
      <c r="I1423" s="12"/>
      <c r="J1423" s="12"/>
    </row>
    <row r="1424" spans="1:10">
      <c r="A1424" s="15"/>
      <c r="B1424" s="11"/>
      <c r="I1424" s="12"/>
      <c r="J1424" s="12"/>
    </row>
    <row r="1425" spans="1:10">
      <c r="A1425" s="15"/>
      <c r="B1425" s="11"/>
      <c r="I1425" s="12"/>
      <c r="J1425" s="12"/>
    </row>
    <row r="1426" spans="1:10">
      <c r="A1426" s="15"/>
      <c r="B1426" s="11"/>
      <c r="I1426" s="12"/>
      <c r="J1426" s="12"/>
    </row>
    <row r="1427" spans="1:10">
      <c r="A1427" s="15"/>
      <c r="B1427" s="11"/>
      <c r="I1427" s="12"/>
      <c r="J1427" s="12"/>
    </row>
    <row r="1428" spans="1:10">
      <c r="A1428" s="15"/>
      <c r="B1428" s="11"/>
      <c r="I1428" s="12"/>
      <c r="J1428" s="12"/>
    </row>
    <row r="1429" spans="1:10">
      <c r="A1429" s="15"/>
      <c r="B1429" s="11"/>
      <c r="I1429" s="12"/>
      <c r="J1429" s="12"/>
    </row>
    <row r="1430" spans="1:10">
      <c r="A1430" s="15"/>
      <c r="B1430" s="11"/>
      <c r="I1430" s="12"/>
      <c r="J1430" s="12"/>
    </row>
    <row r="1431" spans="1:10">
      <c r="A1431" s="15"/>
      <c r="B1431" s="11"/>
      <c r="I1431" s="12"/>
      <c r="J1431" s="12"/>
    </row>
    <row r="1432" spans="1:10">
      <c r="A1432" s="15"/>
      <c r="B1432" s="11"/>
      <c r="I1432" s="12"/>
      <c r="J1432" s="12"/>
    </row>
    <row r="1433" spans="1:10">
      <c r="A1433" s="15"/>
      <c r="B1433" s="11"/>
      <c r="I1433" s="12"/>
      <c r="J1433" s="12"/>
    </row>
    <row r="1434" spans="1:10">
      <c r="A1434" s="15"/>
      <c r="B1434" s="11"/>
      <c r="I1434" s="12"/>
      <c r="J1434" s="12"/>
    </row>
    <row r="1435" spans="1:10">
      <c r="A1435" s="15"/>
      <c r="B1435" s="11"/>
      <c r="I1435" s="12"/>
      <c r="J1435" s="12"/>
    </row>
    <row r="1436" spans="1:10">
      <c r="A1436" s="15"/>
      <c r="B1436" s="11"/>
      <c r="I1436" s="12"/>
      <c r="J1436" s="12"/>
    </row>
    <row r="1437" spans="1:10">
      <c r="A1437" s="15"/>
      <c r="B1437" s="11"/>
      <c r="I1437" s="12"/>
      <c r="J1437" s="12"/>
    </row>
    <row r="1438" spans="1:10">
      <c r="A1438" s="15"/>
      <c r="B1438" s="11"/>
      <c r="I1438" s="12"/>
      <c r="J1438" s="12"/>
    </row>
    <row r="1439" spans="1:10">
      <c r="A1439" s="15"/>
      <c r="B1439" s="11"/>
      <c r="I1439" s="12"/>
      <c r="J1439" s="12"/>
    </row>
    <row r="1440" spans="1:10">
      <c r="A1440" s="15"/>
      <c r="B1440" s="11"/>
      <c r="I1440" s="12"/>
      <c r="J1440" s="12"/>
    </row>
    <row r="1441" spans="1:10">
      <c r="A1441" s="15"/>
      <c r="B1441" s="11"/>
      <c r="I1441" s="12"/>
      <c r="J1441" s="12"/>
    </row>
    <row r="1442" spans="1:10">
      <c r="A1442" s="15"/>
      <c r="B1442" s="11"/>
      <c r="I1442" s="12"/>
      <c r="J1442" s="12"/>
    </row>
    <row r="1443" spans="1:10">
      <c r="A1443" s="15"/>
      <c r="B1443" s="11"/>
      <c r="I1443" s="12"/>
      <c r="J1443" s="12"/>
    </row>
    <row r="1444" spans="1:10">
      <c r="A1444" s="15"/>
      <c r="B1444" s="11"/>
      <c r="I1444" s="12"/>
      <c r="J1444" s="12"/>
    </row>
    <row r="1445" spans="1:10">
      <c r="A1445" s="15"/>
      <c r="B1445" s="11"/>
      <c r="I1445" s="12"/>
      <c r="J1445" s="12"/>
    </row>
    <row r="1446" spans="1:10">
      <c r="A1446" s="15"/>
      <c r="B1446" s="11"/>
      <c r="I1446" s="12"/>
      <c r="J1446" s="12"/>
    </row>
    <row r="1447" spans="1:10">
      <c r="A1447" s="15"/>
      <c r="B1447" s="11"/>
      <c r="I1447" s="12"/>
      <c r="J1447" s="12"/>
    </row>
    <row r="1448" spans="1:10">
      <c r="A1448" s="15"/>
      <c r="B1448" s="11"/>
      <c r="I1448" s="12"/>
      <c r="J1448" s="12"/>
    </row>
    <row r="1449" spans="1:10">
      <c r="A1449" s="15"/>
      <c r="B1449" s="11"/>
      <c r="I1449" s="12"/>
      <c r="J1449" s="12"/>
    </row>
    <row r="1450" spans="1:10">
      <c r="A1450" s="15"/>
      <c r="B1450" s="11"/>
      <c r="I1450" s="12"/>
      <c r="J1450" s="12"/>
    </row>
    <row r="1451" spans="1:10">
      <c r="A1451" s="15"/>
      <c r="B1451" s="11"/>
      <c r="I1451" s="12"/>
      <c r="J1451" s="12"/>
    </row>
    <row r="1452" spans="1:10">
      <c r="A1452" s="15"/>
      <c r="B1452" s="11"/>
      <c r="I1452" s="12"/>
      <c r="J1452" s="12"/>
    </row>
    <row r="1453" spans="1:10">
      <c r="A1453" s="15"/>
      <c r="B1453" s="11"/>
      <c r="I1453" s="12"/>
      <c r="J1453" s="12"/>
    </row>
    <row r="1454" spans="1:10">
      <c r="A1454" s="15"/>
      <c r="B1454" s="11"/>
      <c r="I1454" s="12"/>
      <c r="J1454" s="12"/>
    </row>
    <row r="1455" spans="1:10">
      <c r="A1455" s="15"/>
      <c r="B1455" s="11"/>
      <c r="I1455" s="12"/>
      <c r="J1455" s="12"/>
    </row>
    <row r="1456" spans="1:10">
      <c r="A1456" s="15"/>
      <c r="B1456" s="11"/>
      <c r="I1456" s="12"/>
      <c r="J1456" s="12"/>
    </row>
    <row r="1457" spans="1:10">
      <c r="A1457" s="15"/>
      <c r="B1457" s="11"/>
      <c r="I1457" s="12"/>
      <c r="J1457" s="12"/>
    </row>
    <row r="1458" spans="1:10">
      <c r="A1458" s="15"/>
      <c r="B1458" s="11"/>
      <c r="I1458" s="12"/>
      <c r="J1458" s="12"/>
    </row>
    <row r="1459" spans="1:10">
      <c r="A1459" s="15"/>
      <c r="B1459" s="11"/>
      <c r="I1459" s="12"/>
      <c r="J1459" s="12"/>
    </row>
    <row r="1460" spans="1:10">
      <c r="A1460" s="15"/>
      <c r="B1460" s="11"/>
      <c r="I1460" s="12"/>
      <c r="J1460" s="12"/>
    </row>
    <row r="1461" spans="1:10">
      <c r="A1461" s="15"/>
      <c r="B1461" s="11"/>
      <c r="I1461" s="12"/>
      <c r="J1461" s="12"/>
    </row>
    <row r="1462" spans="1:10">
      <c r="A1462" s="15"/>
      <c r="B1462" s="11"/>
      <c r="I1462" s="12"/>
      <c r="J1462" s="12"/>
    </row>
    <row r="1463" spans="1:10">
      <c r="A1463" s="15"/>
      <c r="B1463" s="11"/>
      <c r="I1463" s="12"/>
      <c r="J1463" s="12"/>
    </row>
    <row r="1464" spans="1:10">
      <c r="A1464" s="15"/>
      <c r="B1464" s="11"/>
      <c r="I1464" s="12"/>
      <c r="J1464" s="12"/>
    </row>
    <row r="1465" spans="1:10">
      <c r="A1465" s="15"/>
      <c r="B1465" s="11"/>
      <c r="I1465" s="12"/>
      <c r="J1465" s="12"/>
    </row>
    <row r="1466" spans="1:10">
      <c r="A1466" s="15"/>
      <c r="B1466" s="11"/>
      <c r="I1466" s="12"/>
      <c r="J1466" s="12"/>
    </row>
    <row r="1467" spans="1:10">
      <c r="A1467" s="15"/>
      <c r="B1467" s="11"/>
      <c r="I1467" s="12"/>
      <c r="J1467" s="12"/>
    </row>
    <row r="1468" spans="1:10">
      <c r="A1468" s="15"/>
      <c r="B1468" s="11"/>
      <c r="I1468" s="12"/>
      <c r="J1468" s="12"/>
    </row>
    <row r="1469" spans="1:10">
      <c r="A1469" s="15"/>
      <c r="B1469" s="11"/>
      <c r="I1469" s="12"/>
      <c r="J1469" s="12"/>
    </row>
    <row r="1470" spans="1:10">
      <c r="A1470" s="15"/>
      <c r="B1470" s="11"/>
      <c r="I1470" s="12"/>
      <c r="J1470" s="12"/>
    </row>
    <row r="1471" spans="1:10">
      <c r="A1471" s="15"/>
      <c r="B1471" s="11"/>
      <c r="I1471" s="12"/>
      <c r="J1471" s="12"/>
    </row>
    <row r="1472" spans="1:10">
      <c r="A1472" s="15"/>
      <c r="B1472" s="11"/>
      <c r="I1472" s="12"/>
      <c r="J1472" s="12"/>
    </row>
    <row r="1473" spans="1:10">
      <c r="A1473" s="15"/>
      <c r="B1473" s="11"/>
      <c r="I1473" s="12"/>
      <c r="J1473" s="12"/>
    </row>
    <row r="1474" spans="1:10">
      <c r="A1474" s="15"/>
      <c r="B1474" s="11"/>
      <c r="I1474" s="12"/>
      <c r="J1474" s="12"/>
    </row>
    <row r="1475" spans="1:10">
      <c r="A1475" s="15"/>
      <c r="B1475" s="11"/>
      <c r="I1475" s="12"/>
      <c r="J1475" s="12"/>
    </row>
    <row r="1476" spans="1:10">
      <c r="A1476" s="15"/>
      <c r="B1476" s="11"/>
      <c r="I1476" s="12"/>
      <c r="J1476" s="12"/>
    </row>
    <row r="1477" spans="1:10">
      <c r="A1477" s="15"/>
      <c r="B1477" s="11"/>
      <c r="I1477" s="12"/>
      <c r="J1477" s="12"/>
    </row>
    <row r="1478" spans="1:10">
      <c r="A1478" s="15"/>
      <c r="B1478" s="11"/>
      <c r="I1478" s="12"/>
      <c r="J1478" s="12"/>
    </row>
    <row r="1479" spans="1:10">
      <c r="A1479" s="15"/>
      <c r="B1479" s="11"/>
      <c r="I1479" s="12"/>
      <c r="J1479" s="12"/>
    </row>
    <row r="1480" spans="1:10">
      <c r="A1480" s="15"/>
      <c r="B1480" s="11"/>
      <c r="I1480" s="12"/>
      <c r="J1480" s="12"/>
    </row>
    <row r="1481" spans="1:10">
      <c r="A1481" s="15"/>
      <c r="B1481" s="11"/>
      <c r="I1481" s="12"/>
      <c r="J1481" s="12"/>
    </row>
    <row r="1482" spans="1:10">
      <c r="A1482" s="15"/>
      <c r="B1482" s="11"/>
      <c r="I1482" s="12"/>
      <c r="J1482" s="12"/>
    </row>
    <row r="1483" spans="1:10">
      <c r="A1483" s="15"/>
      <c r="B1483" s="11"/>
      <c r="I1483" s="12"/>
      <c r="J1483" s="12"/>
    </row>
    <row r="1484" spans="1:10">
      <c r="A1484" s="15"/>
      <c r="B1484" s="11"/>
      <c r="I1484" s="12"/>
      <c r="J1484" s="12"/>
    </row>
    <row r="1485" spans="1:10">
      <c r="A1485" s="15"/>
      <c r="B1485" s="11"/>
      <c r="I1485" s="12"/>
      <c r="J1485" s="12"/>
    </row>
    <row r="1486" spans="1:10">
      <c r="A1486" s="15"/>
      <c r="B1486" s="11"/>
      <c r="I1486" s="12"/>
      <c r="J1486" s="12"/>
    </row>
    <row r="1487" spans="1:10">
      <c r="A1487" s="15"/>
      <c r="B1487" s="11"/>
      <c r="I1487" s="12"/>
      <c r="J1487" s="12"/>
    </row>
    <row r="1488" spans="1:10">
      <c r="A1488" s="15"/>
      <c r="B1488" s="11"/>
      <c r="I1488" s="12"/>
      <c r="J1488" s="12"/>
    </row>
    <row r="1489" spans="1:10">
      <c r="A1489" s="15"/>
      <c r="B1489" s="11"/>
      <c r="I1489" s="12"/>
      <c r="J1489" s="12"/>
    </row>
    <row r="1490" spans="1:10">
      <c r="A1490" s="15"/>
      <c r="B1490" s="11"/>
      <c r="I1490" s="12"/>
      <c r="J1490" s="12"/>
    </row>
    <row r="1491" spans="1:10">
      <c r="A1491" s="15"/>
      <c r="B1491" s="11"/>
      <c r="I1491" s="12"/>
      <c r="J1491" s="12"/>
    </row>
    <row r="1492" spans="1:10">
      <c r="A1492" s="15"/>
      <c r="B1492" s="11"/>
      <c r="I1492" s="12"/>
      <c r="J1492" s="12"/>
    </row>
    <row r="1493" spans="1:10">
      <c r="A1493" s="15"/>
      <c r="B1493" s="11"/>
      <c r="I1493" s="12"/>
      <c r="J1493" s="12"/>
    </row>
    <row r="1494" spans="1:10">
      <c r="A1494" s="15"/>
      <c r="B1494" s="11"/>
      <c r="I1494" s="12"/>
      <c r="J1494" s="12"/>
    </row>
    <row r="1495" spans="1:10">
      <c r="A1495" s="15"/>
      <c r="B1495" s="11"/>
      <c r="I1495" s="12"/>
      <c r="J1495" s="12"/>
    </row>
    <row r="1496" spans="1:10">
      <c r="A1496" s="15"/>
      <c r="B1496" s="11"/>
      <c r="I1496" s="12"/>
      <c r="J1496" s="12"/>
    </row>
    <row r="1497" spans="1:10">
      <c r="A1497" s="15"/>
      <c r="B1497" s="11"/>
      <c r="I1497" s="12"/>
      <c r="J1497" s="12"/>
    </row>
    <row r="1498" spans="1:10">
      <c r="A1498" s="15"/>
      <c r="B1498" s="11"/>
      <c r="I1498" s="12"/>
      <c r="J1498" s="12"/>
    </row>
    <row r="1499" spans="1:10">
      <c r="A1499" s="15"/>
      <c r="B1499" s="11"/>
      <c r="I1499" s="12"/>
      <c r="J1499" s="12"/>
    </row>
    <row r="1500" spans="1:10">
      <c r="A1500" s="15"/>
      <c r="B1500" s="11"/>
      <c r="I1500" s="12"/>
      <c r="J1500" s="12"/>
    </row>
    <row r="1501" spans="1:10">
      <c r="A1501" s="15"/>
      <c r="B1501" s="11"/>
      <c r="I1501" s="12"/>
      <c r="J1501" s="12"/>
    </row>
    <row r="1502" spans="1:10">
      <c r="A1502" s="15"/>
      <c r="B1502" s="11"/>
      <c r="I1502" s="12"/>
      <c r="J1502" s="12"/>
    </row>
    <row r="1503" spans="1:10">
      <c r="A1503" s="15"/>
      <c r="B1503" s="11"/>
      <c r="I1503" s="12"/>
      <c r="J1503" s="12"/>
    </row>
    <row r="1504" spans="1:10">
      <c r="A1504" s="15"/>
      <c r="B1504" s="11"/>
      <c r="I1504" s="12"/>
      <c r="J1504" s="12"/>
    </row>
    <row r="1505" spans="1:10">
      <c r="A1505" s="15"/>
      <c r="B1505" s="11"/>
      <c r="I1505" s="12"/>
      <c r="J1505" s="12"/>
    </row>
    <row r="1506" spans="1:10">
      <c r="A1506" s="15"/>
      <c r="B1506" s="11"/>
      <c r="I1506" s="12"/>
      <c r="J1506" s="12"/>
    </row>
    <row r="1507" spans="1:10">
      <c r="A1507" s="15"/>
      <c r="B1507" s="11"/>
      <c r="I1507" s="12"/>
      <c r="J1507" s="12"/>
    </row>
    <row r="1508" spans="1:10">
      <c r="A1508" s="15"/>
      <c r="B1508" s="11"/>
      <c r="I1508" s="12"/>
      <c r="J1508" s="12"/>
    </row>
    <row r="1509" spans="1:10">
      <c r="A1509" s="15"/>
      <c r="B1509" s="11"/>
      <c r="I1509" s="12"/>
      <c r="J1509" s="12"/>
    </row>
    <row r="1510" spans="1:10">
      <c r="A1510" s="15"/>
      <c r="B1510" s="11"/>
      <c r="I1510" s="12"/>
      <c r="J1510" s="12"/>
    </row>
    <row r="1511" spans="1:10">
      <c r="A1511" s="15"/>
      <c r="B1511" s="11"/>
      <c r="I1511" s="12"/>
      <c r="J1511" s="12"/>
    </row>
    <row r="1512" spans="1:10">
      <c r="A1512" s="15"/>
      <c r="B1512" s="11"/>
      <c r="I1512" s="12"/>
      <c r="J1512" s="12"/>
    </row>
    <row r="1513" spans="1:10">
      <c r="A1513" s="15"/>
      <c r="B1513" s="11"/>
      <c r="I1513" s="12"/>
      <c r="J1513" s="12"/>
    </row>
    <row r="1514" spans="1:10">
      <c r="A1514" s="15"/>
      <c r="B1514" s="11"/>
      <c r="I1514" s="12"/>
      <c r="J1514" s="12"/>
    </row>
    <row r="1515" spans="1:10">
      <c r="A1515" s="15"/>
      <c r="B1515" s="11"/>
      <c r="I1515" s="12"/>
      <c r="J1515" s="12"/>
    </row>
    <row r="1516" spans="1:10">
      <c r="A1516" s="15"/>
      <c r="B1516" s="11"/>
      <c r="I1516" s="12"/>
      <c r="J1516" s="12"/>
    </row>
    <row r="1517" spans="1:10">
      <c r="A1517" s="15"/>
      <c r="B1517" s="11"/>
      <c r="I1517" s="12"/>
      <c r="J1517" s="12"/>
    </row>
    <row r="1518" spans="1:10">
      <c r="A1518" s="15"/>
      <c r="B1518" s="11"/>
      <c r="I1518" s="12"/>
      <c r="J1518" s="12"/>
    </row>
    <row r="1519" spans="1:10">
      <c r="A1519" s="15"/>
      <c r="B1519" s="11"/>
      <c r="I1519" s="12"/>
      <c r="J1519" s="12"/>
    </row>
    <row r="1520" spans="1:10">
      <c r="A1520" s="15"/>
      <c r="B1520" s="11"/>
      <c r="I1520" s="12"/>
      <c r="J1520" s="12"/>
    </row>
    <row r="1521" spans="1:10">
      <c r="A1521" s="15"/>
      <c r="B1521" s="11"/>
      <c r="I1521" s="12"/>
      <c r="J1521" s="12"/>
    </row>
    <row r="1522" spans="1:10">
      <c r="A1522" s="15"/>
      <c r="B1522" s="11"/>
      <c r="I1522" s="12"/>
      <c r="J1522" s="12"/>
    </row>
    <row r="1523" spans="1:10">
      <c r="A1523" s="15"/>
      <c r="B1523" s="11"/>
      <c r="I1523" s="12"/>
      <c r="J1523" s="12"/>
    </row>
    <row r="1524" spans="1:10">
      <c r="A1524" s="15"/>
      <c r="B1524" s="11"/>
      <c r="I1524" s="12"/>
      <c r="J1524" s="12"/>
    </row>
    <row r="1525" spans="1:10">
      <c r="A1525" s="15"/>
      <c r="B1525" s="11"/>
      <c r="I1525" s="12"/>
      <c r="J1525" s="12"/>
    </row>
    <row r="1526" spans="1:10">
      <c r="A1526" s="15"/>
      <c r="B1526" s="11"/>
      <c r="I1526" s="12"/>
      <c r="J1526" s="12"/>
    </row>
    <row r="1527" spans="1:10">
      <c r="A1527" s="15"/>
      <c r="B1527" s="11"/>
      <c r="I1527" s="12"/>
      <c r="J1527" s="12"/>
    </row>
    <row r="1528" spans="1:10">
      <c r="A1528" s="15"/>
      <c r="B1528" s="11"/>
      <c r="I1528" s="12"/>
      <c r="J1528" s="12"/>
    </row>
    <row r="1529" spans="1:10">
      <c r="A1529" s="15"/>
      <c r="B1529" s="11"/>
      <c r="I1529" s="12"/>
      <c r="J1529" s="12"/>
    </row>
    <row r="1530" spans="1:10">
      <c r="A1530" s="15"/>
      <c r="B1530" s="11"/>
      <c r="I1530" s="12"/>
      <c r="J1530" s="12"/>
    </row>
    <row r="1531" spans="1:10">
      <c r="A1531" s="15"/>
      <c r="B1531" s="11"/>
      <c r="I1531" s="12"/>
      <c r="J1531" s="12"/>
    </row>
    <row r="1532" spans="1:10">
      <c r="A1532" s="15"/>
      <c r="B1532" s="11"/>
      <c r="I1532" s="12"/>
      <c r="J1532" s="12"/>
    </row>
    <row r="1533" spans="1:10">
      <c r="A1533" s="15"/>
      <c r="B1533" s="11"/>
      <c r="I1533" s="12"/>
      <c r="J1533" s="12"/>
    </row>
    <row r="1534" spans="1:10">
      <c r="A1534" s="15"/>
      <c r="B1534" s="11"/>
      <c r="I1534" s="12"/>
      <c r="J1534" s="12"/>
    </row>
    <row r="1535" spans="1:10">
      <c r="A1535" s="15"/>
      <c r="B1535" s="11"/>
      <c r="I1535" s="12"/>
      <c r="J1535" s="12"/>
    </row>
    <row r="1536" spans="1:10">
      <c r="A1536" s="15"/>
      <c r="B1536" s="11"/>
      <c r="I1536" s="12"/>
      <c r="J1536" s="12"/>
    </row>
    <row r="1537" spans="1:10">
      <c r="A1537" s="15"/>
      <c r="B1537" s="11"/>
      <c r="I1537" s="12"/>
      <c r="J1537" s="12"/>
    </row>
    <row r="1538" spans="1:10">
      <c r="A1538" s="15"/>
      <c r="B1538" s="11"/>
      <c r="I1538" s="12"/>
      <c r="J1538" s="12"/>
    </row>
    <row r="1539" spans="1:10">
      <c r="A1539" s="15"/>
      <c r="B1539" s="11"/>
      <c r="I1539" s="12"/>
      <c r="J1539" s="12"/>
    </row>
    <row r="1540" spans="1:10">
      <c r="A1540" s="15"/>
      <c r="B1540" s="11"/>
      <c r="I1540" s="12"/>
      <c r="J1540" s="12"/>
    </row>
    <row r="1541" spans="1:10">
      <c r="A1541" s="15"/>
      <c r="B1541" s="11"/>
      <c r="I1541" s="12"/>
      <c r="J1541" s="12"/>
    </row>
    <row r="1542" spans="1:10">
      <c r="A1542" s="15"/>
      <c r="B1542" s="11"/>
      <c r="I1542" s="12"/>
      <c r="J1542" s="12"/>
    </row>
    <row r="1543" spans="1:10">
      <c r="A1543" s="15"/>
      <c r="B1543" s="11"/>
      <c r="I1543" s="12"/>
      <c r="J1543" s="12"/>
    </row>
    <row r="1544" spans="1:10">
      <c r="A1544" s="15"/>
      <c r="B1544" s="11"/>
      <c r="I1544" s="12"/>
      <c r="J1544" s="12"/>
    </row>
    <row r="1545" spans="1:10">
      <c r="A1545" s="15"/>
      <c r="B1545" s="11"/>
      <c r="I1545" s="12"/>
      <c r="J1545" s="12"/>
    </row>
    <row r="1546" spans="1:10">
      <c r="A1546" s="15"/>
      <c r="B1546" s="11"/>
      <c r="I1546" s="12"/>
      <c r="J1546" s="12"/>
    </row>
    <row r="1547" spans="1:10">
      <c r="A1547" s="15"/>
      <c r="B1547" s="11"/>
      <c r="I1547" s="12"/>
      <c r="J1547" s="12"/>
    </row>
    <row r="1548" spans="1:10">
      <c r="A1548" s="15"/>
      <c r="B1548" s="11"/>
      <c r="I1548" s="12"/>
      <c r="J1548" s="12"/>
    </row>
    <row r="1549" spans="1:10">
      <c r="A1549" s="15"/>
      <c r="B1549" s="11"/>
      <c r="I1549" s="12"/>
      <c r="J1549" s="12"/>
    </row>
    <row r="1550" spans="1:10">
      <c r="A1550" s="15"/>
      <c r="B1550" s="11"/>
      <c r="I1550" s="12"/>
      <c r="J1550" s="12"/>
    </row>
    <row r="1551" spans="1:10">
      <c r="A1551" s="15"/>
      <c r="B1551" s="11"/>
      <c r="I1551" s="12"/>
      <c r="J1551" s="12"/>
    </row>
    <row r="1552" spans="1:10">
      <c r="A1552" s="15"/>
      <c r="B1552" s="11"/>
      <c r="I1552" s="12"/>
      <c r="J1552" s="12"/>
    </row>
    <row r="1553" spans="1:10">
      <c r="A1553" s="15"/>
      <c r="B1553" s="11"/>
      <c r="I1553" s="12"/>
      <c r="J1553" s="12"/>
    </row>
    <row r="1554" spans="1:10">
      <c r="A1554" s="15"/>
      <c r="B1554" s="11"/>
      <c r="I1554" s="12"/>
      <c r="J1554" s="12"/>
    </row>
    <row r="1555" spans="1:10">
      <c r="A1555" s="15"/>
      <c r="B1555" s="11"/>
      <c r="I1555" s="12"/>
      <c r="J1555" s="12"/>
    </row>
    <row r="1556" spans="1:10">
      <c r="A1556" s="15"/>
      <c r="B1556" s="11"/>
      <c r="I1556" s="12"/>
      <c r="J1556" s="12"/>
    </row>
    <row r="1557" spans="1:10">
      <c r="A1557" s="15"/>
      <c r="B1557" s="11"/>
      <c r="I1557" s="12"/>
      <c r="J1557" s="12"/>
    </row>
    <row r="1558" spans="1:10">
      <c r="A1558" s="15"/>
      <c r="B1558" s="11"/>
      <c r="I1558" s="12"/>
      <c r="J1558" s="12"/>
    </row>
    <row r="1559" spans="1:10">
      <c r="A1559" s="15"/>
      <c r="B1559" s="11"/>
      <c r="I1559" s="12"/>
      <c r="J1559" s="12"/>
    </row>
    <row r="1560" spans="1:10">
      <c r="A1560" s="15"/>
      <c r="B1560" s="11"/>
      <c r="I1560" s="12"/>
      <c r="J1560" s="12"/>
    </row>
    <row r="1561" spans="1:10">
      <c r="A1561" s="15"/>
      <c r="B1561" s="11"/>
      <c r="I1561" s="12"/>
      <c r="J1561" s="12"/>
    </row>
    <row r="1562" spans="1:10">
      <c r="A1562" s="15"/>
      <c r="B1562" s="11"/>
      <c r="I1562" s="12"/>
      <c r="J1562" s="12"/>
    </row>
    <row r="1563" spans="1:10">
      <c r="A1563" s="15"/>
      <c r="B1563" s="11"/>
      <c r="I1563" s="12"/>
      <c r="J1563" s="12"/>
    </row>
    <row r="1564" spans="1:10">
      <c r="A1564" s="15"/>
      <c r="B1564" s="11"/>
      <c r="I1564" s="12"/>
      <c r="J1564" s="12"/>
    </row>
    <row r="1565" spans="1:10">
      <c r="A1565" s="15"/>
      <c r="B1565" s="11"/>
      <c r="I1565" s="12"/>
      <c r="J1565" s="12"/>
    </row>
    <row r="1566" spans="1:10">
      <c r="A1566" s="15"/>
      <c r="B1566" s="11"/>
      <c r="I1566" s="12"/>
      <c r="J1566" s="12"/>
    </row>
    <row r="1567" spans="1:10">
      <c r="A1567" s="15"/>
      <c r="B1567" s="11"/>
      <c r="I1567" s="12"/>
      <c r="J1567" s="12"/>
    </row>
    <row r="1568" spans="1:10">
      <c r="A1568" s="15"/>
      <c r="B1568" s="11"/>
      <c r="I1568" s="12"/>
      <c r="J1568" s="12"/>
    </row>
    <row r="1569" spans="1:10">
      <c r="A1569" s="15"/>
      <c r="B1569" s="11"/>
      <c r="I1569" s="12"/>
      <c r="J1569" s="12"/>
    </row>
    <row r="1570" spans="1:10">
      <c r="A1570" s="15"/>
      <c r="B1570" s="11"/>
      <c r="I1570" s="12"/>
      <c r="J1570" s="12"/>
    </row>
    <row r="1571" spans="1:10">
      <c r="A1571" s="15"/>
      <c r="B1571" s="11"/>
      <c r="I1571" s="12"/>
      <c r="J1571" s="12"/>
    </row>
    <row r="1572" spans="1:10">
      <c r="A1572" s="15"/>
      <c r="B1572" s="11"/>
      <c r="I1572" s="12"/>
      <c r="J1572" s="12"/>
    </row>
    <row r="1573" spans="1:10">
      <c r="A1573" s="15"/>
      <c r="B1573" s="11"/>
      <c r="I1573" s="12"/>
      <c r="J1573" s="12"/>
    </row>
    <row r="1574" spans="1:10">
      <c r="A1574" s="15"/>
      <c r="B1574" s="11"/>
      <c r="I1574" s="12"/>
      <c r="J1574" s="12"/>
    </row>
    <row r="1575" spans="1:10">
      <c r="A1575" s="15"/>
      <c r="B1575" s="11"/>
      <c r="I1575" s="12"/>
      <c r="J1575" s="12"/>
    </row>
    <row r="1576" spans="1:10">
      <c r="A1576" s="15"/>
      <c r="B1576" s="11"/>
      <c r="I1576" s="12"/>
      <c r="J1576" s="12"/>
    </row>
    <row r="1577" spans="1:10">
      <c r="A1577" s="15"/>
      <c r="B1577" s="11"/>
      <c r="I1577" s="12"/>
      <c r="J1577" s="12"/>
    </row>
    <row r="1578" spans="1:10">
      <c r="A1578" s="15"/>
      <c r="B1578" s="11"/>
      <c r="I1578" s="12"/>
      <c r="J1578" s="12"/>
    </row>
    <row r="1579" spans="1:10">
      <c r="A1579" s="15"/>
      <c r="B1579" s="11"/>
      <c r="I1579" s="12"/>
      <c r="J1579" s="12"/>
    </row>
    <row r="1580" spans="1:10">
      <c r="A1580" s="15"/>
      <c r="B1580" s="11"/>
      <c r="I1580" s="12"/>
      <c r="J1580" s="12"/>
    </row>
    <row r="1581" spans="1:10">
      <c r="A1581" s="15"/>
      <c r="B1581" s="11"/>
      <c r="I1581" s="12"/>
      <c r="J1581" s="12"/>
    </row>
    <row r="1582" spans="1:10">
      <c r="A1582" s="15"/>
      <c r="B1582" s="11"/>
      <c r="I1582" s="12"/>
      <c r="J1582" s="12"/>
    </row>
    <row r="1583" spans="1:10">
      <c r="A1583" s="15"/>
      <c r="B1583" s="11"/>
      <c r="I1583" s="12"/>
      <c r="J1583" s="12"/>
    </row>
    <row r="1584" spans="1:10">
      <c r="A1584" s="15"/>
      <c r="B1584" s="11"/>
      <c r="I1584" s="12"/>
      <c r="J1584" s="12"/>
    </row>
    <row r="1585" spans="1:10">
      <c r="A1585" s="15"/>
      <c r="B1585" s="11"/>
      <c r="I1585" s="12"/>
      <c r="J1585" s="12"/>
    </row>
    <row r="1586" spans="1:10">
      <c r="A1586" s="15"/>
      <c r="B1586" s="11"/>
      <c r="I1586" s="12"/>
      <c r="J1586" s="12"/>
    </row>
    <row r="1587" spans="1:10">
      <c r="A1587" s="15"/>
      <c r="B1587" s="11"/>
      <c r="I1587" s="12"/>
      <c r="J1587" s="12"/>
    </row>
    <row r="1588" spans="1:10">
      <c r="A1588" s="15"/>
      <c r="B1588" s="11"/>
      <c r="I1588" s="12"/>
      <c r="J1588" s="12"/>
    </row>
    <row r="1589" spans="1:10">
      <c r="A1589" s="15"/>
      <c r="B1589" s="11"/>
      <c r="I1589" s="12"/>
      <c r="J1589" s="12"/>
    </row>
    <row r="1590" spans="1:10">
      <c r="A1590" s="15"/>
      <c r="B1590" s="11"/>
      <c r="I1590" s="12"/>
      <c r="J1590" s="12"/>
    </row>
    <row r="1591" spans="1:10">
      <c r="A1591" s="15"/>
      <c r="B1591" s="11"/>
      <c r="I1591" s="12"/>
      <c r="J1591" s="12"/>
    </row>
    <row r="1592" spans="1:10">
      <c r="A1592" s="15"/>
      <c r="B1592" s="11"/>
      <c r="I1592" s="12"/>
      <c r="J1592" s="12"/>
    </row>
    <row r="1593" spans="1:10">
      <c r="A1593" s="15"/>
      <c r="B1593" s="11"/>
      <c r="I1593" s="12"/>
      <c r="J1593" s="12"/>
    </row>
    <row r="1594" spans="1:10">
      <c r="A1594" s="15"/>
      <c r="B1594" s="11"/>
      <c r="I1594" s="12"/>
      <c r="J1594" s="12"/>
    </row>
    <row r="1595" spans="1:10">
      <c r="A1595" s="15"/>
      <c r="B1595" s="11"/>
      <c r="I1595" s="12"/>
      <c r="J1595" s="12"/>
    </row>
    <row r="1596" spans="1:10">
      <c r="A1596" s="15"/>
      <c r="B1596" s="11"/>
      <c r="I1596" s="12"/>
      <c r="J1596" s="12"/>
    </row>
    <row r="1597" spans="1:10">
      <c r="A1597" s="15"/>
      <c r="B1597" s="11"/>
      <c r="I1597" s="12"/>
      <c r="J1597" s="12"/>
    </row>
    <row r="1598" spans="1:10">
      <c r="A1598" s="15"/>
      <c r="B1598" s="11"/>
      <c r="I1598" s="12"/>
      <c r="J1598" s="12"/>
    </row>
    <row r="1599" spans="1:10">
      <c r="A1599" s="15"/>
      <c r="B1599" s="11"/>
      <c r="I1599" s="12"/>
      <c r="J1599" s="12"/>
    </row>
    <row r="1600" spans="1:10">
      <c r="A1600" s="15"/>
      <c r="B1600" s="11"/>
      <c r="I1600" s="12"/>
      <c r="J1600" s="12"/>
    </row>
    <row r="1601" spans="1:10">
      <c r="A1601" s="15"/>
      <c r="B1601" s="11"/>
      <c r="I1601" s="12"/>
      <c r="J1601" s="12"/>
    </row>
    <row r="1602" spans="1:10">
      <c r="A1602" s="15"/>
      <c r="B1602" s="11"/>
      <c r="I1602" s="12"/>
      <c r="J1602" s="12"/>
    </row>
    <row r="1603" spans="1:10">
      <c r="A1603" s="15"/>
      <c r="B1603" s="11"/>
      <c r="I1603" s="12"/>
      <c r="J1603" s="12"/>
    </row>
    <row r="1604" spans="1:10">
      <c r="A1604" s="15"/>
      <c r="B1604" s="11"/>
      <c r="I1604" s="12"/>
      <c r="J1604" s="12"/>
    </row>
    <row r="1605" spans="1:10">
      <c r="A1605" s="15"/>
      <c r="B1605" s="11"/>
      <c r="I1605" s="12"/>
      <c r="J1605" s="12"/>
    </row>
    <row r="1606" spans="1:10">
      <c r="A1606" s="15"/>
      <c r="B1606" s="11"/>
      <c r="I1606" s="12"/>
      <c r="J1606" s="12"/>
    </row>
    <row r="1607" spans="1:10">
      <c r="A1607" s="15"/>
      <c r="B1607" s="11"/>
      <c r="I1607" s="12"/>
      <c r="J1607" s="12"/>
    </row>
    <row r="1608" spans="1:10">
      <c r="A1608" s="15"/>
      <c r="B1608" s="11"/>
      <c r="I1608" s="12"/>
      <c r="J1608" s="12"/>
    </row>
    <row r="1609" spans="1:10">
      <c r="A1609" s="15"/>
      <c r="B1609" s="11"/>
      <c r="I1609" s="12"/>
      <c r="J1609" s="12"/>
    </row>
    <row r="1610" spans="1:10">
      <c r="A1610" s="15"/>
      <c r="B1610" s="11"/>
      <c r="I1610" s="12"/>
      <c r="J1610" s="12"/>
    </row>
    <row r="1611" spans="1:10">
      <c r="A1611" s="15"/>
      <c r="B1611" s="11"/>
      <c r="I1611" s="12"/>
      <c r="J1611" s="12"/>
    </row>
    <row r="1612" spans="1:10">
      <c r="A1612" s="15"/>
      <c r="B1612" s="11"/>
      <c r="I1612" s="12"/>
      <c r="J1612" s="12"/>
    </row>
    <row r="1613" spans="1:10">
      <c r="A1613" s="15"/>
      <c r="B1613" s="11"/>
      <c r="I1613" s="12"/>
      <c r="J1613" s="12"/>
    </row>
    <row r="1614" spans="1:10">
      <c r="A1614" s="15"/>
      <c r="B1614" s="11"/>
      <c r="I1614" s="12"/>
      <c r="J1614" s="12"/>
    </row>
    <row r="1615" spans="1:10">
      <c r="A1615" s="15"/>
      <c r="B1615" s="11"/>
      <c r="I1615" s="12"/>
      <c r="J1615" s="12"/>
    </row>
    <row r="1616" spans="1:10">
      <c r="A1616" s="15"/>
      <c r="B1616" s="11"/>
      <c r="I1616" s="12"/>
      <c r="J1616" s="12"/>
    </row>
    <row r="1617" spans="1:10">
      <c r="A1617" s="15"/>
      <c r="B1617" s="11"/>
      <c r="I1617" s="12"/>
      <c r="J1617" s="12"/>
    </row>
    <row r="1618" spans="1:10">
      <c r="A1618" s="15"/>
      <c r="B1618" s="11"/>
      <c r="I1618" s="12"/>
      <c r="J1618" s="12"/>
    </row>
    <row r="1619" spans="1:10">
      <c r="A1619" s="15"/>
      <c r="B1619" s="11"/>
      <c r="I1619" s="12"/>
      <c r="J1619" s="12"/>
    </row>
    <row r="1620" spans="1:10">
      <c r="A1620" s="15"/>
      <c r="B1620" s="11"/>
      <c r="I1620" s="12"/>
      <c r="J1620" s="12"/>
    </row>
    <row r="1621" spans="1:10">
      <c r="A1621" s="15"/>
      <c r="B1621" s="11"/>
      <c r="I1621" s="12"/>
      <c r="J1621" s="12"/>
    </row>
    <row r="1622" spans="1:10">
      <c r="A1622" s="15"/>
      <c r="B1622" s="11"/>
      <c r="I1622" s="12"/>
      <c r="J1622" s="12"/>
    </row>
    <row r="1623" spans="1:10">
      <c r="A1623" s="15"/>
      <c r="B1623" s="11"/>
      <c r="I1623" s="12"/>
      <c r="J1623" s="12"/>
    </row>
    <row r="1624" spans="1:10">
      <c r="A1624" s="15"/>
      <c r="B1624" s="11"/>
      <c r="I1624" s="12"/>
      <c r="J1624" s="12"/>
    </row>
    <row r="1625" spans="1:10">
      <c r="A1625" s="15"/>
      <c r="B1625" s="11"/>
      <c r="I1625" s="12"/>
      <c r="J1625" s="12"/>
    </row>
    <row r="1626" spans="1:10">
      <c r="A1626" s="15"/>
      <c r="B1626" s="11"/>
      <c r="I1626" s="12"/>
      <c r="J1626" s="12"/>
    </row>
    <row r="1627" spans="1:10">
      <c r="A1627" s="15"/>
      <c r="B1627" s="11"/>
      <c r="I1627" s="12"/>
      <c r="J1627" s="12"/>
    </row>
    <row r="1628" spans="1:10">
      <c r="A1628" s="15"/>
      <c r="B1628" s="11"/>
      <c r="I1628" s="12"/>
      <c r="J1628" s="12"/>
    </row>
    <row r="1629" spans="1:10">
      <c r="A1629" s="15"/>
      <c r="B1629" s="11"/>
      <c r="I1629" s="12"/>
      <c r="J1629" s="12"/>
    </row>
    <row r="1630" spans="1:10">
      <c r="A1630" s="15"/>
      <c r="B1630" s="11"/>
      <c r="I1630" s="12"/>
      <c r="J1630" s="12"/>
    </row>
    <row r="1631" spans="1:10">
      <c r="A1631" s="15"/>
      <c r="B1631" s="11"/>
      <c r="I1631" s="12"/>
      <c r="J1631" s="12"/>
    </row>
    <row r="1632" spans="1:10">
      <c r="A1632" s="15"/>
      <c r="B1632" s="11"/>
      <c r="I1632" s="12"/>
      <c r="J1632" s="12"/>
    </row>
    <row r="1633" spans="1:10">
      <c r="A1633" s="15"/>
      <c r="B1633" s="11"/>
      <c r="I1633" s="12"/>
      <c r="J1633" s="12"/>
    </row>
    <row r="1634" spans="1:10">
      <c r="A1634" s="15"/>
      <c r="B1634" s="11"/>
      <c r="I1634" s="12"/>
      <c r="J1634" s="12"/>
    </row>
    <row r="1635" spans="1:10">
      <c r="A1635" s="15"/>
      <c r="B1635" s="11"/>
      <c r="I1635" s="12"/>
      <c r="J1635" s="12"/>
    </row>
    <row r="1636" spans="1:10">
      <c r="A1636" s="15"/>
      <c r="B1636" s="11"/>
      <c r="I1636" s="12"/>
      <c r="J1636" s="12"/>
    </row>
    <row r="1637" spans="1:10">
      <c r="A1637" s="15"/>
      <c r="B1637" s="11"/>
      <c r="I1637" s="12"/>
      <c r="J1637" s="12"/>
    </row>
    <row r="1638" spans="1:10">
      <c r="A1638" s="15"/>
      <c r="B1638" s="11"/>
      <c r="I1638" s="12"/>
      <c r="J1638" s="12"/>
    </row>
    <row r="1639" spans="1:10">
      <c r="A1639" s="15"/>
      <c r="B1639" s="11"/>
      <c r="I1639" s="12"/>
      <c r="J1639" s="12"/>
    </row>
    <row r="1640" spans="1:10">
      <c r="A1640" s="15"/>
      <c r="B1640" s="11"/>
      <c r="I1640" s="12"/>
      <c r="J1640" s="12"/>
    </row>
    <row r="1641" spans="1:10">
      <c r="A1641" s="15"/>
      <c r="B1641" s="11"/>
      <c r="I1641" s="12"/>
      <c r="J1641" s="12"/>
    </row>
    <row r="1642" spans="1:10">
      <c r="A1642" s="15"/>
      <c r="B1642" s="11"/>
      <c r="I1642" s="12"/>
      <c r="J1642" s="12"/>
    </row>
    <row r="1643" spans="1:10">
      <c r="A1643" s="15"/>
      <c r="B1643" s="11"/>
      <c r="I1643" s="12"/>
      <c r="J1643" s="12"/>
    </row>
    <row r="1644" spans="1:10">
      <c r="A1644" s="15"/>
      <c r="B1644" s="11"/>
      <c r="I1644" s="12"/>
      <c r="J1644" s="12"/>
    </row>
    <row r="1645" spans="1:10">
      <c r="A1645" s="15"/>
      <c r="B1645" s="11"/>
      <c r="I1645" s="12"/>
      <c r="J1645" s="12"/>
    </row>
    <row r="1646" spans="1:10">
      <c r="A1646" s="15"/>
      <c r="B1646" s="11"/>
      <c r="I1646" s="12"/>
      <c r="J1646" s="12"/>
    </row>
    <row r="1647" spans="1:10">
      <c r="A1647" s="15"/>
      <c r="B1647" s="11"/>
      <c r="I1647" s="12"/>
      <c r="J1647" s="12"/>
    </row>
    <row r="1648" spans="1:10">
      <c r="A1648" s="15"/>
      <c r="B1648" s="11"/>
      <c r="I1648" s="12"/>
      <c r="J1648" s="12"/>
    </row>
    <row r="1649" spans="1:10">
      <c r="A1649" s="15"/>
      <c r="B1649" s="11"/>
      <c r="I1649" s="12"/>
      <c r="J1649" s="12"/>
    </row>
    <row r="1650" spans="1:10">
      <c r="A1650" s="15"/>
      <c r="B1650" s="11"/>
      <c r="I1650" s="12"/>
      <c r="J1650" s="12"/>
    </row>
    <row r="1651" spans="1:10">
      <c r="A1651" s="15"/>
      <c r="B1651" s="11"/>
      <c r="I1651" s="12"/>
      <c r="J1651" s="12"/>
    </row>
    <row r="1652" spans="1:10">
      <c r="A1652" s="15"/>
      <c r="B1652" s="11"/>
      <c r="I1652" s="12"/>
      <c r="J1652" s="12"/>
    </row>
    <row r="1653" spans="1:10">
      <c r="A1653" s="15"/>
      <c r="B1653" s="11"/>
      <c r="I1653" s="12"/>
      <c r="J1653" s="12"/>
    </row>
    <row r="1654" spans="1:10">
      <c r="A1654" s="15"/>
      <c r="B1654" s="11"/>
      <c r="I1654" s="12"/>
      <c r="J1654" s="12"/>
    </row>
    <row r="1655" spans="1:10">
      <c r="A1655" s="15"/>
      <c r="B1655" s="11"/>
      <c r="I1655" s="12"/>
      <c r="J1655" s="12"/>
    </row>
    <row r="1656" spans="1:10">
      <c r="A1656" s="15"/>
      <c r="B1656" s="11"/>
      <c r="I1656" s="12"/>
      <c r="J1656" s="12"/>
    </row>
    <row r="1657" spans="1:10">
      <c r="A1657" s="15"/>
      <c r="B1657" s="11"/>
      <c r="I1657" s="12"/>
      <c r="J1657" s="12"/>
    </row>
    <row r="1658" spans="1:10">
      <c r="A1658" s="15"/>
      <c r="B1658" s="11"/>
      <c r="I1658" s="12"/>
      <c r="J1658" s="12"/>
    </row>
    <row r="1659" spans="1:10">
      <c r="A1659" s="15"/>
      <c r="B1659" s="11"/>
      <c r="I1659" s="12"/>
      <c r="J1659" s="12"/>
    </row>
    <row r="1660" spans="1:10">
      <c r="A1660" s="15"/>
      <c r="B1660" s="11"/>
      <c r="I1660" s="12"/>
      <c r="J1660" s="12"/>
    </row>
    <row r="1661" spans="1:10">
      <c r="A1661" s="15"/>
      <c r="B1661" s="11"/>
      <c r="I1661" s="12"/>
      <c r="J1661" s="12"/>
    </row>
    <row r="1662" spans="1:10">
      <c r="A1662" s="15"/>
      <c r="B1662" s="11"/>
      <c r="I1662" s="12"/>
      <c r="J1662" s="12"/>
    </row>
    <row r="1663" spans="1:10">
      <c r="A1663" s="15"/>
      <c r="B1663" s="11"/>
      <c r="I1663" s="12"/>
      <c r="J1663" s="12"/>
    </row>
    <row r="1664" spans="1:10">
      <c r="A1664" s="15"/>
      <c r="B1664" s="11"/>
      <c r="I1664" s="12"/>
      <c r="J1664" s="12"/>
    </row>
    <row r="1665" spans="1:10">
      <c r="A1665" s="15"/>
      <c r="B1665" s="11"/>
      <c r="I1665" s="12"/>
      <c r="J1665" s="12"/>
    </row>
    <row r="1666" spans="1:10">
      <c r="A1666" s="15"/>
      <c r="B1666" s="11"/>
      <c r="I1666" s="12"/>
      <c r="J1666" s="12"/>
    </row>
    <row r="1667" spans="1:10">
      <c r="A1667" s="15"/>
      <c r="B1667" s="11"/>
      <c r="I1667" s="12"/>
      <c r="J1667" s="12"/>
    </row>
    <row r="1668" spans="1:10">
      <c r="A1668" s="15"/>
      <c r="B1668" s="11"/>
      <c r="I1668" s="12"/>
      <c r="J1668" s="12"/>
    </row>
    <row r="1669" spans="1:10">
      <c r="A1669" s="15"/>
      <c r="B1669" s="11"/>
      <c r="I1669" s="12"/>
      <c r="J1669" s="12"/>
    </row>
    <row r="1670" spans="1:10">
      <c r="A1670" s="15"/>
      <c r="B1670" s="11"/>
      <c r="I1670" s="12"/>
      <c r="J1670" s="12"/>
    </row>
    <row r="1671" spans="1:10">
      <c r="A1671" s="15"/>
      <c r="B1671" s="11"/>
      <c r="I1671" s="12"/>
      <c r="J1671" s="12"/>
    </row>
    <row r="1672" spans="1:10">
      <c r="A1672" s="15"/>
      <c r="B1672" s="11"/>
      <c r="I1672" s="12"/>
      <c r="J1672" s="12"/>
    </row>
    <row r="1673" spans="1:10">
      <c r="A1673" s="15"/>
      <c r="B1673" s="11"/>
      <c r="I1673" s="12"/>
      <c r="J1673" s="12"/>
    </row>
    <row r="1674" spans="1:10">
      <c r="A1674" s="15"/>
      <c r="B1674" s="11"/>
      <c r="I1674" s="12"/>
      <c r="J1674" s="12"/>
    </row>
    <row r="1675" spans="1:10">
      <c r="A1675" s="15"/>
      <c r="B1675" s="11"/>
      <c r="I1675" s="12"/>
      <c r="J1675" s="12"/>
    </row>
    <row r="1676" spans="1:10">
      <c r="A1676" s="15"/>
      <c r="B1676" s="11"/>
      <c r="I1676" s="12"/>
      <c r="J1676" s="12"/>
    </row>
    <row r="1677" spans="1:10">
      <c r="A1677" s="15"/>
      <c r="B1677" s="11"/>
      <c r="I1677" s="12"/>
      <c r="J1677" s="12"/>
    </row>
    <row r="1678" spans="1:10">
      <c r="A1678" s="15"/>
      <c r="B1678" s="11"/>
      <c r="I1678" s="12"/>
      <c r="J1678" s="12"/>
    </row>
    <row r="1679" spans="1:10">
      <c r="A1679" s="15"/>
      <c r="B1679" s="11"/>
      <c r="I1679" s="12"/>
      <c r="J1679" s="12"/>
    </row>
    <row r="1680" spans="1:10">
      <c r="A1680" s="15"/>
      <c r="B1680" s="11"/>
      <c r="I1680" s="12"/>
      <c r="J1680" s="12"/>
    </row>
    <row r="1681" spans="1:10">
      <c r="A1681" s="15"/>
      <c r="B1681" s="11"/>
      <c r="I1681" s="12"/>
      <c r="J1681" s="12"/>
    </row>
    <row r="1682" spans="1:10">
      <c r="A1682" s="15"/>
      <c r="B1682" s="11"/>
      <c r="I1682" s="12"/>
      <c r="J1682" s="12"/>
    </row>
    <row r="1683" spans="1:10">
      <c r="A1683" s="15"/>
      <c r="B1683" s="11"/>
      <c r="I1683" s="12"/>
      <c r="J1683" s="12"/>
    </row>
    <row r="1684" spans="1:10">
      <c r="A1684" s="15"/>
      <c r="B1684" s="11"/>
      <c r="I1684" s="12"/>
      <c r="J1684" s="12"/>
    </row>
    <row r="1685" spans="1:10">
      <c r="A1685" s="15"/>
      <c r="B1685" s="11"/>
      <c r="I1685" s="12"/>
      <c r="J1685" s="12"/>
    </row>
    <row r="1686" spans="1:10">
      <c r="A1686" s="15"/>
      <c r="B1686" s="11"/>
      <c r="I1686" s="12"/>
      <c r="J1686" s="12"/>
    </row>
    <row r="1687" spans="1:10">
      <c r="A1687" s="15"/>
      <c r="B1687" s="11"/>
      <c r="I1687" s="12"/>
      <c r="J1687" s="12"/>
    </row>
    <row r="1688" spans="1:10">
      <c r="A1688" s="15"/>
      <c r="B1688" s="11"/>
      <c r="I1688" s="12"/>
      <c r="J1688" s="12"/>
    </row>
    <row r="1689" spans="1:10">
      <c r="A1689" s="15"/>
      <c r="B1689" s="11"/>
      <c r="I1689" s="12"/>
      <c r="J1689" s="12"/>
    </row>
    <row r="1690" spans="1:10">
      <c r="A1690" s="15"/>
      <c r="B1690" s="11"/>
      <c r="I1690" s="12"/>
      <c r="J1690" s="12"/>
    </row>
    <row r="1691" spans="1:10">
      <c r="A1691" s="15"/>
      <c r="B1691" s="11"/>
      <c r="I1691" s="12"/>
      <c r="J1691" s="12"/>
    </row>
    <row r="1692" spans="1:10">
      <c r="A1692" s="15"/>
      <c r="B1692" s="11"/>
      <c r="I1692" s="12"/>
      <c r="J1692" s="12"/>
    </row>
    <row r="1693" spans="1:10">
      <c r="A1693" s="15"/>
      <c r="B1693" s="11"/>
      <c r="I1693" s="12"/>
      <c r="J1693" s="12"/>
    </row>
    <row r="1694" spans="1:10">
      <c r="A1694" s="15"/>
      <c r="B1694" s="11"/>
      <c r="I1694" s="12"/>
      <c r="J1694" s="12"/>
    </row>
    <row r="1695" spans="1:10">
      <c r="A1695" s="15"/>
      <c r="B1695" s="11"/>
      <c r="I1695" s="12"/>
      <c r="J1695" s="12"/>
    </row>
    <row r="1696" spans="1:10">
      <c r="A1696" s="15"/>
      <c r="B1696" s="11"/>
      <c r="I1696" s="12"/>
      <c r="J1696" s="12"/>
    </row>
    <row r="1697" spans="1:10">
      <c r="A1697" s="15"/>
      <c r="B1697" s="11"/>
      <c r="I1697" s="12"/>
      <c r="J1697" s="12"/>
    </row>
    <row r="1698" spans="1:10">
      <c r="A1698" s="15"/>
      <c r="B1698" s="11"/>
      <c r="I1698" s="12"/>
      <c r="J1698" s="12"/>
    </row>
    <row r="1699" spans="1:10">
      <c r="A1699" s="15"/>
      <c r="B1699" s="11"/>
      <c r="I1699" s="12"/>
      <c r="J1699" s="12"/>
    </row>
    <row r="1700" spans="1:10">
      <c r="A1700" s="15"/>
      <c r="B1700" s="11"/>
      <c r="I1700" s="12"/>
      <c r="J1700" s="12"/>
    </row>
    <row r="1701" spans="1:10">
      <c r="A1701" s="15"/>
      <c r="B1701" s="11"/>
      <c r="I1701" s="12"/>
      <c r="J1701" s="12"/>
    </row>
    <row r="1702" spans="1:10">
      <c r="A1702" s="15"/>
      <c r="B1702" s="11"/>
      <c r="I1702" s="12"/>
      <c r="J1702" s="12"/>
    </row>
    <row r="1703" spans="1:10">
      <c r="A1703" s="15"/>
      <c r="B1703" s="11"/>
      <c r="I1703" s="12"/>
      <c r="J1703" s="12"/>
    </row>
    <row r="1704" spans="1:10">
      <c r="A1704" s="15"/>
      <c r="B1704" s="11"/>
      <c r="I1704" s="12"/>
      <c r="J1704" s="12"/>
    </row>
    <row r="1705" spans="1:10">
      <c r="A1705" s="15"/>
      <c r="B1705" s="11"/>
      <c r="I1705" s="12"/>
      <c r="J1705" s="12"/>
    </row>
    <row r="1706" spans="1:10">
      <c r="A1706" s="15"/>
      <c r="B1706" s="11"/>
      <c r="I1706" s="12"/>
      <c r="J1706" s="12"/>
    </row>
    <row r="1707" spans="1:10">
      <c r="A1707" s="15"/>
      <c r="B1707" s="11"/>
      <c r="I1707" s="12"/>
      <c r="J1707" s="12"/>
    </row>
    <row r="1708" spans="1:10">
      <c r="A1708" s="15"/>
      <c r="B1708" s="11"/>
      <c r="I1708" s="12"/>
      <c r="J1708" s="12"/>
    </row>
    <row r="1709" spans="1:10">
      <c r="A1709" s="15"/>
      <c r="B1709" s="11"/>
      <c r="I1709" s="12"/>
      <c r="J1709" s="12"/>
    </row>
    <row r="1710" spans="1:10">
      <c r="A1710" s="15"/>
      <c r="B1710" s="11"/>
      <c r="I1710" s="12"/>
      <c r="J1710" s="12"/>
    </row>
    <row r="1711" spans="1:10">
      <c r="A1711" s="15"/>
      <c r="B1711" s="11"/>
      <c r="I1711" s="12"/>
      <c r="J1711" s="12"/>
    </row>
    <row r="1712" spans="1:10">
      <c r="A1712" s="15"/>
      <c r="B1712" s="11"/>
      <c r="I1712" s="12"/>
      <c r="J1712" s="12"/>
    </row>
    <row r="1713" spans="1:10">
      <c r="A1713" s="15"/>
      <c r="B1713" s="11"/>
      <c r="I1713" s="12"/>
      <c r="J1713" s="12"/>
    </row>
    <row r="1714" spans="1:10">
      <c r="A1714" s="15"/>
      <c r="B1714" s="11"/>
      <c r="I1714" s="12"/>
      <c r="J1714" s="12"/>
    </row>
    <row r="1715" spans="1:10">
      <c r="A1715" s="15"/>
      <c r="B1715" s="11"/>
      <c r="I1715" s="12"/>
      <c r="J1715" s="12"/>
    </row>
    <row r="1716" spans="1:10">
      <c r="A1716" s="15"/>
      <c r="B1716" s="11"/>
      <c r="I1716" s="12"/>
      <c r="J1716" s="12"/>
    </row>
    <row r="1717" spans="1:10">
      <c r="A1717" s="15"/>
      <c r="B1717" s="11"/>
      <c r="I1717" s="12"/>
      <c r="J1717" s="12"/>
    </row>
    <row r="1718" spans="1:10">
      <c r="A1718" s="15"/>
      <c r="B1718" s="11"/>
      <c r="I1718" s="12"/>
      <c r="J1718" s="12"/>
    </row>
    <row r="1719" spans="1:10">
      <c r="A1719" s="15"/>
      <c r="B1719" s="11"/>
      <c r="I1719" s="12"/>
      <c r="J1719" s="12"/>
    </row>
    <row r="1720" spans="1:10">
      <c r="A1720" s="15"/>
      <c r="B1720" s="11"/>
      <c r="I1720" s="12"/>
      <c r="J1720" s="12"/>
    </row>
    <row r="1721" spans="1:10">
      <c r="A1721" s="15"/>
      <c r="B1721" s="11"/>
      <c r="I1721" s="12"/>
      <c r="J1721" s="12"/>
    </row>
    <row r="1722" spans="1:10">
      <c r="A1722" s="15"/>
      <c r="B1722" s="11"/>
      <c r="I1722" s="12"/>
      <c r="J1722" s="12"/>
    </row>
    <row r="1723" spans="1:10">
      <c r="A1723" s="15"/>
      <c r="B1723" s="11"/>
      <c r="I1723" s="12"/>
      <c r="J1723" s="12"/>
    </row>
    <row r="1724" spans="1:10">
      <c r="A1724" s="15"/>
      <c r="B1724" s="11"/>
      <c r="I1724" s="12"/>
      <c r="J1724" s="12"/>
    </row>
    <row r="1725" spans="1:10">
      <c r="A1725" s="15"/>
      <c r="B1725" s="11"/>
      <c r="I1725" s="12"/>
      <c r="J1725" s="12"/>
    </row>
    <row r="1726" spans="1:10">
      <c r="A1726" s="15"/>
      <c r="B1726" s="11"/>
      <c r="I1726" s="12"/>
      <c r="J1726" s="12"/>
    </row>
    <row r="1727" spans="1:10">
      <c r="A1727" s="15"/>
      <c r="B1727" s="11"/>
      <c r="I1727" s="12"/>
      <c r="J1727" s="12"/>
    </row>
    <row r="1728" spans="1:10">
      <c r="A1728" s="15"/>
      <c r="B1728" s="11"/>
      <c r="I1728" s="12"/>
      <c r="J1728" s="12"/>
    </row>
    <row r="1729" spans="1:10">
      <c r="A1729" s="15"/>
      <c r="B1729" s="11"/>
      <c r="I1729" s="12"/>
      <c r="J1729" s="12"/>
    </row>
    <row r="1730" spans="1:10">
      <c r="A1730" s="15"/>
      <c r="B1730" s="11"/>
      <c r="I1730" s="12"/>
      <c r="J1730" s="12"/>
    </row>
    <row r="1731" spans="1:10">
      <c r="A1731" s="15"/>
      <c r="B1731" s="11"/>
      <c r="I1731" s="12"/>
      <c r="J1731" s="12"/>
    </row>
    <row r="1732" spans="1:10">
      <c r="A1732" s="15"/>
      <c r="B1732" s="11"/>
      <c r="I1732" s="12"/>
      <c r="J1732" s="12"/>
    </row>
    <row r="1733" spans="1:10">
      <c r="A1733" s="15"/>
      <c r="B1733" s="11"/>
      <c r="I1733" s="12"/>
      <c r="J1733" s="12"/>
    </row>
    <row r="1734" spans="1:10">
      <c r="A1734" s="15"/>
      <c r="B1734" s="11"/>
      <c r="I1734" s="12"/>
      <c r="J1734" s="12"/>
    </row>
    <row r="1735" spans="1:10">
      <c r="A1735" s="15"/>
      <c r="B1735" s="11"/>
      <c r="I1735" s="12"/>
      <c r="J1735" s="12"/>
    </row>
    <row r="1736" spans="1:10">
      <c r="A1736" s="15"/>
      <c r="B1736" s="11"/>
      <c r="I1736" s="12"/>
      <c r="J1736" s="12"/>
    </row>
    <row r="1737" spans="1:10">
      <c r="A1737" s="15"/>
      <c r="B1737" s="11"/>
      <c r="I1737" s="12"/>
      <c r="J1737" s="12"/>
    </row>
    <row r="1738" spans="1:10">
      <c r="A1738" s="15"/>
      <c r="B1738" s="11"/>
      <c r="I1738" s="12"/>
      <c r="J1738" s="12"/>
    </row>
    <row r="1739" spans="1:10">
      <c r="A1739" s="15"/>
      <c r="B1739" s="11"/>
      <c r="I1739" s="12"/>
      <c r="J1739" s="12"/>
    </row>
    <row r="1740" spans="1:10">
      <c r="A1740" s="15"/>
      <c r="B1740" s="11"/>
      <c r="I1740" s="12"/>
      <c r="J1740" s="12"/>
    </row>
    <row r="1741" spans="1:10">
      <c r="A1741" s="15"/>
      <c r="B1741" s="11"/>
      <c r="I1741" s="12"/>
      <c r="J1741" s="12"/>
    </row>
    <row r="1742" spans="1:10">
      <c r="A1742" s="15"/>
      <c r="B1742" s="11"/>
      <c r="I1742" s="12"/>
      <c r="J1742" s="12"/>
    </row>
    <row r="1743" spans="1:10">
      <c r="A1743" s="15"/>
      <c r="B1743" s="11"/>
      <c r="I1743" s="12"/>
      <c r="J1743" s="12"/>
    </row>
    <row r="1744" spans="1:10">
      <c r="A1744" s="15"/>
      <c r="B1744" s="11"/>
      <c r="I1744" s="12"/>
      <c r="J1744" s="12"/>
    </row>
    <row r="1745" spans="1:10">
      <c r="A1745" s="15"/>
      <c r="B1745" s="11"/>
      <c r="I1745" s="12"/>
      <c r="J1745" s="12"/>
    </row>
    <row r="1746" spans="1:10">
      <c r="A1746" s="15"/>
      <c r="B1746" s="11"/>
      <c r="I1746" s="12"/>
      <c r="J1746" s="12"/>
    </row>
    <row r="1747" spans="1:10">
      <c r="A1747" s="15"/>
      <c r="B1747" s="11"/>
      <c r="I1747" s="12"/>
      <c r="J1747" s="12"/>
    </row>
    <row r="1748" spans="1:10">
      <c r="A1748" s="15"/>
      <c r="B1748" s="11"/>
      <c r="I1748" s="12"/>
      <c r="J1748" s="12"/>
    </row>
    <row r="1749" spans="1:10">
      <c r="A1749" s="15"/>
      <c r="B1749" s="11"/>
      <c r="I1749" s="12"/>
      <c r="J1749" s="12"/>
    </row>
    <row r="1750" spans="1:10">
      <c r="A1750" s="15"/>
      <c r="B1750" s="11"/>
      <c r="I1750" s="12"/>
      <c r="J1750" s="12"/>
    </row>
    <row r="1751" spans="1:10">
      <c r="A1751" s="15"/>
      <c r="B1751" s="11"/>
      <c r="I1751" s="12"/>
      <c r="J1751" s="12"/>
    </row>
    <row r="1752" spans="1:10">
      <c r="A1752" s="15"/>
      <c r="B1752" s="11"/>
      <c r="I1752" s="12"/>
      <c r="J1752" s="12"/>
    </row>
    <row r="1753" spans="1:10">
      <c r="A1753" s="15"/>
      <c r="B1753" s="11"/>
      <c r="I1753" s="12"/>
      <c r="J1753" s="12"/>
    </row>
    <row r="1754" spans="1:10">
      <c r="A1754" s="15"/>
      <c r="B1754" s="11"/>
      <c r="I1754" s="12"/>
      <c r="J1754" s="12"/>
    </row>
    <row r="1755" spans="1:10">
      <c r="A1755" s="15"/>
      <c r="B1755" s="11"/>
      <c r="I1755" s="12"/>
      <c r="J1755" s="12"/>
    </row>
    <row r="1756" spans="1:10">
      <c r="A1756" s="15"/>
      <c r="B1756" s="11"/>
      <c r="I1756" s="12"/>
      <c r="J1756" s="12"/>
    </row>
    <row r="1757" spans="1:10">
      <c r="A1757" s="15"/>
      <c r="B1757" s="11"/>
      <c r="I1757" s="12"/>
      <c r="J1757" s="12"/>
    </row>
    <row r="1758" spans="1:10">
      <c r="A1758" s="15"/>
      <c r="B1758" s="11"/>
      <c r="I1758" s="12"/>
      <c r="J1758" s="12"/>
    </row>
    <row r="1759" spans="1:10">
      <c r="A1759" s="15"/>
      <c r="B1759" s="11"/>
      <c r="I1759" s="12"/>
      <c r="J1759" s="12"/>
    </row>
    <row r="1760" spans="1:10">
      <c r="A1760" s="15"/>
      <c r="B1760" s="11"/>
      <c r="I1760" s="12"/>
      <c r="J1760" s="12"/>
    </row>
    <row r="1761" spans="1:10">
      <c r="A1761" s="15"/>
      <c r="B1761" s="11"/>
      <c r="I1761" s="12"/>
      <c r="J1761" s="12"/>
    </row>
    <row r="1762" spans="1:10">
      <c r="A1762" s="15"/>
      <c r="B1762" s="11"/>
      <c r="I1762" s="12"/>
      <c r="J1762" s="12"/>
    </row>
    <row r="1763" spans="1:10">
      <c r="A1763" s="15"/>
      <c r="B1763" s="11"/>
      <c r="I1763" s="12"/>
      <c r="J1763" s="12"/>
    </row>
    <row r="1764" spans="1:10">
      <c r="A1764" s="15"/>
      <c r="B1764" s="11"/>
      <c r="I1764" s="12"/>
      <c r="J1764" s="12"/>
    </row>
    <row r="1765" spans="1:10">
      <c r="A1765" s="15"/>
      <c r="B1765" s="11"/>
      <c r="I1765" s="12"/>
      <c r="J1765" s="12"/>
    </row>
    <row r="1766" spans="1:10">
      <c r="A1766" s="15"/>
      <c r="B1766" s="11"/>
      <c r="I1766" s="12"/>
      <c r="J1766" s="12"/>
    </row>
    <row r="1767" spans="1:10">
      <c r="A1767" s="15"/>
      <c r="B1767" s="11"/>
      <c r="I1767" s="12"/>
      <c r="J1767" s="12"/>
    </row>
    <row r="1768" spans="1:10">
      <c r="A1768" s="15"/>
      <c r="B1768" s="11"/>
      <c r="I1768" s="12"/>
      <c r="J1768" s="12"/>
    </row>
    <row r="1769" spans="1:10">
      <c r="A1769" s="15"/>
      <c r="B1769" s="11"/>
      <c r="I1769" s="12"/>
      <c r="J1769" s="12"/>
    </row>
    <row r="1770" spans="1:10">
      <c r="A1770" s="15"/>
      <c r="B1770" s="11"/>
      <c r="I1770" s="12"/>
      <c r="J1770" s="12"/>
    </row>
    <row r="1771" spans="1:10">
      <c r="A1771" s="15"/>
      <c r="B1771" s="11"/>
      <c r="I1771" s="12"/>
      <c r="J1771" s="12"/>
    </row>
    <row r="1772" spans="1:10">
      <c r="A1772" s="15"/>
      <c r="B1772" s="11"/>
      <c r="I1772" s="12"/>
      <c r="J1772" s="12"/>
    </row>
    <row r="1773" spans="1:10">
      <c r="A1773" s="15"/>
      <c r="B1773" s="11"/>
      <c r="I1773" s="12"/>
      <c r="J1773" s="12"/>
    </row>
    <row r="1774" spans="1:10">
      <c r="A1774" s="15"/>
      <c r="B1774" s="11"/>
      <c r="I1774" s="12"/>
      <c r="J1774" s="12"/>
    </row>
    <row r="1775" spans="1:10">
      <c r="A1775" s="15"/>
      <c r="B1775" s="11"/>
      <c r="I1775" s="12"/>
      <c r="J1775" s="12"/>
    </row>
    <row r="1776" spans="1:10">
      <c r="A1776" s="15"/>
      <c r="B1776" s="11"/>
      <c r="I1776" s="12"/>
      <c r="J1776" s="12"/>
    </row>
    <row r="1777" spans="1:10">
      <c r="A1777" s="15"/>
      <c r="B1777" s="11"/>
      <c r="I1777" s="12"/>
      <c r="J1777" s="12"/>
    </row>
    <row r="1778" spans="1:10">
      <c r="A1778" s="15"/>
      <c r="B1778" s="11"/>
      <c r="I1778" s="12"/>
      <c r="J1778" s="12"/>
    </row>
    <row r="1779" spans="1:10">
      <c r="A1779" s="15"/>
      <c r="B1779" s="11"/>
      <c r="I1779" s="12"/>
      <c r="J1779" s="12"/>
    </row>
    <row r="1780" spans="1:10">
      <c r="A1780" s="15"/>
      <c r="B1780" s="11"/>
      <c r="I1780" s="12"/>
      <c r="J1780" s="12"/>
    </row>
    <row r="1781" spans="1:10">
      <c r="A1781" s="15"/>
      <c r="B1781" s="11"/>
      <c r="I1781" s="12"/>
      <c r="J1781" s="12"/>
    </row>
    <row r="1782" spans="1:10">
      <c r="A1782" s="15"/>
      <c r="B1782" s="11"/>
      <c r="I1782" s="12"/>
      <c r="J1782" s="12"/>
    </row>
    <row r="1783" spans="1:10">
      <c r="A1783" s="15"/>
      <c r="B1783" s="11"/>
      <c r="I1783" s="12"/>
      <c r="J1783" s="12"/>
    </row>
    <row r="1784" spans="1:10">
      <c r="A1784" s="15"/>
      <c r="B1784" s="11"/>
      <c r="I1784" s="12"/>
      <c r="J1784" s="12"/>
    </row>
    <row r="1785" spans="1:10">
      <c r="A1785" s="15"/>
      <c r="B1785" s="11"/>
      <c r="I1785" s="12"/>
      <c r="J1785" s="12"/>
    </row>
    <row r="1786" spans="1:10">
      <c r="A1786" s="15"/>
      <c r="B1786" s="11"/>
      <c r="I1786" s="12"/>
      <c r="J1786" s="12"/>
    </row>
    <row r="1787" spans="1:10">
      <c r="A1787" s="15"/>
      <c r="B1787" s="11"/>
      <c r="I1787" s="12"/>
      <c r="J1787" s="12"/>
    </row>
    <row r="1788" spans="1:10">
      <c r="A1788" s="15"/>
      <c r="B1788" s="11"/>
      <c r="I1788" s="12"/>
      <c r="J1788" s="12"/>
    </row>
    <row r="1789" spans="1:10">
      <c r="A1789" s="15"/>
      <c r="B1789" s="11"/>
      <c r="I1789" s="12"/>
      <c r="J1789" s="12"/>
    </row>
    <row r="1790" spans="1:10">
      <c r="A1790" s="15"/>
      <c r="B1790" s="11"/>
      <c r="I1790" s="12"/>
      <c r="J1790" s="12"/>
    </row>
    <row r="1791" spans="1:10">
      <c r="A1791" s="15"/>
      <c r="B1791" s="11"/>
      <c r="I1791" s="12"/>
      <c r="J1791" s="12"/>
    </row>
    <row r="1792" spans="1:10">
      <c r="A1792" s="15"/>
      <c r="B1792" s="11"/>
      <c r="I1792" s="12"/>
      <c r="J1792" s="12"/>
    </row>
    <row r="1793" spans="1:10">
      <c r="A1793" s="15"/>
      <c r="B1793" s="11"/>
      <c r="I1793" s="12"/>
      <c r="J1793" s="12"/>
    </row>
    <row r="1794" spans="1:10">
      <c r="A1794" s="15"/>
      <c r="B1794" s="11"/>
      <c r="I1794" s="12"/>
      <c r="J1794" s="12"/>
    </row>
    <row r="1795" spans="1:10">
      <c r="A1795" s="15"/>
      <c r="B1795" s="11"/>
      <c r="I1795" s="12"/>
      <c r="J1795" s="12"/>
    </row>
    <row r="1796" spans="1:10">
      <c r="A1796" s="15"/>
      <c r="B1796" s="11"/>
      <c r="I1796" s="12"/>
      <c r="J1796" s="12"/>
    </row>
    <row r="1797" spans="1:10">
      <c r="A1797" s="15"/>
      <c r="B1797" s="11"/>
      <c r="I1797" s="12"/>
      <c r="J1797" s="12"/>
    </row>
    <row r="1798" spans="1:10">
      <c r="A1798" s="15"/>
      <c r="B1798" s="11"/>
      <c r="I1798" s="12"/>
      <c r="J1798" s="12"/>
    </row>
    <row r="1799" spans="1:10">
      <c r="A1799" s="15"/>
      <c r="B1799" s="11"/>
      <c r="I1799" s="12"/>
      <c r="J1799" s="12"/>
    </row>
    <row r="1800" spans="1:10">
      <c r="A1800" s="15"/>
      <c r="B1800" s="11"/>
      <c r="I1800" s="12"/>
      <c r="J1800" s="12"/>
    </row>
    <row r="1801" spans="1:10">
      <c r="A1801" s="15"/>
      <c r="B1801" s="11"/>
      <c r="I1801" s="12"/>
      <c r="J1801" s="12"/>
    </row>
    <row r="1802" spans="1:10">
      <c r="A1802" s="15"/>
      <c r="B1802" s="11"/>
      <c r="I1802" s="12"/>
      <c r="J1802" s="12"/>
    </row>
    <row r="1803" spans="1:10">
      <c r="A1803" s="15"/>
      <c r="B1803" s="11"/>
      <c r="I1803" s="12"/>
      <c r="J1803" s="12"/>
    </row>
    <row r="1804" spans="1:10">
      <c r="A1804" s="15"/>
      <c r="B1804" s="11"/>
      <c r="I1804" s="12"/>
      <c r="J1804" s="12"/>
    </row>
    <row r="1805" spans="1:10">
      <c r="A1805" s="15"/>
      <c r="B1805" s="11"/>
      <c r="I1805" s="12"/>
      <c r="J1805" s="12"/>
    </row>
    <row r="1806" spans="1:10">
      <c r="A1806" s="15"/>
      <c r="B1806" s="11"/>
      <c r="I1806" s="12"/>
      <c r="J1806" s="12"/>
    </row>
    <row r="1807" spans="1:10">
      <c r="A1807" s="15"/>
      <c r="B1807" s="11"/>
      <c r="I1807" s="12"/>
      <c r="J1807" s="12"/>
    </row>
    <row r="1808" spans="1:10">
      <c r="A1808" s="15"/>
      <c r="B1808" s="11"/>
      <c r="I1808" s="12"/>
      <c r="J1808" s="12"/>
    </row>
    <row r="1809" spans="1:10">
      <c r="A1809" s="15"/>
      <c r="B1809" s="11"/>
      <c r="I1809" s="12"/>
      <c r="J1809" s="12"/>
    </row>
    <row r="1810" spans="1:10">
      <c r="A1810" s="15"/>
      <c r="B1810" s="11"/>
      <c r="I1810" s="12"/>
      <c r="J1810" s="12"/>
    </row>
    <row r="1811" spans="1:10">
      <c r="A1811" s="15"/>
      <c r="B1811" s="11"/>
      <c r="I1811" s="12"/>
      <c r="J1811" s="12"/>
    </row>
    <row r="1812" spans="1:10">
      <c r="A1812" s="15"/>
      <c r="B1812" s="11"/>
      <c r="I1812" s="12"/>
      <c r="J1812" s="12"/>
    </row>
    <row r="1813" spans="1:10">
      <c r="A1813" s="15"/>
      <c r="B1813" s="11"/>
      <c r="I1813" s="12"/>
      <c r="J1813" s="12"/>
    </row>
    <row r="1814" spans="1:10">
      <c r="A1814" s="15"/>
      <c r="B1814" s="11"/>
      <c r="I1814" s="12"/>
      <c r="J1814" s="12"/>
    </row>
    <row r="1815" spans="1:10">
      <c r="A1815" s="15"/>
      <c r="B1815" s="11"/>
      <c r="I1815" s="12"/>
      <c r="J1815" s="12"/>
    </row>
    <row r="1816" spans="1:10">
      <c r="A1816" s="15"/>
      <c r="B1816" s="11"/>
      <c r="I1816" s="12"/>
      <c r="J1816" s="12"/>
    </row>
    <row r="1817" spans="1:10">
      <c r="A1817" s="15"/>
      <c r="B1817" s="11"/>
      <c r="I1817" s="12"/>
      <c r="J1817" s="12"/>
    </row>
    <row r="1818" spans="1:10">
      <c r="A1818" s="15"/>
      <c r="B1818" s="11"/>
      <c r="I1818" s="12"/>
      <c r="J1818" s="12"/>
    </row>
  </sheetData>
  <printOptions gridLinesSet="0"/>
  <pageMargins left="0.75" right="0.75" top="1" bottom="1" header="0.5" footer="0.5"/>
  <pageSetup orientation="portrait" horizontalDpi="300" verticalDpi="300" r:id="rId1"/>
  <headerFooter alignWithMargins="0">
    <oddHeader>&amp;A</oddHeader>
    <oddFooter>Page &amp;P</oddFooter>
  </headerFooter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/>
  <dimension ref="A1:R41"/>
  <sheetViews>
    <sheetView topLeftCell="A2" workbookViewId="0">
      <selection activeCell="B29" sqref="B29"/>
    </sheetView>
  </sheetViews>
  <sheetFormatPr baseColWidth="10" defaultColWidth="9.140625" defaultRowHeight="12.75"/>
  <cols>
    <col min="1" max="1" width="31.85546875" style="11" customWidth="1"/>
    <col min="2" max="2" width="12.140625" style="11" bestFit="1" customWidth="1"/>
    <col min="3" max="3" width="7" style="11" customWidth="1"/>
    <col min="4" max="4" width="14.140625" style="11" customWidth="1"/>
    <col min="5" max="5" width="14.5703125" style="11" customWidth="1"/>
    <col min="6" max="10" width="9.140625" style="11" customWidth="1"/>
    <col min="11" max="11" width="3.5703125" style="11" customWidth="1"/>
    <col min="12" max="12" width="13.140625" style="11" customWidth="1"/>
    <col min="13" max="13" width="3.85546875" style="11" customWidth="1"/>
    <col min="14" max="14" width="12" style="11" customWidth="1"/>
    <col min="15" max="15" width="9.140625" style="11" customWidth="1"/>
    <col min="16" max="16" width="13.5703125" style="11" customWidth="1"/>
    <col min="17" max="17" width="9.140625" style="11" customWidth="1"/>
    <col min="18" max="18" width="11.140625" style="11" customWidth="1"/>
    <col min="19" max="16384" width="9.140625" style="11"/>
  </cols>
  <sheetData>
    <row r="1" spans="1:18" ht="30">
      <c r="A1" s="45" t="s">
        <v>91</v>
      </c>
      <c r="B1" s="13"/>
      <c r="D1" s="12"/>
      <c r="E1" s="12"/>
    </row>
    <row r="2" spans="1:18">
      <c r="E2" s="53"/>
    </row>
    <row r="3" spans="1:18">
      <c r="B3" s="53"/>
    </row>
    <row r="4" spans="1:18" ht="15.75">
      <c r="B4" s="56" t="s">
        <v>60</v>
      </c>
      <c r="C4" s="57"/>
      <c r="D4" s="57"/>
      <c r="E4" s="56"/>
    </row>
    <row r="5" spans="1:18">
      <c r="A5" s="11" t="s">
        <v>110</v>
      </c>
      <c r="B5" s="112">
        <v>1.9478</v>
      </c>
      <c r="D5" s="116" t="s">
        <v>124</v>
      </c>
      <c r="E5" s="117">
        <f>$B$18*B12</f>
        <v>2.7372415867151986E-4</v>
      </c>
      <c r="F5" s="11" t="s">
        <v>121</v>
      </c>
      <c r="G5" s="50"/>
    </row>
    <row r="6" spans="1:18">
      <c r="A6" s="11" t="s">
        <v>111</v>
      </c>
      <c r="B6" s="115">
        <v>2.2999999999999998</v>
      </c>
    </row>
    <row r="7" spans="1:18">
      <c r="A7" s="11" t="s">
        <v>112</v>
      </c>
      <c r="B7" s="114">
        <v>5.2400000000000002E-2</v>
      </c>
      <c r="D7" s="116" t="s">
        <v>125</v>
      </c>
      <c r="E7" s="117">
        <f>$D$18*B12</f>
        <v>0.26130508267069552</v>
      </c>
      <c r="F7" s="11" t="s">
        <v>121</v>
      </c>
      <c r="G7" s="50"/>
    </row>
    <row r="8" spans="1:18">
      <c r="A8" s="11" t="s">
        <v>113</v>
      </c>
      <c r="B8" s="114">
        <v>4.9126000000000003E-2</v>
      </c>
      <c r="D8" s="121"/>
      <c r="E8" s="121"/>
    </row>
    <row r="9" spans="1:18">
      <c r="A9" s="11" t="s">
        <v>114</v>
      </c>
      <c r="B9" s="114">
        <f>('Taux USD'!O4)/100</f>
        <v>9.8494999999999468E-3</v>
      </c>
      <c r="D9" s="122"/>
      <c r="E9" s="121"/>
    </row>
    <row r="10" spans="1:18">
      <c r="A10" s="11" t="s">
        <v>115</v>
      </c>
      <c r="B10" s="113">
        <v>365</v>
      </c>
      <c r="L10" s="51"/>
    </row>
    <row r="11" spans="1:18">
      <c r="A11" s="11" t="s">
        <v>116</v>
      </c>
      <c r="B11" s="55">
        <f>B10/365</f>
        <v>1</v>
      </c>
      <c r="L11" s="157"/>
      <c r="M11" s="157"/>
      <c r="N11" s="157"/>
      <c r="O11" s="157"/>
    </row>
    <row r="12" spans="1:18">
      <c r="A12" s="11" t="s">
        <v>117</v>
      </c>
      <c r="B12" s="158">
        <v>1</v>
      </c>
      <c r="C12" s="158"/>
      <c r="D12" s="158"/>
      <c r="E12" s="11" t="s">
        <v>122</v>
      </c>
    </row>
    <row r="13" spans="1:18">
      <c r="R13" s="51"/>
    </row>
    <row r="17" spans="1:17">
      <c r="B17" s="119" t="s">
        <v>120</v>
      </c>
      <c r="C17" s="120"/>
      <c r="D17" s="119" t="s">
        <v>119</v>
      </c>
      <c r="E17" s="119"/>
      <c r="N17" s="155" t="s">
        <v>59</v>
      </c>
      <c r="O17" s="54"/>
      <c r="P17" s="155" t="s">
        <v>58</v>
      </c>
    </row>
    <row r="18" spans="1:17">
      <c r="A18" s="11" t="s">
        <v>57</v>
      </c>
      <c r="B18" s="111">
        <f>EXP(-$B$9*$B$11)*$B$5*$B$36-EXP(-$B$8*$B$11)*$B$6*$B$37</f>
        <v>2.7372415867151986E-4</v>
      </c>
      <c r="C18" s="12"/>
      <c r="D18" s="111">
        <f>-EXP(-$B$9*$B$11)*$B$5*$B$40+EXP(-$B$8*$B$11)*$B$6*$B$41</f>
        <v>0.26130508267069552</v>
      </c>
      <c r="E18" s="111"/>
      <c r="N18" s="52">
        <f>$B$12*B18</f>
        <v>2.7372415867151986E-4</v>
      </c>
      <c r="P18" s="52">
        <f>$B$12*D18</f>
        <v>0.26130508267069552</v>
      </c>
      <c r="Q18" s="11" t="s">
        <v>118</v>
      </c>
    </row>
    <row r="19" spans="1:17">
      <c r="A19" s="11" t="s">
        <v>56</v>
      </c>
      <c r="B19" s="12">
        <f>EXP(-$B$9*$B$11)*$B$36</f>
        <v>8.2025531845606112E-3</v>
      </c>
      <c r="C19" s="12"/>
      <c r="D19" s="12">
        <f>$B$19-EXP(-$B$9*$B$11)</f>
        <v>-0.98199629427758739</v>
      </c>
      <c r="E19" s="12"/>
      <c r="H19" s="11" t="s">
        <v>55</v>
      </c>
      <c r="N19" s="52">
        <f t="shared" ref="N19:N24" si="0">B19*$B$12</f>
        <v>8.2025531845606112E-3</v>
      </c>
      <c r="P19" s="52">
        <f t="shared" ref="P19:P24" si="1">D19*$B$12</f>
        <v>-0.98199629427758739</v>
      </c>
      <c r="Q19" s="11" t="s">
        <v>50</v>
      </c>
    </row>
    <row r="20" spans="1:17">
      <c r="A20" s="11" t="s">
        <v>54</v>
      </c>
      <c r="B20" s="12">
        <f>($B$5*EXP(-$B$9*$B$11)*$B$38*SQRT($B$11))/100</f>
        <v>4.3591266208053503E-4</v>
      </c>
      <c r="C20" s="12"/>
      <c r="D20" s="12">
        <f>$B$20</f>
        <v>4.3591266208053503E-4</v>
      </c>
      <c r="E20" s="12"/>
      <c r="H20" s="11" t="s">
        <v>53</v>
      </c>
      <c r="N20" s="52">
        <f t="shared" si="0"/>
        <v>4.3591266208053503E-4</v>
      </c>
      <c r="P20" s="52">
        <f t="shared" si="1"/>
        <v>4.3591266208053503E-4</v>
      </c>
      <c r="Q20" s="11" t="s">
        <v>35</v>
      </c>
    </row>
    <row r="21" spans="1:17">
      <c r="A21" s="11" t="s">
        <v>52</v>
      </c>
      <c r="B21" s="12">
        <f>EXP(-$B$9*$B$11)*$B$38/($B$5*$B$7*SQRT($B$11))</f>
        <v>0.21927013010712773</v>
      </c>
      <c r="C21" s="12"/>
      <c r="D21" s="12">
        <f>$B$21</f>
        <v>0.21927013010712773</v>
      </c>
      <c r="E21" s="12"/>
      <c r="H21" s="11" t="s">
        <v>51</v>
      </c>
      <c r="N21" s="52">
        <f t="shared" si="0"/>
        <v>0.21927013010712773</v>
      </c>
      <c r="P21" s="52">
        <f t="shared" si="1"/>
        <v>0.21927013010712773</v>
      </c>
      <c r="Q21" s="11" t="s">
        <v>50</v>
      </c>
    </row>
    <row r="22" spans="1:17">
      <c r="A22" s="11" t="s">
        <v>49</v>
      </c>
      <c r="B22" s="12">
        <f>(EXP(-$B$9*$B$11)*$B$5*$B$38*$B$7/(2*SQRT($B$11))+($B$8*$B$6*EXP(-$B$8*$B$11)*$B$37)-($B$9*$B$5*EXP(-$B$9*$B$11)*$B$36))/365</f>
        <v>4.8114033267257215E-6</v>
      </c>
      <c r="C22" s="12"/>
      <c r="D22" s="12">
        <f>(EXP(-$B$9*$B$11)*$B$5*$B$38*$B$7/(2*SQRT($B$11))-($B$8*$B$6*EXP(-$B$8*$B$11)*$B$41)+($B$9*$B$5*EXP(-$B$9*$B$11)*$B$40))/365</f>
        <v>-2.378636047068836E-4</v>
      </c>
      <c r="E22" s="12"/>
      <c r="H22" s="11" t="s">
        <v>48</v>
      </c>
      <c r="N22" s="52">
        <f t="shared" si="0"/>
        <v>4.8114033267257215E-6</v>
      </c>
      <c r="P22" s="52">
        <f t="shared" si="1"/>
        <v>-2.378636047068836E-4</v>
      </c>
      <c r="Q22" s="11" t="s">
        <v>47</v>
      </c>
    </row>
    <row r="23" spans="1:17">
      <c r="A23" s="11" t="s">
        <v>46</v>
      </c>
      <c r="B23" s="12">
        <f>$B$6*$B$11*EXP(-$B$8*$B$11)*$B$37/100</f>
        <v>1.5703208934215643E-4</v>
      </c>
      <c r="C23" s="12"/>
      <c r="D23" s="12">
        <f>-$B$6*$B$11*EXP(-$B$8*$B$11)*$B$41/100</f>
        <v>-2.1740374646645803E-2</v>
      </c>
      <c r="E23" s="12"/>
      <c r="H23" s="11" t="s">
        <v>45</v>
      </c>
      <c r="N23" s="52">
        <f t="shared" si="0"/>
        <v>1.5703208934215643E-4</v>
      </c>
      <c r="P23" s="52">
        <f t="shared" si="1"/>
        <v>-2.1740374646645803E-2</v>
      </c>
      <c r="Q23" s="11" t="s">
        <v>44</v>
      </c>
    </row>
    <row r="24" spans="1:17">
      <c r="A24" s="11" t="s">
        <v>43</v>
      </c>
      <c r="B24" s="12">
        <f>-$B$5*$B$11*EXP(-$B$9*$B$11)*$B$36/100</f>
        <v>-1.5976933092887161E-4</v>
      </c>
      <c r="C24" s="12"/>
      <c r="D24" s="12">
        <f>$B$5*$B$11*EXP(-$B$9*$B$11)*$B$40/100</f>
        <v>1.9127323819938848E-2</v>
      </c>
      <c r="E24" s="12"/>
      <c r="H24" s="11" t="s">
        <v>42</v>
      </c>
      <c r="N24" s="52">
        <f t="shared" si="0"/>
        <v>-1.5976933092887161E-4</v>
      </c>
      <c r="P24" s="52">
        <f t="shared" si="1"/>
        <v>1.9127323819938848E-2</v>
      </c>
      <c r="Q24" s="11" t="s">
        <v>41</v>
      </c>
    </row>
    <row r="25" spans="1:17">
      <c r="A25" s="53" t="s">
        <v>40</v>
      </c>
      <c r="B25" s="12">
        <f>$B$19*$B$5/$B$18</f>
        <v>58.368735775566414</v>
      </c>
      <c r="C25" s="12"/>
      <c r="D25" s="12">
        <f>$D$19*$B$5/$D$18</f>
        <v>-7.319920310943079</v>
      </c>
      <c r="E25" s="12"/>
      <c r="H25" s="11" t="s">
        <v>39</v>
      </c>
      <c r="N25" s="52">
        <f>B25*N18/100</f>
        <v>1.5976933092887158E-4</v>
      </c>
      <c r="P25" s="52">
        <f>D25*P18/100</f>
        <v>-1.9127323819938848E-2</v>
      </c>
      <c r="Q25" s="11" t="s">
        <v>38</v>
      </c>
    </row>
    <row r="26" spans="1:17">
      <c r="A26" s="11" t="s">
        <v>37</v>
      </c>
      <c r="B26" s="12">
        <f>(-EXP($B$9*$B$11)*$B$38*$B$35/$B$7)/100</f>
        <v>1.066574517535495E-2</v>
      </c>
      <c r="C26" s="12"/>
      <c r="D26" s="12">
        <f>(-EXP($B$9*$B$11)*$B$38*$B$35/$B$7)/100</f>
        <v>1.066574517535495E-2</v>
      </c>
      <c r="E26" s="12"/>
      <c r="H26" s="11" t="s">
        <v>36</v>
      </c>
      <c r="N26" s="52">
        <f>B26*$B$12</f>
        <v>1.066574517535495E-2</v>
      </c>
      <c r="O26" s="52"/>
      <c r="P26" s="52">
        <f>D26*$B$12</f>
        <v>1.066574517535495E-2</v>
      </c>
      <c r="Q26" s="11" t="s">
        <v>35</v>
      </c>
    </row>
    <row r="28" spans="1:17" ht="15">
      <c r="A28" s="118" t="s">
        <v>123</v>
      </c>
      <c r="B28" s="12">
        <f>$B$5+($B$8-$B$9)*$B$5*$B$11</f>
        <v>2.0243027667</v>
      </c>
    </row>
    <row r="31" spans="1:17">
      <c r="F31" s="12"/>
      <c r="G31" s="50"/>
      <c r="H31" s="50"/>
      <c r="I31" s="50"/>
    </row>
    <row r="32" spans="1:17">
      <c r="F32" s="50"/>
    </row>
    <row r="33" spans="1:6">
      <c r="A33" s="51" t="s">
        <v>34</v>
      </c>
      <c r="F33" s="50"/>
    </row>
    <row r="34" spans="1:6">
      <c r="A34" s="11" t="s">
        <v>33</v>
      </c>
      <c r="B34" s="12">
        <f>(LN($B$5/$B$6)+($B$8-$B$9+($B$7^2)/2)*$B$11)/($B$7*SQRT($B$11))</f>
        <v>-2.3961681753843913</v>
      </c>
      <c r="F34" s="50"/>
    </row>
    <row r="35" spans="1:6">
      <c r="A35" s="11" t="s">
        <v>32</v>
      </c>
      <c r="B35" s="12">
        <f>$B$34-$B$7*SQRT($B$11)</f>
        <v>-2.4485681753843913</v>
      </c>
    </row>
    <row r="36" spans="1:6">
      <c r="A36" s="11" t="s">
        <v>31</v>
      </c>
      <c r="B36" s="12">
        <f>NORMDIST($B$34,0,1,1)</f>
        <v>8.2837434173787684E-3</v>
      </c>
    </row>
    <row r="37" spans="1:6">
      <c r="A37" s="11" t="s">
        <v>30</v>
      </c>
      <c r="B37" s="12">
        <f>NORMDIST($B$35,0,1,1)</f>
        <v>7.1712642156880274E-3</v>
      </c>
    </row>
    <row r="38" spans="1:6">
      <c r="A38" s="11" t="s">
        <v>29</v>
      </c>
      <c r="B38" s="12">
        <f>NORMDIST($B$34,0,1,0)</f>
        <v>2.2601262858572519E-2</v>
      </c>
    </row>
    <row r="39" spans="1:6">
      <c r="A39" s="11" t="s">
        <v>28</v>
      </c>
      <c r="B39" s="12">
        <f>NORMDIST($B$35,0,1,0)</f>
        <v>1.9907045036712999E-2</v>
      </c>
    </row>
    <row r="40" spans="1:6">
      <c r="A40" s="11" t="s">
        <v>27</v>
      </c>
      <c r="B40" s="12">
        <f>NORMDIST(-$B$34,0,1,1)</f>
        <v>0.99171625658262119</v>
      </c>
    </row>
    <row r="41" spans="1:6">
      <c r="A41" s="11" t="s">
        <v>26</v>
      </c>
      <c r="B41" s="12">
        <f>NORMDIST(-$B$35,0,1,1)</f>
        <v>0.99282873578431197</v>
      </c>
    </row>
  </sheetData>
  <mergeCells count="2">
    <mergeCell ref="L11:O11"/>
    <mergeCell ref="B12:D12"/>
  </mergeCells>
  <pageMargins left="0.75" right="0.75" top="1" bottom="1" header="0.5" footer="0.5"/>
  <pageSetup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1:R41"/>
  <sheetViews>
    <sheetView topLeftCell="A2" workbookViewId="0">
      <selection activeCell="B29" sqref="B29"/>
    </sheetView>
  </sheetViews>
  <sheetFormatPr baseColWidth="10" defaultColWidth="9.140625" defaultRowHeight="12.75"/>
  <cols>
    <col min="1" max="1" width="31.85546875" style="11" customWidth="1"/>
    <col min="2" max="2" width="12.140625" style="11" bestFit="1" customWidth="1"/>
    <col min="3" max="3" width="7" style="11" customWidth="1"/>
    <col min="4" max="4" width="14.140625" style="11" customWidth="1"/>
    <col min="5" max="5" width="14.5703125" style="11" customWidth="1"/>
    <col min="6" max="10" width="9.140625" style="11" customWidth="1"/>
    <col min="11" max="11" width="3.5703125" style="11" customWidth="1"/>
    <col min="12" max="12" width="13.140625" style="11" customWidth="1"/>
    <col min="13" max="13" width="3.85546875" style="11" customWidth="1"/>
    <col min="14" max="14" width="12" style="11" customWidth="1"/>
    <col min="15" max="15" width="9.140625" style="11" customWidth="1"/>
    <col min="16" max="16" width="13.5703125" style="11" customWidth="1"/>
    <col min="17" max="17" width="9.140625" style="11" customWidth="1"/>
    <col min="18" max="18" width="11.140625" style="11" customWidth="1"/>
    <col min="19" max="16384" width="9.140625" style="11"/>
  </cols>
  <sheetData>
    <row r="1" spans="1:18" ht="30">
      <c r="A1" s="45" t="s">
        <v>91</v>
      </c>
      <c r="B1" s="13"/>
      <c r="D1" s="12"/>
      <c r="E1" s="12"/>
    </row>
    <row r="2" spans="1:18">
      <c r="B2" s="11" t="s">
        <v>137</v>
      </c>
      <c r="E2" s="53"/>
    </row>
    <row r="3" spans="1:18">
      <c r="B3" s="53"/>
    </row>
    <row r="4" spans="1:18" ht="15.75">
      <c r="B4" s="56" t="s">
        <v>60</v>
      </c>
      <c r="C4" s="57"/>
      <c r="D4" s="57"/>
      <c r="E4" s="56"/>
    </row>
    <row r="5" spans="1:18">
      <c r="A5" s="11" t="s">
        <v>110</v>
      </c>
      <c r="B5" s="112">
        <v>1.95</v>
      </c>
      <c r="D5" s="116" t="s">
        <v>124</v>
      </c>
      <c r="E5" s="117">
        <f>$B$18*B12</f>
        <v>4.8891384490979073E-2</v>
      </c>
      <c r="F5" s="11" t="s">
        <v>121</v>
      </c>
      <c r="G5" s="50"/>
    </row>
    <row r="6" spans="1:18">
      <c r="A6" s="11" t="s">
        <v>111</v>
      </c>
      <c r="B6" s="115">
        <v>1.954</v>
      </c>
    </row>
    <row r="7" spans="1:18">
      <c r="A7" s="11" t="s">
        <v>112</v>
      </c>
      <c r="B7" s="114">
        <v>5.2400000000000002E-2</v>
      </c>
      <c r="D7" s="116" t="s">
        <v>125</v>
      </c>
      <c r="E7" s="117">
        <f>$D$18*B12</f>
        <v>1.4516828914210578E-2</v>
      </c>
      <c r="F7" s="11" t="s">
        <v>121</v>
      </c>
      <c r="G7" s="50"/>
    </row>
    <row r="8" spans="1:18">
      <c r="A8" s="11" t="s">
        <v>113</v>
      </c>
      <c r="B8" s="114">
        <v>4.7100000000000003E-2</v>
      </c>
      <c r="D8" s="121"/>
      <c r="E8" s="121"/>
    </row>
    <row r="9" spans="1:18">
      <c r="A9" s="11" t="s">
        <v>114</v>
      </c>
      <c r="B9" s="114">
        <v>7.3000000000000001E-3</v>
      </c>
      <c r="D9" s="122"/>
      <c r="E9" s="121"/>
    </row>
    <row r="10" spans="1:18">
      <c r="A10" s="11" t="s">
        <v>115</v>
      </c>
      <c r="B10" s="113">
        <v>365</v>
      </c>
      <c r="L10" s="51"/>
    </row>
    <row r="11" spans="1:18">
      <c r="A11" s="11" t="s">
        <v>116</v>
      </c>
      <c r="B11" s="55">
        <v>0.5</v>
      </c>
      <c r="L11" s="157"/>
      <c r="M11" s="157"/>
      <c r="N11" s="157"/>
      <c r="O11" s="157"/>
    </row>
    <row r="12" spans="1:18">
      <c r="A12" s="11" t="s">
        <v>117</v>
      </c>
      <c r="B12" s="158">
        <v>1</v>
      </c>
      <c r="C12" s="158"/>
      <c r="D12" s="158"/>
      <c r="E12" s="11" t="s">
        <v>122</v>
      </c>
    </row>
    <row r="13" spans="1:18">
      <c r="R13" s="51"/>
    </row>
    <row r="17" spans="1:17">
      <c r="B17" s="119" t="s">
        <v>120</v>
      </c>
      <c r="C17" s="120"/>
      <c r="D17" s="119" t="s">
        <v>119</v>
      </c>
      <c r="E17" s="119"/>
      <c r="N17" s="17" t="s">
        <v>59</v>
      </c>
      <c r="O17" s="54"/>
      <c r="P17" s="17" t="s">
        <v>58</v>
      </c>
    </row>
    <row r="18" spans="1:17">
      <c r="A18" s="11" t="s">
        <v>57</v>
      </c>
      <c r="B18" s="111">
        <f>EXP(-$B$9*$B$11)*$B$5*$B$36-EXP(-$B$8*$B$11)*$B$6*$B$37</f>
        <v>4.8891384490979073E-2</v>
      </c>
      <c r="C18" s="12"/>
      <c r="D18" s="111">
        <f>-EXP(-$B$9*$B$11)*$B$5*$B$40+EXP(-$B$8*$B$11)*$B$6*$B$41</f>
        <v>1.4516828914210578E-2</v>
      </c>
      <c r="E18" s="111"/>
      <c r="N18" s="52">
        <f>$B$12*B18</f>
        <v>4.8891384490979073E-2</v>
      </c>
      <c r="P18" s="52">
        <f>$B$12*D18</f>
        <v>1.4516828914210578E-2</v>
      </c>
      <c r="Q18" s="11" t="s">
        <v>118</v>
      </c>
    </row>
    <row r="19" spans="1:17">
      <c r="A19" s="11" t="s">
        <v>56</v>
      </c>
      <c r="B19" s="12">
        <f>EXP(-$B$9*$B$11)*$B$36</f>
        <v>0.68904793536247</v>
      </c>
      <c r="C19" s="12"/>
      <c r="D19" s="12">
        <f>$B$19-EXP(-$B$9*$B$11)</f>
        <v>-0.30730871779039914</v>
      </c>
      <c r="E19" s="12"/>
      <c r="H19" s="11" t="s">
        <v>55</v>
      </c>
      <c r="N19" s="52">
        <f t="shared" ref="N19:N24" si="0">B19*$B$12</f>
        <v>0.68904793536247</v>
      </c>
      <c r="P19" s="52">
        <f t="shared" ref="P19:P24" si="1">D19*$B$12</f>
        <v>-0.30730871779039914</v>
      </c>
      <c r="Q19" s="11" t="s">
        <v>50</v>
      </c>
    </row>
    <row r="20" spans="1:17">
      <c r="A20" s="11" t="s">
        <v>54</v>
      </c>
      <c r="B20" s="12">
        <f>($B$5*EXP(-$B$9*$B$11)*$B$38*SQRT($B$11))/100</f>
        <v>4.8360730206740473E-3</v>
      </c>
      <c r="C20" s="12"/>
      <c r="D20" s="12">
        <f>$B$20</f>
        <v>4.8360730206740473E-3</v>
      </c>
      <c r="E20" s="12"/>
      <c r="H20" s="11" t="s">
        <v>53</v>
      </c>
      <c r="N20" s="52">
        <f t="shared" si="0"/>
        <v>4.8360730206740473E-3</v>
      </c>
      <c r="P20" s="52">
        <f t="shared" si="1"/>
        <v>4.8360730206740473E-3</v>
      </c>
      <c r="Q20" s="11" t="s">
        <v>35</v>
      </c>
    </row>
    <row r="21" spans="1:17">
      <c r="A21" s="11" t="s">
        <v>52</v>
      </c>
      <c r="B21" s="12">
        <f>EXP(-$B$9*$B$11)*$B$38/($B$5*$B$7*SQRT($B$11))</f>
        <v>4.8542521951448645</v>
      </c>
      <c r="C21" s="12"/>
      <c r="D21" s="12">
        <f>$B$21</f>
        <v>4.8542521951448645</v>
      </c>
      <c r="E21" s="12"/>
      <c r="H21" s="11" t="s">
        <v>51</v>
      </c>
      <c r="N21" s="52">
        <f t="shared" si="0"/>
        <v>4.8542521951448645</v>
      </c>
      <c r="P21" s="52">
        <f t="shared" si="1"/>
        <v>4.8542521951448645</v>
      </c>
      <c r="Q21" s="11" t="s">
        <v>50</v>
      </c>
    </row>
    <row r="22" spans="1:17">
      <c r="A22" s="11" t="s">
        <v>49</v>
      </c>
      <c r="B22" s="12">
        <f>(EXP(-$B$9*$B$11)*$B$5*$B$38*$B$7/(2*SQRT($B$11))+($B$8*$B$6*EXP(-$B$8*$B$11)*$B$37)-($B$9*$B$5*EXP(-$B$9*$B$11)*$B$36))/365</f>
        <v>2.0963081830763889E-4</v>
      </c>
      <c r="C22" s="12"/>
      <c r="D22" s="12">
        <f>(EXP(-$B$9*$B$11)*$B$5*$B$38*$B$7/(2*SQRT($B$11))-($B$8*$B$6*EXP(-$B$8*$B$11)*$B$41)+($B$9*$B$5*EXP(-$B$9*$B$11)*$B$40))/365</f>
        <v>2.2110969829036153E-6</v>
      </c>
      <c r="E22" s="12"/>
      <c r="H22" s="11" t="s">
        <v>48</v>
      </c>
      <c r="N22" s="52">
        <f t="shared" si="0"/>
        <v>2.0963081830763889E-4</v>
      </c>
      <c r="P22" s="52">
        <f t="shared" si="1"/>
        <v>2.2110969829036153E-6</v>
      </c>
      <c r="Q22" s="11" t="s">
        <v>47</v>
      </c>
    </row>
    <row r="23" spans="1:17">
      <c r="A23" s="11" t="s">
        <v>46</v>
      </c>
      <c r="B23" s="12">
        <f>$B$6*$B$11*EXP(-$B$8*$B$11)*$B$37/100</f>
        <v>6.4737604473291879E-3</v>
      </c>
      <c r="C23" s="12"/>
      <c r="D23" s="12">
        <f>-$B$6*$B$11*EXP(-$B$8*$B$11)*$B$41/100</f>
        <v>-3.0688441430274439E-3</v>
      </c>
      <c r="E23" s="12"/>
      <c r="H23" s="11" t="s">
        <v>45</v>
      </c>
      <c r="N23" s="52">
        <f t="shared" si="0"/>
        <v>6.4737604473291879E-3</v>
      </c>
      <c r="P23" s="52">
        <f t="shared" si="1"/>
        <v>-3.0688441430274439E-3</v>
      </c>
      <c r="Q23" s="11" t="s">
        <v>44</v>
      </c>
    </row>
    <row r="24" spans="1:17">
      <c r="A24" s="11" t="s">
        <v>43</v>
      </c>
      <c r="B24" s="12">
        <f>-$B$5*$B$11*EXP(-$B$9*$B$11)*$B$36/100</f>
        <v>-6.718217369784083E-3</v>
      </c>
      <c r="C24" s="12"/>
      <c r="D24" s="12">
        <f>$B$5*$B$11*EXP(-$B$9*$B$11)*$B$40/100</f>
        <v>2.9962599984563907E-3</v>
      </c>
      <c r="E24" s="12"/>
      <c r="H24" s="11" t="s">
        <v>42</v>
      </c>
      <c r="N24" s="52">
        <f t="shared" si="0"/>
        <v>-6.718217369784083E-3</v>
      </c>
      <c r="P24" s="52">
        <f t="shared" si="1"/>
        <v>2.9962599984563907E-3</v>
      </c>
      <c r="Q24" s="11" t="s">
        <v>41</v>
      </c>
    </row>
    <row r="25" spans="1:17">
      <c r="A25" s="53" t="s">
        <v>40</v>
      </c>
      <c r="B25" s="12">
        <f>$B$19*$B$5/$B$18</f>
        <v>27.482213644506864</v>
      </c>
      <c r="C25" s="12"/>
      <c r="D25" s="12">
        <f>$D$19*$B$5/$D$18</f>
        <v>-41.279814154499562</v>
      </c>
      <c r="E25" s="12"/>
      <c r="H25" s="11" t="s">
        <v>39</v>
      </c>
      <c r="N25" s="52">
        <f>B25*N18/100</f>
        <v>1.3436434739568164E-2</v>
      </c>
      <c r="P25" s="52">
        <f>D25*P18/100</f>
        <v>-5.9925199969127832E-3</v>
      </c>
      <c r="Q25" s="11" t="s">
        <v>38</v>
      </c>
    </row>
    <row r="26" spans="1:17">
      <c r="A26" s="11" t="s">
        <v>37</v>
      </c>
      <c r="B26" s="12">
        <f>(-EXP($B$9*$B$11)*$B$38*$B$35/$B$7)/100</f>
        <v>-3.1233748150273136E-2</v>
      </c>
      <c r="C26" s="12"/>
      <c r="D26" s="12">
        <f>(-EXP($B$9*$B$11)*$B$38*$B$35/$B$7)/100</f>
        <v>-3.1233748150273136E-2</v>
      </c>
      <c r="E26" s="12"/>
      <c r="H26" s="11" t="s">
        <v>36</v>
      </c>
      <c r="N26" s="52">
        <f>B26*$B$12</f>
        <v>-3.1233748150273136E-2</v>
      </c>
      <c r="O26" s="52"/>
      <c r="P26" s="52">
        <f>D26*$B$12</f>
        <v>-3.1233748150273136E-2</v>
      </c>
      <c r="Q26" s="11" t="s">
        <v>35</v>
      </c>
    </row>
    <row r="28" spans="1:17" ht="15">
      <c r="A28" s="118" t="s">
        <v>123</v>
      </c>
      <c r="B28" s="12">
        <f>$B$5+($B$8-$B$9)*$B$5*$B$11</f>
        <v>1.9888049999999999</v>
      </c>
    </row>
    <row r="31" spans="1:17">
      <c r="F31" s="12"/>
      <c r="G31" s="50"/>
      <c r="H31" s="50"/>
      <c r="I31" s="50"/>
    </row>
    <row r="32" spans="1:17">
      <c r="F32" s="50"/>
    </row>
    <row r="33" spans="1:6">
      <c r="A33" s="51" t="s">
        <v>34</v>
      </c>
      <c r="F33" s="50"/>
    </row>
    <row r="34" spans="1:6">
      <c r="A34" s="11" t="s">
        <v>33</v>
      </c>
      <c r="B34" s="12">
        <f>(LN($B$5/$B$6)+($B$8-$B$9+($B$7^2)/2)*$B$11)/($B$7*SQRT($B$11))</f>
        <v>0.50029853098233257</v>
      </c>
      <c r="F34" s="50"/>
    </row>
    <row r="35" spans="1:6">
      <c r="A35" s="11" t="s">
        <v>32</v>
      </c>
      <c r="B35" s="12">
        <f>$B$34-$B$7*SQRT($B$11)</f>
        <v>0.46324613564815748</v>
      </c>
    </row>
    <row r="36" spans="1:6">
      <c r="A36" s="11" t="s">
        <v>31</v>
      </c>
      <c r="B36" s="12">
        <f>NORMDIST($B$34,0,1,1)</f>
        <v>0.69156755583660534</v>
      </c>
    </row>
    <row r="37" spans="1:6">
      <c r="A37" s="11" t="s">
        <v>30</v>
      </c>
      <c r="B37" s="12">
        <f>NORMDIST($B$35,0,1,1)</f>
        <v>0.67840602489925095</v>
      </c>
    </row>
    <row r="38" spans="1:6">
      <c r="A38" s="11" t="s">
        <v>29</v>
      </c>
      <c r="B38" s="12">
        <f>NORMDIST($B$34,0,1,0)</f>
        <v>0.35201276379640228</v>
      </c>
    </row>
    <row r="39" spans="1:6">
      <c r="A39" s="11" t="s">
        <v>28</v>
      </c>
      <c r="B39" s="12">
        <f>NORMDIST($B$35,0,1,0)</f>
        <v>0.35835289986631724</v>
      </c>
    </row>
    <row r="40" spans="1:6">
      <c r="A40" s="11" t="s">
        <v>27</v>
      </c>
      <c r="B40" s="12">
        <f>NORMDIST(-$B$34,0,1,1)</f>
        <v>0.30843244416339466</v>
      </c>
    </row>
    <row r="41" spans="1:6">
      <c r="A41" s="11" t="s">
        <v>26</v>
      </c>
      <c r="B41" s="12">
        <f>NORMDIST(-$B$35,0,1,1)</f>
        <v>0.321593975100749</v>
      </c>
    </row>
  </sheetData>
  <mergeCells count="2">
    <mergeCell ref="L11:O11"/>
    <mergeCell ref="B12:D12"/>
  </mergeCells>
  <pageMargins left="0.75" right="0.75" top="1" bottom="1" header="0.5" footer="0.5"/>
  <pageSetup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F22"/>
  <sheetViews>
    <sheetView showGridLines="0" zoomScaleNormal="100" workbookViewId="0">
      <selection activeCell="C11" sqref="C11"/>
    </sheetView>
  </sheetViews>
  <sheetFormatPr baseColWidth="10" defaultRowHeight="12.75"/>
  <cols>
    <col min="1" max="1" width="3.140625" style="124" customWidth="1"/>
    <col min="2" max="2" width="26.28515625" style="124" customWidth="1"/>
    <col min="3" max="3" width="17.5703125" style="124" customWidth="1"/>
    <col min="4" max="256" width="11.42578125" style="124"/>
    <col min="257" max="257" width="3.140625" style="124" customWidth="1"/>
    <col min="258" max="258" width="26.28515625" style="124" customWidth="1"/>
    <col min="259" max="259" width="17.5703125" style="124" customWidth="1"/>
    <col min="260" max="512" width="11.42578125" style="124"/>
    <col min="513" max="513" width="3.140625" style="124" customWidth="1"/>
    <col min="514" max="514" width="26.28515625" style="124" customWidth="1"/>
    <col min="515" max="515" width="17.5703125" style="124" customWidth="1"/>
    <col min="516" max="768" width="11.42578125" style="124"/>
    <col min="769" max="769" width="3.140625" style="124" customWidth="1"/>
    <col min="770" max="770" width="26.28515625" style="124" customWidth="1"/>
    <col min="771" max="771" width="17.5703125" style="124" customWidth="1"/>
    <col min="772" max="1024" width="11.42578125" style="124"/>
    <col min="1025" max="1025" width="3.140625" style="124" customWidth="1"/>
    <col min="1026" max="1026" width="26.28515625" style="124" customWidth="1"/>
    <col min="1027" max="1027" width="17.5703125" style="124" customWidth="1"/>
    <col min="1028" max="1280" width="11.42578125" style="124"/>
    <col min="1281" max="1281" width="3.140625" style="124" customWidth="1"/>
    <col min="1282" max="1282" width="26.28515625" style="124" customWidth="1"/>
    <col min="1283" max="1283" width="17.5703125" style="124" customWidth="1"/>
    <col min="1284" max="1536" width="11.42578125" style="124"/>
    <col min="1537" max="1537" width="3.140625" style="124" customWidth="1"/>
    <col min="1538" max="1538" width="26.28515625" style="124" customWidth="1"/>
    <col min="1539" max="1539" width="17.5703125" style="124" customWidth="1"/>
    <col min="1540" max="1792" width="11.42578125" style="124"/>
    <col min="1793" max="1793" width="3.140625" style="124" customWidth="1"/>
    <col min="1794" max="1794" width="26.28515625" style="124" customWidth="1"/>
    <col min="1795" max="1795" width="17.5703125" style="124" customWidth="1"/>
    <col min="1796" max="2048" width="11.42578125" style="124"/>
    <col min="2049" max="2049" width="3.140625" style="124" customWidth="1"/>
    <col min="2050" max="2050" width="26.28515625" style="124" customWidth="1"/>
    <col min="2051" max="2051" width="17.5703125" style="124" customWidth="1"/>
    <col min="2052" max="2304" width="11.42578125" style="124"/>
    <col min="2305" max="2305" width="3.140625" style="124" customWidth="1"/>
    <col min="2306" max="2306" width="26.28515625" style="124" customWidth="1"/>
    <col min="2307" max="2307" width="17.5703125" style="124" customWidth="1"/>
    <col min="2308" max="2560" width="11.42578125" style="124"/>
    <col min="2561" max="2561" width="3.140625" style="124" customWidth="1"/>
    <col min="2562" max="2562" width="26.28515625" style="124" customWidth="1"/>
    <col min="2563" max="2563" width="17.5703125" style="124" customWidth="1"/>
    <col min="2564" max="2816" width="11.42578125" style="124"/>
    <col min="2817" max="2817" width="3.140625" style="124" customWidth="1"/>
    <col min="2818" max="2818" width="26.28515625" style="124" customWidth="1"/>
    <col min="2819" max="2819" width="17.5703125" style="124" customWidth="1"/>
    <col min="2820" max="3072" width="11.42578125" style="124"/>
    <col min="3073" max="3073" width="3.140625" style="124" customWidth="1"/>
    <col min="3074" max="3074" width="26.28515625" style="124" customWidth="1"/>
    <col min="3075" max="3075" width="17.5703125" style="124" customWidth="1"/>
    <col min="3076" max="3328" width="11.42578125" style="124"/>
    <col min="3329" max="3329" width="3.140625" style="124" customWidth="1"/>
    <col min="3330" max="3330" width="26.28515625" style="124" customWidth="1"/>
    <col min="3331" max="3331" width="17.5703125" style="124" customWidth="1"/>
    <col min="3332" max="3584" width="11.42578125" style="124"/>
    <col min="3585" max="3585" width="3.140625" style="124" customWidth="1"/>
    <col min="3586" max="3586" width="26.28515625" style="124" customWidth="1"/>
    <col min="3587" max="3587" width="17.5703125" style="124" customWidth="1"/>
    <col min="3588" max="3840" width="11.42578125" style="124"/>
    <col min="3841" max="3841" width="3.140625" style="124" customWidth="1"/>
    <col min="3842" max="3842" width="26.28515625" style="124" customWidth="1"/>
    <col min="3843" max="3843" width="17.5703125" style="124" customWidth="1"/>
    <col min="3844" max="4096" width="11.42578125" style="124"/>
    <col min="4097" max="4097" width="3.140625" style="124" customWidth="1"/>
    <col min="4098" max="4098" width="26.28515625" style="124" customWidth="1"/>
    <col min="4099" max="4099" width="17.5703125" style="124" customWidth="1"/>
    <col min="4100" max="4352" width="11.42578125" style="124"/>
    <col min="4353" max="4353" width="3.140625" style="124" customWidth="1"/>
    <col min="4354" max="4354" width="26.28515625" style="124" customWidth="1"/>
    <col min="4355" max="4355" width="17.5703125" style="124" customWidth="1"/>
    <col min="4356" max="4608" width="11.42578125" style="124"/>
    <col min="4609" max="4609" width="3.140625" style="124" customWidth="1"/>
    <col min="4610" max="4610" width="26.28515625" style="124" customWidth="1"/>
    <col min="4611" max="4611" width="17.5703125" style="124" customWidth="1"/>
    <col min="4612" max="4864" width="11.42578125" style="124"/>
    <col min="4865" max="4865" width="3.140625" style="124" customWidth="1"/>
    <col min="4866" max="4866" width="26.28515625" style="124" customWidth="1"/>
    <col min="4867" max="4867" width="17.5703125" style="124" customWidth="1"/>
    <col min="4868" max="5120" width="11.42578125" style="124"/>
    <col min="5121" max="5121" width="3.140625" style="124" customWidth="1"/>
    <col min="5122" max="5122" width="26.28515625" style="124" customWidth="1"/>
    <col min="5123" max="5123" width="17.5703125" style="124" customWidth="1"/>
    <col min="5124" max="5376" width="11.42578125" style="124"/>
    <col min="5377" max="5377" width="3.140625" style="124" customWidth="1"/>
    <col min="5378" max="5378" width="26.28515625" style="124" customWidth="1"/>
    <col min="5379" max="5379" width="17.5703125" style="124" customWidth="1"/>
    <col min="5380" max="5632" width="11.42578125" style="124"/>
    <col min="5633" max="5633" width="3.140625" style="124" customWidth="1"/>
    <col min="5634" max="5634" width="26.28515625" style="124" customWidth="1"/>
    <col min="5635" max="5635" width="17.5703125" style="124" customWidth="1"/>
    <col min="5636" max="5888" width="11.42578125" style="124"/>
    <col min="5889" max="5889" width="3.140625" style="124" customWidth="1"/>
    <col min="5890" max="5890" width="26.28515625" style="124" customWidth="1"/>
    <col min="5891" max="5891" width="17.5703125" style="124" customWidth="1"/>
    <col min="5892" max="6144" width="11.42578125" style="124"/>
    <col min="6145" max="6145" width="3.140625" style="124" customWidth="1"/>
    <col min="6146" max="6146" width="26.28515625" style="124" customWidth="1"/>
    <col min="6147" max="6147" width="17.5703125" style="124" customWidth="1"/>
    <col min="6148" max="6400" width="11.42578125" style="124"/>
    <col min="6401" max="6401" width="3.140625" style="124" customWidth="1"/>
    <col min="6402" max="6402" width="26.28515625" style="124" customWidth="1"/>
    <col min="6403" max="6403" width="17.5703125" style="124" customWidth="1"/>
    <col min="6404" max="6656" width="11.42578125" style="124"/>
    <col min="6657" max="6657" width="3.140625" style="124" customWidth="1"/>
    <col min="6658" max="6658" width="26.28515625" style="124" customWidth="1"/>
    <col min="6659" max="6659" width="17.5703125" style="124" customWidth="1"/>
    <col min="6660" max="6912" width="11.42578125" style="124"/>
    <col min="6913" max="6913" width="3.140625" style="124" customWidth="1"/>
    <col min="6914" max="6914" width="26.28515625" style="124" customWidth="1"/>
    <col min="6915" max="6915" width="17.5703125" style="124" customWidth="1"/>
    <col min="6916" max="7168" width="11.42578125" style="124"/>
    <col min="7169" max="7169" width="3.140625" style="124" customWidth="1"/>
    <col min="7170" max="7170" width="26.28515625" style="124" customWidth="1"/>
    <col min="7171" max="7171" width="17.5703125" style="124" customWidth="1"/>
    <col min="7172" max="7424" width="11.42578125" style="124"/>
    <col min="7425" max="7425" width="3.140625" style="124" customWidth="1"/>
    <col min="7426" max="7426" width="26.28515625" style="124" customWidth="1"/>
    <col min="7427" max="7427" width="17.5703125" style="124" customWidth="1"/>
    <col min="7428" max="7680" width="11.42578125" style="124"/>
    <col min="7681" max="7681" width="3.140625" style="124" customWidth="1"/>
    <col min="7682" max="7682" width="26.28515625" style="124" customWidth="1"/>
    <col min="7683" max="7683" width="17.5703125" style="124" customWidth="1"/>
    <col min="7684" max="7936" width="11.42578125" style="124"/>
    <col min="7937" max="7937" width="3.140625" style="124" customWidth="1"/>
    <col min="7938" max="7938" width="26.28515625" style="124" customWidth="1"/>
    <col min="7939" max="7939" width="17.5703125" style="124" customWidth="1"/>
    <col min="7940" max="8192" width="11.42578125" style="124"/>
    <col min="8193" max="8193" width="3.140625" style="124" customWidth="1"/>
    <col min="8194" max="8194" width="26.28515625" style="124" customWidth="1"/>
    <col min="8195" max="8195" width="17.5703125" style="124" customWidth="1"/>
    <col min="8196" max="8448" width="11.42578125" style="124"/>
    <col min="8449" max="8449" width="3.140625" style="124" customWidth="1"/>
    <col min="8450" max="8450" width="26.28515625" style="124" customWidth="1"/>
    <col min="8451" max="8451" width="17.5703125" style="124" customWidth="1"/>
    <col min="8452" max="8704" width="11.42578125" style="124"/>
    <col min="8705" max="8705" width="3.140625" style="124" customWidth="1"/>
    <col min="8706" max="8706" width="26.28515625" style="124" customWidth="1"/>
    <col min="8707" max="8707" width="17.5703125" style="124" customWidth="1"/>
    <col min="8708" max="8960" width="11.42578125" style="124"/>
    <col min="8961" max="8961" width="3.140625" style="124" customWidth="1"/>
    <col min="8962" max="8962" width="26.28515625" style="124" customWidth="1"/>
    <col min="8963" max="8963" width="17.5703125" style="124" customWidth="1"/>
    <col min="8964" max="9216" width="11.42578125" style="124"/>
    <col min="9217" max="9217" width="3.140625" style="124" customWidth="1"/>
    <col min="9218" max="9218" width="26.28515625" style="124" customWidth="1"/>
    <col min="9219" max="9219" width="17.5703125" style="124" customWidth="1"/>
    <col min="9220" max="9472" width="11.42578125" style="124"/>
    <col min="9473" max="9473" width="3.140625" style="124" customWidth="1"/>
    <col min="9474" max="9474" width="26.28515625" style="124" customWidth="1"/>
    <col min="9475" max="9475" width="17.5703125" style="124" customWidth="1"/>
    <col min="9476" max="9728" width="11.42578125" style="124"/>
    <col min="9729" max="9729" width="3.140625" style="124" customWidth="1"/>
    <col min="9730" max="9730" width="26.28515625" style="124" customWidth="1"/>
    <col min="9731" max="9731" width="17.5703125" style="124" customWidth="1"/>
    <col min="9732" max="9984" width="11.42578125" style="124"/>
    <col min="9985" max="9985" width="3.140625" style="124" customWidth="1"/>
    <col min="9986" max="9986" width="26.28515625" style="124" customWidth="1"/>
    <col min="9987" max="9987" width="17.5703125" style="124" customWidth="1"/>
    <col min="9988" max="10240" width="11.42578125" style="124"/>
    <col min="10241" max="10241" width="3.140625" style="124" customWidth="1"/>
    <col min="10242" max="10242" width="26.28515625" style="124" customWidth="1"/>
    <col min="10243" max="10243" width="17.5703125" style="124" customWidth="1"/>
    <col min="10244" max="10496" width="11.42578125" style="124"/>
    <col min="10497" max="10497" width="3.140625" style="124" customWidth="1"/>
    <col min="10498" max="10498" width="26.28515625" style="124" customWidth="1"/>
    <col min="10499" max="10499" width="17.5703125" style="124" customWidth="1"/>
    <col min="10500" max="10752" width="11.42578125" style="124"/>
    <col min="10753" max="10753" width="3.140625" style="124" customWidth="1"/>
    <col min="10754" max="10754" width="26.28515625" style="124" customWidth="1"/>
    <col min="10755" max="10755" width="17.5703125" style="124" customWidth="1"/>
    <col min="10756" max="11008" width="11.42578125" style="124"/>
    <col min="11009" max="11009" width="3.140625" style="124" customWidth="1"/>
    <col min="11010" max="11010" width="26.28515625" style="124" customWidth="1"/>
    <col min="11011" max="11011" width="17.5703125" style="124" customWidth="1"/>
    <col min="11012" max="11264" width="11.42578125" style="124"/>
    <col min="11265" max="11265" width="3.140625" style="124" customWidth="1"/>
    <col min="11266" max="11266" width="26.28515625" style="124" customWidth="1"/>
    <col min="11267" max="11267" width="17.5703125" style="124" customWidth="1"/>
    <col min="11268" max="11520" width="11.42578125" style="124"/>
    <col min="11521" max="11521" width="3.140625" style="124" customWidth="1"/>
    <col min="11522" max="11522" width="26.28515625" style="124" customWidth="1"/>
    <col min="11523" max="11523" width="17.5703125" style="124" customWidth="1"/>
    <col min="11524" max="11776" width="11.42578125" style="124"/>
    <col min="11777" max="11777" width="3.140625" style="124" customWidth="1"/>
    <col min="11778" max="11778" width="26.28515625" style="124" customWidth="1"/>
    <col min="11779" max="11779" width="17.5703125" style="124" customWidth="1"/>
    <col min="11780" max="12032" width="11.42578125" style="124"/>
    <col min="12033" max="12033" width="3.140625" style="124" customWidth="1"/>
    <col min="12034" max="12034" width="26.28515625" style="124" customWidth="1"/>
    <col min="12035" max="12035" width="17.5703125" style="124" customWidth="1"/>
    <col min="12036" max="12288" width="11.42578125" style="124"/>
    <col min="12289" max="12289" width="3.140625" style="124" customWidth="1"/>
    <col min="12290" max="12290" width="26.28515625" style="124" customWidth="1"/>
    <col min="12291" max="12291" width="17.5703125" style="124" customWidth="1"/>
    <col min="12292" max="12544" width="11.42578125" style="124"/>
    <col min="12545" max="12545" width="3.140625" style="124" customWidth="1"/>
    <col min="12546" max="12546" width="26.28515625" style="124" customWidth="1"/>
    <col min="12547" max="12547" width="17.5703125" style="124" customWidth="1"/>
    <col min="12548" max="12800" width="11.42578125" style="124"/>
    <col min="12801" max="12801" width="3.140625" style="124" customWidth="1"/>
    <col min="12802" max="12802" width="26.28515625" style="124" customWidth="1"/>
    <col min="12803" max="12803" width="17.5703125" style="124" customWidth="1"/>
    <col min="12804" max="13056" width="11.42578125" style="124"/>
    <col min="13057" max="13057" width="3.140625" style="124" customWidth="1"/>
    <col min="13058" max="13058" width="26.28515625" style="124" customWidth="1"/>
    <col min="13059" max="13059" width="17.5703125" style="124" customWidth="1"/>
    <col min="13060" max="13312" width="11.42578125" style="124"/>
    <col min="13313" max="13313" width="3.140625" style="124" customWidth="1"/>
    <col min="13314" max="13314" width="26.28515625" style="124" customWidth="1"/>
    <col min="13315" max="13315" width="17.5703125" style="124" customWidth="1"/>
    <col min="13316" max="13568" width="11.42578125" style="124"/>
    <col min="13569" max="13569" width="3.140625" style="124" customWidth="1"/>
    <col min="13570" max="13570" width="26.28515625" style="124" customWidth="1"/>
    <col min="13571" max="13571" width="17.5703125" style="124" customWidth="1"/>
    <col min="13572" max="13824" width="11.42578125" style="124"/>
    <col min="13825" max="13825" width="3.140625" style="124" customWidth="1"/>
    <col min="13826" max="13826" width="26.28515625" style="124" customWidth="1"/>
    <col min="13827" max="13827" width="17.5703125" style="124" customWidth="1"/>
    <col min="13828" max="14080" width="11.42578125" style="124"/>
    <col min="14081" max="14081" width="3.140625" style="124" customWidth="1"/>
    <col min="14082" max="14082" width="26.28515625" style="124" customWidth="1"/>
    <col min="14083" max="14083" width="17.5703125" style="124" customWidth="1"/>
    <col min="14084" max="14336" width="11.42578125" style="124"/>
    <col min="14337" max="14337" width="3.140625" style="124" customWidth="1"/>
    <col min="14338" max="14338" width="26.28515625" style="124" customWidth="1"/>
    <col min="14339" max="14339" width="17.5703125" style="124" customWidth="1"/>
    <col min="14340" max="14592" width="11.42578125" style="124"/>
    <col min="14593" max="14593" width="3.140625" style="124" customWidth="1"/>
    <col min="14594" max="14594" width="26.28515625" style="124" customWidth="1"/>
    <col min="14595" max="14595" width="17.5703125" style="124" customWidth="1"/>
    <col min="14596" max="14848" width="11.42578125" style="124"/>
    <col min="14849" max="14849" width="3.140625" style="124" customWidth="1"/>
    <col min="14850" max="14850" width="26.28515625" style="124" customWidth="1"/>
    <col min="14851" max="14851" width="17.5703125" style="124" customWidth="1"/>
    <col min="14852" max="15104" width="11.42578125" style="124"/>
    <col min="15105" max="15105" width="3.140625" style="124" customWidth="1"/>
    <col min="15106" max="15106" width="26.28515625" style="124" customWidth="1"/>
    <col min="15107" max="15107" width="17.5703125" style="124" customWidth="1"/>
    <col min="15108" max="15360" width="11.42578125" style="124"/>
    <col min="15361" max="15361" width="3.140625" style="124" customWidth="1"/>
    <col min="15362" max="15362" width="26.28515625" style="124" customWidth="1"/>
    <col min="15363" max="15363" width="17.5703125" style="124" customWidth="1"/>
    <col min="15364" max="15616" width="11.42578125" style="124"/>
    <col min="15617" max="15617" width="3.140625" style="124" customWidth="1"/>
    <col min="15618" max="15618" width="26.28515625" style="124" customWidth="1"/>
    <col min="15619" max="15619" width="17.5703125" style="124" customWidth="1"/>
    <col min="15620" max="15872" width="11.42578125" style="124"/>
    <col min="15873" max="15873" width="3.140625" style="124" customWidth="1"/>
    <col min="15874" max="15874" width="26.28515625" style="124" customWidth="1"/>
    <col min="15875" max="15875" width="17.5703125" style="124" customWidth="1"/>
    <col min="15876" max="16128" width="11.42578125" style="124"/>
    <col min="16129" max="16129" width="3.140625" style="124" customWidth="1"/>
    <col min="16130" max="16130" width="26.28515625" style="124" customWidth="1"/>
    <col min="16131" max="16131" width="17.5703125" style="124" customWidth="1"/>
    <col min="16132" max="16384" width="11.42578125" style="124"/>
  </cols>
  <sheetData>
    <row r="1" spans="1:6" ht="15.75">
      <c r="A1" s="123"/>
      <c r="C1" s="125"/>
    </row>
    <row r="2" spans="1:6">
      <c r="C2" s="125"/>
    </row>
    <row r="3" spans="1:6" ht="15.75">
      <c r="A3" s="123"/>
      <c r="C3" s="125"/>
    </row>
    <row r="4" spans="1:6">
      <c r="A4" s="125"/>
      <c r="B4" s="125"/>
      <c r="C4" s="125"/>
    </row>
    <row r="5" spans="1:6">
      <c r="A5" s="125"/>
      <c r="B5" s="125"/>
      <c r="C5" s="125"/>
    </row>
    <row r="6" spans="1:6">
      <c r="A6" s="125"/>
      <c r="B6" s="125"/>
      <c r="C6" s="125"/>
    </row>
    <row r="7" spans="1:6">
      <c r="A7" s="125"/>
      <c r="B7" s="125"/>
      <c r="C7" s="125"/>
    </row>
    <row r="8" spans="1:6">
      <c r="A8" s="125"/>
      <c r="B8" s="126" t="s">
        <v>128</v>
      </c>
      <c r="C8" s="127">
        <v>1.85</v>
      </c>
      <c r="E8" s="128" t="str">
        <f>IF(E9=1,"e","a")</f>
        <v>a</v>
      </c>
      <c r="F8" s="129" t="str">
        <f>IF(F9=1,"c","p")</f>
        <v>c</v>
      </c>
    </row>
    <row r="9" spans="1:6">
      <c r="A9" s="125"/>
      <c r="B9" s="130" t="s">
        <v>111</v>
      </c>
      <c r="C9" s="131">
        <v>1.954</v>
      </c>
      <c r="E9" s="132">
        <v>2</v>
      </c>
      <c r="F9" s="133">
        <v>1</v>
      </c>
    </row>
    <row r="10" spans="1:6">
      <c r="A10" s="125"/>
      <c r="B10" s="130" t="s">
        <v>129</v>
      </c>
      <c r="C10" s="131">
        <v>0.5</v>
      </c>
      <c r="E10" s="134" t="s">
        <v>126</v>
      </c>
      <c r="F10" s="133" t="s">
        <v>59</v>
      </c>
    </row>
    <row r="11" spans="1:6">
      <c r="A11" s="125"/>
      <c r="B11" s="130" t="s">
        <v>130</v>
      </c>
      <c r="C11" s="135">
        <v>4.7100000000000003E-2</v>
      </c>
      <c r="E11" s="136" t="s">
        <v>127</v>
      </c>
      <c r="F11" s="137" t="s">
        <v>58</v>
      </c>
    </row>
    <row r="12" spans="1:6">
      <c r="A12" s="125"/>
      <c r="B12" s="130" t="s">
        <v>135</v>
      </c>
      <c r="C12" s="135">
        <v>0.05</v>
      </c>
    </row>
    <row r="13" spans="1:6">
      <c r="A13" s="125"/>
      <c r="B13" s="130" t="s">
        <v>131</v>
      </c>
      <c r="C13" s="135">
        <v>5.2400000000000002E-2</v>
      </c>
    </row>
    <row r="14" spans="1:6" ht="13.5" thickBot="1">
      <c r="A14" s="125"/>
      <c r="B14" s="138" t="s">
        <v>132</v>
      </c>
      <c r="C14" s="139">
        <v>3</v>
      </c>
    </row>
    <row r="15" spans="1:6">
      <c r="A15" s="125"/>
      <c r="B15" s="140" t="s">
        <v>133</v>
      </c>
      <c r="C15" s="148">
        <f t="array" ref="C15:C18">TrinomialTree("a",E8,F8,C8,C9,C10,C11,C12,C13,C14)</f>
        <v>7.0676653047498598E-3</v>
      </c>
      <c r="D15" s="143"/>
    </row>
    <row r="16" spans="1:6">
      <c r="B16" s="144" t="s">
        <v>56</v>
      </c>
      <c r="C16" s="141">
        <v>0.1394864633425493</v>
      </c>
    </row>
    <row r="17" spans="2:4">
      <c r="B17" s="144" t="s">
        <v>52</v>
      </c>
      <c r="C17" s="141">
        <v>3.750975125926443</v>
      </c>
    </row>
    <row r="18" spans="2:4" ht="13.5" thickBot="1">
      <c r="B18" s="145" t="s">
        <v>49</v>
      </c>
      <c r="C18" s="142">
        <v>-8.6351941202914421E-5</v>
      </c>
    </row>
    <row r="19" spans="2:4">
      <c r="C19" s="146"/>
    </row>
    <row r="20" spans="2:4" ht="15">
      <c r="B20" s="150" t="s">
        <v>117</v>
      </c>
      <c r="C20" s="149">
        <v>1</v>
      </c>
      <c r="D20" s="124" t="s">
        <v>122</v>
      </c>
    </row>
    <row r="22" spans="2:4" ht="15">
      <c r="B22" s="147" t="s">
        <v>134</v>
      </c>
      <c r="C22" s="147">
        <f>$C$20*C15</f>
        <v>7.0676653047498598E-3</v>
      </c>
      <c r="D22" s="124" t="s">
        <v>121</v>
      </c>
    </row>
  </sheetData>
  <pageMargins left="0.78740157499999996" right="0.78740157499999996" top="0.984251969" bottom="0.984251969" header="0.5" footer="0.5"/>
  <pageSetup paperSize="9" orientation="portrait" horizontalDpi="4294967292" verticalDpi="4294967292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Drop Down 1">
              <controlPr defaultSize="0" autoFill="0" autoLine="0" autoPict="0">
                <anchor moveWithCells="1">
                  <from>
                    <xdr:col>1</xdr:col>
                    <xdr:colOff>1266825</xdr:colOff>
                    <xdr:row>5</xdr:row>
                    <xdr:rowOff>47625</xdr:rowOff>
                  </from>
                  <to>
                    <xdr:col>2</xdr:col>
                    <xdr:colOff>561975</xdr:colOff>
                    <xdr:row>6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Drop Down 2">
              <controlPr defaultSize="0" autoFill="0" autoLine="0" autoPict="0">
                <anchor moveWithCells="1">
                  <from>
                    <xdr:col>1</xdr:col>
                    <xdr:colOff>1247775</xdr:colOff>
                    <xdr:row>3</xdr:row>
                    <xdr:rowOff>85725</xdr:rowOff>
                  </from>
                  <to>
                    <xdr:col>2</xdr:col>
                    <xdr:colOff>552450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S37"/>
  <sheetViews>
    <sheetView showGridLines="0" topLeftCell="A15" zoomScaleNormal="100" workbookViewId="0">
      <selection activeCell="B13" sqref="B13"/>
    </sheetView>
  </sheetViews>
  <sheetFormatPr baseColWidth="10" defaultColWidth="9.140625" defaultRowHeight="15"/>
  <cols>
    <col min="1" max="1" width="16.7109375" customWidth="1"/>
    <col min="2" max="2" width="8" customWidth="1"/>
    <col min="4" max="4" width="6.42578125" customWidth="1"/>
    <col min="5" max="5" width="9.85546875" customWidth="1"/>
    <col min="6" max="7" width="12.7109375" customWidth="1"/>
  </cols>
  <sheetData>
    <row r="1" spans="1:19" ht="30">
      <c r="A1" s="103" t="s">
        <v>92</v>
      </c>
    </row>
    <row r="2" spans="1:19">
      <c r="A2" s="102"/>
    </row>
    <row r="4" spans="1:19">
      <c r="F4" s="102"/>
    </row>
    <row r="5" spans="1:19" ht="15.75" thickBot="1"/>
    <row r="6" spans="1:19">
      <c r="A6" s="101" t="s">
        <v>90</v>
      </c>
      <c r="B6" s="100"/>
      <c r="D6" s="99"/>
      <c r="E6" s="98" t="s">
        <v>89</v>
      </c>
      <c r="F6" s="97"/>
      <c r="I6" s="96"/>
      <c r="J6" s="95" t="s">
        <v>88</v>
      </c>
      <c r="K6" s="70"/>
      <c r="L6" s="70"/>
      <c r="M6" s="70"/>
      <c r="N6" s="70"/>
      <c r="O6" s="70"/>
      <c r="P6" s="69"/>
    </row>
    <row r="7" spans="1:19" ht="18">
      <c r="A7" s="80" t="s">
        <v>87</v>
      </c>
      <c r="B7" s="79">
        <v>1.85</v>
      </c>
      <c r="D7" s="94"/>
      <c r="E7" s="93" t="s">
        <v>86</v>
      </c>
      <c r="F7" s="92" t="s">
        <v>85</v>
      </c>
      <c r="I7" s="63"/>
      <c r="J7" s="91" t="s">
        <v>59</v>
      </c>
      <c r="K7" s="91" t="s">
        <v>58</v>
      </c>
      <c r="L7" s="90" t="s">
        <v>84</v>
      </c>
      <c r="M7" s="90" t="s">
        <v>83</v>
      </c>
      <c r="N7" s="90" t="s">
        <v>82</v>
      </c>
      <c r="O7" s="90" t="s">
        <v>81</v>
      </c>
      <c r="P7" s="89" t="s">
        <v>80</v>
      </c>
    </row>
    <row r="8" spans="1:19">
      <c r="A8" s="80" t="s">
        <v>79</v>
      </c>
      <c r="B8" s="79">
        <v>1.954</v>
      </c>
      <c r="D8" s="88" t="s">
        <v>59</v>
      </c>
      <c r="E8" s="87">
        <f>B32</f>
        <v>6.0435308302677249E-4</v>
      </c>
      <c r="F8" s="86">
        <f>J8</f>
        <v>8.3419691563136888E-3</v>
      </c>
      <c r="I8" s="81" t="s">
        <v>78</v>
      </c>
      <c r="J8" s="62">
        <f>IF(ISBLANK(DividendYield),SpotPrice*N8-(StrikePrice*EXP(-RiskFreeRate*TimeToMaturity))*N8, EXP(-DividendYield * TimeToMaturity) * (SpotPrice * N8) - (StrikePrice * EXP(-RiskFreeRate * TimeToMaturity) * O8))</f>
        <v>8.3419691563136888E-3</v>
      </c>
      <c r="K8" s="62">
        <f>IF(ISBLANK(DividendYield),EXP(-RiskFreeRate * TimeToMaturity) * StrikePrice * (1 - O8) - SpotPrice * (1 - N8),EXP(-RiskFreeRate * TimeToMaturity) * StrikePrice * NORMSDIST(-M8) - EXP(-DividendYield * TimeToMaturity) * SpotPrice * NORMSDIST(-L8))</f>
        <v>6.4097537259675486E-2</v>
      </c>
      <c r="L8" s="68">
        <f>IF(ISBLANK(DividendYield),LN(SpotPrice/StrikePrice)+((RiskFreeRate + (0.5*(sigma^2)))*TimeToMaturity),LN(SpotPrice/StrikePrice)+((RiskFreeRate -DividendYield+ (0.5*(sigma^2)))*TimeToMaturity))/(sigma*TimeToMaturity^0.5)</f>
        <v>-0.78285018468437562</v>
      </c>
      <c r="M8" s="68">
        <f>L8-sigma*TimeToMaturity^0.5</f>
        <v>-0.81990258001855065</v>
      </c>
      <c r="N8" s="68">
        <f>NORMSDIST(L8)</f>
        <v>0.21685754675347579</v>
      </c>
      <c r="O8" s="68">
        <f>NORMSDIST(M8)</f>
        <v>0.20613582293167931</v>
      </c>
      <c r="P8" s="85">
        <f>1/(2*PI())^0.5*(EXP(-(L8^2)/2))</f>
        <v>0.29365028131059623</v>
      </c>
    </row>
    <row r="9" spans="1:19" ht="15.75" thickBot="1">
      <c r="A9" s="80" t="s">
        <v>77</v>
      </c>
      <c r="B9" s="109">
        <v>0.05</v>
      </c>
      <c r="D9" s="84" t="s">
        <v>58</v>
      </c>
      <c r="E9" s="83">
        <f>(B32-B7)+B8*EXP(-B9*B12)</f>
        <v>-0.66423473783848763</v>
      </c>
      <c r="F9" s="82">
        <f>K8</f>
        <v>6.4097537259675486E-2</v>
      </c>
      <c r="I9" s="81" t="s">
        <v>56</v>
      </c>
      <c r="J9" s="62">
        <f xml:space="preserve"> N8*EXP(-DividendYield * TimeToMaturity)</f>
        <v>0.21685754675347579</v>
      </c>
      <c r="K9" s="62">
        <f>(N8 - 1) * EXP(-DividendYield * TimeToMaturity)</f>
        <v>-0.78314245324652421</v>
      </c>
      <c r="L9" s="62"/>
      <c r="M9" s="62"/>
      <c r="N9" s="62"/>
      <c r="O9" s="62"/>
      <c r="P9" s="61"/>
    </row>
    <row r="10" spans="1:19">
      <c r="A10" s="80" t="s">
        <v>76</v>
      </c>
      <c r="B10" s="110">
        <v>5.2400000000000002E-2</v>
      </c>
      <c r="I10" s="81" t="s">
        <v>52</v>
      </c>
      <c r="J10" s="62">
        <f xml:space="preserve"> (P8 * EXP(-DividendYield * TimeToMaturity)) / (SpotPrice * sigma * (TimeToMaturity ^ (1 / 2)))</f>
        <v>4.2839303736756724</v>
      </c>
      <c r="K10" s="62">
        <f>J10</f>
        <v>4.2839303736756724</v>
      </c>
      <c r="L10" s="62"/>
      <c r="M10" s="62"/>
      <c r="N10" s="62"/>
      <c r="O10" s="62"/>
      <c r="P10" s="61"/>
      <c r="Q10" s="65"/>
      <c r="R10" s="65"/>
      <c r="S10" s="65"/>
    </row>
    <row r="11" spans="1:19">
      <c r="A11" s="80" t="s">
        <v>75</v>
      </c>
      <c r="B11" s="79">
        <v>0.5</v>
      </c>
      <c r="D11" s="152" t="s">
        <v>117</v>
      </c>
      <c r="E11" s="153"/>
      <c r="F11" s="152">
        <v>1</v>
      </c>
      <c r="G11" t="s">
        <v>122</v>
      </c>
      <c r="I11" s="81" t="s">
        <v>54</v>
      </c>
      <c r="J11" s="62">
        <f xml:space="preserve"> SpotPrice * (TimeToMaturity ^ (1 / 2)) * P8 * EXP(-DividendYield * TimeToMaturity)</f>
        <v>0.38413789464231085</v>
      </c>
      <c r="K11" s="62">
        <f>J11</f>
        <v>0.38413789464231085</v>
      </c>
      <c r="L11" s="62"/>
      <c r="M11" s="62"/>
      <c r="N11" s="62"/>
      <c r="O11" s="62"/>
      <c r="P11" s="61"/>
      <c r="Q11" s="65"/>
      <c r="R11" s="65"/>
      <c r="S11" s="65"/>
    </row>
    <row r="12" spans="1:19" ht="15.75" thickBot="1">
      <c r="A12" s="80" t="s">
        <v>74</v>
      </c>
      <c r="B12" s="79">
        <v>10</v>
      </c>
      <c r="H12" s="72"/>
      <c r="I12" s="78" t="s">
        <v>49</v>
      </c>
      <c r="J12" s="59">
        <f>-(SpotPrice * P8 * sigma * EXP(-DividendYield * TimeToMaturity)) / (2 * (TimeToMaturity ^ (1 / 2))) + (DividendYield * SpotPrice * N8 * EXP(-DividendYield * TimeToMaturity)) - (RiskFreeRate * StrikePrice * EXP(-RiskFreeRate * TimeToMaturity) * O8)</f>
        <v>-3.9771050296137915E-2</v>
      </c>
      <c r="K12" s="59">
        <f>-(SpotPrice * P8 * sigma * EXP(-DividendYield * TimeToMaturity)) / (2 * (TimeToMaturity ^ (1 / 2))) - (DividendYield * SpotPrice * NORMSDIST(-L8) * EXP(-DividendYield * TimeToMaturity)) + (RiskFreeRate * StrikePrice * EXP(-RiskFreeRate * TimeToMaturity) * NORMSDIST(-M8))</f>
        <v>5.5516728109030203E-2</v>
      </c>
      <c r="L12" s="59"/>
      <c r="M12" s="59"/>
      <c r="N12" s="59"/>
      <c r="O12" s="59"/>
      <c r="P12" s="58"/>
      <c r="Q12" s="77"/>
      <c r="R12" s="77"/>
      <c r="S12" s="77"/>
    </row>
    <row r="13" spans="1:19" ht="15.75" thickBot="1">
      <c r="A13" s="76" t="s">
        <v>73</v>
      </c>
      <c r="B13" s="75">
        <v>0</v>
      </c>
      <c r="D13" s="152" t="s">
        <v>134</v>
      </c>
      <c r="E13" s="152"/>
      <c r="F13" s="152">
        <f>$B$32*F11</f>
        <v>6.0435308302677249E-4</v>
      </c>
      <c r="G13" s="65" t="s">
        <v>121</v>
      </c>
      <c r="H13" s="67"/>
      <c r="I13" s="65"/>
      <c r="J13" s="65"/>
      <c r="K13" s="72"/>
      <c r="L13" s="65"/>
      <c r="M13" s="65"/>
      <c r="N13" s="65"/>
      <c r="O13" s="74"/>
      <c r="P13" s="74"/>
      <c r="Q13" s="74"/>
      <c r="R13" s="74"/>
      <c r="S13" s="74"/>
    </row>
    <row r="14" spans="1:19" ht="15.75" thickBot="1">
      <c r="F14" s="154">
        <f>$B$32*F11</f>
        <v>6.0435308302677249E-4</v>
      </c>
      <c r="G14" s="65"/>
      <c r="H14" s="67"/>
      <c r="I14" s="73"/>
      <c r="J14" s="65"/>
      <c r="K14" s="72"/>
      <c r="L14" s="65"/>
      <c r="M14" s="65"/>
      <c r="N14" s="65"/>
      <c r="O14" s="65"/>
      <c r="P14" s="65"/>
      <c r="Q14" s="65"/>
      <c r="R14" s="65"/>
      <c r="S14" s="65"/>
    </row>
    <row r="15" spans="1:19">
      <c r="A15" s="71" t="s">
        <v>72</v>
      </c>
      <c r="B15" s="70"/>
      <c r="C15" s="70"/>
      <c r="D15" s="70"/>
      <c r="E15" s="70"/>
      <c r="F15" s="70"/>
      <c r="G15" s="69"/>
      <c r="H15" s="67"/>
    </row>
    <row r="16" spans="1:19">
      <c r="A16" s="63" t="s">
        <v>71</v>
      </c>
      <c r="B16" s="62">
        <f>TimeToMaturity/nSteps</f>
        <v>0.05</v>
      </c>
      <c r="C16" s="62"/>
      <c r="D16" s="62"/>
      <c r="E16" s="62"/>
      <c r="F16" s="62"/>
      <c r="G16" s="61"/>
      <c r="H16" s="67"/>
    </row>
    <row r="17" spans="1:8">
      <c r="A17" s="63" t="s">
        <v>70</v>
      </c>
      <c r="B17" s="62">
        <f>EXP(B10*SQRT(B16))</f>
        <v>1.0117859090897718</v>
      </c>
      <c r="C17" s="68" t="s">
        <v>69</v>
      </c>
      <c r="D17" s="62"/>
      <c r="E17" s="62"/>
      <c r="F17" s="62"/>
      <c r="G17" s="61"/>
      <c r="H17" s="67"/>
    </row>
    <row r="18" spans="1:8">
      <c r="A18" s="63" t="s">
        <v>68</v>
      </c>
      <c r="B18" s="62">
        <f>1/B17</f>
        <v>0.98835138048090154</v>
      </c>
      <c r="C18" s="68" t="s">
        <v>67</v>
      </c>
      <c r="D18" s="62"/>
      <c r="E18" s="62"/>
      <c r="F18" s="62"/>
      <c r="G18" s="61"/>
      <c r="H18" s="67"/>
    </row>
    <row r="19" spans="1:8">
      <c r="A19" s="63" t="s">
        <v>66</v>
      </c>
      <c r="B19" s="66">
        <f>(EXP(B9*B16)-B18)/(B17-B18)</f>
        <v>0.60388443740818443</v>
      </c>
      <c r="C19" s="62"/>
      <c r="D19" s="62"/>
      <c r="E19" s="62"/>
      <c r="F19" s="62"/>
      <c r="G19" s="61"/>
      <c r="H19" s="65"/>
    </row>
    <row r="20" spans="1:8">
      <c r="A20" s="63" t="s">
        <v>65</v>
      </c>
      <c r="B20" s="62">
        <f>EXP(-B9*B16)</f>
        <v>0.99750312239746008</v>
      </c>
      <c r="C20" s="62"/>
      <c r="D20" s="62"/>
      <c r="E20" s="62"/>
      <c r="F20" s="62"/>
      <c r="G20" s="61"/>
      <c r="H20" s="65"/>
    </row>
    <row r="21" spans="1:8">
      <c r="A21" s="64"/>
      <c r="B21" s="62"/>
      <c r="C21" s="62"/>
      <c r="D21" s="62"/>
      <c r="E21" s="62"/>
      <c r="F21" s="62"/>
      <c r="G21" s="61"/>
    </row>
    <row r="22" spans="1:8">
      <c r="A22" s="63" t="s">
        <v>64</v>
      </c>
      <c r="B22" s="62">
        <v>0</v>
      </c>
      <c r="C22" s="62">
        <v>1</v>
      </c>
      <c r="D22" s="62">
        <v>2</v>
      </c>
      <c r="E22" s="62">
        <v>3</v>
      </c>
      <c r="F22" s="62">
        <v>4</v>
      </c>
      <c r="G22" s="61">
        <v>5</v>
      </c>
    </row>
    <row r="23" spans="1:8">
      <c r="A23" s="63" t="s">
        <v>63</v>
      </c>
      <c r="B23" s="62">
        <f t="shared" ref="B23:G23" si="0">B22*$B$16</f>
        <v>0</v>
      </c>
      <c r="C23" s="62">
        <f t="shared" si="0"/>
        <v>0.05</v>
      </c>
      <c r="D23" s="62">
        <f t="shared" si="0"/>
        <v>0.1</v>
      </c>
      <c r="E23" s="62">
        <f t="shared" si="0"/>
        <v>0.15000000000000002</v>
      </c>
      <c r="F23" s="62">
        <f t="shared" si="0"/>
        <v>0.2</v>
      </c>
      <c r="G23" s="61">
        <f t="shared" si="0"/>
        <v>0.25</v>
      </c>
    </row>
    <row r="24" spans="1:8">
      <c r="A24" s="63"/>
      <c r="B24" s="62"/>
      <c r="C24" s="62"/>
      <c r="D24" s="62"/>
      <c r="E24" s="62"/>
      <c r="F24" s="62"/>
      <c r="G24" s="61"/>
    </row>
    <row r="25" spans="1:8">
      <c r="A25" s="63" t="s">
        <v>62</v>
      </c>
      <c r="B25" s="62">
        <f>B7</f>
        <v>1.85</v>
      </c>
      <c r="C25" s="62">
        <f>B25*$B$17</f>
        <v>1.871803931816078</v>
      </c>
      <c r="D25" s="62">
        <f>C25*$B$17</f>
        <v>1.8938648427903397</v>
      </c>
      <c r="E25" s="62">
        <f>D25*$B$17</f>
        <v>1.9161857616557818</v>
      </c>
      <c r="F25" s="62">
        <f>E25*$B$17</f>
        <v>1.938769752841772</v>
      </c>
      <c r="G25" s="61">
        <f>F25*$B$17</f>
        <v>1.9616199168947646</v>
      </c>
    </row>
    <row r="26" spans="1:8">
      <c r="A26" s="63"/>
      <c r="B26" s="62"/>
      <c r="C26" s="62">
        <f>B25*$B$18</f>
        <v>1.828450053889668</v>
      </c>
      <c r="D26" s="62">
        <f>C25*$B$18</f>
        <v>1.8499999999999999</v>
      </c>
      <c r="E26" s="62">
        <f>D25*$B$18</f>
        <v>1.8718039318160777</v>
      </c>
      <c r="F26" s="62">
        <f>E25*$B$18</f>
        <v>1.8938648427903397</v>
      </c>
      <c r="G26" s="61">
        <f>F25*$B$18</f>
        <v>1.9161857616557816</v>
      </c>
    </row>
    <row r="27" spans="1:8">
      <c r="A27" s="63"/>
      <c r="B27" s="62"/>
      <c r="C27" s="62"/>
      <c r="D27" s="62">
        <f>C26*$B$18</f>
        <v>1.8071511349022322</v>
      </c>
      <c r="E27" s="62">
        <f>D26*$B$18</f>
        <v>1.8284500538896677</v>
      </c>
      <c r="F27" s="62">
        <f>E26*$B$18</f>
        <v>1.8499999999999996</v>
      </c>
      <c r="G27" s="61">
        <f>F26*$B$18</f>
        <v>1.8718039318160777</v>
      </c>
    </row>
    <row r="28" spans="1:8">
      <c r="A28" s="63"/>
      <c r="B28" s="62"/>
      <c r="C28" s="62"/>
      <c r="D28" s="62"/>
      <c r="E28" s="62">
        <f>D27*$B$18</f>
        <v>1.7861003189182492</v>
      </c>
      <c r="F28" s="62">
        <f>E27*$B$18</f>
        <v>1.807151134902232</v>
      </c>
      <c r="G28" s="61">
        <f>F27*$B$18</f>
        <v>1.8284500538896675</v>
      </c>
    </row>
    <row r="29" spans="1:8">
      <c r="A29" s="63"/>
      <c r="B29" s="62"/>
      <c r="C29" s="62"/>
      <c r="D29" s="62"/>
      <c r="E29" s="62"/>
      <c r="F29" s="62">
        <f>E28*$B$18</f>
        <v>1.7652947158802301</v>
      </c>
      <c r="G29" s="61">
        <f>F28*$B$18</f>
        <v>1.7861003189182489</v>
      </c>
    </row>
    <row r="30" spans="1:8">
      <c r="A30" s="63"/>
      <c r="B30" s="62"/>
      <c r="C30" s="62"/>
      <c r="D30" s="62"/>
      <c r="E30" s="62"/>
      <c r="F30" s="62"/>
      <c r="G30" s="61">
        <f>F29*$B$18</f>
        <v>1.7447314693958662</v>
      </c>
    </row>
    <row r="31" spans="1:8">
      <c r="A31" s="63"/>
      <c r="B31" s="62"/>
      <c r="C31" s="62"/>
      <c r="D31" s="62"/>
      <c r="E31" s="62"/>
      <c r="F31" s="62"/>
      <c r="G31" s="61"/>
    </row>
    <row r="32" spans="1:8">
      <c r="A32" s="63" t="s">
        <v>61</v>
      </c>
      <c r="B32" s="151">
        <f>($B$19*C32+(1-$B$19)*C33)*$B$20</f>
        <v>6.0435308302677249E-4</v>
      </c>
      <c r="C32" s="62">
        <f>($B$19*D32+(1-$B$19)*D33)*$B$20</f>
        <v>1.0032811219856299E-3</v>
      </c>
      <c r="D32" s="62">
        <f>($B$19*E32+(1-$B$19)*E33)*$B$20</f>
        <v>1.6655379744098268E-3</v>
      </c>
      <c r="E32" s="62">
        <f>($B$19*F32+(1-$B$19)*F33)*$B$20</f>
        <v>2.7649446236076205E-3</v>
      </c>
      <c r="F32" s="62">
        <f>($B$19*G32+(1-$B$19)*G33)*$B$20</f>
        <v>4.5900597218899294E-3</v>
      </c>
      <c r="G32" s="61">
        <f t="shared" ref="G32:G37" si="1">MAX(0,(G25-$B$8))</f>
        <v>7.6199168947646001E-3</v>
      </c>
    </row>
    <row r="33" spans="1:7">
      <c r="A33" s="63"/>
      <c r="B33" s="62"/>
      <c r="C33" s="62">
        <f>($B$19*D33+(1-$B$19)*D34)*$B$20</f>
        <v>0</v>
      </c>
      <c r="D33" s="62">
        <f>($B$19*E33+(1-$B$19)*E34)*$B$20</f>
        <v>0</v>
      </c>
      <c r="E33" s="62">
        <f>($B$19*F33+(1-$B$19)*F34)*$B$20</f>
        <v>0</v>
      </c>
      <c r="F33" s="62">
        <f>($B$19*G33+(1-$B$19)*G34)*$B$20</f>
        <v>0</v>
      </c>
      <c r="G33" s="61">
        <f t="shared" si="1"/>
        <v>0</v>
      </c>
    </row>
    <row r="34" spans="1:7">
      <c r="A34" s="63"/>
      <c r="B34" s="62"/>
      <c r="C34" s="62"/>
      <c r="D34" s="62">
        <f>($B$19*E34+(1-$B$19)*E35)*$B$20</f>
        <v>0</v>
      </c>
      <c r="E34" s="62">
        <f>($B$19*F34+(1-$B$19)*F35)*$B$20</f>
        <v>0</v>
      </c>
      <c r="F34" s="62">
        <f>($B$19*G34+(1-$B$19)*G35)*$B$20</f>
        <v>0</v>
      </c>
      <c r="G34" s="61">
        <f t="shared" si="1"/>
        <v>0</v>
      </c>
    </row>
    <row r="35" spans="1:7">
      <c r="A35" s="63"/>
      <c r="B35" s="62"/>
      <c r="C35" s="62"/>
      <c r="D35" s="62"/>
      <c r="E35" s="62">
        <f>($B$19*F35+(1-$B$19)*F36)*$B$20</f>
        <v>0</v>
      </c>
      <c r="F35" s="62">
        <f>($B$19*G35+(1-$B$19)*G36)*$B$20</f>
        <v>0</v>
      </c>
      <c r="G35" s="61">
        <f t="shared" si="1"/>
        <v>0</v>
      </c>
    </row>
    <row r="36" spans="1:7">
      <c r="A36" s="63"/>
      <c r="B36" s="62"/>
      <c r="C36" s="62"/>
      <c r="D36" s="62"/>
      <c r="E36" s="62"/>
      <c r="F36" s="62">
        <f>($B$19*G36+(1-$B$19)*G37)*$B$20</f>
        <v>0</v>
      </c>
      <c r="G36" s="61">
        <f t="shared" si="1"/>
        <v>0</v>
      </c>
    </row>
    <row r="37" spans="1:7" ht="15.75" thickBot="1">
      <c r="A37" s="60"/>
      <c r="B37" s="59"/>
      <c r="C37" s="59"/>
      <c r="D37" s="59"/>
      <c r="E37" s="59"/>
      <c r="F37" s="59"/>
      <c r="G37" s="58">
        <f t="shared" si="1"/>
        <v>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12</vt:i4>
      </vt:variant>
      <vt:variant>
        <vt:lpstr>Plages nommées</vt:lpstr>
      </vt:variant>
      <vt:variant>
        <vt:i4>7</vt:i4>
      </vt:variant>
    </vt:vector>
  </HeadingPairs>
  <TitlesOfParts>
    <vt:vector size="19" baseType="lpstr">
      <vt:lpstr>Feuil1</vt:lpstr>
      <vt:lpstr>SPOTs</vt:lpstr>
      <vt:lpstr>Taux USD</vt:lpstr>
      <vt:lpstr>Taux EUR</vt:lpstr>
      <vt:lpstr>Taux TND</vt:lpstr>
      <vt:lpstr>Interpolation</vt:lpstr>
      <vt:lpstr>Garch(1,1) Euro</vt:lpstr>
      <vt:lpstr>Garch(1,1) Dollar</vt:lpstr>
      <vt:lpstr>Modèle de Garman-Kohlhagen-EUR</vt:lpstr>
      <vt:lpstr>Modèle de Garman-Kohlhagen-USD</vt:lpstr>
      <vt:lpstr>Arbre Trinomial</vt:lpstr>
      <vt:lpstr>Arbre Binomial</vt:lpstr>
      <vt:lpstr>DividendYield</vt:lpstr>
      <vt:lpstr>nSteps</vt:lpstr>
      <vt:lpstr>RiskFreeRate</vt:lpstr>
      <vt:lpstr>sigma</vt:lpstr>
      <vt:lpstr>SpotPrice</vt:lpstr>
      <vt:lpstr>StrikePrice</vt:lpstr>
      <vt:lpstr>TimeToMaturity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Rima</dc:creator>
  <cp:lastModifiedBy>Rima</cp:lastModifiedBy>
  <dcterms:created xsi:type="dcterms:W3CDTF">2015-05-18T07:26:54Z</dcterms:created>
  <dcterms:modified xsi:type="dcterms:W3CDTF">2015-05-26T12:51:57Z</dcterms:modified>
</cp:coreProperties>
</file>